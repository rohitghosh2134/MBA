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BA\Courses\Term 3\QAM-III\Case Studies\"/>
    </mc:Choice>
  </mc:AlternateContent>
  <xr:revisionPtr revIDLastSave="0" documentId="13_ncr:1_{EFE62E2F-B73C-4A68-B622-45D569766382}" xr6:coauthVersionLast="47" xr6:coauthVersionMax="47" xr10:uidLastSave="{00000000-0000-0000-0000-000000000000}"/>
  <bookViews>
    <workbookView xWindow="-108" yWindow="-108" windowWidth="23256" windowHeight="13176" xr2:uid="{78A723F8-5CEE-447C-A34D-F01B73DEE2C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I8" i="1"/>
  <c r="I11" i="1" s="1"/>
  <c r="I18" i="1" s="1"/>
  <c r="I7" i="1"/>
  <c r="H7" i="1"/>
  <c r="G8" i="1" s="1"/>
  <c r="G9" i="1"/>
  <c r="F26" i="1" s="1"/>
  <c r="F9" i="1"/>
  <c r="F11" i="1" s="1"/>
  <c r="F16" i="1" s="1"/>
  <c r="F8" i="1"/>
  <c r="D26" i="1"/>
  <c r="F7" i="1"/>
  <c r="I6" i="1"/>
  <c r="H6" i="1"/>
  <c r="G6" i="1"/>
  <c r="J24" i="1"/>
  <c r="J26" i="1"/>
  <c r="J23" i="1"/>
  <c r="H25" i="1"/>
  <c r="H26" i="1"/>
  <c r="F24" i="1"/>
  <c r="F23" i="1"/>
  <c r="D24" i="1"/>
  <c r="D25" i="1"/>
  <c r="D23" i="1"/>
  <c r="J25" i="1" l="1"/>
  <c r="F25" i="1"/>
  <c r="G11" i="1"/>
  <c r="G18" i="1" s="1"/>
  <c r="H24" i="1"/>
  <c r="H11" i="1"/>
  <c r="I17" i="1"/>
  <c r="H17" i="1"/>
  <c r="H18" i="1"/>
  <c r="H23" i="1"/>
  <c r="F19" i="1"/>
  <c r="F18" i="1"/>
  <c r="F17" i="1"/>
  <c r="H16" i="1"/>
  <c r="I16" i="1"/>
  <c r="H19" i="1"/>
  <c r="I19" i="1"/>
  <c r="G19" i="1" l="1"/>
  <c r="K19" i="1" s="1"/>
  <c r="K18" i="1"/>
  <c r="G24" i="1" s="1"/>
  <c r="G16" i="1"/>
  <c r="K16" i="1" s="1"/>
  <c r="C24" i="1" s="1"/>
  <c r="G17" i="1"/>
  <c r="K17" i="1" s="1"/>
  <c r="E24" i="1" s="1"/>
  <c r="G23" i="1" l="1"/>
  <c r="E33" i="1" s="1"/>
  <c r="G25" i="1"/>
  <c r="G26" i="1"/>
  <c r="C23" i="1"/>
  <c r="C32" i="1" s="1"/>
  <c r="C26" i="1"/>
  <c r="C25" i="1"/>
  <c r="E26" i="1"/>
  <c r="E25" i="1"/>
  <c r="E23" i="1"/>
  <c r="D33" i="1" s="1"/>
  <c r="I23" i="1"/>
  <c r="I24" i="1"/>
  <c r="I25" i="1"/>
  <c r="I26" i="1"/>
  <c r="E34" i="1"/>
  <c r="D32" i="1"/>
  <c r="D31" i="1"/>
  <c r="K20" i="1"/>
  <c r="C33" i="1" l="1"/>
  <c r="C31" i="1"/>
  <c r="E32" i="1"/>
  <c r="E31" i="1"/>
  <c r="C34" i="1"/>
  <c r="D34" i="1"/>
  <c r="F32" i="1"/>
  <c r="F33" i="1"/>
  <c r="F34" i="1"/>
  <c r="F31" i="1"/>
  <c r="K33" i="1" l="1"/>
  <c r="C41" i="1" s="1"/>
  <c r="K31" i="1"/>
  <c r="C39" i="1" s="1"/>
  <c r="K32" i="1"/>
  <c r="C40" i="1" s="1"/>
  <c r="K34" i="1"/>
  <c r="C42" i="1" s="1"/>
  <c r="E40" i="1" l="1"/>
  <c r="D45" i="1" s="1"/>
  <c r="D56" i="1" s="1"/>
</calcChain>
</file>

<file path=xl/sharedStrings.xml><?xml version="1.0" encoding="utf-8"?>
<sst xmlns="http://schemas.openxmlformats.org/spreadsheetml/2006/main" count="82" uniqueCount="41">
  <si>
    <t>Dominated by</t>
  </si>
  <si>
    <t>Col1</t>
  </si>
  <si>
    <t>Col2</t>
  </si>
  <si>
    <t>Price</t>
  </si>
  <si>
    <t>MPG</t>
  </si>
  <si>
    <t>Comfort</t>
  </si>
  <si>
    <t>Style</t>
  </si>
  <si>
    <t>Step-1</t>
  </si>
  <si>
    <t xml:space="preserve">Numerical Rating </t>
  </si>
  <si>
    <t>Step-2</t>
  </si>
  <si>
    <t>Sum</t>
  </si>
  <si>
    <t>Step 3</t>
  </si>
  <si>
    <t>PRICE</t>
  </si>
  <si>
    <t>COMFORT</t>
  </si>
  <si>
    <t>STYLE</t>
  </si>
  <si>
    <t>AVERAGE</t>
  </si>
  <si>
    <t>Step 4</t>
  </si>
  <si>
    <t>(priority of each variable)</t>
  </si>
  <si>
    <t>STEP 5</t>
  </si>
  <si>
    <t>A1X1+A2X2+A3X3+A4X4 WHERE A1+A2+A3+A4=1</t>
  </si>
  <si>
    <t>&lt;- TOTAL</t>
  </si>
  <si>
    <t>STEP 6</t>
  </si>
  <si>
    <t>VECTOR</t>
  </si>
  <si>
    <t>AVERAGE (WEIGHTED VECTOR)</t>
  </si>
  <si>
    <t>STEP 7</t>
  </si>
  <si>
    <t>AVERAGE ( LAMDA MAX)</t>
  </si>
  <si>
    <t>CONSISTENCT INDEX</t>
  </si>
  <si>
    <t>LAMDA(MAX)-N/N-1</t>
  </si>
  <si>
    <t>STEP 9</t>
  </si>
  <si>
    <t>STEP 10</t>
  </si>
  <si>
    <t>CONSISTENCY RATIO</t>
  </si>
  <si>
    <t>CR = CI/RI</t>
  </si>
  <si>
    <t>WHERE RI IS RANDOMLY GENERATED PAIRWISE COMARISON MATRIX</t>
  </si>
  <si>
    <t>THE RI VALUE DEPENDS ON NUMBER OF ITEMS BEING COMPARED</t>
  </si>
  <si>
    <t>N</t>
  </si>
  <si>
    <t>RI</t>
  </si>
  <si>
    <t xml:space="preserve">SINCE N =4 </t>
  </si>
  <si>
    <t xml:space="preserve">CR </t>
  </si>
  <si>
    <t>&gt; THIS SHOULD BE LOWER FOR CI TO BE LESS THAN .10</t>
  </si>
  <si>
    <t xml:space="preserve">STEP 8 </t>
  </si>
  <si>
    <t>AVERAGE VECTOR VALUE /PRIORITY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</si>
</sst>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"/>
  </numFmts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6" fontId="0" fillId="0" borderId="0" xfId="0" applyNumberForma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6" fontId="0" fillId="4" borderId="0" xfId="0" applyNumberForma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BF50B-8E15-40AA-A445-4E24D04C3737}">
  <dimension ref="A1:L56"/>
  <sheetViews>
    <sheetView tabSelected="1" topLeftCell="A26" workbookViewId="0">
      <selection activeCell="C38" sqref="C38"/>
    </sheetView>
  </sheetViews>
  <sheetFormatPr defaultRowHeight="14.4" x14ac:dyDescent="0.3"/>
  <cols>
    <col min="1" max="1" width="8.88671875" style="1"/>
    <col min="2" max="2" width="21.77734375" style="1" bestFit="1" customWidth="1"/>
    <col min="3" max="3" width="57.33203125" style="1" bestFit="1" customWidth="1"/>
    <col min="4" max="5" width="8.88671875" style="1"/>
    <col min="6" max="6" width="46" style="1" bestFit="1" customWidth="1"/>
    <col min="7" max="10" width="8.88671875" style="1"/>
    <col min="11" max="11" width="26.5546875" style="1" bestFit="1" customWidth="1"/>
    <col min="12" max="12" width="41.44140625" style="1" bestFit="1" customWidth="1"/>
    <col min="13" max="16384" width="8.88671875" style="1"/>
  </cols>
  <sheetData>
    <row r="1" spans="1:12" x14ac:dyDescent="0.3">
      <c r="A1" s="1" t="s">
        <v>0</v>
      </c>
    </row>
    <row r="2" spans="1:12" x14ac:dyDescent="0.3">
      <c r="C2" s="2" t="s">
        <v>7</v>
      </c>
    </row>
    <row r="3" spans="1:12" x14ac:dyDescent="0.3">
      <c r="A3" s="3" t="s">
        <v>1</v>
      </c>
      <c r="B3" s="3" t="s">
        <v>2</v>
      </c>
      <c r="C3" s="2" t="s">
        <v>8</v>
      </c>
    </row>
    <row r="4" spans="1:12" x14ac:dyDescent="0.3">
      <c r="A4" s="3"/>
      <c r="B4" s="3"/>
      <c r="E4" s="2" t="s">
        <v>9</v>
      </c>
    </row>
    <row r="5" spans="1:12" x14ac:dyDescent="0.3">
      <c r="A5" s="1" t="s">
        <v>3</v>
      </c>
      <c r="B5" s="4" t="s">
        <v>4</v>
      </c>
      <c r="C5" s="1">
        <v>3</v>
      </c>
      <c r="F5" s="5" t="s">
        <v>12</v>
      </c>
      <c r="G5" s="5" t="s">
        <v>4</v>
      </c>
      <c r="H5" s="5" t="s">
        <v>13</v>
      </c>
      <c r="I5" s="5" t="s">
        <v>14</v>
      </c>
      <c r="K5" s="1">
        <v>3</v>
      </c>
    </row>
    <row r="6" spans="1:12" x14ac:dyDescent="0.3">
      <c r="A6" s="1" t="s">
        <v>3</v>
      </c>
      <c r="B6" s="4" t="s">
        <v>5</v>
      </c>
      <c r="C6" s="1">
        <v>2</v>
      </c>
      <c r="E6" s="5" t="s">
        <v>12</v>
      </c>
      <c r="F6" s="6">
        <v>1</v>
      </c>
      <c r="G6" s="1">
        <f>C5/$F$6</f>
        <v>3</v>
      </c>
      <c r="H6" s="1">
        <f>C6/$F$6</f>
        <v>2</v>
      </c>
      <c r="I6" s="1">
        <f>C7/$F$6</f>
        <v>2</v>
      </c>
      <c r="K6" s="1">
        <v>2</v>
      </c>
    </row>
    <row r="7" spans="1:12" x14ac:dyDescent="0.3">
      <c r="A7" s="1" t="s">
        <v>3</v>
      </c>
      <c r="B7" s="4" t="s">
        <v>6</v>
      </c>
      <c r="C7" s="1">
        <v>2</v>
      </c>
      <c r="E7" s="5" t="s">
        <v>4</v>
      </c>
      <c r="F7" s="1">
        <f>$F$6/G$6</f>
        <v>0.33333333333333331</v>
      </c>
      <c r="G7" s="6">
        <v>1</v>
      </c>
      <c r="H7" s="1">
        <f>C8</f>
        <v>4</v>
      </c>
      <c r="I7" s="1">
        <f>C9</f>
        <v>4</v>
      </c>
      <c r="K7" s="1">
        <v>2</v>
      </c>
    </row>
    <row r="8" spans="1:12" x14ac:dyDescent="0.3">
      <c r="A8" s="1" t="s">
        <v>4</v>
      </c>
      <c r="B8" s="4" t="s">
        <v>5</v>
      </c>
      <c r="C8" s="1">
        <v>4</v>
      </c>
      <c r="E8" s="5" t="s">
        <v>13</v>
      </c>
      <c r="F8" s="1">
        <f>$F$6/H6</f>
        <v>0.5</v>
      </c>
      <c r="G8" s="1">
        <f>$G$7/H7</f>
        <v>0.25</v>
      </c>
      <c r="H8" s="6">
        <v>1</v>
      </c>
      <c r="I8" s="1">
        <f>C10</f>
        <v>2</v>
      </c>
      <c r="K8" s="1">
        <v>4</v>
      </c>
    </row>
    <row r="9" spans="1:12" x14ac:dyDescent="0.3">
      <c r="A9" s="1" t="s">
        <v>4</v>
      </c>
      <c r="B9" s="4" t="s">
        <v>6</v>
      </c>
      <c r="C9" s="1">
        <v>4</v>
      </c>
      <c r="E9" s="5" t="s">
        <v>14</v>
      </c>
      <c r="F9" s="1">
        <f>$F$6/H6</f>
        <v>0.5</v>
      </c>
      <c r="G9" s="1">
        <f>$G$7/I7</f>
        <v>0.25</v>
      </c>
      <c r="H9" s="1">
        <f>$H$8/I8</f>
        <v>0.5</v>
      </c>
      <c r="I9" s="6">
        <v>1</v>
      </c>
      <c r="K9" s="1">
        <v>4</v>
      </c>
    </row>
    <row r="10" spans="1:12" x14ac:dyDescent="0.3">
      <c r="A10" s="1" t="s">
        <v>5</v>
      </c>
      <c r="B10" s="4" t="s">
        <v>6</v>
      </c>
      <c r="C10" s="1">
        <v>2</v>
      </c>
      <c r="K10" s="1">
        <v>2</v>
      </c>
    </row>
    <row r="11" spans="1:12" x14ac:dyDescent="0.3">
      <c r="E11" s="2" t="s">
        <v>10</v>
      </c>
      <c r="F11" s="1">
        <f>SUM(F6:F9)</f>
        <v>2.333333333333333</v>
      </c>
      <c r="G11" s="1">
        <f t="shared" ref="G11:I11" si="0">SUM(G6:G9)</f>
        <v>4.5</v>
      </c>
      <c r="H11" s="1">
        <f t="shared" si="0"/>
        <v>7.5</v>
      </c>
      <c r="I11" s="1">
        <f t="shared" si="0"/>
        <v>9</v>
      </c>
    </row>
    <row r="13" spans="1:12" x14ac:dyDescent="0.3">
      <c r="E13" s="1" t="s">
        <v>11</v>
      </c>
      <c r="J13" s="1" t="s">
        <v>16</v>
      </c>
      <c r="K13" s="1" t="s">
        <v>15</v>
      </c>
      <c r="L13" s="1" t="s">
        <v>17</v>
      </c>
    </row>
    <row r="15" spans="1:12" x14ac:dyDescent="0.3">
      <c r="F15" s="5" t="s">
        <v>12</v>
      </c>
      <c r="G15" s="5" t="s">
        <v>4</v>
      </c>
      <c r="H15" s="5" t="s">
        <v>13</v>
      </c>
      <c r="I15" s="5" t="s">
        <v>14</v>
      </c>
    </row>
    <row r="16" spans="1:12" x14ac:dyDescent="0.3">
      <c r="E16" s="5" t="s">
        <v>12</v>
      </c>
      <c r="F16" s="6">
        <f>_xlfn.PERCENTOF(F6,$F$11)</f>
        <v>0.4285714285714286</v>
      </c>
      <c r="G16" s="1">
        <f>_xlfn.PERCENTOF(G6,$G$11)</f>
        <v>0.66666666666666663</v>
      </c>
      <c r="H16" s="1">
        <f>_xlfn.PERCENTOF(H6,$H$11)</f>
        <v>0.26666666666666666</v>
      </c>
      <c r="I16" s="1">
        <f>_xlfn.PERCENTOF(I6,$I$11)</f>
        <v>0.22222222222222221</v>
      </c>
      <c r="K16" s="1">
        <f>AVERAGE(F16:I16)</f>
        <v>0.39603174603174607</v>
      </c>
    </row>
    <row r="17" spans="2:12" x14ac:dyDescent="0.3">
      <c r="E17" s="5" t="s">
        <v>4</v>
      </c>
      <c r="F17" s="1">
        <f t="shared" ref="F17:F19" si="1">_xlfn.PERCENTOF(F7,$F$11)</f>
        <v>0.14285714285714288</v>
      </c>
      <c r="G17" s="6">
        <f t="shared" ref="G17:G19" si="2">_xlfn.PERCENTOF(G7,$G$11)</f>
        <v>0.22222222222222221</v>
      </c>
      <c r="H17" s="1">
        <f t="shared" ref="H17:H19" si="3">_xlfn.PERCENTOF(H7,$H$11)</f>
        <v>0.53333333333333333</v>
      </c>
      <c r="I17" s="1">
        <f t="shared" ref="I17:I19" si="4">_xlfn.PERCENTOF(I7,$I$11)</f>
        <v>0.44444444444444442</v>
      </c>
      <c r="K17" s="1">
        <f t="shared" ref="K17:K19" si="5">AVERAGE(F17:I17)</f>
        <v>0.33571428571428574</v>
      </c>
    </row>
    <row r="18" spans="2:12" x14ac:dyDescent="0.3">
      <c r="E18" s="5" t="s">
        <v>13</v>
      </c>
      <c r="F18" s="1">
        <f t="shared" si="1"/>
        <v>0.2142857142857143</v>
      </c>
      <c r="G18" s="1">
        <f t="shared" si="2"/>
        <v>5.5555555555555552E-2</v>
      </c>
      <c r="H18" s="6">
        <f t="shared" si="3"/>
        <v>0.13333333333333333</v>
      </c>
      <c r="I18" s="1">
        <f t="shared" si="4"/>
        <v>0.22222222222222221</v>
      </c>
      <c r="K18" s="1">
        <f t="shared" si="5"/>
        <v>0.15634920634920635</v>
      </c>
    </row>
    <row r="19" spans="2:12" x14ac:dyDescent="0.3">
      <c r="E19" s="5" t="s">
        <v>14</v>
      </c>
      <c r="F19" s="1">
        <f t="shared" si="1"/>
        <v>0.2142857142857143</v>
      </c>
      <c r="G19" s="1">
        <f t="shared" si="2"/>
        <v>5.5555555555555552E-2</v>
      </c>
      <c r="H19" s="1">
        <f t="shared" si="3"/>
        <v>6.6666666666666666E-2</v>
      </c>
      <c r="I19" s="6">
        <f t="shared" si="4"/>
        <v>0.1111111111111111</v>
      </c>
      <c r="K19" s="1">
        <f t="shared" si="5"/>
        <v>0.11190476190476191</v>
      </c>
    </row>
    <row r="20" spans="2:12" x14ac:dyDescent="0.3">
      <c r="K20" s="1">
        <f>SUM(K16:K19)</f>
        <v>1</v>
      </c>
      <c r="L20" s="1" t="s">
        <v>20</v>
      </c>
    </row>
    <row r="21" spans="2:12" x14ac:dyDescent="0.3">
      <c r="B21" s="1" t="s">
        <v>18</v>
      </c>
    </row>
    <row r="22" spans="2:12" x14ac:dyDescent="0.3">
      <c r="D22" s="1" t="s">
        <v>12</v>
      </c>
      <c r="F22" s="1" t="s">
        <v>4</v>
      </c>
      <c r="H22" s="1" t="s">
        <v>13</v>
      </c>
      <c r="J22" s="1" t="s">
        <v>14</v>
      </c>
    </row>
    <row r="23" spans="2:12" x14ac:dyDescent="0.3">
      <c r="B23" s="5" t="s">
        <v>12</v>
      </c>
      <c r="C23" s="1">
        <f>$K$16</f>
        <v>0.39603174603174607</v>
      </c>
      <c r="D23" s="7">
        <f>F6</f>
        <v>1</v>
      </c>
      <c r="E23" s="1">
        <f>$K$17</f>
        <v>0.33571428571428574</v>
      </c>
      <c r="F23" s="7">
        <f>G6</f>
        <v>3</v>
      </c>
      <c r="G23" s="1">
        <f>$K$18</f>
        <v>0.15634920634920635</v>
      </c>
      <c r="H23" s="7">
        <f>H6</f>
        <v>2</v>
      </c>
      <c r="I23" s="1">
        <f>$K$19</f>
        <v>0.11190476190476191</v>
      </c>
      <c r="J23" s="7">
        <f>I6</f>
        <v>2</v>
      </c>
      <c r="L23" s="6" t="s">
        <v>19</v>
      </c>
    </row>
    <row r="24" spans="2:12" x14ac:dyDescent="0.3">
      <c r="B24" s="5" t="s">
        <v>4</v>
      </c>
      <c r="C24" s="1">
        <f t="shared" ref="C24:C26" si="6">$K$16</f>
        <v>0.39603174603174607</v>
      </c>
      <c r="D24" s="7">
        <f t="shared" ref="D24:D26" si="7">F7</f>
        <v>0.33333333333333331</v>
      </c>
      <c r="E24" s="1">
        <f t="shared" ref="E24:E26" si="8">$K$17</f>
        <v>0.33571428571428574</v>
      </c>
      <c r="F24" s="7">
        <f t="shared" ref="F24:F26" si="9">G7</f>
        <v>1</v>
      </c>
      <c r="G24" s="1">
        <f t="shared" ref="G24:G26" si="10">$K$18</f>
        <v>0.15634920634920635</v>
      </c>
      <c r="H24" s="7">
        <f t="shared" ref="H24:H26" si="11">H7</f>
        <v>4</v>
      </c>
      <c r="I24" s="1">
        <f t="shared" ref="I24:I26" si="12">$K$19</f>
        <v>0.11190476190476191</v>
      </c>
      <c r="J24" s="7">
        <f t="shared" ref="J24:J26" si="13">I7</f>
        <v>4</v>
      </c>
    </row>
    <row r="25" spans="2:12" x14ac:dyDescent="0.3">
      <c r="B25" s="5" t="s">
        <v>13</v>
      </c>
      <c r="C25" s="1">
        <f t="shared" si="6"/>
        <v>0.39603174603174607</v>
      </c>
      <c r="D25" s="7">
        <f t="shared" si="7"/>
        <v>0.5</v>
      </c>
      <c r="E25" s="1">
        <f t="shared" si="8"/>
        <v>0.33571428571428574</v>
      </c>
      <c r="F25" s="7">
        <f t="shared" si="9"/>
        <v>0.25</v>
      </c>
      <c r="G25" s="1">
        <f t="shared" si="10"/>
        <v>0.15634920634920635</v>
      </c>
      <c r="H25" s="7">
        <f t="shared" si="11"/>
        <v>1</v>
      </c>
      <c r="I25" s="1">
        <f t="shared" si="12"/>
        <v>0.11190476190476191</v>
      </c>
      <c r="J25" s="7">
        <f t="shared" si="13"/>
        <v>2</v>
      </c>
    </row>
    <row r="26" spans="2:12" x14ac:dyDescent="0.3">
      <c r="B26" s="5" t="s">
        <v>14</v>
      </c>
      <c r="C26" s="1">
        <f t="shared" si="6"/>
        <v>0.39603174603174607</v>
      </c>
      <c r="D26" s="7">
        <f t="shared" si="7"/>
        <v>0.5</v>
      </c>
      <c r="E26" s="1">
        <f t="shared" si="8"/>
        <v>0.33571428571428574</v>
      </c>
      <c r="F26" s="7">
        <f t="shared" si="9"/>
        <v>0.25</v>
      </c>
      <c r="G26" s="1">
        <f t="shared" si="10"/>
        <v>0.15634920634920635</v>
      </c>
      <c r="H26" s="7">
        <f t="shared" si="11"/>
        <v>0.5</v>
      </c>
      <c r="I26" s="1">
        <f t="shared" si="12"/>
        <v>0.11190476190476191</v>
      </c>
      <c r="J26" s="7">
        <f t="shared" si="13"/>
        <v>1</v>
      </c>
    </row>
    <row r="29" spans="2:12" x14ac:dyDescent="0.3">
      <c r="B29" s="1" t="s">
        <v>21</v>
      </c>
      <c r="C29" s="1" t="s">
        <v>22</v>
      </c>
      <c r="K29" s="1" t="s">
        <v>23</v>
      </c>
      <c r="L29" s="1" t="s">
        <v>24</v>
      </c>
    </row>
    <row r="30" spans="2:12" x14ac:dyDescent="0.3">
      <c r="C30" s="1" t="s">
        <v>12</v>
      </c>
      <c r="D30" s="1" t="s">
        <v>4</v>
      </c>
      <c r="E30" s="1" t="s">
        <v>13</v>
      </c>
      <c r="F30" s="1" t="s">
        <v>14</v>
      </c>
    </row>
    <row r="31" spans="2:12" x14ac:dyDescent="0.3">
      <c r="B31" s="5" t="s">
        <v>12</v>
      </c>
      <c r="C31" s="1">
        <f>$C$23*$D23</f>
        <v>0.39603174603174607</v>
      </c>
      <c r="D31" s="1">
        <f>$E$23*F23</f>
        <v>1.0071428571428571</v>
      </c>
      <c r="E31" s="1">
        <f>$G$23*H23</f>
        <v>0.3126984126984127</v>
      </c>
      <c r="F31" s="1">
        <f>$I$23*J23</f>
        <v>0.22380952380952382</v>
      </c>
      <c r="K31" s="1">
        <f>SUM(C31:H31)</f>
        <v>1.9396825396825397</v>
      </c>
    </row>
    <row r="32" spans="2:12" x14ac:dyDescent="0.3">
      <c r="B32" s="5" t="s">
        <v>4</v>
      </c>
      <c r="C32" s="1">
        <f t="shared" ref="C32:C34" si="14">$C$23*$D24</f>
        <v>0.13201058201058202</v>
      </c>
      <c r="D32" s="1">
        <f>$E$23*F24</f>
        <v>0.33571428571428574</v>
      </c>
      <c r="E32" s="1">
        <f>$G$23*H24</f>
        <v>0.6253968253968254</v>
      </c>
      <c r="F32" s="1">
        <f>$I$23*J24</f>
        <v>0.44761904761904764</v>
      </c>
      <c r="K32" s="1">
        <f>SUM(C32:H32)</f>
        <v>1.5407407407407407</v>
      </c>
    </row>
    <row r="33" spans="2:11" x14ac:dyDescent="0.3">
      <c r="B33" s="5" t="s">
        <v>13</v>
      </c>
      <c r="C33" s="1">
        <f t="shared" si="14"/>
        <v>0.19801587301587303</v>
      </c>
      <c r="D33" s="1">
        <f>$E$23*F25</f>
        <v>8.3928571428571436E-2</v>
      </c>
      <c r="E33" s="1">
        <f>$G$23*H25</f>
        <v>0.15634920634920635</v>
      </c>
      <c r="F33" s="1">
        <f>$I$23*J25</f>
        <v>0.22380952380952382</v>
      </c>
      <c r="K33" s="1">
        <f>SUM(C33:H33)</f>
        <v>0.66210317460317458</v>
      </c>
    </row>
    <row r="34" spans="2:11" x14ac:dyDescent="0.3">
      <c r="B34" s="5" t="s">
        <v>14</v>
      </c>
      <c r="C34" s="1">
        <f t="shared" si="14"/>
        <v>0.19801587301587303</v>
      </c>
      <c r="D34" s="1">
        <f>$E$23*F26</f>
        <v>8.3928571428571436E-2</v>
      </c>
      <c r="E34" s="1">
        <f>$G$23*H26</f>
        <v>7.8174603174603174E-2</v>
      </c>
      <c r="F34" s="1">
        <f>$I$23*J26</f>
        <v>0.11190476190476191</v>
      </c>
      <c r="K34" s="1">
        <f>SUM(C34:H34)</f>
        <v>0.47202380952380951</v>
      </c>
    </row>
    <row r="37" spans="2:11" x14ac:dyDescent="0.3">
      <c r="B37" s="1" t="s">
        <v>39</v>
      </c>
      <c r="C37" s="1" t="s">
        <v>40</v>
      </c>
    </row>
    <row r="38" spans="2:11" x14ac:dyDescent="0.3">
      <c r="E38" s="1" t="s">
        <v>28</v>
      </c>
    </row>
    <row r="39" spans="2:11" x14ac:dyDescent="0.3">
      <c r="B39" s="1" t="s">
        <v>12</v>
      </c>
      <c r="C39" s="1">
        <f>K31/K16</f>
        <v>4.8977955911823639</v>
      </c>
      <c r="E39" s="1" t="s">
        <v>25</v>
      </c>
    </row>
    <row r="40" spans="2:11" x14ac:dyDescent="0.3">
      <c r="B40" s="1" t="s">
        <v>4</v>
      </c>
      <c r="C40" s="1">
        <f t="shared" ref="C40:C42" si="15">K32/K17</f>
        <v>4.5894405043341209</v>
      </c>
      <c r="E40" s="1">
        <f>AVERAGE(C39:C42)</f>
        <v>4.4850231938758807</v>
      </c>
      <c r="F40" s="1" t="s">
        <v>38</v>
      </c>
    </row>
    <row r="41" spans="2:11" x14ac:dyDescent="0.3">
      <c r="B41" s="1" t="s">
        <v>13</v>
      </c>
      <c r="C41" s="1">
        <f t="shared" si="15"/>
        <v>4.2347715736040605</v>
      </c>
    </row>
    <row r="42" spans="2:11" x14ac:dyDescent="0.3">
      <c r="B42" s="1" t="s">
        <v>14</v>
      </c>
      <c r="C42" s="1">
        <f t="shared" si="15"/>
        <v>4.2180851063829783</v>
      </c>
    </row>
    <row r="45" spans="2:11" x14ac:dyDescent="0.3">
      <c r="B45" s="1" t="s">
        <v>26</v>
      </c>
      <c r="C45" s="1" t="s">
        <v>27</v>
      </c>
      <c r="D45" s="6">
        <f>(E40-4)/3</f>
        <v>0.1616743979586269</v>
      </c>
    </row>
    <row r="47" spans="2:11" x14ac:dyDescent="0.3">
      <c r="B47" s="1" t="s">
        <v>29</v>
      </c>
      <c r="C47" s="1" t="s">
        <v>30</v>
      </c>
    </row>
    <row r="49" spans="2:9" x14ac:dyDescent="0.3">
      <c r="B49" s="1" t="s">
        <v>31</v>
      </c>
      <c r="C49" s="1" t="s">
        <v>32</v>
      </c>
    </row>
    <row r="50" spans="2:9" x14ac:dyDescent="0.3">
      <c r="C50" s="1" t="s">
        <v>33</v>
      </c>
    </row>
    <row r="52" spans="2:9" x14ac:dyDescent="0.3">
      <c r="C52" s="1" t="s">
        <v>34</v>
      </c>
      <c r="D52" s="1">
        <v>3</v>
      </c>
      <c r="E52" s="1">
        <v>4</v>
      </c>
      <c r="F52" s="1">
        <v>5</v>
      </c>
      <c r="G52" s="1">
        <v>6</v>
      </c>
      <c r="H52" s="1">
        <v>7</v>
      </c>
      <c r="I52" s="1">
        <v>8</v>
      </c>
    </row>
    <row r="53" spans="2:9" x14ac:dyDescent="0.3">
      <c r="C53" s="1" t="s">
        <v>35</v>
      </c>
      <c r="D53" s="1">
        <v>0.57999999999999996</v>
      </c>
      <c r="E53" s="1">
        <v>0.9</v>
      </c>
      <c r="F53" s="1">
        <v>1.1200000000000001</v>
      </c>
      <c r="G53" s="1">
        <v>1.24</v>
      </c>
      <c r="H53" s="1">
        <v>1.32</v>
      </c>
    </row>
    <row r="56" spans="2:9" x14ac:dyDescent="0.3">
      <c r="B56" s="1" t="s">
        <v>36</v>
      </c>
      <c r="C56" s="1" t="s">
        <v>37</v>
      </c>
      <c r="D56" s="6">
        <f>D45/E53</f>
        <v>0.17963821995402987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KESHAV PAREEK</dc:creator>
  <cp:lastModifiedBy>ROHIT GHOSH</cp:lastModifiedBy>
  <dcterms:created xsi:type="dcterms:W3CDTF">2026-01-15T06:32:28Z</dcterms:created>
  <dcterms:modified xsi:type="dcterms:W3CDTF">2026-01-15T07:28:19Z</dcterms:modified>
</cp:coreProperties>
</file>