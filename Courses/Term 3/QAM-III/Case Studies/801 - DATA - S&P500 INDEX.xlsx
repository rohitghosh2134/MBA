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BA\Courses\Term 3\QAM-III\Case Studies\"/>
    </mc:Choice>
  </mc:AlternateContent>
  <xr:revisionPtr revIDLastSave="0" documentId="13_ncr:1_{50175ED6-2A02-45A6-B6E7-A1861CB81E50}" xr6:coauthVersionLast="47" xr6:coauthVersionMax="47" xr10:uidLastSave="{00000000-0000-0000-0000-000000000000}"/>
  <bookViews>
    <workbookView xWindow="-108" yWindow="-108" windowWidth="23256" windowHeight="13176" xr2:uid="{B2BED8D6-8C7E-0E42-9D17-93C443EBC8CA}"/>
  </bookViews>
  <sheets>
    <sheet name="Making an NDEX Fund p345" sheetId="3" r:id="rId1"/>
    <sheet name="SOLUTION" sheetId="4" r:id="rId2"/>
  </sheets>
  <definedNames>
    <definedName name="solver_adj" localSheetId="0" hidden="1">'Making an NDEX Fund p345'!$H$13:$H$18</definedName>
    <definedName name="solver_adj" localSheetId="1" hidden="1">SOLUTION!$B$22:$B$27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'Making an NDEX Fund p345'!$H$20</definedName>
    <definedName name="solver_lhs1" localSheetId="1" hidden="1">SOLUTION!$B$22:$B$27</definedName>
    <definedName name="solver_lhs2" localSheetId="0" hidden="1">'Making an NDEX Fund p345'!$H$20</definedName>
    <definedName name="solver_lhs2" localSheetId="1" hidden="1">SOLUTION!$K$7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1</definedName>
    <definedName name="solver_num" localSheetId="1" hidden="1">2</definedName>
    <definedName name="solver_nwt" localSheetId="0" hidden="1">1</definedName>
    <definedName name="solver_nwt" localSheetId="1" hidden="1">1</definedName>
    <definedName name="solver_opt" localSheetId="0" hidden="1">'Making an NDEX Fund p345'!$G$24</definedName>
    <definedName name="solver_opt" localSheetId="1" hidden="1">SOLUTION!$Q$7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2</definedName>
    <definedName name="solver_rel1" localSheetId="1" hidden="1">3</definedName>
    <definedName name="solver_rel2" localSheetId="0" hidden="1">2</definedName>
    <definedName name="solver_rel2" localSheetId="1" hidden="1">3</definedName>
    <definedName name="solver_rhs1" localSheetId="0" hidden="1">1</definedName>
    <definedName name="solver_rhs1" localSheetId="1" hidden="1">0</definedName>
    <definedName name="solver_rhs2" localSheetId="0" hidden="1">1</definedName>
    <definedName name="solver_rhs2" localSheetId="1" hidden="1">SOLUTION!$L$7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3" l="1"/>
  <c r="C22" i="3"/>
  <c r="C23" i="3" s="1"/>
  <c r="C24" i="3" s="1"/>
  <c r="D22" i="3"/>
  <c r="D23" i="3" s="1"/>
  <c r="D24" i="3" s="1"/>
  <c r="E22" i="3"/>
  <c r="E23" i="3" s="1"/>
  <c r="E24" i="3" s="1"/>
  <c r="F22" i="3"/>
  <c r="F23" i="3" s="1"/>
  <c r="F24" i="3" s="1"/>
  <c r="B22" i="3"/>
  <c r="B23" i="3" s="1"/>
  <c r="D8" i="4"/>
  <c r="E8" i="4"/>
  <c r="F8" i="4"/>
  <c r="G8" i="4"/>
  <c r="C8" i="4"/>
  <c r="B28" i="4"/>
  <c r="L7" i="4"/>
  <c r="K6" i="4"/>
  <c r="M6" i="4" s="1"/>
  <c r="N6" i="4" s="1"/>
  <c r="K5" i="4"/>
  <c r="M5" i="4" s="1"/>
  <c r="N5" i="4" s="1"/>
  <c r="K4" i="4"/>
  <c r="M4" i="4" s="1"/>
  <c r="N4" i="4" s="1"/>
  <c r="K3" i="4"/>
  <c r="M3" i="4" s="1"/>
  <c r="N3" i="4" s="1"/>
  <c r="K2" i="4"/>
  <c r="G23" i="3" l="1"/>
  <c r="B24" i="3"/>
  <c r="G24" i="3" s="1"/>
  <c r="G22" i="3"/>
  <c r="K7" i="4"/>
  <c r="M2" i="4"/>
  <c r="N2" i="4" s="1"/>
  <c r="Q7" i="4" s="1"/>
</calcChain>
</file>

<file path=xl/sharedStrings.xml><?xml version="1.0" encoding="utf-8"?>
<sst xmlns="http://schemas.openxmlformats.org/spreadsheetml/2006/main" count="66" uniqueCount="54">
  <si>
    <t xml:space="preserve">Index Funds by finance companies are very popular across the mutual fund industry. It is a passive asset mgmt process where you make a portfolio with stocks, mutual funds and other securities in such a way that it competes with and even beats the established market index like S&amp;P500 etc. Vanguard in the US has over $ 200 b in AUM, </t>
  </si>
  <si>
    <t>VF 500 index</t>
  </si>
  <si>
    <t>VF Total Stock Index</t>
  </si>
  <si>
    <t>VF-REIT Index</t>
  </si>
  <si>
    <t>VF-Short Term Bond</t>
  </si>
  <si>
    <t>Vanguard Offerings</t>
  </si>
  <si>
    <t>Market Offerings</t>
  </si>
  <si>
    <t>S&amp;P 500</t>
  </si>
  <si>
    <t>MSCI Broad mkt</t>
  </si>
  <si>
    <t>MSCI REIT</t>
  </si>
  <si>
    <t>US Treas 1-5yr Bonds</t>
  </si>
  <si>
    <t>Returns</t>
  </si>
  <si>
    <t>MF by Vanguard</t>
  </si>
  <si>
    <t>Foreign Stock</t>
  </si>
  <si>
    <t>Intermmediate-Term Bond</t>
  </si>
  <si>
    <t>Large-Cap-Growth</t>
  </si>
  <si>
    <t>Large-Cap-Value</t>
  </si>
  <si>
    <t>Small-Cap-Growth</t>
  </si>
  <si>
    <t>Small-Cap-Value</t>
  </si>
  <si>
    <t>Year 1</t>
  </si>
  <si>
    <t>Year 2</t>
  </si>
  <si>
    <t>Year 3</t>
  </si>
  <si>
    <t>Year 4</t>
  </si>
  <si>
    <t>Year 5</t>
  </si>
  <si>
    <t xml:space="preserve">While making the portfolio, they try to see that they deviate the least from such reputed mkt index. </t>
  </si>
  <si>
    <t>The performance of the MF by Vanguard in the last 5 planning sxcenarios depicted by their chosen 5 years results (in % return) appear below. This is deemed as a good basis for next year prediction.</t>
  </si>
  <si>
    <t>Design an optimum portfolio.</t>
  </si>
  <si>
    <t xml:space="preserve">Several fund managers aspire to beat the market (given by S&amp;P 500 index) and hence show their "acumen" in designing great portfolio for the common investor. </t>
  </si>
  <si>
    <t>Fund</t>
  </si>
  <si>
    <t>Large-Cap Growth</t>
  </si>
  <si>
    <t>Large-Cap Value</t>
  </si>
  <si>
    <t>Small-Cap Growth</t>
  </si>
  <si>
    <t>Small-Cap Value</t>
  </si>
  <si>
    <t>Fund / Year</t>
  </si>
  <si>
    <t>Y1</t>
  </si>
  <si>
    <t>Y2</t>
  </si>
  <si>
    <t>Y3</t>
  </si>
  <si>
    <t>Y4</t>
  </si>
  <si>
    <t>Y5</t>
  </si>
  <si>
    <t>Int-Term Bond</t>
  </si>
  <si>
    <t>Weight</t>
  </si>
  <si>
    <t>Year</t>
  </si>
  <si>
    <t>PORTFOLIO</t>
  </si>
  <si>
    <t>DIFFERENCE</t>
  </si>
  <si>
    <t>SQ.DIFFERENCE</t>
  </si>
  <si>
    <t xml:space="preserve">TOTAL DEVIATION </t>
  </si>
  <si>
    <t>AVERAGE</t>
  </si>
  <si>
    <t>FOR YEAR 1</t>
  </si>
  <si>
    <t xml:space="preserve">EXPECTED RETURN </t>
  </si>
  <si>
    <t>DEVIATION</t>
  </si>
  <si>
    <t>SQ DEVIATION</t>
  </si>
  <si>
    <t>TOTAL</t>
  </si>
  <si>
    <t>INVESTMENT/ DECISION VARIABLE AS %</t>
  </si>
  <si>
    <t>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</si>
</sst>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4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left" wrapText="1"/>
    </xf>
    <xf numFmtId="0" fontId="0" fillId="2" borderId="0" xfId="0" applyFill="1"/>
    <xf numFmtId="10" fontId="0" fillId="0" borderId="0" xfId="0" applyNumberFormat="1"/>
    <xf numFmtId="0" fontId="2" fillId="0" borderId="0" xfId="0" applyFont="1"/>
    <xf numFmtId="2" fontId="2" fillId="0" borderId="0" xfId="0" applyNumberFormat="1" applyFont="1"/>
    <xf numFmtId="0" fontId="0" fillId="3" borderId="0" xfId="0" applyFill="1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2" fontId="2" fillId="0" borderId="0" xfId="0" applyNumberFormat="1" applyFont="1" applyAlignment="1">
      <alignment vertical="center" wrapText="1"/>
    </xf>
    <xf numFmtId="2" fontId="0" fillId="0" borderId="0" xfId="0" applyNumberFormat="1" applyAlignment="1">
      <alignment vertical="center"/>
    </xf>
    <xf numFmtId="12" fontId="0" fillId="0" borderId="0" xfId="0" applyNumberFormat="1" applyAlignment="1">
      <alignment vertical="center"/>
    </xf>
    <xf numFmtId="2" fontId="0" fillId="0" borderId="0" xfId="0" applyNumberFormat="1"/>
    <xf numFmtId="164" fontId="0" fillId="0" borderId="0" xfId="0" applyNumberFormat="1"/>
    <xf numFmtId="12" fontId="0" fillId="0" borderId="0" xfId="0" applyNumberFormat="1"/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0" fillId="0" borderId="0" xfId="0" applyAlignment="1">
      <alignment horizontal="left"/>
    </xf>
    <xf numFmtId="10" fontId="0" fillId="5" borderId="0" xfId="0" applyNumberFormat="1" applyFill="1" applyAlignment="1">
      <alignment horizontal="center"/>
    </xf>
    <xf numFmtId="10" fontId="0" fillId="5" borderId="0" xfId="0" applyNumberFormat="1" applyFill="1" applyAlignment="1">
      <alignment horizontal="center" wrapText="1"/>
    </xf>
    <xf numFmtId="10" fontId="2" fillId="0" borderId="0" xfId="0" applyNumberFormat="1" applyFont="1"/>
    <xf numFmtId="2" fontId="1" fillId="4" borderId="0" xfId="1" applyNumberFormat="1"/>
    <xf numFmtId="2" fontId="0" fillId="6" borderId="0" xfId="0" applyNumberFormat="1" applyFill="1"/>
    <xf numFmtId="0" fontId="0" fillId="0" borderId="0" xfId="0" applyAlignment="1">
      <alignment horizontal="left" wrapText="1"/>
    </xf>
  </cellXfs>
  <cellStyles count="2">
    <cellStyle name="40% - Accent2" xfId="1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3CC6F-7E8F-7643-8DD9-676D7BF3B446}">
  <dimension ref="A1:H33"/>
  <sheetViews>
    <sheetView tabSelected="1" topLeftCell="A21" zoomScale="115" workbookViewId="0">
      <selection activeCell="A37" sqref="A37"/>
    </sheetView>
  </sheetViews>
  <sheetFormatPr defaultColWidth="11.19921875" defaultRowHeight="15.6" x14ac:dyDescent="0.3"/>
  <cols>
    <col min="1" max="1" width="23.296875" customWidth="1"/>
    <col min="4" max="4" width="19" customWidth="1"/>
    <col min="8" max="8" width="34.3984375" bestFit="1" customWidth="1"/>
  </cols>
  <sheetData>
    <row r="1" spans="1:8" ht="69" customHeight="1" x14ac:dyDescent="0.3">
      <c r="A1" s="23" t="s">
        <v>0</v>
      </c>
      <c r="B1" s="23"/>
      <c r="C1" s="23"/>
      <c r="D1" s="23"/>
      <c r="E1" s="23"/>
      <c r="F1" s="23"/>
      <c r="G1" s="23"/>
      <c r="H1" s="23"/>
    </row>
    <row r="2" spans="1:8" ht="3" customHeight="1" x14ac:dyDescent="0.3">
      <c r="A2" s="23"/>
      <c r="B2" s="23"/>
      <c r="C2" s="23"/>
      <c r="D2" s="23"/>
      <c r="E2" s="23"/>
      <c r="F2" s="23"/>
      <c r="G2" s="23"/>
      <c r="H2" s="23"/>
    </row>
    <row r="3" spans="1:8" x14ac:dyDescent="0.3">
      <c r="A3" s="2" t="s">
        <v>5</v>
      </c>
      <c r="B3" s="2" t="s">
        <v>11</v>
      </c>
      <c r="D3" s="2" t="s">
        <v>6</v>
      </c>
      <c r="E3" s="2" t="s">
        <v>11</v>
      </c>
    </row>
    <row r="4" spans="1:8" x14ac:dyDescent="0.3">
      <c r="A4" t="s">
        <v>1</v>
      </c>
      <c r="B4" s="3">
        <v>0.2581</v>
      </c>
      <c r="D4" t="s">
        <v>7</v>
      </c>
      <c r="E4" s="3">
        <v>0.2525</v>
      </c>
    </row>
    <row r="5" spans="1:8" x14ac:dyDescent="0.3">
      <c r="A5" t="s">
        <v>2</v>
      </c>
      <c r="B5" s="3">
        <v>0.24709999999999999</v>
      </c>
      <c r="D5" t="s">
        <v>8</v>
      </c>
      <c r="E5" s="3">
        <v>0.24929999999999999</v>
      </c>
    </row>
    <row r="6" spans="1:8" x14ac:dyDescent="0.3">
      <c r="A6" t="s">
        <v>3</v>
      </c>
      <c r="B6" s="3">
        <v>0.24179999999999999</v>
      </c>
      <c r="D6" t="s">
        <v>9</v>
      </c>
      <c r="E6" s="3">
        <v>0.24410000000000001</v>
      </c>
    </row>
    <row r="7" spans="1:8" x14ac:dyDescent="0.3">
      <c r="A7" t="s">
        <v>4</v>
      </c>
      <c r="B7" s="3">
        <v>1.09E-2</v>
      </c>
      <c r="D7" t="s">
        <v>10</v>
      </c>
      <c r="E7" s="3">
        <v>1.0999999999999999E-2</v>
      </c>
    </row>
    <row r="9" spans="1:8" x14ac:dyDescent="0.3">
      <c r="A9" s="23" t="s">
        <v>25</v>
      </c>
      <c r="B9" s="23"/>
      <c r="C9" s="23"/>
      <c r="D9" s="23"/>
      <c r="E9" s="23"/>
      <c r="F9" s="23"/>
      <c r="G9" s="23"/>
      <c r="H9" s="23"/>
    </row>
    <row r="10" spans="1:8" x14ac:dyDescent="0.3">
      <c r="A10" s="23"/>
      <c r="B10" s="23"/>
      <c r="C10" s="23"/>
      <c r="D10" s="23"/>
      <c r="E10" s="23"/>
      <c r="F10" s="23"/>
      <c r="G10" s="23"/>
      <c r="H10" s="23"/>
    </row>
    <row r="11" spans="1:8" x14ac:dyDescent="0.3">
      <c r="A11" s="1"/>
      <c r="B11" s="1"/>
      <c r="C11" s="1"/>
      <c r="D11" s="1"/>
      <c r="E11" s="1"/>
      <c r="F11" s="1"/>
      <c r="G11" s="1"/>
      <c r="H11" s="1"/>
    </row>
    <row r="12" spans="1:8" x14ac:dyDescent="0.3">
      <c r="A12" s="2" t="s">
        <v>12</v>
      </c>
      <c r="B12" s="6" t="s">
        <v>19</v>
      </c>
      <c r="C12" s="6" t="s">
        <v>20</v>
      </c>
      <c r="D12" s="6" t="s">
        <v>21</v>
      </c>
      <c r="E12" s="6" t="s">
        <v>22</v>
      </c>
      <c r="F12" s="6" t="s">
        <v>23</v>
      </c>
      <c r="H12" s="17" t="s">
        <v>52</v>
      </c>
    </row>
    <row r="13" spans="1:8" x14ac:dyDescent="0.3">
      <c r="A13" t="s">
        <v>13</v>
      </c>
      <c r="B13" s="12">
        <v>10.06</v>
      </c>
      <c r="C13" s="12">
        <v>13.12</v>
      </c>
      <c r="D13" s="12">
        <v>13.47</v>
      </c>
      <c r="E13" s="12">
        <v>45.42</v>
      </c>
      <c r="F13" s="12">
        <v>-21.93</v>
      </c>
      <c r="H13" s="18">
        <v>0.30333785573398253</v>
      </c>
    </row>
    <row r="14" spans="1:8" x14ac:dyDescent="0.3">
      <c r="A14" t="s">
        <v>14</v>
      </c>
      <c r="B14" s="12">
        <v>17.64</v>
      </c>
      <c r="C14" s="12">
        <v>3.25</v>
      </c>
      <c r="D14" s="12">
        <v>7.51</v>
      </c>
      <c r="E14" s="12">
        <v>-1.33</v>
      </c>
      <c r="F14" s="12">
        <v>7.36</v>
      </c>
      <c r="H14" s="19">
        <v>0</v>
      </c>
    </row>
    <row r="15" spans="1:8" x14ac:dyDescent="0.3">
      <c r="A15" t="s">
        <v>15</v>
      </c>
      <c r="B15" s="12">
        <v>32.409999999999997</v>
      </c>
      <c r="C15" s="12">
        <v>18.71</v>
      </c>
      <c r="D15" s="12">
        <v>33.28</v>
      </c>
      <c r="E15" s="12">
        <v>41.46</v>
      </c>
      <c r="F15" s="12">
        <v>-23.26</v>
      </c>
      <c r="H15" s="19">
        <v>0</v>
      </c>
    </row>
    <row r="16" spans="1:8" x14ac:dyDescent="0.3">
      <c r="A16" t="s">
        <v>16</v>
      </c>
      <c r="B16" s="12">
        <v>32.36</v>
      </c>
      <c r="C16" s="12">
        <v>20.61</v>
      </c>
      <c r="D16" s="12">
        <v>12.93</v>
      </c>
      <c r="E16" s="12">
        <v>7.06</v>
      </c>
      <c r="F16" s="12">
        <v>-5.37</v>
      </c>
      <c r="H16" s="19">
        <v>0.36498152011098395</v>
      </c>
    </row>
    <row r="17" spans="1:8" x14ac:dyDescent="0.3">
      <c r="A17" t="s">
        <v>17</v>
      </c>
      <c r="B17" s="12">
        <v>33.44</v>
      </c>
      <c r="C17" s="12">
        <v>19.399999999999999</v>
      </c>
      <c r="D17" s="12">
        <v>3.85</v>
      </c>
      <c r="E17" s="12">
        <v>58.68</v>
      </c>
      <c r="F17" s="12">
        <v>-9.02</v>
      </c>
      <c r="H17" s="19">
        <v>0.22655144544540542</v>
      </c>
    </row>
    <row r="18" spans="1:8" x14ac:dyDescent="0.3">
      <c r="A18" t="s">
        <v>18</v>
      </c>
      <c r="B18" s="12">
        <v>24.56</v>
      </c>
      <c r="C18" s="12">
        <v>25.32</v>
      </c>
      <c r="D18" s="12">
        <v>-6.7</v>
      </c>
      <c r="E18" s="12">
        <v>5.43</v>
      </c>
      <c r="F18" s="12">
        <v>17.309999999999999</v>
      </c>
      <c r="H18" s="19">
        <v>0.10512918209684266</v>
      </c>
    </row>
    <row r="20" spans="1:8" s="4" customFormat="1" x14ac:dyDescent="0.3">
      <c r="A20" s="4" t="s">
        <v>7</v>
      </c>
      <c r="B20" s="5">
        <v>25</v>
      </c>
      <c r="C20" s="5">
        <v>20</v>
      </c>
      <c r="D20" s="5">
        <v>8</v>
      </c>
      <c r="E20" s="5">
        <v>30</v>
      </c>
      <c r="F20" s="5">
        <v>-10</v>
      </c>
      <c r="H20" s="20">
        <f>SUM(H13:H18)</f>
        <v>1.0000000033872145</v>
      </c>
    </row>
    <row r="21" spans="1:8" x14ac:dyDescent="0.3">
      <c r="G21" t="s">
        <v>51</v>
      </c>
    </row>
    <row r="22" spans="1:8" x14ac:dyDescent="0.3">
      <c r="A22" t="s">
        <v>48</v>
      </c>
      <c r="B22" s="21">
        <f>SUMPRODUCT(B$13:B$18,$H$13:$H$18)</f>
        <v>25.020233867468114</v>
      </c>
      <c r="C22" s="21">
        <f t="shared" ref="C22:F22" si="0">SUMPRODUCT(C$13:C$18,$H$13:$H$18)</f>
        <v>18.55903072905015</v>
      </c>
      <c r="D22" s="21">
        <f t="shared" si="0"/>
        <v>8.9730295166877312</v>
      </c>
      <c r="E22" s="21">
        <f t="shared" si="0"/>
        <v>30.219265216943281</v>
      </c>
      <c r="F22" s="21">
        <f t="shared" si="0"/>
        <v>-8.8358578350634307</v>
      </c>
      <c r="G22" s="21">
        <f>SUM(B22:F22)</f>
        <v>73.935701495085837</v>
      </c>
    </row>
    <row r="23" spans="1:8" x14ac:dyDescent="0.3">
      <c r="A23" t="s">
        <v>49</v>
      </c>
      <c r="B23" s="12">
        <f>B22-B20</f>
        <v>2.0233867468114397E-2</v>
      </c>
      <c r="C23" s="12">
        <f t="shared" ref="C23:F23" si="1">C22-C20</f>
        <v>-1.4409692709498501</v>
      </c>
      <c r="D23" s="12">
        <f t="shared" si="1"/>
        <v>0.97302951668773119</v>
      </c>
      <c r="E23" s="12">
        <f t="shared" si="1"/>
        <v>0.21926521694328116</v>
      </c>
      <c r="F23" s="12">
        <f t="shared" si="1"/>
        <v>1.1641421649365693</v>
      </c>
      <c r="G23" s="12">
        <f t="shared" ref="G23:G24" si="2">SUM(B23:F23)</f>
        <v>0.93570149508584599</v>
      </c>
    </row>
    <row r="24" spans="1:8" x14ac:dyDescent="0.3">
      <c r="A24" t="s">
        <v>50</v>
      </c>
      <c r="B24" s="12">
        <f>B23*B23</f>
        <v>4.0940939271721813E-4</v>
      </c>
      <c r="C24" s="12">
        <f t="shared" ref="C24:F24" si="3">C23*C23</f>
        <v>2.0763924398217424</v>
      </c>
      <c r="D24" s="12">
        <f t="shared" si="3"/>
        <v>0.9467864403455597</v>
      </c>
      <c r="E24" s="12">
        <f t="shared" si="3"/>
        <v>4.8077235361184155E-2</v>
      </c>
      <c r="F24" s="12">
        <f t="shared" si="3"/>
        <v>1.3552269801832024</v>
      </c>
      <c r="G24" s="22">
        <f t="shared" si="2"/>
        <v>4.4268925051044059</v>
      </c>
      <c r="H24" t="s">
        <v>53</v>
      </c>
    </row>
    <row r="31" spans="1:8" x14ac:dyDescent="0.3">
      <c r="A31" t="s">
        <v>27</v>
      </c>
    </row>
    <row r="32" spans="1:8" x14ac:dyDescent="0.3">
      <c r="A32" t="s">
        <v>24</v>
      </c>
    </row>
    <row r="33" spans="1:1" x14ac:dyDescent="0.3">
      <c r="A33" t="s">
        <v>26</v>
      </c>
    </row>
  </sheetData>
  <mergeCells count="2">
    <mergeCell ref="A1:H2"/>
    <mergeCell ref="A9:H10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5E015-58BC-43CD-9976-59314F657FA1}">
  <dimension ref="A1:Q28"/>
  <sheetViews>
    <sheetView topLeftCell="A10" workbookViewId="0">
      <selection activeCell="I13" sqref="I13"/>
    </sheetView>
  </sheetViews>
  <sheetFormatPr defaultRowHeight="15.6" x14ac:dyDescent="0.3"/>
  <cols>
    <col min="1" max="2" width="16.09765625" bestFit="1" customWidth="1"/>
    <col min="3" max="6" width="5.3984375" bestFit="1" customWidth="1"/>
    <col min="7" max="7" width="6" bestFit="1" customWidth="1"/>
    <col min="9" max="9" width="10.5" bestFit="1" customWidth="1"/>
    <col min="11" max="11" width="12.5" bestFit="1" customWidth="1"/>
    <col min="12" max="12" width="7.69921875" bestFit="1" customWidth="1"/>
    <col min="13" max="13" width="10.8984375" bestFit="1" customWidth="1"/>
    <col min="14" max="14" width="20.59765625" bestFit="1" customWidth="1"/>
    <col min="16" max="16" width="16.3984375" bestFit="1" customWidth="1"/>
    <col min="17" max="17" width="20.59765625" bestFit="1" customWidth="1"/>
  </cols>
  <sheetData>
    <row r="1" spans="1:17" x14ac:dyDescent="0.3"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J1" s="4" t="s">
        <v>41</v>
      </c>
      <c r="K1" t="s">
        <v>42</v>
      </c>
      <c r="L1" t="s">
        <v>7</v>
      </c>
      <c r="M1" t="s">
        <v>43</v>
      </c>
      <c r="N1" t="s">
        <v>44</v>
      </c>
    </row>
    <row r="2" spans="1:17" x14ac:dyDescent="0.3">
      <c r="B2" s="8" t="s">
        <v>13</v>
      </c>
      <c r="C2" s="10">
        <v>10.06</v>
      </c>
      <c r="D2" s="10">
        <v>13.12</v>
      </c>
      <c r="E2" s="10">
        <v>13.47</v>
      </c>
      <c r="F2" s="10">
        <v>45.42</v>
      </c>
      <c r="G2" s="10">
        <v>-21.93</v>
      </c>
      <c r="J2">
        <v>1</v>
      </c>
      <c r="K2">
        <f>SUMPRODUCT(C$2:C$7,$B$22:$B$27)</f>
        <v>24.899562728466826</v>
      </c>
      <c r="L2" s="9">
        <v>25</v>
      </c>
      <c r="M2" s="12">
        <f>K2-L2</f>
        <v>-0.10043727153317406</v>
      </c>
      <c r="N2" s="13">
        <f>M2*M2</f>
        <v>1.0087645513028536E-2</v>
      </c>
    </row>
    <row r="3" spans="1:17" x14ac:dyDescent="0.3">
      <c r="B3" s="8" t="s">
        <v>39</v>
      </c>
      <c r="C3" s="10">
        <v>17.64</v>
      </c>
      <c r="D3" s="10">
        <v>3.25</v>
      </c>
      <c r="E3" s="10">
        <v>7.51</v>
      </c>
      <c r="F3" s="10">
        <v>-1.33</v>
      </c>
      <c r="G3" s="10">
        <v>7.36</v>
      </c>
      <c r="J3">
        <v>2</v>
      </c>
      <c r="K3">
        <f>SUMPRODUCT(D$2:D$7,$B$22:$B$27)</f>
        <v>16.627281725565577</v>
      </c>
      <c r="L3" s="9">
        <v>20</v>
      </c>
      <c r="M3" s="12">
        <f t="shared" ref="M3:M6" si="0">K3-L3</f>
        <v>-3.3727182744344226</v>
      </c>
      <c r="N3" s="13">
        <f t="shared" ref="N3:N6" si="1">M3*M3</f>
        <v>11.37522855870391</v>
      </c>
    </row>
    <row r="4" spans="1:17" x14ac:dyDescent="0.3">
      <c r="B4" s="8" t="s">
        <v>29</v>
      </c>
      <c r="C4" s="10">
        <v>32.409999999999997</v>
      </c>
      <c r="D4" s="10">
        <v>18.71</v>
      </c>
      <c r="E4" s="10">
        <v>33.28</v>
      </c>
      <c r="F4" s="10">
        <v>41.46</v>
      </c>
      <c r="G4" s="10">
        <v>-23.26</v>
      </c>
      <c r="J4">
        <v>3</v>
      </c>
      <c r="K4">
        <f>SUMPRODUCT(E$2:E$7,$B$22:$B$27)</f>
        <v>10.706198228945436</v>
      </c>
      <c r="L4" s="9">
        <v>8</v>
      </c>
      <c r="M4" s="12">
        <f t="shared" si="0"/>
        <v>2.7061982289454356</v>
      </c>
      <c r="N4" s="13">
        <f t="shared" si="1"/>
        <v>7.3235088543474127</v>
      </c>
    </row>
    <row r="5" spans="1:17" x14ac:dyDescent="0.3">
      <c r="B5" s="8" t="s">
        <v>30</v>
      </c>
      <c r="C5" s="10">
        <v>32.36</v>
      </c>
      <c r="D5" s="10">
        <v>20.61</v>
      </c>
      <c r="E5" s="10">
        <v>12.93</v>
      </c>
      <c r="F5" s="10">
        <v>7.06</v>
      </c>
      <c r="G5" s="10">
        <v>-5.37</v>
      </c>
      <c r="J5">
        <v>4</v>
      </c>
      <c r="K5">
        <f>SUMPRODUCT(F$2:F$7,$B$22:$B$27)</f>
        <v>25.819923950389526</v>
      </c>
      <c r="L5" s="9">
        <v>30</v>
      </c>
      <c r="M5" s="12">
        <f t="shared" si="0"/>
        <v>-4.1800760496104736</v>
      </c>
      <c r="N5" s="13">
        <f t="shared" si="1"/>
        <v>17.473035780527102</v>
      </c>
    </row>
    <row r="6" spans="1:17" x14ac:dyDescent="0.3">
      <c r="B6" s="8" t="s">
        <v>31</v>
      </c>
      <c r="C6" s="10">
        <v>33.44</v>
      </c>
      <c r="D6" s="10">
        <v>19.399999999999999</v>
      </c>
      <c r="E6" s="10">
        <v>3.85</v>
      </c>
      <c r="F6" s="10">
        <v>58.68</v>
      </c>
      <c r="G6" s="10">
        <v>-9.02</v>
      </c>
      <c r="J6">
        <v>5</v>
      </c>
      <c r="K6">
        <f>SUMPRODUCT(G$2:G$7,$B$22:$B$27)</f>
        <v>-5.7787717532690035</v>
      </c>
      <c r="L6" s="9">
        <v>-10</v>
      </c>
      <c r="M6" s="12">
        <f t="shared" si="0"/>
        <v>4.2212282467309965</v>
      </c>
      <c r="N6" s="13">
        <f t="shared" si="1"/>
        <v>17.818767910999643</v>
      </c>
    </row>
    <row r="7" spans="1:17" x14ac:dyDescent="0.3">
      <c r="B7" s="8" t="s">
        <v>32</v>
      </c>
      <c r="C7" s="10">
        <v>24.56</v>
      </c>
      <c r="D7" s="10">
        <v>25.32</v>
      </c>
      <c r="E7" s="10">
        <v>-6.7</v>
      </c>
      <c r="F7" s="10">
        <v>5.43</v>
      </c>
      <c r="G7" s="10">
        <v>17.309999999999999</v>
      </c>
      <c r="J7" t="s">
        <v>46</v>
      </c>
      <c r="K7">
        <f>AVERAGE(K2:K6)</f>
        <v>14.454838976019673</v>
      </c>
      <c r="L7">
        <f>AVERAGE(L2:L6)</f>
        <v>14.6</v>
      </c>
      <c r="P7" t="s">
        <v>45</v>
      </c>
      <c r="Q7" s="13">
        <f>SUM(N2:N6)</f>
        <v>54.000628750091096</v>
      </c>
    </row>
    <row r="8" spans="1:17" x14ac:dyDescent="0.3">
      <c r="A8" t="s">
        <v>46</v>
      </c>
      <c r="C8" s="12">
        <f>AVERAGE(C2:C7)</f>
        <v>25.078333333333333</v>
      </c>
      <c r="D8" s="12">
        <f t="shared" ref="D8:G8" si="2">AVERAGE(D2:D7)</f>
        <v>16.734999999999999</v>
      </c>
      <c r="E8" s="12">
        <f t="shared" si="2"/>
        <v>10.723333333333331</v>
      </c>
      <c r="F8" s="12">
        <f t="shared" si="2"/>
        <v>26.120000000000005</v>
      </c>
      <c r="G8" s="12">
        <f t="shared" si="2"/>
        <v>-5.8183333333333325</v>
      </c>
    </row>
    <row r="12" spans="1:17" x14ac:dyDescent="0.3">
      <c r="B12" s="15" t="s">
        <v>7</v>
      </c>
      <c r="C12" s="16">
        <v>25</v>
      </c>
      <c r="D12" s="16">
        <v>20</v>
      </c>
      <c r="E12" s="16">
        <v>8</v>
      </c>
      <c r="F12" s="16">
        <v>30</v>
      </c>
      <c r="G12" s="16">
        <v>-10</v>
      </c>
    </row>
    <row r="13" spans="1:17" x14ac:dyDescent="0.3">
      <c r="I13" t="s">
        <v>47</v>
      </c>
    </row>
    <row r="21" spans="1:2" x14ac:dyDescent="0.3">
      <c r="A21" s="7" t="s">
        <v>28</v>
      </c>
      <c r="B21" s="7" t="s">
        <v>40</v>
      </c>
    </row>
    <row r="22" spans="1:2" x14ac:dyDescent="0.3">
      <c r="A22" s="8" t="s">
        <v>13</v>
      </c>
      <c r="B22" s="11">
        <v>0.16666666666666666</v>
      </c>
    </row>
    <row r="23" spans="1:2" x14ac:dyDescent="0.3">
      <c r="A23" s="8" t="s">
        <v>39</v>
      </c>
      <c r="B23" s="11">
        <v>0.16666666666666666</v>
      </c>
    </row>
    <row r="24" spans="1:2" x14ac:dyDescent="0.3">
      <c r="A24" s="8" t="s">
        <v>29</v>
      </c>
      <c r="B24" s="11">
        <v>0.16666666666666666</v>
      </c>
    </row>
    <row r="25" spans="1:2" x14ac:dyDescent="0.3">
      <c r="A25" s="8" t="s">
        <v>30</v>
      </c>
      <c r="B25" s="11">
        <v>0.16666666666666666</v>
      </c>
    </row>
    <row r="26" spans="1:2" x14ac:dyDescent="0.3">
      <c r="A26" s="8" t="s">
        <v>31</v>
      </c>
      <c r="B26" s="11">
        <v>0.16158637509351526</v>
      </c>
    </row>
    <row r="27" spans="1:2" x14ac:dyDescent="0.3">
      <c r="A27" s="8" t="s">
        <v>32</v>
      </c>
      <c r="B27" s="11">
        <v>0.16630487291013885</v>
      </c>
    </row>
    <row r="28" spans="1:2" x14ac:dyDescent="0.3">
      <c r="B28" s="14">
        <f>SUM(B22:B27)</f>
        <v>0.99455791467032073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Making an NDEX Fund p345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Suranjan Das</dc:creator>
  <cp:lastModifiedBy>ROHIT GHOSH</cp:lastModifiedBy>
  <dcterms:created xsi:type="dcterms:W3CDTF">2025-12-31T12:43:22Z</dcterms:created>
  <dcterms:modified xsi:type="dcterms:W3CDTF">2026-01-13T06:49:07Z</dcterms:modified>
</cp:coreProperties>
</file>