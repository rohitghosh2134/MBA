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MBA\Courses\Term 3\QAM-III\Case Studies\"/>
    </mc:Choice>
  </mc:AlternateContent>
  <xr:revisionPtr revIDLastSave="0" documentId="13_ncr:1_{D34509EB-7A5C-4553-9043-91CC2720D7EC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Sheet1" sheetId="1" r:id="rId1"/>
  </sheets>
  <definedNames>
    <definedName name="solver_adj" localSheetId="0" hidden="1">Sheet1!$D$53:$E$53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Sheet1!$I$51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45" i="1" l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C51" i="1"/>
  <c r="H45" i="1" l="1"/>
  <c r="I45" i="1" s="1"/>
  <c r="H50" i="1"/>
  <c r="I50" i="1" s="1"/>
  <c r="H49" i="1"/>
  <c r="I49" i="1" s="1"/>
  <c r="H48" i="1"/>
  <c r="I48" i="1" s="1"/>
  <c r="H47" i="1"/>
  <c r="I47" i="1" s="1"/>
  <c r="H46" i="1"/>
  <c r="I46" i="1" s="1"/>
  <c r="G51" i="1"/>
  <c r="I51" i="1" l="1"/>
  <c r="H51" i="1"/>
</calcChain>
</file>

<file path=xl/sharedStrings.xml><?xml version="1.0" encoding="utf-8"?>
<sst xmlns="http://schemas.openxmlformats.org/spreadsheetml/2006/main" count="41" uniqueCount="26">
  <si>
    <r>
      <t xml:space="preserve">A retail chain wants to start a </t>
    </r>
    <r>
      <rPr>
        <sz val="10"/>
        <color indexed="10"/>
        <rFont val="Arial"/>
        <family val="2"/>
      </rPr>
      <t>central warehouse</t>
    </r>
    <r>
      <rPr>
        <sz val="12"/>
        <color theme="1"/>
        <rFont val="Calibri"/>
        <family val="2"/>
        <scheme val="minor"/>
      </rPr>
      <t xml:space="preserve"> to supply groceries to 6 major cities</t>
    </r>
  </si>
  <si>
    <t>mum, kol, chennai, blore, hyd, kochin</t>
  </si>
  <si>
    <t>the daily tonnage of requirement at different cities is given below</t>
  </si>
  <si>
    <t>demand</t>
  </si>
  <si>
    <t>x</t>
  </si>
  <si>
    <t>y</t>
  </si>
  <si>
    <t>Question : Where would they locate the warehouse?</t>
  </si>
  <si>
    <t>where would u locate the warehouse, if the current coordinates of the 6 cities are as below.</t>
  </si>
  <si>
    <t>Mumbai</t>
  </si>
  <si>
    <t>Kolkata</t>
  </si>
  <si>
    <t>Hyderabad</t>
  </si>
  <si>
    <t>Chennai</t>
  </si>
  <si>
    <t>Trivandram</t>
  </si>
  <si>
    <t>Bengaluru</t>
  </si>
  <si>
    <t>X-Axis</t>
  </si>
  <si>
    <t>Y-Axis</t>
  </si>
  <si>
    <t>SOLUTION</t>
  </si>
  <si>
    <t>Location</t>
  </si>
  <si>
    <t>Demand</t>
  </si>
  <si>
    <t>Location x</t>
  </si>
  <si>
    <t>Location y</t>
  </si>
  <si>
    <t>TOTAL</t>
  </si>
  <si>
    <t xml:space="preserve">Deviation Variables </t>
  </si>
  <si>
    <t>Distance using Deviation Variables</t>
  </si>
  <si>
    <t xml:space="preserve">Distance using Deviation Variables </t>
  </si>
  <si>
    <t>Demand Squard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</si>
</sst>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color indexed="10"/>
      <name val="Arial"/>
      <family val="2"/>
    </font>
    <font>
      <b/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5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1" applyNumberFormat="0" applyFill="0" applyAlignment="0" applyProtection="0"/>
  </cellStyleXfs>
  <cellXfs count="12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1" xfId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12</xdr:row>
      <xdr:rowOff>0</xdr:rowOff>
    </xdr:from>
    <xdr:to>
      <xdr:col>15</xdr:col>
      <xdr:colOff>304800</xdr:colOff>
      <xdr:row>13</xdr:row>
      <xdr:rowOff>101600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02FF1FA2-7E04-E523-DFB8-455473F24047}"/>
            </a:ext>
          </a:extLst>
        </xdr:cNvPr>
        <xdr:cNvSpPr>
          <a:spLocks noChangeAspect="1" noChangeArrowheads="1"/>
        </xdr:cNvSpPr>
      </xdr:nvSpPr>
      <xdr:spPr bwMode="auto">
        <a:xfrm>
          <a:off x="123825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530756</xdr:colOff>
      <xdr:row>4</xdr:row>
      <xdr:rowOff>118835</xdr:rowOff>
    </xdr:from>
    <xdr:to>
      <xdr:col>16</xdr:col>
      <xdr:colOff>530756</xdr:colOff>
      <xdr:row>38</xdr:row>
      <xdr:rowOff>41729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EB0580C-AF6C-E4DF-679D-0B9DB7D5F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7556" y="931635"/>
          <a:ext cx="5768622" cy="6831694"/>
        </a:xfrm>
        <a:prstGeom prst="rect">
          <a:avLst/>
        </a:prstGeom>
      </xdr:spPr>
    </xdr:pic>
    <xdr:clientData/>
  </xdr:twoCellAnchor>
  <xdr:twoCellAnchor>
    <xdr:from>
      <xdr:col>12</xdr:col>
      <xdr:colOff>356585</xdr:colOff>
      <xdr:row>3</xdr:row>
      <xdr:rowOff>102054</xdr:rowOff>
    </xdr:from>
    <xdr:to>
      <xdr:col>12</xdr:col>
      <xdr:colOff>367924</xdr:colOff>
      <xdr:row>39</xdr:row>
      <xdr:rowOff>79375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8B468AA-E465-B74E-B768-4010E31B12D5}"/>
            </a:ext>
          </a:extLst>
        </xdr:cNvPr>
        <xdr:cNvCxnSpPr/>
      </xdr:nvCxnSpPr>
      <xdr:spPr>
        <a:xfrm flipH="1">
          <a:off x="10217761" y="729583"/>
          <a:ext cx="11339" cy="7507674"/>
        </a:xfrm>
        <a:prstGeom prst="line">
          <a:avLst/>
        </a:prstGeom>
        <a:ln w="22225"/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29883</xdr:colOff>
      <xdr:row>22</xdr:row>
      <xdr:rowOff>14942</xdr:rowOff>
    </xdr:from>
    <xdr:to>
      <xdr:col>17</xdr:col>
      <xdr:colOff>45357</xdr:colOff>
      <xdr:row>22</xdr:row>
      <xdr:rowOff>22679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AA692A93-5A93-0645-A36B-FB3AA2635E6F}"/>
            </a:ext>
          </a:extLst>
        </xdr:cNvPr>
        <xdr:cNvCxnSpPr/>
      </xdr:nvCxnSpPr>
      <xdr:spPr>
        <a:xfrm>
          <a:off x="7425765" y="4616824"/>
          <a:ext cx="6589592" cy="7737"/>
        </a:xfrm>
        <a:prstGeom prst="line">
          <a:avLst/>
        </a:prstGeom>
        <a:ln w="15875">
          <a:solidFill>
            <a:srgbClr val="00B050"/>
          </a:solidFill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767644</xdr:colOff>
      <xdr:row>23</xdr:row>
      <xdr:rowOff>112888</xdr:rowOff>
    </xdr:from>
    <xdr:to>
      <xdr:col>11</xdr:col>
      <xdr:colOff>34269</xdr:colOff>
      <xdr:row>24</xdr:row>
      <xdr:rowOff>9374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DFB1795-625F-7849-BE24-9C43ADD513D7}"/>
            </a:ext>
          </a:extLst>
        </xdr:cNvPr>
        <xdr:cNvSpPr/>
      </xdr:nvSpPr>
      <xdr:spPr>
        <a:xfrm>
          <a:off x="9008533" y="4786488"/>
          <a:ext cx="90714" cy="99686"/>
        </a:xfrm>
        <a:prstGeom prst="ellipse">
          <a:avLst/>
        </a:prstGeom>
        <a:solidFill>
          <a:srgbClr val="FFFF00"/>
        </a:solidFill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12</xdr:col>
      <xdr:colOff>174978</xdr:colOff>
      <xdr:row>25</xdr:row>
      <xdr:rowOff>73377</xdr:rowOff>
    </xdr:from>
    <xdr:to>
      <xdr:col>12</xdr:col>
      <xdr:colOff>265692</xdr:colOff>
      <xdr:row>25</xdr:row>
      <xdr:rowOff>173063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99DF267-617A-8A47-A876-FEC8E926978B}"/>
            </a:ext>
          </a:extLst>
        </xdr:cNvPr>
        <xdr:cNvSpPr/>
      </xdr:nvSpPr>
      <xdr:spPr>
        <a:xfrm>
          <a:off x="10064045" y="5153377"/>
          <a:ext cx="90714" cy="99686"/>
        </a:xfrm>
        <a:prstGeom prst="ellipse">
          <a:avLst/>
        </a:prstGeom>
        <a:solidFill>
          <a:srgbClr val="FFFF00"/>
        </a:solidFill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14</xdr:col>
      <xdr:colOff>417689</xdr:colOff>
      <xdr:row>20</xdr:row>
      <xdr:rowOff>62088</xdr:rowOff>
    </xdr:from>
    <xdr:to>
      <xdr:col>14</xdr:col>
      <xdr:colOff>508403</xdr:colOff>
      <xdr:row>20</xdr:row>
      <xdr:rowOff>161774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E99C11A3-0105-F146-859F-C5017064B1B3}"/>
            </a:ext>
          </a:extLst>
        </xdr:cNvPr>
        <xdr:cNvSpPr/>
      </xdr:nvSpPr>
      <xdr:spPr>
        <a:xfrm>
          <a:off x="11954933" y="4126088"/>
          <a:ext cx="90714" cy="99686"/>
        </a:xfrm>
        <a:prstGeom prst="ellipse">
          <a:avLst/>
        </a:prstGeom>
        <a:solidFill>
          <a:srgbClr val="FFFF00"/>
        </a:solidFill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12</xdr:col>
      <xdr:colOff>491066</xdr:colOff>
      <xdr:row>29</xdr:row>
      <xdr:rowOff>129821</xdr:rowOff>
    </xdr:from>
    <xdr:to>
      <xdr:col>12</xdr:col>
      <xdr:colOff>581780</xdr:colOff>
      <xdr:row>30</xdr:row>
      <xdr:rowOff>26307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E31297-7F1F-B347-93FC-DC8D101FC28E}"/>
            </a:ext>
          </a:extLst>
        </xdr:cNvPr>
        <xdr:cNvSpPr/>
      </xdr:nvSpPr>
      <xdr:spPr>
        <a:xfrm>
          <a:off x="10380133" y="6022621"/>
          <a:ext cx="90714" cy="99686"/>
        </a:xfrm>
        <a:prstGeom prst="ellipse">
          <a:avLst/>
        </a:prstGeom>
        <a:solidFill>
          <a:srgbClr val="FFFF00"/>
        </a:solidFill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11</xdr:col>
      <xdr:colOff>660399</xdr:colOff>
      <xdr:row>34</xdr:row>
      <xdr:rowOff>11288</xdr:rowOff>
    </xdr:from>
    <xdr:to>
      <xdr:col>11</xdr:col>
      <xdr:colOff>751113</xdr:colOff>
      <xdr:row>34</xdr:row>
      <xdr:rowOff>110974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3497DF58-0363-BD48-88D6-D680C8976AB6}"/>
            </a:ext>
          </a:extLst>
        </xdr:cNvPr>
        <xdr:cNvSpPr/>
      </xdr:nvSpPr>
      <xdr:spPr>
        <a:xfrm>
          <a:off x="9725377" y="6920088"/>
          <a:ext cx="90714" cy="99686"/>
        </a:xfrm>
        <a:prstGeom prst="ellipse">
          <a:avLst/>
        </a:prstGeom>
        <a:solidFill>
          <a:srgbClr val="FFFF00"/>
        </a:solidFill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11</xdr:col>
      <xdr:colOff>784577</xdr:colOff>
      <xdr:row>29</xdr:row>
      <xdr:rowOff>163688</xdr:rowOff>
    </xdr:from>
    <xdr:to>
      <xdr:col>12</xdr:col>
      <xdr:colOff>51202</xdr:colOff>
      <xdr:row>30</xdr:row>
      <xdr:rowOff>60174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E8F5A537-9A11-8545-B573-70C774B3FBBF}"/>
            </a:ext>
          </a:extLst>
        </xdr:cNvPr>
        <xdr:cNvSpPr/>
      </xdr:nvSpPr>
      <xdr:spPr>
        <a:xfrm>
          <a:off x="9849555" y="6056488"/>
          <a:ext cx="90714" cy="99686"/>
        </a:xfrm>
        <a:prstGeom prst="ellipse">
          <a:avLst/>
        </a:prstGeom>
        <a:solidFill>
          <a:srgbClr val="FFFF00"/>
        </a:solidFill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4"/>
  <sheetViews>
    <sheetView tabSelected="1" topLeftCell="A32" zoomScale="93" workbookViewId="0">
      <selection activeCell="I52" sqref="I52"/>
    </sheetView>
  </sheetViews>
  <sheetFormatPr defaultColWidth="11.19921875" defaultRowHeight="15.6" x14ac:dyDescent="0.3"/>
  <cols>
    <col min="1" max="1" width="11.8984375" style="2" bestFit="1" customWidth="1"/>
    <col min="2" max="5" width="11.19921875" style="2"/>
    <col min="6" max="6" width="37.69921875" style="2" bestFit="1" customWidth="1"/>
    <col min="7" max="7" width="11.19921875" style="2"/>
    <col min="8" max="8" width="37.69921875" style="2" bestFit="1" customWidth="1"/>
    <col min="9" max="9" width="14.3984375" style="2" bestFit="1" customWidth="1"/>
    <col min="10" max="16384" width="11.19921875" style="2"/>
  </cols>
  <sheetData>
    <row r="1" spans="1:14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3" spans="1:14" x14ac:dyDescent="0.3">
      <c r="B3" s="2" t="s">
        <v>0</v>
      </c>
      <c r="M3" s="1" t="s">
        <v>15</v>
      </c>
    </row>
    <row r="4" spans="1:14" x14ac:dyDescent="0.3">
      <c r="B4" s="2" t="s">
        <v>1</v>
      </c>
    </row>
    <row r="6" spans="1:14" x14ac:dyDescent="0.3">
      <c r="B6" s="2" t="s">
        <v>2</v>
      </c>
    </row>
    <row r="7" spans="1:14" x14ac:dyDescent="0.3">
      <c r="C7" s="2" t="s">
        <v>3</v>
      </c>
    </row>
    <row r="8" spans="1:14" x14ac:dyDescent="0.3">
      <c r="B8" s="2" t="s">
        <v>8</v>
      </c>
      <c r="C8" s="2">
        <v>50</v>
      </c>
    </row>
    <row r="9" spans="1:14" x14ac:dyDescent="0.3">
      <c r="B9" s="2" t="s">
        <v>9</v>
      </c>
      <c r="C9" s="2">
        <v>60</v>
      </c>
    </row>
    <row r="10" spans="1:14" x14ac:dyDescent="0.3">
      <c r="B10" s="2" t="s">
        <v>10</v>
      </c>
      <c r="C10" s="2">
        <v>30</v>
      </c>
    </row>
    <row r="11" spans="1:14" x14ac:dyDescent="0.3">
      <c r="B11" s="2" t="s">
        <v>11</v>
      </c>
      <c r="C11" s="2">
        <v>45</v>
      </c>
    </row>
    <row r="12" spans="1:14" x14ac:dyDescent="0.3">
      <c r="B12" s="2" t="s">
        <v>12</v>
      </c>
      <c r="C12" s="2">
        <v>20</v>
      </c>
    </row>
    <row r="13" spans="1:14" x14ac:dyDescent="0.3">
      <c r="B13" s="2" t="s">
        <v>13</v>
      </c>
      <c r="C13" s="2">
        <v>40</v>
      </c>
    </row>
    <row r="15" spans="1:14" x14ac:dyDescent="0.3">
      <c r="B15" s="2" t="s">
        <v>7</v>
      </c>
    </row>
    <row r="16" spans="1:14" x14ac:dyDescent="0.3">
      <c r="D16" s="3" t="s">
        <v>4</v>
      </c>
      <c r="E16" s="3" t="s">
        <v>5</v>
      </c>
    </row>
    <row r="17" spans="2:18" x14ac:dyDescent="0.3">
      <c r="B17" s="2" t="s">
        <v>8</v>
      </c>
      <c r="D17" s="4">
        <v>-6</v>
      </c>
      <c r="E17" s="4">
        <v>6</v>
      </c>
    </row>
    <row r="18" spans="2:18" x14ac:dyDescent="0.3">
      <c r="B18" s="2" t="s">
        <v>9</v>
      </c>
      <c r="D18" s="4">
        <v>7</v>
      </c>
      <c r="E18" s="4">
        <v>8</v>
      </c>
    </row>
    <row r="19" spans="2:18" x14ac:dyDescent="0.3">
      <c r="B19" s="2" t="s">
        <v>10</v>
      </c>
      <c r="D19" s="4">
        <v>0</v>
      </c>
      <c r="E19" s="4">
        <v>1</v>
      </c>
    </row>
    <row r="20" spans="2:18" x14ac:dyDescent="0.3">
      <c r="B20" s="2" t="s">
        <v>11</v>
      </c>
      <c r="D20" s="4">
        <v>2</v>
      </c>
      <c r="E20" s="4">
        <v>-3</v>
      </c>
    </row>
    <row r="21" spans="2:18" x14ac:dyDescent="0.3">
      <c r="B21" s="2" t="s">
        <v>12</v>
      </c>
      <c r="D21" s="4">
        <v>-3</v>
      </c>
      <c r="E21" s="4">
        <v>-5</v>
      </c>
    </row>
    <row r="22" spans="2:18" x14ac:dyDescent="0.3">
      <c r="B22" s="2" t="s">
        <v>13</v>
      </c>
      <c r="D22" s="4">
        <v>-1</v>
      </c>
      <c r="E22" s="4">
        <v>-4</v>
      </c>
      <c r="I22" s="5" t="s">
        <v>14</v>
      </c>
      <c r="R22" s="5" t="s">
        <v>14</v>
      </c>
    </row>
    <row r="25" spans="2:18" x14ac:dyDescent="0.3">
      <c r="B25" s="2" t="s">
        <v>6</v>
      </c>
    </row>
    <row r="41" spans="1:13" x14ac:dyDescent="0.3">
      <c r="M41" s="1" t="s">
        <v>15</v>
      </c>
    </row>
    <row r="42" spans="1:13" ht="20.399999999999999" thickBot="1" x14ac:dyDescent="0.35">
      <c r="A42" s="9" t="s">
        <v>16</v>
      </c>
    </row>
    <row r="43" spans="1:13" ht="16.2" thickTop="1" x14ac:dyDescent="0.3"/>
    <row r="44" spans="1:13" x14ac:dyDescent="0.3">
      <c r="B44" s="2" t="s">
        <v>17</v>
      </c>
      <c r="C44" s="2" t="s">
        <v>18</v>
      </c>
      <c r="D44" s="2" t="s">
        <v>19</v>
      </c>
      <c r="E44" s="2" t="s">
        <v>20</v>
      </c>
      <c r="F44" s="2" t="s">
        <v>24</v>
      </c>
      <c r="G44" s="2" t="s">
        <v>18</v>
      </c>
      <c r="H44" s="2" t="s">
        <v>23</v>
      </c>
      <c r="I44" s="2" t="s">
        <v>25</v>
      </c>
    </row>
    <row r="45" spans="1:13" x14ac:dyDescent="0.3">
      <c r="B45" s="2" t="s">
        <v>8</v>
      </c>
      <c r="C45" s="10">
        <v>50</v>
      </c>
      <c r="D45" s="6">
        <v>-6</v>
      </c>
      <c r="E45" s="6">
        <v>6</v>
      </c>
      <c r="F45" s="10">
        <f>SQRT(SUMXMY2(D45:E45,$D$53:$E$53))</f>
        <v>7.7544846410165507</v>
      </c>
      <c r="G45" s="2">
        <f>F45*C45</f>
        <v>387.72423205082754</v>
      </c>
      <c r="H45" s="2">
        <f>F45*F45</f>
        <v>60.132032047761584</v>
      </c>
      <c r="I45" s="2">
        <f>H45*C45</f>
        <v>3006.6016023880793</v>
      </c>
    </row>
    <row r="46" spans="1:13" x14ac:dyDescent="0.3">
      <c r="B46" s="2" t="s">
        <v>9</v>
      </c>
      <c r="C46" s="10">
        <v>60</v>
      </c>
      <c r="D46" s="6">
        <v>7</v>
      </c>
      <c r="E46" s="6">
        <v>8</v>
      </c>
      <c r="F46" s="10">
        <f>SQRT(SUMXMY2(D46:E46,$D$53:$E$53))</f>
        <v>9.0930219469826046</v>
      </c>
      <c r="G46" s="2">
        <f>F46*C46</f>
        <v>545.58131681895622</v>
      </c>
      <c r="H46" s="2">
        <f t="shared" ref="H46:H50" si="0">F46*F46</f>
        <v>82.68304812830732</v>
      </c>
      <c r="I46" s="2">
        <f t="shared" ref="I46:I50" si="1">H46*C46</f>
        <v>4960.9828876984393</v>
      </c>
    </row>
    <row r="47" spans="1:13" x14ac:dyDescent="0.3">
      <c r="B47" s="2" t="s">
        <v>10</v>
      </c>
      <c r="C47" s="10">
        <v>30</v>
      </c>
      <c r="D47" s="6">
        <v>0</v>
      </c>
      <c r="E47" s="6">
        <v>1</v>
      </c>
      <c r="F47" s="10">
        <f>SQRT(SUMXMY2(D47:E47,$D$53:$E$53))</f>
        <v>0.82646759942888581</v>
      </c>
      <c r="G47" s="2">
        <f>F47*C47</f>
        <v>24.794027982866574</v>
      </c>
      <c r="H47" s="2">
        <f t="shared" si="0"/>
        <v>0.68304869290574521</v>
      </c>
      <c r="I47" s="2">
        <f t="shared" si="1"/>
        <v>20.491460787172358</v>
      </c>
    </row>
    <row r="48" spans="1:13" x14ac:dyDescent="0.3">
      <c r="B48" s="2" t="s">
        <v>11</v>
      </c>
      <c r="C48" s="10">
        <v>45</v>
      </c>
      <c r="D48" s="6">
        <v>2</v>
      </c>
      <c r="E48" s="6">
        <v>-3</v>
      </c>
      <c r="F48" s="10">
        <f>SQRT(SUMXMY2(D48:E48,$D$53:$E$53))</f>
        <v>4.9434956037019449</v>
      </c>
      <c r="G48" s="2">
        <f>F48*C48</f>
        <v>222.45730216658751</v>
      </c>
      <c r="H48" s="2">
        <f t="shared" si="0"/>
        <v>24.438148783820456</v>
      </c>
      <c r="I48" s="2">
        <f t="shared" si="1"/>
        <v>1099.7166952719206</v>
      </c>
    </row>
    <row r="49" spans="1:9" x14ac:dyDescent="0.3">
      <c r="B49" s="2" t="s">
        <v>12</v>
      </c>
      <c r="C49" s="10">
        <v>20</v>
      </c>
      <c r="D49" s="6">
        <v>-3</v>
      </c>
      <c r="E49" s="6">
        <v>-5</v>
      </c>
      <c r="F49" s="10">
        <f>SQRT(SUMXMY2(D49:E49,$D$53:$E$53))</f>
        <v>7.5301697327382939</v>
      </c>
      <c r="G49" s="2">
        <f>F49*C49</f>
        <v>150.60339465476588</v>
      </c>
      <c r="H49" s="2">
        <f t="shared" si="0"/>
        <v>56.703456203847907</v>
      </c>
      <c r="I49" s="2">
        <f t="shared" si="1"/>
        <v>1134.0691240769581</v>
      </c>
    </row>
    <row r="50" spans="1:9" x14ac:dyDescent="0.3">
      <c r="B50" s="2" t="s">
        <v>13</v>
      </c>
      <c r="C50" s="10">
        <v>40</v>
      </c>
      <c r="D50" s="6">
        <v>-1</v>
      </c>
      <c r="E50" s="6">
        <v>-4</v>
      </c>
      <c r="F50" s="10">
        <f>SQRT(SUMXMY2(D50:E50,$D$53:$E$53))</f>
        <v>5.87535379998927</v>
      </c>
      <c r="G50" s="2">
        <f>F50*C50</f>
        <v>235.0141519995708</v>
      </c>
      <c r="H50" s="2">
        <f t="shared" si="0"/>
        <v>34.519782275048357</v>
      </c>
      <c r="I50" s="2">
        <f t="shared" si="1"/>
        <v>1380.7912910019343</v>
      </c>
    </row>
    <row r="51" spans="1:9" x14ac:dyDescent="0.3">
      <c r="B51" s="2" t="s">
        <v>21</v>
      </c>
      <c r="C51" s="10">
        <f>SUM(C45:C50)</f>
        <v>245</v>
      </c>
      <c r="D51" s="10"/>
      <c r="E51" s="10"/>
      <c r="F51" s="10"/>
      <c r="G51" s="10">
        <f>SUM(G45:G50)</f>
        <v>1566.1744256735747</v>
      </c>
      <c r="H51" s="2">
        <f>SUM(H45:H50)</f>
        <v>259.15951613169136</v>
      </c>
      <c r="I51" s="2">
        <f>SUM(I45:I50)</f>
        <v>11602.653061224504</v>
      </c>
    </row>
    <row r="53" spans="1:9" x14ac:dyDescent="0.3">
      <c r="A53" s="2" t="s">
        <v>22</v>
      </c>
      <c r="D53" s="7">
        <v>0.44897978121417526</v>
      </c>
      <c r="E53" s="7">
        <v>1.6938774019714264</v>
      </c>
    </row>
    <row r="54" spans="1:9" x14ac:dyDescent="0.3">
      <c r="D54" s="11">
        <v>5</v>
      </c>
      <c r="E54" s="11">
        <v>6</v>
      </c>
    </row>
  </sheetData>
  <pageMargins left="0.75" right="0.75" top="1" bottom="1" header="0.5" footer="0.5"/>
  <ignoredErrors>
    <ignoredError sqref="F45" formulaRange="1"/>
  </ignoredErrors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SPJIMR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Suranjan Das</dc:creator>
  <cp:lastModifiedBy>ROHIT GHOSH</cp:lastModifiedBy>
  <dcterms:created xsi:type="dcterms:W3CDTF">2015-05-26T07:53:54Z</dcterms:created>
  <dcterms:modified xsi:type="dcterms:W3CDTF">2026-01-20T06:50:09Z</dcterms:modified>
</cp:coreProperties>
</file>