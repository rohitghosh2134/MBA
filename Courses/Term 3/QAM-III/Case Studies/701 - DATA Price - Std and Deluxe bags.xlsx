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BA\Courses\Term 3\QAM-III\"/>
    </mc:Choice>
  </mc:AlternateContent>
  <xr:revisionPtr revIDLastSave="0" documentId="13_ncr:1_{A2222836-CB4A-410D-A25B-937342AF901C}" xr6:coauthVersionLast="47" xr6:coauthVersionMax="47" xr10:uidLastSave="{00000000-0000-0000-0000-000000000000}"/>
  <bookViews>
    <workbookView xWindow="-108" yWindow="-108" windowWidth="23256" windowHeight="13176" xr2:uid="{B2BED8D6-8C7E-0E42-9D17-93C443EBC8CA}"/>
  </bookViews>
  <sheets>
    <sheet name="Case 2" sheetId="2" r:id="rId1"/>
  </sheets>
  <definedNames>
    <definedName name="solver_adj" localSheetId="0" hidden="1">'Case 2'!$C$18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lhs1" localSheetId="0" hidden="1">'Case 2'!$D$17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1</definedName>
    <definedName name="solver_nwt" localSheetId="0" hidden="1">1</definedName>
    <definedName name="solver_opt" localSheetId="0" hidden="1">'Case 2'!$G$18</definedName>
    <definedName name="solver_pre" localSheetId="0" hidden="1">0.000001</definedName>
    <definedName name="solver_rbv" localSheetId="0" hidden="1">1</definedName>
    <definedName name="solver_rel1" localSheetId="0" hidden="1">3</definedName>
    <definedName name="solver_rhs1" localSheetId="0" hidden="1">0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7" i="2" l="1"/>
  <c r="F17" i="2" s="1"/>
  <c r="D18" i="2"/>
  <c r="F18" i="2" s="1"/>
  <c r="E17" i="2" l="1"/>
  <c r="G17" i="2" s="1"/>
  <c r="E18" i="2"/>
  <c r="G18" i="2" s="1"/>
</calcChain>
</file>

<file path=xl/sharedStrings.xml><?xml version="1.0" encoding="utf-8"?>
<sst xmlns="http://schemas.openxmlformats.org/spreadsheetml/2006/main" count="18" uniqueCount="17">
  <si>
    <t xml:space="preserve">Standard </t>
  </si>
  <si>
    <t>DEMAND</t>
  </si>
  <si>
    <t>An entrepreneur is making two types of bags - Standard (S) and Deluxe (D) - the details of whioch are given below.</t>
  </si>
  <si>
    <t>S = 2250 - 15 Ps</t>
  </si>
  <si>
    <t>Deluxe</t>
  </si>
  <si>
    <t>D = 1500 - 5 Pd</t>
  </si>
  <si>
    <t>COGS per bag</t>
  </si>
  <si>
    <t>$ 70</t>
  </si>
  <si>
    <t>$ 150</t>
  </si>
  <si>
    <t>A) What is the nature of the Profit function for each brand of bags? What is the maximum profit in each type?</t>
  </si>
  <si>
    <t>B) What is the nature of the overall profit function of the business? What is the optimal solution and profit?</t>
  </si>
  <si>
    <t>PRICE</t>
  </si>
  <si>
    <t>REVENUE</t>
  </si>
  <si>
    <t>COST</t>
  </si>
  <si>
    <t>PROFIT</t>
  </si>
  <si>
    <t>STANDARD</t>
  </si>
  <si>
    <t>DELUXE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</si>
</sst>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99672-B1FA-F740-90FA-32922E72A720}">
  <dimension ref="A1:G18"/>
  <sheetViews>
    <sheetView tabSelected="1" workbookViewId="0">
      <selection activeCell="C18" sqref="C18:G18"/>
    </sheetView>
  </sheetViews>
  <sheetFormatPr defaultColWidth="11.19921875" defaultRowHeight="15.6" x14ac:dyDescent="0.3"/>
  <sheetData>
    <row r="1" spans="1:7" x14ac:dyDescent="0.3">
      <c r="A1" t="s">
        <v>2</v>
      </c>
    </row>
    <row r="3" spans="1:7" x14ac:dyDescent="0.3">
      <c r="B3" t="s">
        <v>1</v>
      </c>
      <c r="D3" t="s">
        <v>6</v>
      </c>
    </row>
    <row r="5" spans="1:7" x14ac:dyDescent="0.3">
      <c r="A5" t="s">
        <v>0</v>
      </c>
      <c r="B5" t="s">
        <v>3</v>
      </c>
      <c r="D5" t="s">
        <v>7</v>
      </c>
    </row>
    <row r="7" spans="1:7" x14ac:dyDescent="0.3">
      <c r="A7" t="s">
        <v>4</v>
      </c>
      <c r="B7" t="s">
        <v>5</v>
      </c>
      <c r="D7" t="s">
        <v>8</v>
      </c>
    </row>
    <row r="11" spans="1:7" x14ac:dyDescent="0.3">
      <c r="A11" t="s">
        <v>9</v>
      </c>
    </row>
    <row r="12" spans="1:7" x14ac:dyDescent="0.3">
      <c r="A12" t="s">
        <v>10</v>
      </c>
    </row>
    <row r="16" spans="1:7" x14ac:dyDescent="0.3">
      <c r="C16" t="s">
        <v>11</v>
      </c>
      <c r="D16" t="s">
        <v>1</v>
      </c>
      <c r="E16" t="s">
        <v>12</v>
      </c>
      <c r="F16" t="s">
        <v>13</v>
      </c>
      <c r="G16" t="s">
        <v>14</v>
      </c>
    </row>
    <row r="17" spans="2:7" x14ac:dyDescent="0.3">
      <c r="B17" t="s">
        <v>15</v>
      </c>
      <c r="C17">
        <v>109.99999999999999</v>
      </c>
      <c r="D17">
        <f>2250-15*C17</f>
        <v>600.00000000000023</v>
      </c>
      <c r="E17">
        <f>C17*D17</f>
        <v>66000.000000000015</v>
      </c>
      <c r="F17">
        <f>70*D17</f>
        <v>42000.000000000015</v>
      </c>
      <c r="G17">
        <f>E17-F17</f>
        <v>24000</v>
      </c>
    </row>
    <row r="18" spans="2:7" x14ac:dyDescent="0.3">
      <c r="B18" t="s">
        <v>16</v>
      </c>
      <c r="C18">
        <v>225</v>
      </c>
      <c r="D18">
        <f>1500-5*C18</f>
        <v>375</v>
      </c>
      <c r="E18">
        <f>C18*D18</f>
        <v>84375</v>
      </c>
      <c r="F18">
        <f>150*D18</f>
        <v>56250</v>
      </c>
      <c r="G18">
        <f>E18-F18</f>
        <v>28125</v>
      </c>
    </row>
  </sheetData>
  <scenarios current="0" show="0">
    <scenario name="Max Profit of Standard Bags" locked="1" count="5" user="rohit ghosh" comment="Created by rohit ghosh on 05/01/2026">
      <inputCells r="C17" val="1000"/>
      <inputCells r="D17" val="2250"/>
      <inputCells r="E17" val="0"/>
      <inputCells r="F17" val="157500"/>
      <inputCells r="G17" val="-157500"/>
    </scenario>
  </scenario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Case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Suranjan Das</dc:creator>
  <cp:lastModifiedBy>ROHIT GHOSH</cp:lastModifiedBy>
  <dcterms:created xsi:type="dcterms:W3CDTF">2025-12-31T12:43:22Z</dcterms:created>
  <dcterms:modified xsi:type="dcterms:W3CDTF">2026-01-05T04:29:30Z</dcterms:modified>
</cp:coreProperties>
</file>