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43A1A3BC-EA68-4951-BA8B-98B8266F1095}" xr6:coauthVersionLast="47" xr6:coauthVersionMax="47" xr10:uidLastSave="{00000000-0000-0000-0000-000000000000}"/>
  <bookViews>
    <workbookView xWindow="-108" yWindow="-108" windowWidth="23256" windowHeight="13176" xr2:uid="{521C7664-8F72-4B91-8EE7-8F38A15DDFD9}"/>
  </bookViews>
  <sheets>
    <sheet name="Sheet2" sheetId="2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Sheet2!$J$13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2" i="2"/>
  <c r="G10" i="2"/>
  <c r="G8" i="2"/>
  <c r="G7" i="2"/>
  <c r="G2" i="2"/>
</calcChain>
</file>

<file path=xl/sharedStrings.xml><?xml version="1.0" encoding="utf-8"?>
<sst xmlns="http://schemas.openxmlformats.org/spreadsheetml/2006/main" count="99" uniqueCount="20">
  <si>
    <t>E</t>
  </si>
  <si>
    <t>N</t>
  </si>
  <si>
    <t>D1+</t>
  </si>
  <si>
    <t>D1-</t>
  </si>
  <si>
    <t>D2+</t>
  </si>
  <si>
    <t>D2-</t>
  </si>
  <si>
    <t>D3+</t>
  </si>
  <si>
    <t>D3-</t>
  </si>
  <si>
    <t>D4+</t>
  </si>
  <si>
    <t>D4-</t>
  </si>
  <si>
    <t>D5+</t>
  </si>
  <si>
    <t>D5-</t>
  </si>
  <si>
    <t>Minimize</t>
  </si>
  <si>
    <t>Goal 1</t>
  </si>
  <si>
    <t>s.t.</t>
  </si>
  <si>
    <t>LHS</t>
  </si>
  <si>
    <t>RHS</t>
  </si>
  <si>
    <t>=</t>
  </si>
  <si>
    <t>Goal 2</t>
  </si>
  <si>
    <t>Goal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</si>
</sst>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2657-A185-48FF-BDA6-1850F2F76279}">
  <dimension ref="B2:U29"/>
  <sheetViews>
    <sheetView tabSelected="1" workbookViewId="0">
      <selection activeCell="J13" sqref="J13"/>
    </sheetView>
  </sheetViews>
  <sheetFormatPr defaultRowHeight="14.4" x14ac:dyDescent="0.3"/>
  <sheetData>
    <row r="2" spans="2:21" ht="15.6" x14ac:dyDescent="0.3">
      <c r="B2" s="1" t="s">
        <v>0</v>
      </c>
      <c r="C2" s="1">
        <v>219.99999817042888</v>
      </c>
      <c r="F2" s="1" t="s">
        <v>12</v>
      </c>
      <c r="G2" s="1">
        <f>C5+C7</f>
        <v>0</v>
      </c>
      <c r="N2" s="2" t="s">
        <v>13</v>
      </c>
    </row>
    <row r="3" spans="2:21" x14ac:dyDescent="0.3">
      <c r="B3" s="1" t="s">
        <v>1</v>
      </c>
      <c r="C3" s="1">
        <v>119.99999910593037</v>
      </c>
      <c r="F3" s="1"/>
      <c r="G3" s="1"/>
      <c r="N3" t="s">
        <v>0</v>
      </c>
      <c r="O3">
        <v>212.98483324056062</v>
      </c>
      <c r="R3" t="s">
        <v>12</v>
      </c>
      <c r="S3">
        <v>0</v>
      </c>
    </row>
    <row r="4" spans="2:21" x14ac:dyDescent="0.3">
      <c r="B4" s="1" t="s">
        <v>2</v>
      </c>
      <c r="C4" s="1">
        <v>220.00000117761371</v>
      </c>
      <c r="F4" s="1" t="s">
        <v>14</v>
      </c>
      <c r="G4" s="1"/>
      <c r="N4" t="s">
        <v>1</v>
      </c>
      <c r="O4">
        <v>41.080520787471258</v>
      </c>
    </row>
    <row r="5" spans="2:21" x14ac:dyDescent="0.3">
      <c r="B5" s="1" t="s">
        <v>3</v>
      </c>
      <c r="C5" s="1">
        <v>0</v>
      </c>
      <c r="F5" s="1"/>
      <c r="G5" s="1"/>
      <c r="N5" t="s">
        <v>2</v>
      </c>
      <c r="O5">
        <v>41.115541517262244</v>
      </c>
      <c r="R5" t="s">
        <v>14</v>
      </c>
    </row>
    <row r="6" spans="2:21" x14ac:dyDescent="0.3">
      <c r="B6" s="1" t="s">
        <v>4</v>
      </c>
      <c r="C6" s="1">
        <v>220.00000117761377</v>
      </c>
      <c r="F6" s="1"/>
      <c r="G6" s="3" t="s">
        <v>15</v>
      </c>
      <c r="H6" s="3"/>
      <c r="I6" s="3" t="s">
        <v>16</v>
      </c>
      <c r="N6" t="s">
        <v>3</v>
      </c>
      <c r="O6">
        <v>0</v>
      </c>
    </row>
    <row r="7" spans="2:21" x14ac:dyDescent="0.3">
      <c r="B7" s="1" t="s">
        <v>5</v>
      </c>
      <c r="C7" s="1">
        <v>0</v>
      </c>
      <c r="F7" s="1" t="s">
        <v>13</v>
      </c>
      <c r="G7" s="3">
        <f>3*C2 + 2*C3 -C4 + C5</f>
        <v>679.9999915455337</v>
      </c>
      <c r="H7" s="3" t="s">
        <v>17</v>
      </c>
      <c r="I7" s="3">
        <v>680</v>
      </c>
      <c r="N7" t="s">
        <v>4</v>
      </c>
      <c r="O7">
        <v>41.115541517262251</v>
      </c>
      <c r="S7" t="s">
        <v>15</v>
      </c>
      <c r="U7" t="s">
        <v>16</v>
      </c>
    </row>
    <row r="8" spans="2:21" x14ac:dyDescent="0.3">
      <c r="B8" s="1" t="s">
        <v>6</v>
      </c>
      <c r="C8" s="1">
        <v>0</v>
      </c>
      <c r="F8" s="1"/>
      <c r="G8" s="3">
        <f>3*C2 + 2*C3 -C6 + C7</f>
        <v>679.9999915455337</v>
      </c>
      <c r="H8" s="3" t="s">
        <v>17</v>
      </c>
      <c r="I8" s="3">
        <v>600</v>
      </c>
      <c r="N8" t="s">
        <v>5</v>
      </c>
      <c r="O8">
        <v>0</v>
      </c>
      <c r="R8" t="s">
        <v>13</v>
      </c>
      <c r="S8">
        <v>679.99999977936204</v>
      </c>
      <c r="T8" t="s">
        <v>17</v>
      </c>
      <c r="U8">
        <v>680</v>
      </c>
    </row>
    <row r="9" spans="2:21" x14ac:dyDescent="0.3">
      <c r="B9" s="1" t="s">
        <v>7</v>
      </c>
      <c r="C9" s="1">
        <v>0</v>
      </c>
      <c r="F9" s="1"/>
      <c r="G9" s="3"/>
      <c r="H9" s="3"/>
      <c r="I9" s="3"/>
      <c r="N9" t="s">
        <v>6</v>
      </c>
      <c r="O9">
        <v>0</v>
      </c>
      <c r="S9">
        <v>679.99999977936204</v>
      </c>
      <c r="T9" t="s">
        <v>17</v>
      </c>
      <c r="U9">
        <v>600</v>
      </c>
    </row>
    <row r="10" spans="2:21" x14ac:dyDescent="0.3">
      <c r="B10" s="1" t="s">
        <v>8</v>
      </c>
      <c r="C10" s="1">
        <v>19.999992985648554</v>
      </c>
      <c r="F10" s="1" t="s">
        <v>18</v>
      </c>
      <c r="G10" s="3">
        <f>250*C2 + 125*C3 -C8 + C9</f>
        <v>69999.999430848518</v>
      </c>
      <c r="H10" s="3" t="s">
        <v>17</v>
      </c>
      <c r="I10" s="3">
        <v>70000</v>
      </c>
      <c r="N10" t="s">
        <v>7</v>
      </c>
      <c r="O10">
        <v>11618.726605769014</v>
      </c>
    </row>
    <row r="11" spans="2:21" x14ac:dyDescent="0.3">
      <c r="B11" s="1" t="s">
        <v>9</v>
      </c>
      <c r="C11" s="1">
        <v>0</v>
      </c>
      <c r="F11" s="1"/>
      <c r="G11" s="3"/>
      <c r="H11" s="3"/>
      <c r="I11" s="3"/>
      <c r="N11" t="s">
        <v>8</v>
      </c>
      <c r="O11">
        <v>81.54288347326073</v>
      </c>
      <c r="R11" t="s">
        <v>18</v>
      </c>
      <c r="S11">
        <v>70000.000014343066</v>
      </c>
      <c r="T11" t="s">
        <v>17</v>
      </c>
      <c r="U11">
        <v>70000</v>
      </c>
    </row>
    <row r="12" spans="2:21" x14ac:dyDescent="0.3">
      <c r="B12" s="1" t="s">
        <v>10</v>
      </c>
      <c r="C12" s="1">
        <v>0</v>
      </c>
      <c r="F12" s="1" t="s">
        <v>19</v>
      </c>
      <c r="G12" s="3">
        <f>C2 - C10 + C11</f>
        <v>200.00000518478032</v>
      </c>
      <c r="H12" s="3" t="s">
        <v>17</v>
      </c>
      <c r="I12" s="3">
        <v>200</v>
      </c>
      <c r="N12" t="s">
        <v>9</v>
      </c>
      <c r="O12">
        <v>68.558050232700111</v>
      </c>
    </row>
    <row r="13" spans="2:21" x14ac:dyDescent="0.3">
      <c r="B13" s="1" t="s">
        <v>11</v>
      </c>
      <c r="C13" s="1">
        <v>0</v>
      </c>
      <c r="F13" s="1"/>
      <c r="G13" s="3">
        <f>C3 - C12 + C13</f>
        <v>119.99999910593037</v>
      </c>
      <c r="H13" s="3" t="s">
        <v>17</v>
      </c>
      <c r="I13" s="3">
        <v>120</v>
      </c>
      <c r="N13" t="s">
        <v>10</v>
      </c>
      <c r="O13">
        <v>10.54026039373564</v>
      </c>
      <c r="R13" t="s">
        <v>19</v>
      </c>
      <c r="S13">
        <v>200</v>
      </c>
      <c r="T13" t="s">
        <v>17</v>
      </c>
      <c r="U13">
        <v>200</v>
      </c>
    </row>
    <row r="14" spans="2:21" x14ac:dyDescent="0.3">
      <c r="N14" t="s">
        <v>11</v>
      </c>
      <c r="O14">
        <v>89.459739606264364</v>
      </c>
      <c r="S14">
        <v>119.99999999999999</v>
      </c>
      <c r="T14" t="s">
        <v>17</v>
      </c>
      <c r="U14">
        <v>120</v>
      </c>
    </row>
    <row r="17" spans="2:21" ht="15.6" x14ac:dyDescent="0.3">
      <c r="B17" s="2" t="s">
        <v>19</v>
      </c>
      <c r="N17" s="2" t="s">
        <v>18</v>
      </c>
    </row>
    <row r="18" spans="2:21" x14ac:dyDescent="0.3">
      <c r="B18" t="s">
        <v>0</v>
      </c>
      <c r="C18">
        <v>219.99999817042888</v>
      </c>
      <c r="F18" t="s">
        <v>12</v>
      </c>
      <c r="G18">
        <v>0</v>
      </c>
      <c r="N18" t="s">
        <v>0</v>
      </c>
      <c r="O18">
        <v>280.00000250755909</v>
      </c>
      <c r="R18" t="s">
        <v>12</v>
      </c>
      <c r="S18">
        <v>0</v>
      </c>
    </row>
    <row r="19" spans="2:21" x14ac:dyDescent="0.3">
      <c r="B19" t="s">
        <v>1</v>
      </c>
      <c r="C19">
        <v>119.99999910593037</v>
      </c>
      <c r="N19" t="s">
        <v>1</v>
      </c>
      <c r="O19">
        <v>0</v>
      </c>
    </row>
    <row r="20" spans="2:21" x14ac:dyDescent="0.3">
      <c r="B20" t="s">
        <v>2</v>
      </c>
      <c r="C20">
        <v>220.00000117761371</v>
      </c>
      <c r="F20" t="s">
        <v>14</v>
      </c>
      <c r="N20" t="s">
        <v>2</v>
      </c>
      <c r="O20">
        <v>160.00000847345518</v>
      </c>
      <c r="R20" t="s">
        <v>14</v>
      </c>
    </row>
    <row r="21" spans="2:21" x14ac:dyDescent="0.3">
      <c r="B21" t="s">
        <v>3</v>
      </c>
      <c r="C21">
        <v>0</v>
      </c>
      <c r="N21" t="s">
        <v>3</v>
      </c>
      <c r="O21">
        <v>0</v>
      </c>
    </row>
    <row r="22" spans="2:21" x14ac:dyDescent="0.3">
      <c r="B22" t="s">
        <v>4</v>
      </c>
      <c r="C22">
        <v>220.00000117761377</v>
      </c>
      <c r="G22" t="s">
        <v>15</v>
      </c>
      <c r="I22" t="s">
        <v>16</v>
      </c>
      <c r="N22" t="s">
        <v>4</v>
      </c>
      <c r="O22">
        <v>160.00000847345521</v>
      </c>
      <c r="S22" t="s">
        <v>15</v>
      </c>
      <c r="U22" t="s">
        <v>16</v>
      </c>
    </row>
    <row r="23" spans="2:21" x14ac:dyDescent="0.3">
      <c r="B23" t="s">
        <v>5</v>
      </c>
      <c r="C23">
        <v>0</v>
      </c>
      <c r="F23" t="s">
        <v>13</v>
      </c>
      <c r="G23">
        <v>679.9999915455337</v>
      </c>
      <c r="H23" t="s">
        <v>17</v>
      </c>
      <c r="I23">
        <v>680</v>
      </c>
      <c r="N23" t="s">
        <v>5</v>
      </c>
      <c r="O23">
        <v>0</v>
      </c>
      <c r="R23" t="s">
        <v>13</v>
      </c>
      <c r="S23">
        <v>679.99999904922208</v>
      </c>
      <c r="T23" t="s">
        <v>17</v>
      </c>
      <c r="U23">
        <v>680</v>
      </c>
    </row>
    <row r="24" spans="2:21" x14ac:dyDescent="0.3">
      <c r="B24" t="s">
        <v>6</v>
      </c>
      <c r="C24">
        <v>0</v>
      </c>
      <c r="G24">
        <v>679.9999915455337</v>
      </c>
      <c r="H24" t="s">
        <v>17</v>
      </c>
      <c r="I24">
        <v>600</v>
      </c>
      <c r="N24" t="s">
        <v>6</v>
      </c>
      <c r="O24">
        <v>0</v>
      </c>
      <c r="S24">
        <v>679.99999904922208</v>
      </c>
      <c r="T24" t="s">
        <v>17</v>
      </c>
      <c r="U24">
        <v>600</v>
      </c>
    </row>
    <row r="25" spans="2:21" x14ac:dyDescent="0.3">
      <c r="B25" t="s">
        <v>7</v>
      </c>
      <c r="C25">
        <v>0</v>
      </c>
      <c r="N25" t="s">
        <v>7</v>
      </c>
      <c r="O25">
        <v>0</v>
      </c>
    </row>
    <row r="26" spans="2:21" x14ac:dyDescent="0.3">
      <c r="B26" t="s">
        <v>8</v>
      </c>
      <c r="C26">
        <v>19.999992985648554</v>
      </c>
      <c r="F26" t="s">
        <v>18</v>
      </c>
      <c r="G26">
        <v>69999.999430848518</v>
      </c>
      <c r="H26" t="s">
        <v>17</v>
      </c>
      <c r="I26">
        <v>70000</v>
      </c>
      <c r="N26" t="s">
        <v>8</v>
      </c>
      <c r="O26">
        <v>148.55804838540431</v>
      </c>
      <c r="R26" t="s">
        <v>18</v>
      </c>
      <c r="S26">
        <v>70000.000626889771</v>
      </c>
      <c r="T26" t="s">
        <v>17</v>
      </c>
      <c r="U26">
        <v>70000</v>
      </c>
    </row>
    <row r="27" spans="2:21" x14ac:dyDescent="0.3">
      <c r="B27" t="s">
        <v>9</v>
      </c>
      <c r="C27">
        <v>0</v>
      </c>
      <c r="N27" t="s">
        <v>9</v>
      </c>
      <c r="O27">
        <v>68.558050232699969</v>
      </c>
    </row>
    <row r="28" spans="2:21" x14ac:dyDescent="0.3">
      <c r="B28" t="s">
        <v>10</v>
      </c>
      <c r="C28">
        <v>0</v>
      </c>
      <c r="F28" t="s">
        <v>19</v>
      </c>
      <c r="G28">
        <v>200.00000518478032</v>
      </c>
      <c r="H28" t="s">
        <v>17</v>
      </c>
      <c r="I28">
        <v>200</v>
      </c>
      <c r="N28" t="s">
        <v>10</v>
      </c>
      <c r="O28">
        <v>10.54026039373564</v>
      </c>
      <c r="R28" t="s">
        <v>19</v>
      </c>
      <c r="S28">
        <v>200.00000435485475</v>
      </c>
      <c r="T28" t="s">
        <v>17</v>
      </c>
      <c r="U28">
        <v>200</v>
      </c>
    </row>
    <row r="29" spans="2:21" x14ac:dyDescent="0.3">
      <c r="B29" t="s">
        <v>11</v>
      </c>
      <c r="C29">
        <v>0</v>
      </c>
      <c r="G29">
        <v>119.99999910593037</v>
      </c>
      <c r="H29" t="s">
        <v>17</v>
      </c>
      <c r="I29">
        <v>120</v>
      </c>
      <c r="N29" t="s">
        <v>11</v>
      </c>
      <c r="O29">
        <v>130.54026016106087</v>
      </c>
      <c r="S29">
        <v>119.99999976732524</v>
      </c>
      <c r="T29" t="s">
        <v>17</v>
      </c>
      <c r="U2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2026-01-12T03:08:38Z</dcterms:created>
  <dcterms:modified xsi:type="dcterms:W3CDTF">2026-01-13T17:55:30Z</dcterms:modified>
</cp:coreProperties>
</file>