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1107F679-9108-48EC-BBA9-36BA694A98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solver_adj" localSheetId="0" hidden="1">Sheet1!$F$18:$F$19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Sheet1!$C$24</definedName>
    <definedName name="solver_lhs2" localSheetId="0" hidden="1">Sheet1!$C$25</definedName>
    <definedName name="solver_lhs3" localSheetId="0" hidden="1">Sheet1!$C$26</definedName>
    <definedName name="solver_lhs4" localSheetId="0" hidden="1">Sheet1!$G$18</definedName>
    <definedName name="solver_lhs5" localSheetId="0" hidden="1">Sheet1!$H$18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Sheet1!$C$22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hs1" localSheetId="0" hidden="1">Sheet1!$E$24</definedName>
    <definedName name="solver_rhs2" localSheetId="0" hidden="1">700</definedName>
    <definedName name="solver_rhs3" localSheetId="0" hidden="1">Sheet1!$E$26</definedName>
    <definedName name="solver_rhs4" localSheetId="0" hidden="1">0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2" i="1"/>
  <c r="F5" i="1"/>
  <c r="F4" i="1"/>
</calcChain>
</file>

<file path=xl/sharedStrings.xml><?xml version="1.0" encoding="utf-8"?>
<sst xmlns="http://schemas.openxmlformats.org/spreadsheetml/2006/main" count="28" uniqueCount="25">
  <si>
    <t>Stock</t>
  </si>
  <si>
    <t>Price/Share</t>
  </si>
  <si>
    <t>Annual return /Share</t>
  </si>
  <si>
    <t>Risk Index per Share</t>
  </si>
  <si>
    <t>US Oil</t>
  </si>
  <si>
    <t>Hub Properties</t>
  </si>
  <si>
    <t>Rate of return</t>
  </si>
  <si>
    <t>Upper risk Appetitie</t>
  </si>
  <si>
    <t xml:space="preserve">Minimum return </t>
  </si>
  <si>
    <t>Devis Optimal Portfolio</t>
  </si>
  <si>
    <t xml:space="preserve">Captial </t>
  </si>
  <si>
    <t>SOLUTION</t>
  </si>
  <si>
    <t>Price</t>
  </si>
  <si>
    <t>Annual Return</t>
  </si>
  <si>
    <t>Risk Index</t>
  </si>
  <si>
    <t>No of Shares</t>
  </si>
  <si>
    <t>Us Oil</t>
  </si>
  <si>
    <t>OBJECTIVE FUNCTION</t>
  </si>
  <si>
    <t>CAPITAL CONSTRAINT</t>
  </si>
  <si>
    <t>&lt;=</t>
  </si>
  <si>
    <t>RISK CONSTRAINT</t>
  </si>
  <si>
    <t>MINIMUM RETURN</t>
  </si>
  <si>
    <t>&gt;=</t>
  </si>
  <si>
    <t>0.5*US + 0.25*HP = 700</t>
  </si>
  <si>
    <t>RISK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</si>
</sst>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6"/>
  <sheetViews>
    <sheetView tabSelected="1" topLeftCell="A13" workbookViewId="0">
      <selection activeCell="G24" sqref="G24"/>
    </sheetView>
  </sheetViews>
  <sheetFormatPr defaultRowHeight="14.4" x14ac:dyDescent="0.3"/>
  <cols>
    <col min="1" max="1" width="13.33203125" bestFit="1" customWidth="1"/>
    <col min="2" max="2" width="20.109375" bestFit="1" customWidth="1"/>
    <col min="3" max="3" width="10.33203125" bestFit="1" customWidth="1"/>
    <col min="4" max="4" width="18" bestFit="1" customWidth="1"/>
    <col min="5" max="5" width="17.44140625" bestFit="1" customWidth="1"/>
    <col min="6" max="6" width="12.44140625" bestFit="1" customWidth="1"/>
    <col min="7" max="8" width="18" bestFit="1" customWidth="1"/>
    <col min="11" max="12" width="14.109375" bestFit="1" customWidth="1"/>
    <col min="13" max="13" width="20.5546875" bestFit="1" customWidth="1"/>
  </cols>
  <sheetData>
    <row r="3" spans="1:6" x14ac:dyDescent="0.3">
      <c r="B3" t="s">
        <v>0</v>
      </c>
      <c r="C3" t="s">
        <v>1</v>
      </c>
      <c r="D3" t="s">
        <v>2</v>
      </c>
      <c r="E3" t="s">
        <v>3</v>
      </c>
      <c r="F3" t="s">
        <v>6</v>
      </c>
    </row>
    <row r="4" spans="1:6" x14ac:dyDescent="0.3">
      <c r="B4" t="s">
        <v>4</v>
      </c>
      <c r="C4" s="1">
        <v>25</v>
      </c>
      <c r="D4" s="1">
        <v>3</v>
      </c>
      <c r="E4" s="1">
        <v>0.5</v>
      </c>
      <c r="F4" s="1">
        <f>D4/C4</f>
        <v>0.12</v>
      </c>
    </row>
    <row r="5" spans="1:6" x14ac:dyDescent="0.3">
      <c r="B5" t="s">
        <v>5</v>
      </c>
      <c r="C5" s="1">
        <v>50</v>
      </c>
      <c r="D5" s="1">
        <v>5</v>
      </c>
      <c r="E5" s="1">
        <v>0.25</v>
      </c>
      <c r="F5" s="1">
        <f>D5/C5</f>
        <v>0.1</v>
      </c>
    </row>
    <row r="8" spans="1:6" x14ac:dyDescent="0.3">
      <c r="B8" t="s">
        <v>7</v>
      </c>
      <c r="C8">
        <v>700</v>
      </c>
    </row>
    <row r="9" spans="1:6" x14ac:dyDescent="0.3">
      <c r="B9" t="s">
        <v>8</v>
      </c>
      <c r="C9">
        <v>9000</v>
      </c>
    </row>
    <row r="10" spans="1:6" x14ac:dyDescent="0.3">
      <c r="B10" t="s">
        <v>10</v>
      </c>
      <c r="C10">
        <v>80000</v>
      </c>
    </row>
    <row r="12" spans="1:6" x14ac:dyDescent="0.3">
      <c r="B12" t="s">
        <v>9</v>
      </c>
    </row>
    <row r="15" spans="1:6" ht="20.399999999999999" thickBot="1" x14ac:dyDescent="0.45">
      <c r="A15" s="2" t="s">
        <v>11</v>
      </c>
    </row>
    <row r="16" spans="1:6" ht="15" thickTop="1" x14ac:dyDescent="0.3"/>
    <row r="17" spans="2:13" x14ac:dyDescent="0.3">
      <c r="B17" t="s">
        <v>0</v>
      </c>
      <c r="C17" t="s">
        <v>12</v>
      </c>
      <c r="D17" t="s">
        <v>13</v>
      </c>
      <c r="E17" t="s">
        <v>14</v>
      </c>
      <c r="F17" t="s">
        <v>15</v>
      </c>
    </row>
    <row r="18" spans="2:13" x14ac:dyDescent="0.3">
      <c r="B18" t="s">
        <v>16</v>
      </c>
      <c r="C18">
        <v>25</v>
      </c>
      <c r="D18">
        <v>3</v>
      </c>
      <c r="E18">
        <v>0.5</v>
      </c>
      <c r="F18">
        <v>0</v>
      </c>
    </row>
    <row r="19" spans="2:13" x14ac:dyDescent="0.3">
      <c r="B19" t="s">
        <v>5</v>
      </c>
      <c r="C19">
        <v>50</v>
      </c>
      <c r="D19">
        <v>5</v>
      </c>
      <c r="E19">
        <v>0.25</v>
      </c>
      <c r="F19">
        <v>0</v>
      </c>
      <c r="L19" t="s">
        <v>24</v>
      </c>
      <c r="M19" t="s">
        <v>23</v>
      </c>
    </row>
    <row r="22" spans="2:13" x14ac:dyDescent="0.3">
      <c r="B22" t="s">
        <v>17</v>
      </c>
      <c r="C22">
        <f>D18*F18+D19*F19</f>
        <v>0</v>
      </c>
    </row>
    <row r="24" spans="2:13" x14ac:dyDescent="0.3">
      <c r="B24" t="s">
        <v>18</v>
      </c>
      <c r="C24">
        <f>C18*F18+C19*F19+G18-H18</f>
        <v>0</v>
      </c>
      <c r="D24" t="s">
        <v>19</v>
      </c>
      <c r="E24">
        <v>80000</v>
      </c>
    </row>
    <row r="25" spans="2:13" x14ac:dyDescent="0.3">
      <c r="B25" t="s">
        <v>20</v>
      </c>
      <c r="C25">
        <f>E18*F18+E19*F19+G18-H18</f>
        <v>0</v>
      </c>
      <c r="D25" t="s">
        <v>19</v>
      </c>
      <c r="E25">
        <v>700</v>
      </c>
    </row>
    <row r="26" spans="2:13" x14ac:dyDescent="0.3">
      <c r="B26" t="s">
        <v>21</v>
      </c>
      <c r="C26">
        <f>F18*D18+D19*F19+G18-H18</f>
        <v>0</v>
      </c>
      <c r="D26" t="s">
        <v>22</v>
      </c>
      <c r="E26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GHOSH_MBA25084</dc:creator>
  <cp:lastModifiedBy>ROHIT GHOSH</cp:lastModifiedBy>
  <dcterms:created xsi:type="dcterms:W3CDTF">2015-06-05T18:17:20Z</dcterms:created>
  <dcterms:modified xsi:type="dcterms:W3CDTF">2026-01-08T07:42:38Z</dcterms:modified>
</cp:coreProperties>
</file>