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5057AE49-DC4A-4FC7-89C7-43357073A013}" xr6:coauthVersionLast="47" xr6:coauthVersionMax="47" xr10:uidLastSave="{00000000-0000-0000-0000-000000000000}"/>
  <bookViews>
    <workbookView xWindow="-108" yWindow="-108" windowWidth="23256" windowHeight="13176" xr2:uid="{69188BEC-DE3C-C848-8EE7-ACE63245D391}"/>
  </bookViews>
  <sheets>
    <sheet name="Tv advt" sheetId="2" r:id="rId1"/>
  </sheets>
  <definedNames>
    <definedName name="solver_adj" localSheetId="0" hidden="1">'Tv advt'!$F$12:$G$17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'Tv advt'!#REF!</definedName>
    <definedName name="solver_lhs1" localSheetId="0" hidden="1">'Tv advt'!$B$29:$B$31</definedName>
    <definedName name="solver_lhs2" localSheetId="0" hidden="1">'Tv advt'!$B$32</definedName>
    <definedName name="solver_lhs3" localSheetId="0" hidden="1">'Tv advt'!$F$12</definedName>
    <definedName name="solver_lhs4" localSheetId="0" hidden="1">'Tv advt'!$F$12:$F$17</definedName>
    <definedName name="solver_lhs5" localSheetId="0" hidden="1">'Tv advt'!$F$14</definedName>
    <definedName name="solver_lhs6" localSheetId="0" hidden="1">'Tv advt'!$F$16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'Tv advt'!$B$37</definedName>
    <definedName name="solver_pre" localSheetId="0" hidden="1">0.000001</definedName>
    <definedName name="solver_rbv" localSheetId="0" hidden="1">1</definedName>
    <definedName name="solver_rel0" localSheetId="0" hidden="1">3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hs0" localSheetId="0" hidden="1">'Tv advt'!#REF!</definedName>
    <definedName name="solver_rhs1" localSheetId="0" hidden="1">'Tv advt'!$D$29:$D$31</definedName>
    <definedName name="solver_rhs2" localSheetId="0" hidden="1">'Tv advt'!$D$32</definedName>
    <definedName name="solver_rhs3" localSheetId="0" hidden="1">2</definedName>
    <definedName name="solver_rhs4" localSheetId="0" hidden="1">0</definedName>
    <definedName name="solver_rhs5" localSheetId="0" hidden="1">2</definedName>
    <definedName name="solver_rhs6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7" i="2"/>
  <c r="B32" i="2"/>
  <c r="B31" i="2"/>
  <c r="B30" i="2"/>
</calcChain>
</file>

<file path=xl/sharedStrings.xml><?xml version="1.0" encoding="utf-8"?>
<sst xmlns="http://schemas.openxmlformats.org/spreadsheetml/2006/main" count="55" uniqueCount="47">
  <si>
    <t>65 million</t>
  </si>
  <si>
    <t>Low Income People</t>
  </si>
  <si>
    <t>70 million</t>
  </si>
  <si>
    <t>72 million</t>
  </si>
  <si>
    <t>Advt Type</t>
  </si>
  <si>
    <t>Sports Show</t>
  </si>
  <si>
    <t>News</t>
  </si>
  <si>
    <t>Sitcom</t>
  </si>
  <si>
    <t>Drama</t>
  </si>
  <si>
    <t>Soap Opera</t>
  </si>
  <si>
    <t>HIM</t>
  </si>
  <si>
    <t>WIM</t>
  </si>
  <si>
    <t>LIP</t>
  </si>
  <si>
    <t>Cost</t>
  </si>
  <si>
    <t>Reach for a 1-minute advt</t>
  </si>
  <si>
    <t>Game Show</t>
  </si>
  <si>
    <t>An Advt company that has a presence across 6 different media segments, also has the following 3 goals</t>
  </si>
  <si>
    <t>Conditions : At least two advts on sports shows, on news ads and on dramas are mandated</t>
  </si>
  <si>
    <t>High Income Men</t>
  </si>
  <si>
    <t>High Income Women</t>
  </si>
  <si>
    <t>They have a target to reach at least</t>
  </si>
  <si>
    <t>Total funds $ (thousand)</t>
  </si>
  <si>
    <t>2) Design an optimal mix of advt release that will meet the target goals</t>
  </si>
  <si>
    <t>3) What challenges are you facing doing so? How can you take care of the challenges?</t>
  </si>
  <si>
    <t>1) Formulate this as an optimization problem</t>
  </si>
  <si>
    <t>NUMBER</t>
  </si>
  <si>
    <t>D1+</t>
  </si>
  <si>
    <t>D1-</t>
  </si>
  <si>
    <t>D2+</t>
  </si>
  <si>
    <t>D2-</t>
  </si>
  <si>
    <t>D3+</t>
  </si>
  <si>
    <t>D3-</t>
  </si>
  <si>
    <t>Goal Constraints</t>
  </si>
  <si>
    <t>At least 65 million HIM</t>
  </si>
  <si>
    <t>SHORTFALL OF HIM</t>
  </si>
  <si>
    <t>EXCESS OF HIM</t>
  </si>
  <si>
    <t>EXCESS OF HIW</t>
  </si>
  <si>
    <t>SHORTFALL OF HIW</t>
  </si>
  <si>
    <t>EXCESS OF LIP</t>
  </si>
  <si>
    <t>SHORTFALL OF LIP</t>
  </si>
  <si>
    <t>At least 72 million WIM</t>
  </si>
  <si>
    <t>at least 70 million LIP</t>
  </si>
  <si>
    <t>Budget Constraint</t>
  </si>
  <si>
    <t>Objective Function</t>
  </si>
  <si>
    <t>MIN:- D1-+D2-+D3-</t>
  </si>
  <si>
    <t>&lt;=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</si>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</sst>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15D0-4891-4D42-8262-9C1789DE9E30}">
  <dimension ref="A1:J37"/>
  <sheetViews>
    <sheetView tabSelected="1" topLeftCell="A16" zoomScale="91" workbookViewId="0">
      <selection activeCell="B29" sqref="B29"/>
    </sheetView>
  </sheetViews>
  <sheetFormatPr defaultColWidth="11.19921875" defaultRowHeight="15.6" x14ac:dyDescent="0.3"/>
  <cols>
    <col min="1" max="1" width="22.296875" customWidth="1"/>
    <col min="2" max="2" width="11" customWidth="1"/>
    <col min="3" max="4" width="11.69921875" bestFit="1" customWidth="1"/>
    <col min="8" max="8" width="23.3984375" bestFit="1" customWidth="1"/>
    <col min="9" max="9" width="17" bestFit="1" customWidth="1"/>
  </cols>
  <sheetData>
    <row r="1" spans="1:10" x14ac:dyDescent="0.3">
      <c r="A1" t="s">
        <v>16</v>
      </c>
    </row>
    <row r="2" spans="1:10" x14ac:dyDescent="0.3">
      <c r="A2" t="s">
        <v>20</v>
      </c>
    </row>
    <row r="3" spans="1:10" x14ac:dyDescent="0.3">
      <c r="B3" t="s">
        <v>0</v>
      </c>
      <c r="C3" t="s">
        <v>18</v>
      </c>
    </row>
    <row r="4" spans="1:10" x14ac:dyDescent="0.3">
      <c r="B4" t="s">
        <v>3</v>
      </c>
      <c r="C4" t="s">
        <v>19</v>
      </c>
    </row>
    <row r="5" spans="1:10" x14ac:dyDescent="0.3">
      <c r="B5" t="s">
        <v>2</v>
      </c>
      <c r="C5" t="s">
        <v>1</v>
      </c>
    </row>
    <row r="7" spans="1:10" x14ac:dyDescent="0.3">
      <c r="A7" t="s">
        <v>21</v>
      </c>
      <c r="B7" s="1">
        <v>700</v>
      </c>
    </row>
    <row r="9" spans="1:10" x14ac:dyDescent="0.3">
      <c r="A9" s="2" t="s">
        <v>14</v>
      </c>
      <c r="B9" s="2"/>
      <c r="C9" s="2"/>
      <c r="D9" s="2"/>
      <c r="E9" s="2"/>
    </row>
    <row r="10" spans="1:10" x14ac:dyDescent="0.3">
      <c r="A10" s="3" t="s">
        <v>4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25</v>
      </c>
      <c r="H10" s="3"/>
      <c r="I10" s="3"/>
    </row>
    <row r="11" spans="1:10" x14ac:dyDescent="0.3">
      <c r="B11" s="1"/>
      <c r="C11" s="1"/>
      <c r="D11" s="1"/>
      <c r="E11" s="1"/>
    </row>
    <row r="12" spans="1:10" x14ac:dyDescent="0.3">
      <c r="A12" t="s">
        <v>5</v>
      </c>
      <c r="B12" s="1">
        <v>7</v>
      </c>
      <c r="C12" s="1">
        <v>4</v>
      </c>
      <c r="D12" s="1">
        <v>8</v>
      </c>
      <c r="E12" s="1">
        <v>120</v>
      </c>
      <c r="F12" s="5">
        <v>2</v>
      </c>
      <c r="G12" s="4">
        <v>0</v>
      </c>
      <c r="I12" s="1" t="s">
        <v>35</v>
      </c>
      <c r="J12" s="1" t="s">
        <v>26</v>
      </c>
    </row>
    <row r="13" spans="1:10" x14ac:dyDescent="0.3">
      <c r="A13" t="s">
        <v>15</v>
      </c>
      <c r="B13" s="1">
        <v>3</v>
      </c>
      <c r="C13" s="1">
        <v>5</v>
      </c>
      <c r="D13" s="1">
        <v>6</v>
      </c>
      <c r="E13" s="1">
        <v>40</v>
      </c>
      <c r="F13" s="5">
        <v>0</v>
      </c>
      <c r="G13" s="4">
        <v>3.0000001239169949</v>
      </c>
      <c r="I13" s="1" t="s">
        <v>34</v>
      </c>
      <c r="J13" s="1" t="s">
        <v>27</v>
      </c>
    </row>
    <row r="14" spans="1:10" x14ac:dyDescent="0.3">
      <c r="A14" t="s">
        <v>6</v>
      </c>
      <c r="B14" s="1">
        <v>6</v>
      </c>
      <c r="C14" s="1">
        <v>5</v>
      </c>
      <c r="D14" s="1">
        <v>3</v>
      </c>
      <c r="E14" s="1">
        <v>50</v>
      </c>
      <c r="F14" s="5">
        <v>1.9999999999999998</v>
      </c>
      <c r="G14" s="4">
        <v>0</v>
      </c>
      <c r="I14" s="1" t="s">
        <v>36</v>
      </c>
      <c r="J14" s="1" t="s">
        <v>28</v>
      </c>
    </row>
    <row r="15" spans="1:10" x14ac:dyDescent="0.3">
      <c r="A15" t="s">
        <v>7</v>
      </c>
      <c r="B15" s="1">
        <v>4</v>
      </c>
      <c r="C15" s="1">
        <v>5</v>
      </c>
      <c r="D15" s="1">
        <v>7</v>
      </c>
      <c r="E15" s="1">
        <v>40</v>
      </c>
      <c r="F15" s="5">
        <v>3.9999999062466052</v>
      </c>
      <c r="G15" s="4">
        <v>7.3333336496567956</v>
      </c>
      <c r="I15" s="1" t="s">
        <v>37</v>
      </c>
      <c r="J15" s="1" t="s">
        <v>29</v>
      </c>
    </row>
    <row r="16" spans="1:10" x14ac:dyDescent="0.3">
      <c r="A16" t="s">
        <v>8</v>
      </c>
      <c r="B16" s="1">
        <v>6</v>
      </c>
      <c r="C16" s="1">
        <v>8</v>
      </c>
      <c r="D16" s="1">
        <v>6</v>
      </c>
      <c r="E16" s="1">
        <v>60</v>
      </c>
      <c r="F16" s="5">
        <v>3.3333334065394995</v>
      </c>
      <c r="G16" s="4">
        <v>2.5577736577349344E-8</v>
      </c>
      <c r="I16" s="1" t="s">
        <v>38</v>
      </c>
      <c r="J16" s="1" t="s">
        <v>30</v>
      </c>
    </row>
    <row r="17" spans="1:10" x14ac:dyDescent="0.3">
      <c r="A17" t="s">
        <v>9</v>
      </c>
      <c r="B17" s="1">
        <v>3</v>
      </c>
      <c r="C17" s="1">
        <v>4</v>
      </c>
      <c r="D17" s="1">
        <v>5</v>
      </c>
      <c r="E17" s="1">
        <v>40</v>
      </c>
      <c r="F17" s="5">
        <v>0</v>
      </c>
      <c r="G17" s="4">
        <v>0</v>
      </c>
      <c r="I17" s="1" t="s">
        <v>39</v>
      </c>
      <c r="J17" s="1" t="s">
        <v>31</v>
      </c>
    </row>
    <row r="18" spans="1:10" x14ac:dyDescent="0.3">
      <c r="H18" s="1"/>
      <c r="I18" s="1"/>
    </row>
    <row r="19" spans="1:10" x14ac:dyDescent="0.3">
      <c r="A19" t="s">
        <v>17</v>
      </c>
      <c r="H19" s="1"/>
      <c r="I19" s="1"/>
    </row>
    <row r="20" spans="1:10" x14ac:dyDescent="0.3">
      <c r="H20" s="1"/>
      <c r="I20" s="1"/>
    </row>
    <row r="21" spans="1:10" x14ac:dyDescent="0.3">
      <c r="A21" t="s">
        <v>24</v>
      </c>
      <c r="H21" s="1"/>
      <c r="I21" s="1"/>
    </row>
    <row r="22" spans="1:10" x14ac:dyDescent="0.3">
      <c r="A22" t="s">
        <v>22</v>
      </c>
      <c r="I22" s="1"/>
    </row>
    <row r="23" spans="1:10" x14ac:dyDescent="0.3">
      <c r="A23" t="s">
        <v>23</v>
      </c>
      <c r="I23" s="1"/>
    </row>
    <row r="27" spans="1:10" x14ac:dyDescent="0.3">
      <c r="A27" t="s">
        <v>32</v>
      </c>
    </row>
    <row r="29" spans="1:10" x14ac:dyDescent="0.3">
      <c r="A29" t="s">
        <v>33</v>
      </c>
      <c r="B29" s="4">
        <f>SUMPRODUCT(B12:B17,F12:F17)+G13-G12</f>
        <v>65.000000188140419</v>
      </c>
      <c r="C29" t="s">
        <v>46</v>
      </c>
      <c r="D29">
        <v>65</v>
      </c>
      <c r="F29" t="s">
        <v>5</v>
      </c>
      <c r="G29">
        <v>0</v>
      </c>
      <c r="H29" t="s">
        <v>46</v>
      </c>
      <c r="I29">
        <v>2</v>
      </c>
    </row>
    <row r="30" spans="1:10" x14ac:dyDescent="0.3">
      <c r="A30" t="s">
        <v>40</v>
      </c>
      <c r="B30" s="4">
        <f>SUMPRODUCT(C12:C17,F12:F17)+G15-G14</f>
        <v>72.000000433205827</v>
      </c>
      <c r="C30" t="s">
        <v>46</v>
      </c>
      <c r="D30">
        <v>72</v>
      </c>
      <c r="F30" t="s">
        <v>6</v>
      </c>
      <c r="G30">
        <v>0</v>
      </c>
      <c r="H30" t="s">
        <v>46</v>
      </c>
      <c r="I30">
        <v>2</v>
      </c>
    </row>
    <row r="31" spans="1:10" x14ac:dyDescent="0.3">
      <c r="A31" t="s">
        <v>41</v>
      </c>
      <c r="B31" s="4">
        <f>SUMPRODUCT(D12:D17,F12:F17)+G17-G16</f>
        <v>69.99999975738551</v>
      </c>
      <c r="C31" t="s">
        <v>46</v>
      </c>
      <c r="D31">
        <v>70</v>
      </c>
      <c r="F31" t="s">
        <v>8</v>
      </c>
      <c r="G31">
        <v>0</v>
      </c>
      <c r="H31" t="s">
        <v>46</v>
      </c>
      <c r="I31">
        <v>2</v>
      </c>
    </row>
    <row r="32" spans="1:10" x14ac:dyDescent="0.3">
      <c r="A32" t="s">
        <v>42</v>
      </c>
      <c r="B32" s="4">
        <f>SUMPRODUCT(E12:E17,F12:F17)</f>
        <v>700.00000064223423</v>
      </c>
      <c r="C32" t="s">
        <v>45</v>
      </c>
      <c r="D32">
        <v>700</v>
      </c>
    </row>
    <row r="33" spans="1:2" x14ac:dyDescent="0.3">
      <c r="B33" s="4"/>
    </row>
    <row r="34" spans="1:2" x14ac:dyDescent="0.3">
      <c r="B34" s="4"/>
    </row>
    <row r="35" spans="1:2" x14ac:dyDescent="0.3">
      <c r="A35" t="s">
        <v>43</v>
      </c>
      <c r="B35" s="4"/>
    </row>
    <row r="36" spans="1:2" x14ac:dyDescent="0.3">
      <c r="B36" s="4"/>
    </row>
    <row r="37" spans="1:2" x14ac:dyDescent="0.3">
      <c r="A37" t="s">
        <v>44</v>
      </c>
      <c r="B37" s="4">
        <f>G17+G15+G13</f>
        <v>10.333333773573791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advt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2026-01-03T12:41:23Z</dcterms:created>
  <dcterms:modified xsi:type="dcterms:W3CDTF">2026-01-13T06:34:56Z</dcterms:modified>
</cp:coreProperties>
</file>