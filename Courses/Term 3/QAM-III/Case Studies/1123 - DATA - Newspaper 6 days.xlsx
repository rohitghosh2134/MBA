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CDE57AD9-DAC8-467E-94EE-979ED81A2EE9}" xr6:coauthVersionLast="47" xr6:coauthVersionMax="47" xr10:uidLastSave="{00000000-0000-0000-0000-000000000000}"/>
  <bookViews>
    <workbookView xWindow="-108" yWindow="-108" windowWidth="23256" windowHeight="13176" xr2:uid="{2CE2C9BA-4814-7C41-B26F-ED005868280B}"/>
  </bookViews>
  <sheets>
    <sheet name="news boy or girl - P 11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/>
  <c r="L37" i="1"/>
  <c r="E39" i="1"/>
  <c r="J35" i="1"/>
  <c r="I35" i="1"/>
  <c r="H35" i="1"/>
  <c r="G35" i="1"/>
  <c r="F35" i="1"/>
  <c r="E35" i="1"/>
  <c r="J34" i="1"/>
  <c r="I34" i="1"/>
  <c r="H34" i="1"/>
  <c r="G34" i="1"/>
  <c r="F34" i="1"/>
  <c r="E34" i="1"/>
  <c r="J33" i="1"/>
  <c r="I33" i="1"/>
  <c r="H33" i="1"/>
  <c r="G33" i="1"/>
  <c r="F33" i="1"/>
  <c r="E33" i="1"/>
  <c r="J32" i="1"/>
  <c r="I32" i="1"/>
  <c r="H32" i="1"/>
  <c r="G32" i="1"/>
  <c r="F32" i="1"/>
  <c r="E32" i="1"/>
  <c r="J31" i="1"/>
  <c r="I31" i="1"/>
  <c r="H31" i="1"/>
  <c r="G31" i="1"/>
  <c r="F31" i="1"/>
  <c r="E31" i="1"/>
  <c r="J30" i="1"/>
  <c r="J37" i="1" s="1"/>
  <c r="I30" i="1"/>
  <c r="I37" i="1" s="1"/>
  <c r="H30" i="1"/>
  <c r="G30" i="1"/>
  <c r="F30" i="1"/>
  <c r="E30" i="1"/>
  <c r="G10" i="1"/>
  <c r="D19" i="1"/>
  <c r="D20" i="1"/>
  <c r="D21" i="1"/>
  <c r="D22" i="1"/>
  <c r="D23" i="1"/>
  <c r="D18" i="1"/>
  <c r="C24" i="1"/>
  <c r="G37" i="1" l="1"/>
  <c r="E37" i="1"/>
  <c r="H37" i="1"/>
  <c r="F37" i="1"/>
</calcChain>
</file>

<file path=xl/sharedStrings.xml><?xml version="1.0" encoding="utf-8"?>
<sst xmlns="http://schemas.openxmlformats.org/spreadsheetml/2006/main" count="36" uniqueCount="31">
  <si>
    <t>Cost Price</t>
  </si>
  <si>
    <t>Selling Price</t>
  </si>
  <si>
    <t>Unsold paper</t>
  </si>
  <si>
    <t>Table 1 : Distribution of Daily sale</t>
  </si>
  <si>
    <t>Table 2 : Commercials</t>
  </si>
  <si>
    <t>per unit</t>
  </si>
  <si>
    <t>per unit, returned to him by the company</t>
  </si>
  <si>
    <t>Decsription</t>
  </si>
  <si>
    <t>Value in $</t>
  </si>
  <si>
    <t>No. of such Days</t>
  </si>
  <si>
    <t>Copies of the Newspaper sold daily</t>
  </si>
  <si>
    <t>A newspaper boy was facing the following distribution (Table 1) on the number of copies of the popular newspaper TPH (Time-Pass Herald) that he could sell on a given day. This was collated using data from 50 randomly chosen business days. Also, the commercials that he faces daily, appear in Table-2 below.</t>
  </si>
  <si>
    <t xml:space="preserve">If a market prediction specialist can accurately predict the demand every day and charges him a fee for such daily insights, how much should our newspaper boy be willing to pay for this specialized prediction service?  </t>
  </si>
  <si>
    <t>What would you want to suggest as his best stocking policy for tomorrow?</t>
  </si>
  <si>
    <t>P - 1123</t>
  </si>
  <si>
    <t>a)</t>
  </si>
  <si>
    <t>b)</t>
  </si>
  <si>
    <t>PERCENT OF ALL</t>
  </si>
  <si>
    <t>TOTAL</t>
  </si>
  <si>
    <t>DECISION TABLE</t>
  </si>
  <si>
    <t>Profit</t>
  </si>
  <si>
    <t>Sell Down Buy Across</t>
  </si>
  <si>
    <t>EMV</t>
  </si>
  <si>
    <t>percent</t>
  </si>
  <si>
    <t>market demand -&gt;</t>
  </si>
  <si>
    <t>HIGHEST EFFECTIVE MONEY VALUE TO BE CHOSEN</t>
  </si>
  <si>
    <t>UNITS</t>
  </si>
  <si>
    <t>VALUE OF PERFECT INFORMATION</t>
  </si>
  <si>
    <t>LESS THAN</t>
  </si>
  <si>
    <t>EVPI</t>
  </si>
  <si>
    <t>EFFECTIVE VALUE OF PERFECT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</si>
</sst>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0024-19AD-504A-A090-3C5BB3452DE3}">
  <dimension ref="A1:N42"/>
  <sheetViews>
    <sheetView tabSelected="1" topLeftCell="D26" zoomScale="112" workbookViewId="0">
      <selection activeCell="L41" sqref="L41"/>
    </sheetView>
  </sheetViews>
  <sheetFormatPr defaultColWidth="11.19921875" defaultRowHeight="15.6" x14ac:dyDescent="0.3"/>
  <cols>
    <col min="1" max="1" width="29.59765625" style="3" bestFit="1" customWidth="1"/>
    <col min="2" max="2" width="64.5" style="3" bestFit="1" customWidth="1"/>
    <col min="3" max="3" width="11.19921875" style="3"/>
    <col min="4" max="4" width="43.19921875" style="3" bestFit="1" customWidth="1"/>
    <col min="5" max="5" width="11.19921875" style="3"/>
    <col min="6" max="6" width="13.19921875" style="3" customWidth="1"/>
    <col min="7" max="7" width="9.19921875" style="3" bestFit="1" customWidth="1"/>
    <col min="8" max="8" width="36.5" style="3" bestFit="1" customWidth="1"/>
    <col min="9" max="12" width="11.19921875" style="3"/>
    <col min="13" max="13" width="29.69921875" style="3" bestFit="1" customWidth="1"/>
    <col min="14" max="16384" width="11.19921875" style="3"/>
  </cols>
  <sheetData>
    <row r="1" spans="1:9" x14ac:dyDescent="0.3">
      <c r="A1" s="2" t="s">
        <v>14</v>
      </c>
    </row>
    <row r="2" spans="1:9" ht="58.95" customHeight="1" x14ac:dyDescent="0.3">
      <c r="A2" s="4" t="s">
        <v>11</v>
      </c>
      <c r="B2" s="4"/>
      <c r="C2" s="4"/>
      <c r="D2" s="4"/>
      <c r="E2" s="4"/>
      <c r="F2" s="4"/>
      <c r="G2" s="4"/>
      <c r="H2" s="4"/>
    </row>
    <row r="4" spans="1:9" x14ac:dyDescent="0.3">
      <c r="A4" s="2" t="s">
        <v>3</v>
      </c>
      <c r="F4" s="2" t="s">
        <v>4</v>
      </c>
    </row>
    <row r="5" spans="1:9" ht="31.2" x14ac:dyDescent="0.3">
      <c r="A5" s="5" t="s">
        <v>10</v>
      </c>
      <c r="B5" s="5" t="s">
        <v>9</v>
      </c>
      <c r="F5" s="5" t="s">
        <v>7</v>
      </c>
      <c r="G5" s="5" t="s">
        <v>8</v>
      </c>
    </row>
    <row r="6" spans="1:9" x14ac:dyDescent="0.3">
      <c r="A6" s="6">
        <v>10</v>
      </c>
      <c r="B6" s="6">
        <v>3</v>
      </c>
      <c r="F6" s="3" t="s">
        <v>1</v>
      </c>
      <c r="G6" s="3">
        <v>5</v>
      </c>
      <c r="H6" s="3" t="s">
        <v>5</v>
      </c>
    </row>
    <row r="7" spans="1:9" x14ac:dyDescent="0.3">
      <c r="A7" s="6">
        <v>11</v>
      </c>
      <c r="B7" s="6">
        <v>5</v>
      </c>
      <c r="F7" s="3" t="s">
        <v>0</v>
      </c>
      <c r="G7" s="3">
        <v>3</v>
      </c>
      <c r="H7" s="3" t="s">
        <v>5</v>
      </c>
    </row>
    <row r="8" spans="1:9" x14ac:dyDescent="0.3">
      <c r="A8" s="6">
        <v>12</v>
      </c>
      <c r="B8" s="6">
        <v>14</v>
      </c>
      <c r="F8" s="3" t="s">
        <v>2</v>
      </c>
      <c r="G8" s="3">
        <v>2</v>
      </c>
      <c r="H8" s="3" t="s">
        <v>6</v>
      </c>
    </row>
    <row r="9" spans="1:9" x14ac:dyDescent="0.3">
      <c r="A9" s="6">
        <v>13</v>
      </c>
      <c r="B9" s="6">
        <v>11</v>
      </c>
    </row>
    <row r="10" spans="1:9" x14ac:dyDescent="0.3">
      <c r="A10" s="6">
        <v>14</v>
      </c>
      <c r="B10" s="6">
        <v>13</v>
      </c>
      <c r="F10" s="3" t="s">
        <v>20</v>
      </c>
      <c r="G10" s="3">
        <f>G6-G7</f>
        <v>2</v>
      </c>
    </row>
    <row r="11" spans="1:9" x14ac:dyDescent="0.3">
      <c r="A11" s="6">
        <v>15</v>
      </c>
      <c r="B11" s="6">
        <v>4</v>
      </c>
    </row>
    <row r="13" spans="1:9" x14ac:dyDescent="0.3">
      <c r="A13" s="3" t="s">
        <v>15</v>
      </c>
      <c r="B13" s="3" t="s">
        <v>13</v>
      </c>
    </row>
    <row r="14" spans="1:9" ht="33" customHeight="1" x14ac:dyDescent="0.3">
      <c r="A14" s="3" t="s">
        <v>16</v>
      </c>
      <c r="B14" s="4" t="s">
        <v>12</v>
      </c>
      <c r="C14" s="4"/>
      <c r="D14" s="4"/>
      <c r="E14" s="4"/>
      <c r="F14" s="4"/>
      <c r="G14" s="4"/>
      <c r="H14" s="4"/>
      <c r="I14" s="4"/>
    </row>
    <row r="17" spans="1:14" ht="62.4" x14ac:dyDescent="0.3">
      <c r="B17" s="5" t="s">
        <v>10</v>
      </c>
      <c r="C17" s="5" t="s">
        <v>9</v>
      </c>
      <c r="D17" s="3" t="s">
        <v>17</v>
      </c>
    </row>
    <row r="18" spans="1:14" x14ac:dyDescent="0.3">
      <c r="B18" s="6">
        <v>10</v>
      </c>
      <c r="C18" s="6">
        <v>3</v>
      </c>
      <c r="D18" s="1">
        <f>_xlfn.PERCENTOF(C18,$C$24)</f>
        <v>0.06</v>
      </c>
    </row>
    <row r="19" spans="1:14" x14ac:dyDescent="0.3">
      <c r="B19" s="6">
        <v>11</v>
      </c>
      <c r="C19" s="6">
        <v>5</v>
      </c>
      <c r="D19" s="1">
        <f t="shared" ref="D19:D23" si="0">_xlfn.PERCENTOF(C19,$C$24)</f>
        <v>0.1</v>
      </c>
    </row>
    <row r="20" spans="1:14" x14ac:dyDescent="0.3">
      <c r="B20" s="6">
        <v>12</v>
      </c>
      <c r="C20" s="6">
        <v>14</v>
      </c>
      <c r="D20" s="1">
        <f t="shared" si="0"/>
        <v>0.28000000000000003</v>
      </c>
    </row>
    <row r="21" spans="1:14" x14ac:dyDescent="0.3">
      <c r="B21" s="6">
        <v>13</v>
      </c>
      <c r="C21" s="6">
        <v>11</v>
      </c>
      <c r="D21" s="1">
        <f t="shared" si="0"/>
        <v>0.22</v>
      </c>
    </row>
    <row r="22" spans="1:14" x14ac:dyDescent="0.3">
      <c r="B22" s="6">
        <v>14</v>
      </c>
      <c r="C22" s="6">
        <v>13</v>
      </c>
      <c r="D22" s="1">
        <f t="shared" si="0"/>
        <v>0.26</v>
      </c>
    </row>
    <row r="23" spans="1:14" x14ac:dyDescent="0.3">
      <c r="B23" s="6">
        <v>15</v>
      </c>
      <c r="C23" s="6">
        <v>4</v>
      </c>
      <c r="D23" s="1">
        <f t="shared" si="0"/>
        <v>0.08</v>
      </c>
    </row>
    <row r="24" spans="1:14" x14ac:dyDescent="0.3">
      <c r="A24" s="3" t="s">
        <v>18</v>
      </c>
      <c r="C24" s="2">
        <f>SUM(C18:C23)</f>
        <v>50</v>
      </c>
    </row>
    <row r="28" spans="1:14" x14ac:dyDescent="0.3">
      <c r="G28" s="3" t="s">
        <v>19</v>
      </c>
      <c r="K28" s="3" t="s">
        <v>23</v>
      </c>
      <c r="L28" s="3" t="s">
        <v>22</v>
      </c>
      <c r="M28" s="3" t="s">
        <v>26</v>
      </c>
      <c r="N28" s="3" t="s">
        <v>22</v>
      </c>
    </row>
    <row r="29" spans="1:14" x14ac:dyDescent="0.3">
      <c r="D29" s="3" t="s">
        <v>21</v>
      </c>
      <c r="E29" s="6">
        <v>10</v>
      </c>
      <c r="F29" s="6">
        <v>11</v>
      </c>
      <c r="G29" s="6">
        <v>12</v>
      </c>
      <c r="H29" s="6">
        <v>13</v>
      </c>
      <c r="I29" s="6">
        <v>14</v>
      </c>
      <c r="J29" s="6">
        <v>15</v>
      </c>
      <c r="M29" s="6">
        <v>10</v>
      </c>
      <c r="N29" s="3">
        <v>20.000000000000004</v>
      </c>
    </row>
    <row r="30" spans="1:14" x14ac:dyDescent="0.3">
      <c r="D30" s="6">
        <v>10</v>
      </c>
      <c r="E30" s="6">
        <f>IF(E$29=$D30,E$29*$G$10,IF($D30&gt;E$29,E$29*$G$10,$D30*$G$10+($D30-E$29)))</f>
        <v>20</v>
      </c>
      <c r="F30" s="7">
        <f>IF(F$29=$D30,F$29*$G$10,IF($D30&gt;F$29,F$29*$G$10,$D30*$G$10+($D30-F$29)))</f>
        <v>19</v>
      </c>
      <c r="G30" s="7">
        <f>IF(G$29=$D30,G$29*$G$10,IF($D30&gt;G$29,G$29*$G$10,$D30*$G$10+($D30-G$29)))</f>
        <v>18</v>
      </c>
      <c r="H30" s="7">
        <f>IF(H$29=$D30,H$29*$G$10,IF($D30&gt;H$29,H$29*$G$10,$D30*$G$10+($D30-H$29)))</f>
        <v>17</v>
      </c>
      <c r="I30" s="7">
        <f>IF(I$29=$D30,I$29*$G$10,IF($D30&gt;I$29,I$29*$G$10,$D30*$G$10+($D30-I$29)))</f>
        <v>16</v>
      </c>
      <c r="J30" s="7">
        <f>IF(J$29=$D30,J$29*$G$10,IF($D30&gt;J$29,J$29*$G$10,$D30*$G$10+($D30-J$29)))</f>
        <v>15</v>
      </c>
      <c r="K30" s="3">
        <v>0.06</v>
      </c>
      <c r="L30" s="3">
        <v>20</v>
      </c>
      <c r="M30" s="6">
        <v>11</v>
      </c>
      <c r="N30" s="3">
        <v>21.820000000000004</v>
      </c>
    </row>
    <row r="31" spans="1:14" x14ac:dyDescent="0.3">
      <c r="D31" s="6">
        <v>11</v>
      </c>
      <c r="E31" s="6">
        <f>IF(E$29=$D31,E$29*$G$10,IF($D31&gt;E$29,E$29*$G$10,$D31*$G$10+($D31-E$29)))</f>
        <v>20</v>
      </c>
      <c r="F31" s="6">
        <f>IF(F$29=$D31,F$29*$G$10,IF($D31&gt;F$29,F$29*$G$10,$D31*$G$10+($D31-F$29)))</f>
        <v>22</v>
      </c>
      <c r="G31" s="7">
        <f>IF(G$29=$D31,G$29*$G$10,IF($D31&gt;G$29,G$29*$G$10,$D31*$G$10+($D31-G$29)))</f>
        <v>21</v>
      </c>
      <c r="H31" s="7">
        <f>IF(H$29=$D31,H$29*$G$10,IF($D31&gt;H$29,H$29*$G$10,$D31*$G$10+($D31-H$29)))</f>
        <v>20</v>
      </c>
      <c r="I31" s="7">
        <f>IF(I$29=$D31,I$29*$G$10,IF($D31&gt;I$29,I$29*$G$10,$D31*$G$10+($D31-I$29)))</f>
        <v>19</v>
      </c>
      <c r="J31" s="7">
        <f>IF(J$29=$D31,J$29*$G$10,IF($D31&gt;J$29,J$29*$G$10,$D31*$G$10+($D31-J$29)))</f>
        <v>18</v>
      </c>
      <c r="K31" s="3">
        <v>0.1</v>
      </c>
      <c r="L31" s="3">
        <v>22</v>
      </c>
      <c r="M31" s="6">
        <v>12</v>
      </c>
      <c r="N31" s="3">
        <v>23.340000000000003</v>
      </c>
    </row>
    <row r="32" spans="1:14" x14ac:dyDescent="0.3">
      <c r="B32" s="3" t="s">
        <v>24</v>
      </c>
      <c r="D32" s="6">
        <v>12</v>
      </c>
      <c r="E32" s="6">
        <f>IF(E$29=$D32,E$29*$G$10,IF($D32&gt;E$29,E$29*$G$10,$D32*$G$10+($D32-E$29)))</f>
        <v>20</v>
      </c>
      <c r="F32" s="6">
        <f>IF(F$29=$D32,F$29*$G$10,IF($D32&gt;F$29,F$29*$G$10,$D32*$G$10+($D32-F$29)))</f>
        <v>22</v>
      </c>
      <c r="G32" s="6">
        <f>IF(G$29=$D32,G$29*$G$10,IF($D32&gt;G$29,G$29*$G$10,$D32*$G$10+($D32-G$29)))</f>
        <v>24</v>
      </c>
      <c r="H32" s="7">
        <f>IF(H$29=$D32,H$29*$G$10,IF($D32&gt;H$29,H$29*$G$10,$D32*$G$10+($D32-H$29)))</f>
        <v>23</v>
      </c>
      <c r="I32" s="7">
        <f>IF(I$29=$D32,I$29*$G$10,IF($D32&gt;I$29,I$29*$G$10,$D32*$G$10+($D32-I$29)))</f>
        <v>22</v>
      </c>
      <c r="J32" s="7">
        <f>IF(J$29=$D32,J$29*$G$10,IF($D32&gt;J$29,J$29*$G$10,$D32*$G$10+($D32-J$29)))</f>
        <v>21</v>
      </c>
      <c r="K32" s="3">
        <v>0.28000000000000003</v>
      </c>
      <c r="L32" s="3">
        <v>24</v>
      </c>
      <c r="M32" s="6">
        <v>13</v>
      </c>
      <c r="N32" s="3">
        <v>24.019999999999996</v>
      </c>
    </row>
    <row r="33" spans="4:14" x14ac:dyDescent="0.3">
      <c r="D33" s="6">
        <v>13</v>
      </c>
      <c r="E33" s="6">
        <f>IF(E$29=$D33,E$29*$G$10,IF($D33&gt;E$29,E$29*$G$10,$D33*$G$10+($D33-E$29)))</f>
        <v>20</v>
      </c>
      <c r="F33" s="6">
        <f>IF(F$29=$D33,F$29*$G$10,IF($D33&gt;F$29,F$29*$G$10,$D33*$G$10+($D33-F$29)))</f>
        <v>22</v>
      </c>
      <c r="G33" s="6">
        <f>IF(G$29=$D33,G$29*$G$10,IF($D33&gt;G$29,G$29*$G$10,$D33*$G$10+($D33-G$29)))</f>
        <v>24</v>
      </c>
      <c r="H33" s="6">
        <f>IF(H$29=$D33,H$29*$G$10,IF($D33&gt;H$29,H$29*$G$10,$D33*$G$10+($D33-H$29)))</f>
        <v>26</v>
      </c>
      <c r="I33" s="7">
        <f>IF(I$29=$D33,I$29*$G$10,IF($D33&gt;I$29,I$29*$G$10,$D33*$G$10+($D33-I$29)))</f>
        <v>25</v>
      </c>
      <c r="J33" s="7">
        <f>IF(J$29=$D33,J$29*$G$10,IF($D33&gt;J$29,J$29*$G$10,$D33*$G$10+($D33-J$29)))</f>
        <v>24</v>
      </c>
      <c r="K33" s="3">
        <v>0.22</v>
      </c>
      <c r="L33" s="3">
        <v>26</v>
      </c>
      <c r="M33" s="6">
        <v>14</v>
      </c>
      <c r="N33" s="3">
        <v>24.04</v>
      </c>
    </row>
    <row r="34" spans="4:14" x14ac:dyDescent="0.3">
      <c r="D34" s="6">
        <v>14</v>
      </c>
      <c r="E34" s="6">
        <f>IF(E$29=$D34,E$29*$G$10,IF($D34&gt;E$29,E$29*$G$10,$D34*$G$10+($D34-E$29)))</f>
        <v>20</v>
      </c>
      <c r="F34" s="6">
        <f>IF(F$29=$D34,F$29*$G$10,IF($D34&gt;F$29,F$29*$G$10,$D34*$G$10+($D34-F$29)))</f>
        <v>22</v>
      </c>
      <c r="G34" s="6">
        <f>IF(G$29=$D34,G$29*$G$10,IF($D34&gt;G$29,G$29*$G$10,$D34*$G$10+($D34-G$29)))</f>
        <v>24</v>
      </c>
      <c r="H34" s="6">
        <f>IF(H$29=$D34,H$29*$G$10,IF($D34&gt;H$29,H$29*$G$10,$D34*$G$10+($D34-H$29)))</f>
        <v>26</v>
      </c>
      <c r="I34" s="6">
        <f>IF(I$29=$D34,I$29*$G$10,IF($D34&gt;I$29,I$29*$G$10,$D34*$G$10+($D34-I$29)))</f>
        <v>28</v>
      </c>
      <c r="J34" s="7">
        <f>IF(J$29=$D34,J$29*$G$10,IF($D34&gt;J$29,J$29*$G$10,$D34*$G$10+($D34-J$29)))</f>
        <v>27</v>
      </c>
      <c r="K34" s="3">
        <v>0.26</v>
      </c>
      <c r="L34" s="3">
        <v>28</v>
      </c>
      <c r="M34" s="6">
        <v>15</v>
      </c>
      <c r="N34" s="3">
        <v>23.28</v>
      </c>
    </row>
    <row r="35" spans="4:14" x14ac:dyDescent="0.3">
      <c r="D35" s="6">
        <v>15</v>
      </c>
      <c r="E35" s="6">
        <f>IF(E$29=$D35,E$29*$G$10,IF($D35&gt;E$29,E$29*$G$10,$D35*$G$10+($D35-E$29)))</f>
        <v>20</v>
      </c>
      <c r="F35" s="6">
        <f>IF(F$29=$D35,F$29*$G$10,IF($D35&gt;F$29,F$29*$G$10,$D35*$G$10+($D35-F$29)))</f>
        <v>22</v>
      </c>
      <c r="G35" s="6">
        <f>IF(G$29=$D35,G$29*$G$10,IF($D35&gt;G$29,G$29*$G$10,$D35*$G$10+($D35-G$29)))</f>
        <v>24</v>
      </c>
      <c r="H35" s="6">
        <f>IF(H$29=$D35,H$29*$G$10,IF($D35&gt;H$29,H$29*$G$10,$D35*$G$10+($D35-H$29)))</f>
        <v>26</v>
      </c>
      <c r="I35" s="6">
        <f>IF(I$29=$D35,I$29*$G$10,IF($D35&gt;I$29,I$29*$G$10,$D35*$G$10+($D35-I$29)))</f>
        <v>28</v>
      </c>
      <c r="J35" s="6">
        <f>IF(J$29=$D35,J$29*$G$10,IF($D35&gt;J$29,J$29*$G$10,$D35*$G$10+($D35-J$29)))</f>
        <v>30</v>
      </c>
      <c r="K35" s="3">
        <v>0.08</v>
      </c>
      <c r="L35" s="3">
        <v>30</v>
      </c>
    </row>
    <row r="37" spans="4:14" x14ac:dyDescent="0.3">
      <c r="D37" s="3" t="s">
        <v>22</v>
      </c>
      <c r="E37" s="3">
        <f>SUMPRODUCT(E30:E35,$K$30:$K$35)</f>
        <v>20.000000000000004</v>
      </c>
      <c r="F37" s="3">
        <f>SUMPRODUCT(F30:F35,$K$30:$K$35)</f>
        <v>21.820000000000004</v>
      </c>
      <c r="G37" s="3">
        <f>SUMPRODUCT(G30:G35,$K$30:$K$35)</f>
        <v>23.340000000000003</v>
      </c>
      <c r="H37" s="3">
        <f>SUMPRODUCT(H30:H35,$K$30:$K$35)</f>
        <v>24.019999999999996</v>
      </c>
      <c r="I37" s="3">
        <f>SUMPRODUCT(I30:I35,$K$30:$K$35)</f>
        <v>24.04</v>
      </c>
      <c r="J37" s="3">
        <f>SUMPRODUCT(J30:J35,$K$30:$K$35)</f>
        <v>23.28</v>
      </c>
      <c r="L37" s="3">
        <f>SUMPRODUCT(L30:L35,K30:K35)</f>
        <v>25.52</v>
      </c>
      <c r="M37" s="3" t="s">
        <v>27</v>
      </c>
    </row>
    <row r="39" spans="4:14" x14ac:dyDescent="0.3">
      <c r="D39" s="3" t="s">
        <v>25</v>
      </c>
      <c r="E39" s="3">
        <f>MAX(E37:J37)</f>
        <v>24.04</v>
      </c>
    </row>
    <row r="41" spans="4:14" x14ac:dyDescent="0.3">
      <c r="K41" s="3" t="s">
        <v>28</v>
      </c>
      <c r="L41" s="3">
        <f>L37-E39</f>
        <v>1.4800000000000004</v>
      </c>
      <c r="M41" s="3" t="s">
        <v>29</v>
      </c>
    </row>
    <row r="42" spans="4:14" x14ac:dyDescent="0.3">
      <c r="M42" s="3" t="s">
        <v>30</v>
      </c>
    </row>
  </sheetData>
  <mergeCells count="2">
    <mergeCell ref="A2:H2"/>
    <mergeCell ref="B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 boy or girl - P 1123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ROHIT GHOSH</cp:lastModifiedBy>
  <dcterms:created xsi:type="dcterms:W3CDTF">2021-03-09T21:28:01Z</dcterms:created>
  <dcterms:modified xsi:type="dcterms:W3CDTF">2026-01-20T07:31:01Z</dcterms:modified>
</cp:coreProperties>
</file>