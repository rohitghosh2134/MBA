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MBA\Courses\Term 3\QAM-III\Case Studies\"/>
    </mc:Choice>
  </mc:AlternateContent>
  <xr:revisionPtr revIDLastSave="0" documentId="13_ncr:1_{CB948C1F-27CE-4804-858E-09A4001557A9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problem" sheetId="4" r:id="rId1"/>
    <sheet name="Sheet1" sheetId="5" r:id="rId2"/>
    <sheet name="Sheet2" sheetId="6" r:id="rId3"/>
    <sheet name="Sheet3" sheetId="7" r:id="rId4"/>
    <sheet name="Sheet4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3" l="1"/>
  <c r="G8" i="3"/>
  <c r="G19" i="3"/>
  <c r="G16" i="3"/>
</calcChain>
</file>

<file path=xl/sharedStrings.xml><?xml version="1.0" encoding="utf-8"?>
<sst xmlns="http://schemas.openxmlformats.org/spreadsheetml/2006/main" count="28" uniqueCount="22">
  <si>
    <t>drill</t>
  </si>
  <si>
    <t>oil</t>
  </si>
  <si>
    <t>no oil</t>
  </si>
  <si>
    <t>geologist</t>
  </si>
  <si>
    <t>no survey</t>
  </si>
  <si>
    <t>survey</t>
  </si>
  <si>
    <t>start</t>
  </si>
  <si>
    <t>favrbl</t>
  </si>
  <si>
    <t>not fvr</t>
  </si>
  <si>
    <t>dril</t>
  </si>
  <si>
    <t>no drill</t>
  </si>
  <si>
    <t>oil found</t>
  </si>
  <si>
    <t>Legend</t>
  </si>
  <si>
    <t>probabilities</t>
  </si>
  <si>
    <t>payoffs or returns</t>
  </si>
  <si>
    <t>another type of payoffs or returns</t>
  </si>
  <si>
    <t>expenses</t>
  </si>
  <si>
    <t>best options - at squares</t>
  </si>
  <si>
    <t>calculations / assessments - at circles</t>
  </si>
  <si>
    <t>Payoffs / Returns</t>
  </si>
  <si>
    <t>says</t>
  </si>
  <si>
    <r>
      <t xml:space="preserve">ABC Ltd wanted to drill for oil. Its costs the company Rs, 5 lakhs to drill a field. If oil is found there, it will be valued at Rs. 24 lakhs. The company thinks it has a 60% chance to hit oil in the field it chooses to drill. However before drilling, they can hire a geological expert for making a suggestion. If the expert makes his survey, he will charge Rs 1.5 lakh as fees before he starts. Also there is a 75% chance he will say oil may be found and 25% chance oil may not be found there. If the expert says oil can be found, the company still has to take a risk and drill. But the company would then want to think, there is now a greater possibility of 85% chance (instead of the earlier 60% chance) of getting oil. Also if the expert says oil may not be found, company thinks there could still be a feeble chance (10% chance) to actually get oil in that field. If the company want to </t>
    </r>
    <r>
      <rPr>
        <sz val="11"/>
        <color rgb="FFFF0000"/>
        <rFont val="Calibri"/>
        <family val="2"/>
        <scheme val="minor"/>
      </rPr>
      <t>maximize</t>
    </r>
    <r>
      <rPr>
        <sz val="11"/>
        <color theme="1"/>
        <rFont val="Calibri"/>
        <family val="2"/>
        <scheme val="minor"/>
      </rPr>
      <t xml:space="preserve"> its expected net earnings, what is the best strategy?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</si>
</sst>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1" fillId="4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5" borderId="0" xfId="0" applyFont="1" applyFill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666749</xdr:colOff>
      <xdr:row>3</xdr:row>
      <xdr:rowOff>85725</xdr:rowOff>
    </xdr:from>
    <xdr:to>
      <xdr:col>2</xdr:col>
      <xdr:colOff>419099</xdr:colOff>
      <xdr:row>5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276349" y="657225"/>
          <a:ext cx="466725" cy="41910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57150</xdr:colOff>
      <xdr:row>10</xdr:row>
      <xdr:rowOff>85724</xdr:rowOff>
    </xdr:from>
    <xdr:to>
      <xdr:col>0</xdr:col>
      <xdr:colOff>486833</xdr:colOff>
      <xdr:row>12</xdr:row>
      <xdr:rowOff>95249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7150" y="1990724"/>
          <a:ext cx="429683" cy="3905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</xdr:colOff>
      <xdr:row>13</xdr:row>
      <xdr:rowOff>76199</xdr:rowOff>
    </xdr:from>
    <xdr:to>
      <xdr:col>2</xdr:col>
      <xdr:colOff>590551</xdr:colOff>
      <xdr:row>15</xdr:row>
      <xdr:rowOff>180974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219201" y="2552699"/>
          <a:ext cx="590550" cy="485775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603250</xdr:colOff>
      <xdr:row>11</xdr:row>
      <xdr:rowOff>42333</xdr:rowOff>
    </xdr:from>
    <xdr:to>
      <xdr:col>4</xdr:col>
      <xdr:colOff>466725</xdr:colOff>
      <xdr:row>13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2550583" y="2137833"/>
          <a:ext cx="477309" cy="439209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523875</xdr:colOff>
      <xdr:row>8</xdr:row>
      <xdr:rowOff>85725</xdr:rowOff>
    </xdr:from>
    <xdr:to>
      <xdr:col>6</xdr:col>
      <xdr:colOff>361950</xdr:colOff>
      <xdr:row>10</xdr:row>
      <xdr:rowOff>123825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676650" y="1609725"/>
          <a:ext cx="447675" cy="41910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552450</xdr:colOff>
      <xdr:row>12</xdr:row>
      <xdr:rowOff>114300</xdr:rowOff>
    </xdr:from>
    <xdr:to>
      <xdr:col>6</xdr:col>
      <xdr:colOff>447675</xdr:colOff>
      <xdr:row>14</xdr:row>
      <xdr:rowOff>152400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705225" y="2400300"/>
          <a:ext cx="504825" cy="41910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514350</xdr:colOff>
      <xdr:row>19</xdr:row>
      <xdr:rowOff>57149</xdr:rowOff>
    </xdr:from>
    <xdr:to>
      <xdr:col>6</xdr:col>
      <xdr:colOff>352425</xdr:colOff>
      <xdr:row>21</xdr:row>
      <xdr:rowOff>142874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3667125" y="3676649"/>
          <a:ext cx="447675" cy="466725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561975</xdr:colOff>
      <xdr:row>23</xdr:row>
      <xdr:rowOff>66675</xdr:rowOff>
    </xdr:from>
    <xdr:to>
      <xdr:col>6</xdr:col>
      <xdr:colOff>457200</xdr:colOff>
      <xdr:row>25</xdr:row>
      <xdr:rowOff>104775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714750" y="4448175"/>
          <a:ext cx="504825" cy="41910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419099</xdr:colOff>
      <xdr:row>3</xdr:row>
      <xdr:rowOff>148167</xdr:rowOff>
    </xdr:from>
    <xdr:to>
      <xdr:col>3</xdr:col>
      <xdr:colOff>592667</xdr:colOff>
      <xdr:row>4</xdr:row>
      <xdr:rowOff>104775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2" idx="6"/>
        </xdr:cNvCxnSpPr>
      </xdr:nvCxnSpPr>
      <xdr:spPr>
        <a:xfrm flipV="1">
          <a:off x="1752599" y="719667"/>
          <a:ext cx="787401" cy="1471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504825</xdr:colOff>
      <xdr:row>4</xdr:row>
      <xdr:rowOff>171450</xdr:rowOff>
    </xdr:from>
    <xdr:to>
      <xdr:col>3</xdr:col>
      <xdr:colOff>603250</xdr:colOff>
      <xdr:row>5</xdr:row>
      <xdr:rowOff>169333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1838325" y="933450"/>
          <a:ext cx="712258" cy="1883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476250</xdr:colOff>
      <xdr:row>13</xdr:row>
      <xdr:rowOff>21166</xdr:rowOff>
    </xdr:from>
    <xdr:to>
      <xdr:col>3</xdr:col>
      <xdr:colOff>603250</xdr:colOff>
      <xdr:row>14</xdr:row>
      <xdr:rowOff>47626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 flipV="1">
          <a:off x="1809750" y="2550583"/>
          <a:ext cx="740833" cy="2169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438149</xdr:colOff>
      <xdr:row>16</xdr:row>
      <xdr:rowOff>19050</xdr:rowOff>
    </xdr:from>
    <xdr:to>
      <xdr:col>4</xdr:col>
      <xdr:colOff>0</xdr:colOff>
      <xdr:row>21</xdr:row>
      <xdr:rowOff>31750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1771649" y="3119967"/>
          <a:ext cx="789518" cy="965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10</xdr:row>
      <xdr:rowOff>62449</xdr:rowOff>
    </xdr:from>
    <xdr:to>
      <xdr:col>5</xdr:col>
      <xdr:colOff>589436</xdr:colOff>
      <xdr:row>12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endCxn id="6" idx="3"/>
        </xdr:cNvCxnSpPr>
      </xdr:nvCxnSpPr>
      <xdr:spPr>
        <a:xfrm flipV="1">
          <a:off x="3019425" y="1967449"/>
          <a:ext cx="722786" cy="3185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12</xdr:row>
      <xdr:rowOff>18521</xdr:rowOff>
    </xdr:from>
    <xdr:to>
      <xdr:col>5</xdr:col>
      <xdr:colOff>552450</xdr:colOff>
      <xdr:row>14</xdr:row>
      <xdr:rowOff>38100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5" idx="3"/>
        </xdr:cNvCxnSpPr>
      </xdr:nvCxnSpPr>
      <xdr:spPr>
        <a:xfrm>
          <a:off x="3027892" y="2357438"/>
          <a:ext cx="699558" cy="4005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8</xdr:row>
      <xdr:rowOff>9525</xdr:rowOff>
    </xdr:from>
    <xdr:to>
      <xdr:col>7</xdr:col>
      <xdr:colOff>571500</xdr:colOff>
      <xdr:row>9</xdr:row>
      <xdr:rowOff>104775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6" idx="6"/>
        </xdr:cNvCxnSpPr>
      </xdr:nvCxnSpPr>
      <xdr:spPr>
        <a:xfrm flipV="1">
          <a:off x="4124325" y="1533525"/>
          <a:ext cx="819150" cy="285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9</xdr:row>
      <xdr:rowOff>104775</xdr:rowOff>
    </xdr:from>
    <xdr:to>
      <xdr:col>7</xdr:col>
      <xdr:colOff>571500</xdr:colOff>
      <xdr:row>11</xdr:row>
      <xdr:rowOff>85725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6" idx="6"/>
        </xdr:cNvCxnSpPr>
      </xdr:nvCxnSpPr>
      <xdr:spPr>
        <a:xfrm>
          <a:off x="4124325" y="1819275"/>
          <a:ext cx="81915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426508</xdr:colOff>
      <xdr:row>14</xdr:row>
      <xdr:rowOff>38100</xdr:rowOff>
    </xdr:from>
    <xdr:to>
      <xdr:col>8</xdr:col>
      <xdr:colOff>571500</xdr:colOff>
      <xdr:row>14</xdr:row>
      <xdr:rowOff>74083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4215341" y="2758017"/>
          <a:ext cx="1372659" cy="359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17</xdr:row>
      <xdr:rowOff>114300</xdr:rowOff>
    </xdr:from>
    <xdr:to>
      <xdr:col>7</xdr:col>
      <xdr:colOff>533400</xdr:colOff>
      <xdr:row>20</xdr:row>
      <xdr:rowOff>100012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8" idx="6"/>
        </xdr:cNvCxnSpPr>
      </xdr:nvCxnSpPr>
      <xdr:spPr>
        <a:xfrm flipV="1">
          <a:off x="4114800" y="3352800"/>
          <a:ext cx="790575" cy="5572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20</xdr:row>
      <xdr:rowOff>100012</xdr:rowOff>
    </xdr:from>
    <xdr:to>
      <xdr:col>7</xdr:col>
      <xdr:colOff>523875</xdr:colOff>
      <xdr:row>22</xdr:row>
      <xdr:rowOff>95250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8" idx="6"/>
        </xdr:cNvCxnSpPr>
      </xdr:nvCxnSpPr>
      <xdr:spPr>
        <a:xfrm>
          <a:off x="4114800" y="3910012"/>
          <a:ext cx="781050" cy="3762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382650</xdr:colOff>
      <xdr:row>25</xdr:row>
      <xdr:rowOff>43399</xdr:rowOff>
    </xdr:from>
    <xdr:to>
      <xdr:col>8</xdr:col>
      <xdr:colOff>592667</xdr:colOff>
      <xdr:row>25</xdr:row>
      <xdr:rowOff>95250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9" idx="5"/>
        </xdr:cNvCxnSpPr>
      </xdr:nvCxnSpPr>
      <xdr:spPr>
        <a:xfrm>
          <a:off x="4171483" y="4858816"/>
          <a:ext cx="1437684" cy="518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</xdr:row>
      <xdr:rowOff>10583</xdr:rowOff>
    </xdr:from>
    <xdr:to>
      <xdr:col>4</xdr:col>
      <xdr:colOff>447675</xdr:colOff>
      <xdr:row>23</xdr:row>
      <xdr:rowOff>69850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561167" y="4064000"/>
          <a:ext cx="447675" cy="44026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447675</xdr:colOff>
      <xdr:row>20</xdr:row>
      <xdr:rowOff>50801</xdr:rowOff>
    </xdr:from>
    <xdr:to>
      <xdr:col>5</xdr:col>
      <xdr:colOff>485775</xdr:colOff>
      <xdr:row>22</xdr:row>
      <xdr:rowOff>40217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2" idx="3"/>
        </xdr:cNvCxnSpPr>
      </xdr:nvCxnSpPr>
      <xdr:spPr>
        <a:xfrm flipV="1">
          <a:off x="3008842" y="3913718"/>
          <a:ext cx="651933" cy="3704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447675</xdr:colOff>
      <xdr:row>22</xdr:row>
      <xdr:rowOff>40217</xdr:rowOff>
    </xdr:from>
    <xdr:to>
      <xdr:col>5</xdr:col>
      <xdr:colOff>561975</xdr:colOff>
      <xdr:row>24</xdr:row>
      <xdr:rowOff>85725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22" idx="3"/>
          <a:endCxn id="9" idx="2"/>
        </xdr:cNvCxnSpPr>
      </xdr:nvCxnSpPr>
      <xdr:spPr>
        <a:xfrm>
          <a:off x="3008842" y="4284134"/>
          <a:ext cx="728133" cy="4265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486833</xdr:colOff>
      <xdr:row>5</xdr:row>
      <xdr:rowOff>62449</xdr:rowOff>
    </xdr:from>
    <xdr:to>
      <xdr:col>2</xdr:col>
      <xdr:colOff>16207</xdr:colOff>
      <xdr:row>11</xdr:row>
      <xdr:rowOff>116945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3" idx="3"/>
          <a:endCxn id="2" idx="3"/>
        </xdr:cNvCxnSpPr>
      </xdr:nvCxnSpPr>
      <xdr:spPr>
        <a:xfrm flipV="1">
          <a:off x="486833" y="1014949"/>
          <a:ext cx="862874" cy="11974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486833</xdr:colOff>
      <xdr:row>11</xdr:row>
      <xdr:rowOff>116945</xdr:rowOff>
    </xdr:from>
    <xdr:to>
      <xdr:col>2</xdr:col>
      <xdr:colOff>1</xdr:colOff>
      <xdr:row>14</xdr:row>
      <xdr:rowOff>128587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3" idx="3"/>
          <a:endCxn id="4" idx="2"/>
        </xdr:cNvCxnSpPr>
      </xdr:nvCxnSpPr>
      <xdr:spPr>
        <a:xfrm>
          <a:off x="486833" y="2212445"/>
          <a:ext cx="846668" cy="6360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401108</xdr:colOff>
      <xdr:row>3</xdr:row>
      <xdr:rowOff>82550</xdr:rowOff>
    </xdr:from>
    <xdr:to>
      <xdr:col>9</xdr:col>
      <xdr:colOff>48683</xdr:colOff>
      <xdr:row>3</xdr:row>
      <xdr:rowOff>84138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>
          <a:off x="2962275" y="654050"/>
          <a:ext cx="271674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523875</xdr:colOff>
      <xdr:row>6</xdr:row>
      <xdr:rowOff>95250</xdr:rowOff>
    </xdr:from>
    <xdr:to>
      <xdr:col>8</xdr:col>
      <xdr:colOff>561975</xdr:colOff>
      <xdr:row>6</xdr:row>
      <xdr:rowOff>96838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2962275" y="1047750"/>
          <a:ext cx="2476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zoomScale="167" zoomScaleNormal="120" zoomScalePageLayoutView="120" workbookViewId="0">
      <selection sqref="A1:I1"/>
    </sheetView>
  </sheetViews>
  <sheetFormatPr defaultColWidth="8.77734375" defaultRowHeight="14.4" x14ac:dyDescent="0.3"/>
  <sheetData>
    <row r="1" spans="1:9" ht="182.25" customHeight="1" x14ac:dyDescent="0.3">
      <c r="A1" s="14" t="s">
        <v>21</v>
      </c>
      <c r="B1" s="14"/>
      <c r="C1" s="14"/>
      <c r="D1" s="14"/>
      <c r="E1" s="14"/>
      <c r="F1" s="14"/>
      <c r="G1" s="14"/>
      <c r="H1" s="14"/>
      <c r="I1" s="14"/>
    </row>
    <row r="4" spans="1:9" x14ac:dyDescent="0.3">
      <c r="A4" s="12"/>
    </row>
    <row r="8" spans="1:9" x14ac:dyDescent="0.3">
      <c r="A8" s="13"/>
    </row>
  </sheetData>
  <mergeCells count="1">
    <mergeCell ref="A1:I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tabSelected="1" zoomScale="90" zoomScaleNormal="90" zoomScalePageLayoutView="90" workbookViewId="0">
      <selection activeCell="M22" sqref="M22"/>
    </sheetView>
  </sheetViews>
  <sheetFormatPr defaultColWidth="8.77734375" defaultRowHeight="14.4" x14ac:dyDescent="0.3"/>
  <cols>
    <col min="1" max="1" width="8.77734375" style="1"/>
    <col min="2" max="2" width="10.6640625" customWidth="1"/>
    <col min="10" max="10" width="15.44140625" customWidth="1"/>
  </cols>
  <sheetData>
    <row r="1" spans="1:15" x14ac:dyDescent="0.3">
      <c r="J1" s="9" t="s">
        <v>19</v>
      </c>
    </row>
    <row r="2" spans="1:15" x14ac:dyDescent="0.3">
      <c r="C2" s="5"/>
    </row>
    <row r="3" spans="1:15" x14ac:dyDescent="0.3">
      <c r="C3" s="4">
        <f>$D$4*$J$4+$D$7*$J$7</f>
        <v>940000</v>
      </c>
    </row>
    <row r="4" spans="1:15" x14ac:dyDescent="0.3">
      <c r="D4" s="8">
        <v>0.6</v>
      </c>
      <c r="E4" t="s">
        <v>1</v>
      </c>
      <c r="J4" s="6">
        <v>1900000</v>
      </c>
    </row>
    <row r="5" spans="1:15" x14ac:dyDescent="0.3">
      <c r="B5" t="s">
        <v>4</v>
      </c>
      <c r="C5" t="s">
        <v>0</v>
      </c>
    </row>
    <row r="6" spans="1:15" x14ac:dyDescent="0.3">
      <c r="N6" s="10" t="s">
        <v>12</v>
      </c>
    </row>
    <row r="7" spans="1:15" x14ac:dyDescent="0.3">
      <c r="D7" s="8">
        <v>0.4</v>
      </c>
      <c r="E7" t="s">
        <v>2</v>
      </c>
      <c r="J7" s="7">
        <v>-500000</v>
      </c>
      <c r="N7" s="8"/>
      <c r="O7" t="s">
        <v>13</v>
      </c>
    </row>
    <row r="8" spans="1:15" x14ac:dyDescent="0.3">
      <c r="F8" s="5"/>
      <c r="G8" s="4">
        <f>$H$9*$J$9+$H$12*$J$12</f>
        <v>1540000</v>
      </c>
      <c r="I8" t="s">
        <v>11</v>
      </c>
      <c r="N8" s="6"/>
      <c r="O8" t="s">
        <v>14</v>
      </c>
    </row>
    <row r="9" spans="1:15" x14ac:dyDescent="0.3">
      <c r="H9" s="8">
        <v>0.85</v>
      </c>
      <c r="J9" s="6">
        <v>1900000</v>
      </c>
      <c r="N9" s="7"/>
      <c r="O9" t="s">
        <v>15</v>
      </c>
    </row>
    <row r="10" spans="1:15" x14ac:dyDescent="0.3">
      <c r="A10" s="3"/>
      <c r="G10" t="s">
        <v>9</v>
      </c>
      <c r="N10" s="5"/>
      <c r="O10" t="s">
        <v>16</v>
      </c>
    </row>
    <row r="11" spans="1:15" x14ac:dyDescent="0.3">
      <c r="E11" s="2"/>
    </row>
    <row r="12" spans="1:15" ht="18" x14ac:dyDescent="0.35">
      <c r="A12" s="11" t="s">
        <v>6</v>
      </c>
      <c r="E12" t="s">
        <v>20</v>
      </c>
      <c r="H12" s="8">
        <v>0.15</v>
      </c>
      <c r="I12" t="s">
        <v>2</v>
      </c>
      <c r="J12" s="7">
        <v>-500000</v>
      </c>
      <c r="N12" s="4"/>
      <c r="O12" t="s">
        <v>18</v>
      </c>
    </row>
    <row r="13" spans="1:15" x14ac:dyDescent="0.3">
      <c r="C13" s="4"/>
      <c r="D13" s="8">
        <v>0.75</v>
      </c>
      <c r="E13" t="s">
        <v>7</v>
      </c>
      <c r="N13" s="2"/>
      <c r="O13" t="s">
        <v>17</v>
      </c>
    </row>
    <row r="14" spans="1:15" x14ac:dyDescent="0.3">
      <c r="G14" t="s">
        <v>10</v>
      </c>
    </row>
    <row r="15" spans="1:15" x14ac:dyDescent="0.3">
      <c r="B15" t="s">
        <v>5</v>
      </c>
      <c r="C15" t="s">
        <v>3</v>
      </c>
      <c r="J15" s="7">
        <v>-500000</v>
      </c>
    </row>
    <row r="16" spans="1:15" x14ac:dyDescent="0.3">
      <c r="B16" s="5"/>
      <c r="G16" s="4">
        <f>$H$12*$J$12</f>
        <v>-75000</v>
      </c>
    </row>
    <row r="18" spans="4:10" x14ac:dyDescent="0.3">
      <c r="H18" s="8">
        <v>0.1</v>
      </c>
      <c r="I18" t="s">
        <v>11</v>
      </c>
      <c r="J18" s="6">
        <v>1900000</v>
      </c>
    </row>
    <row r="19" spans="4:10" x14ac:dyDescent="0.3">
      <c r="F19" s="5"/>
      <c r="G19" s="4">
        <f>$H$18*$J$18+$J$23*$H$23</f>
        <v>-260000</v>
      </c>
    </row>
    <row r="21" spans="4:10" x14ac:dyDescent="0.3">
      <c r="E21" s="2"/>
      <c r="G21" t="s">
        <v>9</v>
      </c>
    </row>
    <row r="22" spans="4:10" x14ac:dyDescent="0.3">
      <c r="E22" t="s">
        <v>20</v>
      </c>
    </row>
    <row r="23" spans="4:10" x14ac:dyDescent="0.3">
      <c r="D23" s="8">
        <v>0.15</v>
      </c>
      <c r="E23" t="s">
        <v>8</v>
      </c>
      <c r="H23" s="8">
        <v>0.9</v>
      </c>
      <c r="I23" t="s">
        <v>2</v>
      </c>
      <c r="J23" s="7">
        <v>-500000</v>
      </c>
    </row>
    <row r="25" spans="4:10" x14ac:dyDescent="0.3">
      <c r="G25" t="s">
        <v>10</v>
      </c>
    </row>
    <row r="26" spans="4:10" x14ac:dyDescent="0.3">
      <c r="J26" s="7">
        <v>0</v>
      </c>
    </row>
    <row r="27" spans="4:10" x14ac:dyDescent="0.3">
      <c r="G27" s="4">
        <v>0</v>
      </c>
    </row>
  </sheetData>
  <pageMargins left="0.7" right="0.7" top="0.75" bottom="0.75" header="0.3" footer="0.3"/>
  <pageSetup paperSize="9"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ROHIT GHOSH</cp:lastModifiedBy>
  <dcterms:created xsi:type="dcterms:W3CDTF">2012-01-05T02:26:20Z</dcterms:created>
  <dcterms:modified xsi:type="dcterms:W3CDTF">2026-01-21T05:41:32Z</dcterms:modified>
</cp:coreProperties>
</file>