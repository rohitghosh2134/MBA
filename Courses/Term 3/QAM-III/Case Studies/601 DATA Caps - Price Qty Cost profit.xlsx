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\Courses\Term 3\QAM-III\"/>
    </mc:Choice>
  </mc:AlternateContent>
  <xr:revisionPtr revIDLastSave="0" documentId="13_ncr:1_{DEB5A1B6-7985-48AD-ADDB-E08B3E352CA0}" xr6:coauthVersionLast="47" xr6:coauthVersionMax="47" xr10:uidLastSave="{00000000-0000-0000-0000-000000000000}"/>
  <bookViews>
    <workbookView xWindow="-108" yWindow="-108" windowWidth="23256" windowHeight="13176" xr2:uid="{B2BED8D6-8C7E-0E42-9D17-93C443EBC8CA}"/>
  </bookViews>
  <sheets>
    <sheet name="601 caps Exp(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15" i="1"/>
  <c r="H25" i="1"/>
  <c r="H26" i="1"/>
  <c r="H27" i="1"/>
  <c r="H28" i="1"/>
  <c r="H29" i="1"/>
  <c r="H30" i="1"/>
  <c r="H31" i="1"/>
  <c r="H32" i="1"/>
  <c r="H33" i="1"/>
  <c r="H34" i="1"/>
  <c r="H17" i="1"/>
  <c r="H18" i="1"/>
  <c r="H19" i="1"/>
  <c r="H20" i="1"/>
  <c r="H21" i="1"/>
  <c r="H22" i="1"/>
  <c r="H23" i="1"/>
  <c r="H24" i="1"/>
  <c r="H16" i="1"/>
  <c r="G15" i="1"/>
  <c r="B17" i="1"/>
  <c r="B15" i="1"/>
</calcChain>
</file>

<file path=xl/sharedStrings.xml><?xml version="1.0" encoding="utf-8"?>
<sst xmlns="http://schemas.openxmlformats.org/spreadsheetml/2006/main" count="14" uniqueCount="13">
  <si>
    <t>The Selling Price for a monkey cap varies within the range of $5 to $20 based on Demand conditions driven by the weather and customer preference.</t>
  </si>
  <si>
    <t>The average cost of making a monkey cap is however constant at $5 (it is well known that AC includes normal profit to the entrepreneur as retuns to one of the FOPs)</t>
  </si>
  <si>
    <t>The upper limit of price is capped at $20 based on historical trends which is believable under normal circumstances.</t>
  </si>
  <si>
    <t>If the price goes beyond $5, the super normal profit is pocketed by the entrepreneur and awaiting her/his views about redistribution, or reinvestment in business, or both.</t>
  </si>
  <si>
    <r>
      <t xml:space="preserve">D = 1000 e </t>
    </r>
    <r>
      <rPr>
        <vertAlign val="superscript"/>
        <sz val="14"/>
        <rFont val="Arial"/>
        <family val="2"/>
      </rPr>
      <t>-0.1 x P</t>
    </r>
  </si>
  <si>
    <t xml:space="preserve">The Demand function is given by the equation below. </t>
  </si>
  <si>
    <t>What is the Price at which you will a) Maximize revenue b) Mamimize profit?</t>
  </si>
  <si>
    <t>SP</t>
  </si>
  <si>
    <t>PROFIT</t>
  </si>
  <si>
    <t>COGS</t>
  </si>
  <si>
    <t>DEMAND</t>
  </si>
  <si>
    <t>QTY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</si>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</sst>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_);[Red]\(&quot;₹&quot;#,##0.00\)"/>
  </numFmts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vertAlign val="superscript"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D9E-3E41-FF4D-B485-F8C73E39BF82}">
  <dimension ref="A1:Q34"/>
  <sheetViews>
    <sheetView tabSelected="1" topLeftCell="A22" zoomScale="137" workbookViewId="0">
      <selection activeCell="J28" sqref="J28"/>
    </sheetView>
  </sheetViews>
  <sheetFormatPr defaultColWidth="10.796875" defaultRowHeight="15.6" x14ac:dyDescent="0.3"/>
  <cols>
    <col min="2" max="2" width="11.59765625" bestFit="1" customWidth="1"/>
    <col min="7" max="7" width="11.59765625" bestFit="1" customWidth="1"/>
    <col min="9" max="9" width="12.19921875" bestFit="1" customWidth="1"/>
  </cols>
  <sheetData>
    <row r="1" spans="1:17" x14ac:dyDescent="0.3">
      <c r="A1" s="1" t="s">
        <v>0</v>
      </c>
      <c r="L1" s="2"/>
    </row>
    <row r="2" spans="1:17" x14ac:dyDescent="0.3">
      <c r="A2" s="1" t="s">
        <v>1</v>
      </c>
      <c r="L2" s="2"/>
      <c r="Q2" s="1"/>
    </row>
    <row r="3" spans="1:17" x14ac:dyDescent="0.3">
      <c r="A3" s="1" t="s">
        <v>3</v>
      </c>
      <c r="L3" s="2"/>
      <c r="Q3" s="1"/>
    </row>
    <row r="4" spans="1:17" x14ac:dyDescent="0.3">
      <c r="A4" s="1" t="s">
        <v>2</v>
      </c>
      <c r="L4" s="2"/>
      <c r="Q4" s="1"/>
    </row>
    <row r="5" spans="1:17" x14ac:dyDescent="0.3">
      <c r="A5" s="1"/>
      <c r="L5" s="2"/>
      <c r="Q5" s="1"/>
    </row>
    <row r="6" spans="1:17" x14ac:dyDescent="0.3">
      <c r="A6" s="1" t="s">
        <v>5</v>
      </c>
      <c r="E6" s="3"/>
      <c r="L6" s="2"/>
      <c r="Q6" s="1"/>
    </row>
    <row r="8" spans="1:17" ht="19.8" x14ac:dyDescent="0.3">
      <c r="C8" s="4" t="s">
        <v>4</v>
      </c>
    </row>
    <row r="11" spans="1:17" x14ac:dyDescent="0.3">
      <c r="A11" s="1" t="s">
        <v>6</v>
      </c>
    </row>
    <row r="13" spans="1:17" x14ac:dyDescent="0.3">
      <c r="A13" t="s">
        <v>7</v>
      </c>
      <c r="B13">
        <v>7</v>
      </c>
    </row>
    <row r="14" spans="1:17" x14ac:dyDescent="0.3">
      <c r="A14" t="s">
        <v>9</v>
      </c>
      <c r="B14">
        <v>5</v>
      </c>
      <c r="F14" t="s">
        <v>8</v>
      </c>
      <c r="G14" t="s">
        <v>11</v>
      </c>
      <c r="H14" t="s">
        <v>12</v>
      </c>
    </row>
    <row r="15" spans="1:17" x14ac:dyDescent="0.3">
      <c r="A15" t="s">
        <v>8</v>
      </c>
      <c r="B15">
        <f>B13-B14</f>
        <v>2</v>
      </c>
      <c r="G15">
        <f>1000*EXP(-0.1*B13)</f>
        <v>496.58530379140944</v>
      </c>
      <c r="I15" t="str">
        <f>IF(H15=MAX($H$15:$H$34),"Max Revenue","")</f>
        <v/>
      </c>
    </row>
    <row r="16" spans="1:17" x14ac:dyDescent="0.3">
      <c r="F16">
        <v>2</v>
      </c>
      <c r="G16">
        <f t="dataTable" ref="G16:G34" dt2D="0" dtr="0" r1="B13"/>
        <v>818.73075307798183</v>
      </c>
      <c r="H16">
        <f>G16*F16</f>
        <v>1637.4615061559637</v>
      </c>
      <c r="I16" t="str">
        <f t="shared" ref="I16:I34" si="0">IF(H16=MAX($H$15:$H$34),"Max Revenue","")</f>
        <v/>
      </c>
    </row>
    <row r="17" spans="1:9" x14ac:dyDescent="0.3">
      <c r="A17" t="s">
        <v>10</v>
      </c>
      <c r="B17">
        <f>1000*EXP(-0.1*B13)</f>
        <v>496.58530379140944</v>
      </c>
      <c r="F17">
        <v>3</v>
      </c>
      <c r="G17">
        <v>740.81822068171789</v>
      </c>
      <c r="H17">
        <f t="shared" ref="H17:H34" si="1">G17*F17</f>
        <v>2222.4546620451538</v>
      </c>
      <c r="I17" t="str">
        <f t="shared" si="0"/>
        <v/>
      </c>
    </row>
    <row r="18" spans="1:9" x14ac:dyDescent="0.3">
      <c r="F18">
        <v>4</v>
      </c>
      <c r="G18">
        <v>670.32004603563928</v>
      </c>
      <c r="H18">
        <f t="shared" si="1"/>
        <v>2681.2801841425571</v>
      </c>
      <c r="I18" t="str">
        <f t="shared" si="0"/>
        <v/>
      </c>
    </row>
    <row r="19" spans="1:9" x14ac:dyDescent="0.3">
      <c r="F19">
        <v>5</v>
      </c>
      <c r="G19">
        <v>606.53065971263345</v>
      </c>
      <c r="H19">
        <f t="shared" si="1"/>
        <v>3032.6532985631675</v>
      </c>
      <c r="I19" t="str">
        <f t="shared" si="0"/>
        <v/>
      </c>
    </row>
    <row r="20" spans="1:9" x14ac:dyDescent="0.3">
      <c r="F20">
        <v>6</v>
      </c>
      <c r="G20">
        <v>548.81163609402643</v>
      </c>
      <c r="H20">
        <f t="shared" si="1"/>
        <v>3292.8698165641586</v>
      </c>
      <c r="I20" t="str">
        <f t="shared" si="0"/>
        <v/>
      </c>
    </row>
    <row r="21" spans="1:9" x14ac:dyDescent="0.3">
      <c r="F21">
        <v>7</v>
      </c>
      <c r="G21">
        <v>496.58530379140944</v>
      </c>
      <c r="H21">
        <f t="shared" si="1"/>
        <v>3476.0971265398662</v>
      </c>
      <c r="I21" t="str">
        <f t="shared" si="0"/>
        <v/>
      </c>
    </row>
    <row r="22" spans="1:9" x14ac:dyDescent="0.3">
      <c r="F22">
        <v>8</v>
      </c>
      <c r="G22">
        <v>449.32896411722157</v>
      </c>
      <c r="H22">
        <f t="shared" si="1"/>
        <v>3594.6317129377726</v>
      </c>
      <c r="I22" t="str">
        <f t="shared" si="0"/>
        <v/>
      </c>
    </row>
    <row r="23" spans="1:9" x14ac:dyDescent="0.3">
      <c r="F23">
        <v>9</v>
      </c>
      <c r="G23">
        <v>406.56965974059909</v>
      </c>
      <c r="H23">
        <f t="shared" si="1"/>
        <v>3659.1269376653918</v>
      </c>
      <c r="I23" t="str">
        <f t="shared" si="0"/>
        <v/>
      </c>
    </row>
    <row r="24" spans="1:9" x14ac:dyDescent="0.3">
      <c r="F24">
        <v>10</v>
      </c>
      <c r="G24">
        <v>367.87944117144235</v>
      </c>
      <c r="H24">
        <f t="shared" si="1"/>
        <v>3678.7944117144234</v>
      </c>
      <c r="I24" t="str">
        <f t="shared" si="0"/>
        <v>Max Revenue</v>
      </c>
    </row>
    <row r="25" spans="1:9" x14ac:dyDescent="0.3">
      <c r="F25">
        <v>11</v>
      </c>
      <c r="G25">
        <v>332.87108369807953</v>
      </c>
      <c r="H25">
        <f t="shared" si="1"/>
        <v>3661.5819206788747</v>
      </c>
      <c r="I25" t="str">
        <f t="shared" si="0"/>
        <v/>
      </c>
    </row>
    <row r="26" spans="1:9" x14ac:dyDescent="0.3">
      <c r="F26">
        <v>12</v>
      </c>
      <c r="G26">
        <v>301.19421191220204</v>
      </c>
      <c r="H26">
        <f t="shared" si="1"/>
        <v>3614.3305429464244</v>
      </c>
      <c r="I26" t="str">
        <f t="shared" si="0"/>
        <v/>
      </c>
    </row>
    <row r="27" spans="1:9" x14ac:dyDescent="0.3">
      <c r="F27">
        <v>13</v>
      </c>
      <c r="G27">
        <v>272.53179303401259</v>
      </c>
      <c r="H27">
        <f t="shared" si="1"/>
        <v>3542.9133094421636</v>
      </c>
      <c r="I27" t="str">
        <f t="shared" si="0"/>
        <v/>
      </c>
    </row>
    <row r="28" spans="1:9" x14ac:dyDescent="0.3">
      <c r="F28">
        <v>14</v>
      </c>
      <c r="G28">
        <v>246.59696394160645</v>
      </c>
      <c r="H28">
        <f t="shared" si="1"/>
        <v>3452.3574951824903</v>
      </c>
      <c r="I28" t="str">
        <f t="shared" si="0"/>
        <v/>
      </c>
    </row>
    <row r="29" spans="1:9" x14ac:dyDescent="0.3">
      <c r="F29">
        <v>15</v>
      </c>
      <c r="G29">
        <v>223.13016014842981</v>
      </c>
      <c r="H29">
        <f t="shared" si="1"/>
        <v>3346.9524022264472</v>
      </c>
      <c r="I29" t="str">
        <f t="shared" si="0"/>
        <v/>
      </c>
    </row>
    <row r="30" spans="1:9" x14ac:dyDescent="0.3">
      <c r="F30">
        <v>16</v>
      </c>
      <c r="G30">
        <v>201.8965179946554</v>
      </c>
      <c r="H30">
        <f t="shared" si="1"/>
        <v>3230.3442879144864</v>
      </c>
      <c r="I30" t="str">
        <f t="shared" si="0"/>
        <v/>
      </c>
    </row>
    <row r="31" spans="1:9" x14ac:dyDescent="0.3">
      <c r="F31">
        <v>17</v>
      </c>
      <c r="G31">
        <v>182.68352405273461</v>
      </c>
      <c r="H31">
        <f t="shared" si="1"/>
        <v>3105.6199088964886</v>
      </c>
      <c r="I31" t="str">
        <f t="shared" si="0"/>
        <v/>
      </c>
    </row>
    <row r="32" spans="1:9" x14ac:dyDescent="0.3">
      <c r="F32">
        <v>18</v>
      </c>
      <c r="G32">
        <v>165.29888822158654</v>
      </c>
      <c r="H32">
        <f t="shared" si="1"/>
        <v>2975.3799879885578</v>
      </c>
      <c r="I32" t="str">
        <f t="shared" si="0"/>
        <v/>
      </c>
    </row>
    <row r="33" spans="6:9" x14ac:dyDescent="0.3">
      <c r="F33">
        <v>19</v>
      </c>
      <c r="G33">
        <v>149.56861922263502</v>
      </c>
      <c r="H33">
        <f t="shared" si="1"/>
        <v>2841.8037652300654</v>
      </c>
      <c r="I33" t="str">
        <f t="shared" si="0"/>
        <v/>
      </c>
    </row>
    <row r="34" spans="6:9" x14ac:dyDescent="0.3">
      <c r="F34">
        <v>20</v>
      </c>
      <c r="G34">
        <v>135.3352832366127</v>
      </c>
      <c r="H34">
        <f t="shared" si="1"/>
        <v>2706.7056647322538</v>
      </c>
      <c r="I34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601 caps Exp()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Suranjan Das</dc:creator>
  <cp:lastModifiedBy>ROHIT GHOSH</cp:lastModifiedBy>
  <dcterms:created xsi:type="dcterms:W3CDTF">2025-12-31T12:43:22Z</dcterms:created>
  <dcterms:modified xsi:type="dcterms:W3CDTF">2026-01-05T04:10:08Z</dcterms:modified>
</cp:coreProperties>
</file>