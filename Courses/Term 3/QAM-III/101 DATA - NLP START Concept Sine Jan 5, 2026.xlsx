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uranjandas/Desktop/SIRMAUR. IIM .. Nov 14 2025/T1 - Non Linear Programming/Data to students - Email/"/>
    </mc:Choice>
  </mc:AlternateContent>
  <xr:revisionPtr revIDLastSave="0" documentId="13_ncr:1_{5F6AE460-1E6F-924F-8CBB-99ACE6795553}" xr6:coauthVersionLast="47" xr6:coauthVersionMax="47" xr10:uidLastSave="{00000000-0000-0000-0000-000000000000}"/>
  <bookViews>
    <workbookView xWindow="7820" yWindow="980" windowWidth="25600" windowHeight="16060" xr2:uid="{00000000-000D-0000-FFFF-FFFF00000000}"/>
  </bookViews>
  <sheets>
    <sheet name="(x-1)(x-2)" sheetId="12" r:id="rId1"/>
    <sheet name="(x-1)(x-2)(x-3)" sheetId="13" r:id="rId2"/>
    <sheet name="(x-1)(x-2)(x-3)(x-4)(x-5)" sheetId="11" r:id="rId3"/>
    <sheet name="x-10" sheetId="8" r:id="rId4"/>
  </sheets>
  <definedNames>
    <definedName name="solver_adj" localSheetId="0" hidden="1">'(x-1)(x-2)'!$B$8</definedName>
    <definedName name="solver_adj" localSheetId="1" hidden="1">'(x-1)(x-2)(x-3)'!$B$8</definedName>
    <definedName name="solver_adj" localSheetId="2" hidden="1">'(x-1)(x-2)(x-3)(x-4)(x-5)'!$B$8</definedName>
    <definedName name="solver_adj" localSheetId="3" hidden="1">'x-10'!$B$8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3" hidden="1">'x-10'!$B$8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3" hidden="1">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um" localSheetId="3" hidden="1">1</definedName>
    <definedName name="solver_opt" localSheetId="0" hidden="1">'(x-1)(x-2)'!$G$8</definedName>
    <definedName name="solver_opt" localSheetId="1" hidden="1">'(x-1)(x-2)(x-3)'!$G$8</definedName>
    <definedName name="solver_opt" localSheetId="2" hidden="1">'(x-1)(x-2)(x-3)(x-4)(x-5)'!$G$8</definedName>
    <definedName name="solver_opt" localSheetId="3" hidden="1">'x-10'!$G$8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3" hidden="1">3</definedName>
    <definedName name="solver_rhs1" localSheetId="3" hidden="1">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olver_ver" localSheetId="3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0" i="13" l="1"/>
  <c r="E9" i="13"/>
  <c r="E8" i="13"/>
  <c r="E9" i="12"/>
  <c r="E8" i="12"/>
  <c r="E12" i="11"/>
  <c r="E11" i="11"/>
  <c r="E10" i="11"/>
  <c r="E9" i="11"/>
  <c r="E8" i="11"/>
  <c r="G8" i="13" l="1"/>
  <c r="G8" i="12"/>
  <c r="G8" i="11"/>
  <c r="E17" i="8" l="1"/>
  <c r="E16" i="8"/>
  <c r="E15" i="8"/>
  <c r="E14" i="8"/>
  <c r="E13" i="8"/>
  <c r="E12" i="8"/>
  <c r="E11" i="8"/>
  <c r="E10" i="8"/>
  <c r="E9" i="8"/>
  <c r="E8" i="8"/>
  <c r="G8" i="8" l="1"/>
</calcChain>
</file>

<file path=xl/sharedStrings.xml><?xml version="1.0" encoding="utf-8"?>
<sst xmlns="http://schemas.openxmlformats.org/spreadsheetml/2006/main" count="58" uniqueCount="26">
  <si>
    <t>OFV</t>
  </si>
  <si>
    <t>y = f(x)</t>
  </si>
  <si>
    <t>y = (x-1) x (x-2) x (x-3) x (x-4) x (x-5) x (x-6) x (x-7) x (x-8) x (x-9) x (x-10)</t>
  </si>
  <si>
    <t>x</t>
  </si>
  <si>
    <t>x-1</t>
  </si>
  <si>
    <t>x-2</t>
  </si>
  <si>
    <t>x-3</t>
  </si>
  <si>
    <t>x-4</t>
  </si>
  <si>
    <t>x-5</t>
  </si>
  <si>
    <t>x-6</t>
  </si>
  <si>
    <t>x-7</t>
  </si>
  <si>
    <t>x-8</t>
  </si>
  <si>
    <t>x-9</t>
  </si>
  <si>
    <t>x-10</t>
  </si>
  <si>
    <t>y = (x-1) x (x-2) x (x-3) x (x-4) x (x-5)</t>
  </si>
  <si>
    <t>Start with</t>
  </si>
  <si>
    <t>Land at x=</t>
  </si>
  <si>
    <t>TRIAL SOLUTION</t>
  </si>
  <si>
    <t>judicious trial solution</t>
  </si>
  <si>
    <t>5 to 8 lakhs</t>
  </si>
  <si>
    <t>10 to 20 lakhs</t>
  </si>
  <si>
    <t>y = (x-1) x (x-2)</t>
  </si>
  <si>
    <t>INFINITY</t>
  </si>
  <si>
    <t>\</t>
  </si>
  <si>
    <t>million trillion</t>
  </si>
  <si>
    <t>VERY VERY HIGH 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</si>
</sst>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4" borderId="0" xfId="0" applyFill="1"/>
    <xf numFmtId="2" fontId="0" fillId="3" borderId="0" xfId="0" applyNumberFormat="1" applyFill="1"/>
    <xf numFmtId="0" fontId="3" fillId="0" borderId="0" xfId="0" applyFont="1"/>
    <xf numFmtId="0" fontId="2" fillId="5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3" borderId="0" xfId="1" applyNumberFormat="1" applyFont="1" applyFill="1"/>
    <xf numFmtId="0" fontId="5" fillId="0" borderId="0" xfId="0" applyFont="1"/>
    <xf numFmtId="0" fontId="0" fillId="2" borderId="0" xfId="0" applyFill="1"/>
    <xf numFmtId="0" fontId="0" fillId="6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'x-10'!$C$20:$C$24</c:f>
              <c:numCache>
                <c:formatCode>General</c:formatCode>
                <c:ptCount val="5"/>
                <c:pt idx="0">
                  <c:v>0</c:v>
                </c:pt>
                <c:pt idx="1">
                  <c:v>6555</c:v>
                </c:pt>
                <c:pt idx="2">
                  <c:v>1075</c:v>
                </c:pt>
                <c:pt idx="3">
                  <c:v>1075</c:v>
                </c:pt>
                <c:pt idx="4">
                  <c:v>6555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4-544A-9F1F-A349B56B0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574143"/>
        <c:axId val="1864809343"/>
      </c:lineChart>
      <c:catAx>
        <c:axId val="186457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09343"/>
        <c:crosses val="autoZero"/>
        <c:auto val="1"/>
        <c:lblAlgn val="ctr"/>
        <c:lblOffset val="100"/>
        <c:noMultiLvlLbl val="0"/>
      </c:catAx>
      <c:valAx>
        <c:axId val="186480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7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12</xdr:row>
      <xdr:rowOff>50800</xdr:rowOff>
    </xdr:from>
    <xdr:to>
      <xdr:col>8</xdr:col>
      <xdr:colOff>12700</xdr:colOff>
      <xdr:row>31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19518BF-73A8-FF4A-B683-0D20FAF0872A}"/>
            </a:ext>
          </a:extLst>
        </xdr:cNvPr>
        <xdr:cNvCxnSpPr/>
      </xdr:nvCxnSpPr>
      <xdr:spPr>
        <a:xfrm flipH="1">
          <a:off x="6769100" y="2032000"/>
          <a:ext cx="25400" cy="323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22</xdr:row>
      <xdr:rowOff>152400</xdr:rowOff>
    </xdr:from>
    <xdr:to>
      <xdr:col>15</xdr:col>
      <xdr:colOff>355600</xdr:colOff>
      <xdr:row>22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F36455-32E3-3A41-910A-59FE85DBA5B2}"/>
            </a:ext>
          </a:extLst>
        </xdr:cNvPr>
        <xdr:cNvCxnSpPr/>
      </xdr:nvCxnSpPr>
      <xdr:spPr>
        <a:xfrm flipH="1">
          <a:off x="6642100" y="3784600"/>
          <a:ext cx="6273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774700</xdr:colOff>
      <xdr:row>22</xdr:row>
      <xdr:rowOff>25400</xdr:rowOff>
    </xdr:from>
    <xdr:to>
      <xdr:col>9</xdr:col>
      <xdr:colOff>114300</xdr:colOff>
      <xdr:row>23</xdr:row>
      <xdr:rowOff>101600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AAFCE41-BECA-604F-A0CA-FCE3459E341F}"/>
            </a:ext>
          </a:extLst>
        </xdr:cNvPr>
        <xdr:cNvSpPr/>
      </xdr:nvSpPr>
      <xdr:spPr>
        <a:xfrm>
          <a:off x="8077200" y="3657600"/>
          <a:ext cx="165100" cy="241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685800</xdr:colOff>
      <xdr:row>22</xdr:row>
      <xdr:rowOff>12700</xdr:rowOff>
    </xdr:from>
    <xdr:to>
      <xdr:col>8</xdr:col>
      <xdr:colOff>50800</xdr:colOff>
      <xdr:row>23</xdr:row>
      <xdr:rowOff>38100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8DF1DA1-07AA-4148-8822-3ECA00C7ECD1}"/>
            </a:ext>
          </a:extLst>
        </xdr:cNvPr>
        <xdr:cNvSpPr/>
      </xdr:nvSpPr>
      <xdr:spPr>
        <a:xfrm>
          <a:off x="6642100" y="3644900"/>
          <a:ext cx="190500" cy="190500"/>
        </a:xfrm>
        <a:prstGeom prst="ellipse">
          <a:avLst/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749300</xdr:colOff>
      <xdr:row>22</xdr:row>
      <xdr:rowOff>38100</xdr:rowOff>
    </xdr:from>
    <xdr:to>
      <xdr:col>10</xdr:col>
      <xdr:colOff>114300</xdr:colOff>
      <xdr:row>23</xdr:row>
      <xdr:rowOff>63500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BC261FF-2CD4-D643-A7EB-8FCAD5B6DF58}"/>
            </a:ext>
          </a:extLst>
        </xdr:cNvPr>
        <xdr:cNvSpPr/>
      </xdr:nvSpPr>
      <xdr:spPr>
        <a:xfrm>
          <a:off x="8877300" y="3670300"/>
          <a:ext cx="190500" cy="190500"/>
        </a:xfrm>
        <a:prstGeom prst="ellipse">
          <a:avLst/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762000</xdr:colOff>
      <xdr:row>12</xdr:row>
      <xdr:rowOff>127000</xdr:rowOff>
    </xdr:from>
    <xdr:to>
      <xdr:col>9</xdr:col>
      <xdr:colOff>101600</xdr:colOff>
      <xdr:row>14</xdr:row>
      <xdr:rowOff>38100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E8CEB3C6-A5E6-BC49-9AA2-D4067F1DD430}"/>
            </a:ext>
          </a:extLst>
        </xdr:cNvPr>
        <xdr:cNvSpPr/>
      </xdr:nvSpPr>
      <xdr:spPr>
        <a:xfrm>
          <a:off x="8064500" y="2108200"/>
          <a:ext cx="165100" cy="241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711200</xdr:colOff>
      <xdr:row>12</xdr:row>
      <xdr:rowOff>101600</xdr:rowOff>
    </xdr:from>
    <xdr:to>
      <xdr:col>8</xdr:col>
      <xdr:colOff>76200</xdr:colOff>
      <xdr:row>13</xdr:row>
      <xdr:rowOff>127000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E0DDFB8-57F6-3547-B463-2A7BE12F05F0}"/>
            </a:ext>
          </a:extLst>
        </xdr:cNvPr>
        <xdr:cNvSpPr/>
      </xdr:nvSpPr>
      <xdr:spPr>
        <a:xfrm>
          <a:off x="6667500" y="2082800"/>
          <a:ext cx="190500" cy="190500"/>
        </a:xfrm>
        <a:prstGeom prst="ellipse">
          <a:avLst/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723900</xdr:colOff>
      <xdr:row>6</xdr:row>
      <xdr:rowOff>101600</xdr:rowOff>
    </xdr:from>
    <xdr:to>
      <xdr:col>10</xdr:col>
      <xdr:colOff>88900</xdr:colOff>
      <xdr:row>7</xdr:row>
      <xdr:rowOff>127000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5AD9041-DFD9-5545-BA28-C6FD4C7F662B}"/>
            </a:ext>
          </a:extLst>
        </xdr:cNvPr>
        <xdr:cNvSpPr/>
      </xdr:nvSpPr>
      <xdr:spPr>
        <a:xfrm>
          <a:off x="8331200" y="1092200"/>
          <a:ext cx="190500" cy="190500"/>
        </a:xfrm>
        <a:prstGeom prst="ellipse">
          <a:avLst/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1</xdr:row>
      <xdr:rowOff>127000</xdr:rowOff>
    </xdr:from>
    <xdr:to>
      <xdr:col>10</xdr:col>
      <xdr:colOff>12700</xdr:colOff>
      <xdr:row>6</xdr:row>
      <xdr:rowOff>12700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9FC532E-1FEC-6BE4-31D4-8EF3D700B9C7}"/>
            </a:ext>
          </a:extLst>
        </xdr:cNvPr>
        <xdr:cNvCxnSpPr/>
      </xdr:nvCxnSpPr>
      <xdr:spPr>
        <a:xfrm flipH="1" flipV="1">
          <a:off x="8432800" y="292100"/>
          <a:ext cx="12700" cy="711200"/>
        </a:xfrm>
        <a:prstGeom prst="straightConnector1">
          <a:avLst/>
        </a:prstGeom>
        <a:ln w="22225">
          <a:solidFill>
            <a:srgbClr val="FF0000"/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4</xdr:row>
      <xdr:rowOff>139700</xdr:rowOff>
    </xdr:from>
    <xdr:to>
      <xdr:col>9</xdr:col>
      <xdr:colOff>787400</xdr:colOff>
      <xdr:row>13</xdr:row>
      <xdr:rowOff>101633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8BA032B0-D654-190F-5497-EF32E89DCE00}"/>
            </a:ext>
          </a:extLst>
        </xdr:cNvPr>
        <xdr:cNvSpPr/>
      </xdr:nvSpPr>
      <xdr:spPr>
        <a:xfrm>
          <a:off x="7327900" y="800100"/>
          <a:ext cx="1587500" cy="1447833"/>
        </a:xfrm>
        <a:custGeom>
          <a:avLst/>
          <a:gdLst>
            <a:gd name="connsiteX0" fmla="*/ 0 w 1587500"/>
            <a:gd name="connsiteY0" fmla="*/ 1435100 h 1447833"/>
            <a:gd name="connsiteX1" fmla="*/ 88900 w 1587500"/>
            <a:gd name="connsiteY1" fmla="*/ 1447800 h 1447833"/>
            <a:gd name="connsiteX2" fmla="*/ 584200 w 1587500"/>
            <a:gd name="connsiteY2" fmla="*/ 1422400 h 1447833"/>
            <a:gd name="connsiteX3" fmla="*/ 749300 w 1587500"/>
            <a:gd name="connsiteY3" fmla="*/ 1397000 h 1447833"/>
            <a:gd name="connsiteX4" fmla="*/ 787400 w 1587500"/>
            <a:gd name="connsiteY4" fmla="*/ 1384300 h 1447833"/>
            <a:gd name="connsiteX5" fmla="*/ 889000 w 1587500"/>
            <a:gd name="connsiteY5" fmla="*/ 1358900 h 1447833"/>
            <a:gd name="connsiteX6" fmla="*/ 965200 w 1587500"/>
            <a:gd name="connsiteY6" fmla="*/ 1333500 h 1447833"/>
            <a:gd name="connsiteX7" fmla="*/ 1041400 w 1587500"/>
            <a:gd name="connsiteY7" fmla="*/ 1282700 h 1447833"/>
            <a:gd name="connsiteX8" fmla="*/ 1079500 w 1587500"/>
            <a:gd name="connsiteY8" fmla="*/ 1244600 h 1447833"/>
            <a:gd name="connsiteX9" fmla="*/ 1155700 w 1587500"/>
            <a:gd name="connsiteY9" fmla="*/ 1193800 h 1447833"/>
            <a:gd name="connsiteX10" fmla="*/ 1181100 w 1587500"/>
            <a:gd name="connsiteY10" fmla="*/ 1155700 h 1447833"/>
            <a:gd name="connsiteX11" fmla="*/ 1244600 w 1587500"/>
            <a:gd name="connsiteY11" fmla="*/ 1092200 h 1447833"/>
            <a:gd name="connsiteX12" fmla="*/ 1257300 w 1587500"/>
            <a:gd name="connsiteY12" fmla="*/ 1054100 h 1447833"/>
            <a:gd name="connsiteX13" fmla="*/ 1333500 w 1587500"/>
            <a:gd name="connsiteY13" fmla="*/ 939800 h 1447833"/>
            <a:gd name="connsiteX14" fmla="*/ 1358900 w 1587500"/>
            <a:gd name="connsiteY14" fmla="*/ 901700 h 1447833"/>
            <a:gd name="connsiteX15" fmla="*/ 1409700 w 1587500"/>
            <a:gd name="connsiteY15" fmla="*/ 825500 h 1447833"/>
            <a:gd name="connsiteX16" fmla="*/ 1473200 w 1587500"/>
            <a:gd name="connsiteY16" fmla="*/ 749300 h 1447833"/>
            <a:gd name="connsiteX17" fmla="*/ 1511300 w 1587500"/>
            <a:gd name="connsiteY17" fmla="*/ 635000 h 1447833"/>
            <a:gd name="connsiteX18" fmla="*/ 1524000 w 1587500"/>
            <a:gd name="connsiteY18" fmla="*/ 596900 h 1447833"/>
            <a:gd name="connsiteX19" fmla="*/ 1536700 w 1587500"/>
            <a:gd name="connsiteY19" fmla="*/ 558800 h 1447833"/>
            <a:gd name="connsiteX20" fmla="*/ 1549400 w 1587500"/>
            <a:gd name="connsiteY20" fmla="*/ 508000 h 1447833"/>
            <a:gd name="connsiteX21" fmla="*/ 1587500 w 1587500"/>
            <a:gd name="connsiteY21" fmla="*/ 0 h 14478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</a:cxnLst>
          <a:rect l="l" t="t" r="r" b="b"/>
          <a:pathLst>
            <a:path w="1587500" h="1447833">
              <a:moveTo>
                <a:pt x="0" y="1435100"/>
              </a:moveTo>
              <a:cubicBezTo>
                <a:pt x="29633" y="1439333"/>
                <a:pt x="58973" y="1448451"/>
                <a:pt x="88900" y="1447800"/>
              </a:cubicBezTo>
              <a:cubicBezTo>
                <a:pt x="254178" y="1444207"/>
                <a:pt x="584200" y="1422400"/>
                <a:pt x="584200" y="1422400"/>
              </a:cubicBezTo>
              <a:cubicBezTo>
                <a:pt x="645892" y="1414689"/>
                <a:pt x="691120" y="1411545"/>
                <a:pt x="749300" y="1397000"/>
              </a:cubicBezTo>
              <a:cubicBezTo>
                <a:pt x="762287" y="1393753"/>
                <a:pt x="774485" y="1387822"/>
                <a:pt x="787400" y="1384300"/>
              </a:cubicBezTo>
              <a:cubicBezTo>
                <a:pt x="821079" y="1375115"/>
                <a:pt x="855882" y="1369939"/>
                <a:pt x="889000" y="1358900"/>
              </a:cubicBezTo>
              <a:cubicBezTo>
                <a:pt x="914400" y="1350433"/>
                <a:pt x="942923" y="1348352"/>
                <a:pt x="965200" y="1333500"/>
              </a:cubicBezTo>
              <a:cubicBezTo>
                <a:pt x="990600" y="1316567"/>
                <a:pt x="1019814" y="1304286"/>
                <a:pt x="1041400" y="1282700"/>
              </a:cubicBezTo>
              <a:cubicBezTo>
                <a:pt x="1054100" y="1270000"/>
                <a:pt x="1065323" y="1255627"/>
                <a:pt x="1079500" y="1244600"/>
              </a:cubicBezTo>
              <a:cubicBezTo>
                <a:pt x="1103597" y="1225858"/>
                <a:pt x="1155700" y="1193800"/>
                <a:pt x="1155700" y="1193800"/>
              </a:cubicBezTo>
              <a:cubicBezTo>
                <a:pt x="1164167" y="1181100"/>
                <a:pt x="1170307" y="1166493"/>
                <a:pt x="1181100" y="1155700"/>
              </a:cubicBezTo>
              <a:cubicBezTo>
                <a:pt x="1231900" y="1104900"/>
                <a:pt x="1210733" y="1159933"/>
                <a:pt x="1244600" y="1092200"/>
              </a:cubicBezTo>
              <a:cubicBezTo>
                <a:pt x="1250587" y="1080226"/>
                <a:pt x="1250799" y="1065802"/>
                <a:pt x="1257300" y="1054100"/>
              </a:cubicBezTo>
              <a:lnTo>
                <a:pt x="1333500" y="939800"/>
              </a:lnTo>
              <a:cubicBezTo>
                <a:pt x="1341967" y="927100"/>
                <a:pt x="1354073" y="916180"/>
                <a:pt x="1358900" y="901700"/>
              </a:cubicBezTo>
              <a:cubicBezTo>
                <a:pt x="1381219" y="834743"/>
                <a:pt x="1356849" y="888921"/>
                <a:pt x="1409700" y="825500"/>
              </a:cubicBezTo>
              <a:cubicBezTo>
                <a:pt x="1498107" y="719412"/>
                <a:pt x="1361890" y="860610"/>
                <a:pt x="1473200" y="749300"/>
              </a:cubicBezTo>
              <a:lnTo>
                <a:pt x="1511300" y="635000"/>
              </a:lnTo>
              <a:lnTo>
                <a:pt x="1524000" y="596900"/>
              </a:lnTo>
              <a:cubicBezTo>
                <a:pt x="1528233" y="584200"/>
                <a:pt x="1533453" y="571787"/>
                <a:pt x="1536700" y="558800"/>
              </a:cubicBezTo>
              <a:lnTo>
                <a:pt x="1549400" y="508000"/>
              </a:lnTo>
              <a:lnTo>
                <a:pt x="1587500" y="0"/>
              </a:ln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12</xdr:row>
      <xdr:rowOff>50800</xdr:rowOff>
    </xdr:from>
    <xdr:to>
      <xdr:col>8</xdr:col>
      <xdr:colOff>12700</xdr:colOff>
      <xdr:row>31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465678D-86AB-3B4C-935A-6D2BDE5CB46A}"/>
            </a:ext>
          </a:extLst>
        </xdr:cNvPr>
        <xdr:cNvCxnSpPr/>
      </xdr:nvCxnSpPr>
      <xdr:spPr>
        <a:xfrm flipH="1">
          <a:off x="7289800" y="2032000"/>
          <a:ext cx="25400" cy="323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22</xdr:row>
      <xdr:rowOff>152400</xdr:rowOff>
    </xdr:from>
    <xdr:to>
      <xdr:col>15</xdr:col>
      <xdr:colOff>355600</xdr:colOff>
      <xdr:row>22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04B87F7-AB2B-244C-96D4-01E494FAEA32}"/>
            </a:ext>
          </a:extLst>
        </xdr:cNvPr>
        <xdr:cNvCxnSpPr/>
      </xdr:nvCxnSpPr>
      <xdr:spPr>
        <a:xfrm flipH="1">
          <a:off x="7162800" y="3784600"/>
          <a:ext cx="6273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774700</xdr:colOff>
      <xdr:row>22</xdr:row>
      <xdr:rowOff>25400</xdr:rowOff>
    </xdr:from>
    <xdr:to>
      <xdr:col>9</xdr:col>
      <xdr:colOff>114300</xdr:colOff>
      <xdr:row>23</xdr:row>
      <xdr:rowOff>101600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D1457EB-E34B-BB42-B65E-4D62B4716BED}"/>
            </a:ext>
          </a:extLst>
        </xdr:cNvPr>
        <xdr:cNvSpPr/>
      </xdr:nvSpPr>
      <xdr:spPr>
        <a:xfrm>
          <a:off x="8077200" y="3657600"/>
          <a:ext cx="165100" cy="241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685800</xdr:colOff>
      <xdr:row>22</xdr:row>
      <xdr:rowOff>12700</xdr:rowOff>
    </xdr:from>
    <xdr:to>
      <xdr:col>8</xdr:col>
      <xdr:colOff>50800</xdr:colOff>
      <xdr:row>23</xdr:row>
      <xdr:rowOff>38100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43C4A70-92EF-7C48-ABB3-5F15D3E6746E}"/>
            </a:ext>
          </a:extLst>
        </xdr:cNvPr>
        <xdr:cNvSpPr/>
      </xdr:nvSpPr>
      <xdr:spPr>
        <a:xfrm>
          <a:off x="7162800" y="3644900"/>
          <a:ext cx="190500" cy="190500"/>
        </a:xfrm>
        <a:prstGeom prst="ellipse">
          <a:avLst/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749300</xdr:colOff>
      <xdr:row>22</xdr:row>
      <xdr:rowOff>38100</xdr:rowOff>
    </xdr:from>
    <xdr:to>
      <xdr:col>10</xdr:col>
      <xdr:colOff>114300</xdr:colOff>
      <xdr:row>23</xdr:row>
      <xdr:rowOff>63500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4196622-552A-5149-80DF-377099A0115E}"/>
            </a:ext>
          </a:extLst>
        </xdr:cNvPr>
        <xdr:cNvSpPr/>
      </xdr:nvSpPr>
      <xdr:spPr>
        <a:xfrm>
          <a:off x="8877300" y="3670300"/>
          <a:ext cx="190500" cy="190500"/>
        </a:xfrm>
        <a:prstGeom prst="ellipse">
          <a:avLst/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762000</xdr:colOff>
      <xdr:row>22</xdr:row>
      <xdr:rowOff>25400</xdr:rowOff>
    </xdr:from>
    <xdr:to>
      <xdr:col>11</xdr:col>
      <xdr:colOff>101600</xdr:colOff>
      <xdr:row>23</xdr:row>
      <xdr:rowOff>101600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E3C3407-A927-5443-9729-AD009533E1B6}"/>
            </a:ext>
          </a:extLst>
        </xdr:cNvPr>
        <xdr:cNvSpPr/>
      </xdr:nvSpPr>
      <xdr:spPr>
        <a:xfrm>
          <a:off x="10604500" y="3657600"/>
          <a:ext cx="165100" cy="241300"/>
        </a:xfrm>
        <a:prstGeom prst="ellips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749300</xdr:colOff>
      <xdr:row>5</xdr:row>
      <xdr:rowOff>127000</xdr:rowOff>
    </xdr:from>
    <xdr:to>
      <xdr:col>8</xdr:col>
      <xdr:colOff>114300</xdr:colOff>
      <xdr:row>6</xdr:row>
      <xdr:rowOff>152400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5AB9F91-C41F-5942-90DC-2A0F23F1D7CF}"/>
            </a:ext>
          </a:extLst>
        </xdr:cNvPr>
        <xdr:cNvSpPr/>
      </xdr:nvSpPr>
      <xdr:spPr>
        <a:xfrm>
          <a:off x="8115300" y="952500"/>
          <a:ext cx="190500" cy="190500"/>
        </a:xfrm>
        <a:prstGeom prst="ellipse">
          <a:avLst/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812800</xdr:colOff>
      <xdr:row>1</xdr:row>
      <xdr:rowOff>50800</xdr:rowOff>
    </xdr:from>
    <xdr:to>
      <xdr:col>11</xdr:col>
      <xdr:colOff>0</xdr:colOff>
      <xdr:row>5</xdr:row>
      <xdr:rowOff>101600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114F044-F9A6-654C-AD0E-198773F19729}"/>
            </a:ext>
          </a:extLst>
        </xdr:cNvPr>
        <xdr:cNvCxnSpPr/>
      </xdr:nvCxnSpPr>
      <xdr:spPr>
        <a:xfrm flipH="1" flipV="1">
          <a:off x="10655300" y="215900"/>
          <a:ext cx="12700" cy="711200"/>
        </a:xfrm>
        <a:prstGeom prst="straightConnector1">
          <a:avLst/>
        </a:prstGeom>
        <a:ln w="22225">
          <a:solidFill>
            <a:srgbClr val="FF0000"/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812800</xdr:colOff>
      <xdr:row>1</xdr:row>
      <xdr:rowOff>63500</xdr:rowOff>
    </xdr:from>
    <xdr:to>
      <xdr:col>8</xdr:col>
      <xdr:colOff>0</xdr:colOff>
      <xdr:row>5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1DBC19A-2B7C-DC48-B6CD-64E52D069383}"/>
            </a:ext>
          </a:extLst>
        </xdr:cNvPr>
        <xdr:cNvCxnSpPr/>
      </xdr:nvCxnSpPr>
      <xdr:spPr>
        <a:xfrm flipH="1" flipV="1">
          <a:off x="8178800" y="228600"/>
          <a:ext cx="12700" cy="711200"/>
        </a:xfrm>
        <a:prstGeom prst="straightConnector1">
          <a:avLst/>
        </a:prstGeom>
        <a:ln w="22225">
          <a:solidFill>
            <a:srgbClr val="FF0000"/>
          </a:solidFill>
          <a:tailEnd type="stealth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736600</xdr:colOff>
      <xdr:row>5</xdr:row>
      <xdr:rowOff>76200</xdr:rowOff>
    </xdr:from>
    <xdr:to>
      <xdr:col>11</xdr:col>
      <xdr:colOff>76200</xdr:colOff>
      <xdr:row>6</xdr:row>
      <xdr:rowOff>152400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A6045BD-4198-8D4C-9C3C-081A1AFF542B}"/>
            </a:ext>
          </a:extLst>
        </xdr:cNvPr>
        <xdr:cNvSpPr/>
      </xdr:nvSpPr>
      <xdr:spPr>
        <a:xfrm>
          <a:off x="10579100" y="901700"/>
          <a:ext cx="165100" cy="241300"/>
        </a:xfrm>
        <a:prstGeom prst="ellipse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25400</xdr:colOff>
      <xdr:row>1</xdr:row>
      <xdr:rowOff>0</xdr:rowOff>
    </xdr:from>
    <xdr:to>
      <xdr:col>10</xdr:col>
      <xdr:colOff>812800</xdr:colOff>
      <xdr:row>22</xdr:row>
      <xdr:rowOff>88900</xdr:rowOff>
    </xdr:to>
    <xdr:sp macro="" textlink="">
      <xdr:nvSpPr>
        <xdr:cNvPr id="13" name="Freeform 12">
          <a:extLst>
            <a:ext uri="{FF2B5EF4-FFF2-40B4-BE49-F238E27FC236}">
              <a16:creationId xmlns:a16="http://schemas.microsoft.com/office/drawing/2014/main" id="{2F16FA58-5E04-8F77-F21E-E3AD87CE0DC3}"/>
            </a:ext>
          </a:extLst>
        </xdr:cNvPr>
        <xdr:cNvSpPr/>
      </xdr:nvSpPr>
      <xdr:spPr>
        <a:xfrm>
          <a:off x="8216900" y="165100"/>
          <a:ext cx="2438400" cy="3556000"/>
        </a:xfrm>
        <a:custGeom>
          <a:avLst/>
          <a:gdLst>
            <a:gd name="connsiteX0" fmla="*/ 0 w 2438400"/>
            <a:gd name="connsiteY0" fmla="*/ 965200 h 3556000"/>
            <a:gd name="connsiteX1" fmla="*/ 12700 w 2438400"/>
            <a:gd name="connsiteY1" fmla="*/ 1117600 h 3556000"/>
            <a:gd name="connsiteX2" fmla="*/ 25400 w 2438400"/>
            <a:gd name="connsiteY2" fmla="*/ 1295400 h 3556000"/>
            <a:gd name="connsiteX3" fmla="*/ 38100 w 2438400"/>
            <a:gd name="connsiteY3" fmla="*/ 1384300 h 3556000"/>
            <a:gd name="connsiteX4" fmla="*/ 50800 w 2438400"/>
            <a:gd name="connsiteY4" fmla="*/ 1536700 h 3556000"/>
            <a:gd name="connsiteX5" fmla="*/ 76200 w 2438400"/>
            <a:gd name="connsiteY5" fmla="*/ 1714500 h 3556000"/>
            <a:gd name="connsiteX6" fmla="*/ 88900 w 2438400"/>
            <a:gd name="connsiteY6" fmla="*/ 1790700 h 3556000"/>
            <a:gd name="connsiteX7" fmla="*/ 114300 w 2438400"/>
            <a:gd name="connsiteY7" fmla="*/ 1892300 h 3556000"/>
            <a:gd name="connsiteX8" fmla="*/ 139700 w 2438400"/>
            <a:gd name="connsiteY8" fmla="*/ 2108200 h 3556000"/>
            <a:gd name="connsiteX9" fmla="*/ 152400 w 2438400"/>
            <a:gd name="connsiteY9" fmla="*/ 2171700 h 3556000"/>
            <a:gd name="connsiteX10" fmla="*/ 165100 w 2438400"/>
            <a:gd name="connsiteY10" fmla="*/ 2286000 h 3556000"/>
            <a:gd name="connsiteX11" fmla="*/ 177800 w 2438400"/>
            <a:gd name="connsiteY11" fmla="*/ 2349500 h 3556000"/>
            <a:gd name="connsiteX12" fmla="*/ 203200 w 2438400"/>
            <a:gd name="connsiteY12" fmla="*/ 2540000 h 3556000"/>
            <a:gd name="connsiteX13" fmla="*/ 215900 w 2438400"/>
            <a:gd name="connsiteY13" fmla="*/ 2616200 h 3556000"/>
            <a:gd name="connsiteX14" fmla="*/ 228600 w 2438400"/>
            <a:gd name="connsiteY14" fmla="*/ 2679700 h 3556000"/>
            <a:gd name="connsiteX15" fmla="*/ 241300 w 2438400"/>
            <a:gd name="connsiteY15" fmla="*/ 2730500 h 3556000"/>
            <a:gd name="connsiteX16" fmla="*/ 266700 w 2438400"/>
            <a:gd name="connsiteY16" fmla="*/ 2908300 h 3556000"/>
            <a:gd name="connsiteX17" fmla="*/ 279400 w 2438400"/>
            <a:gd name="connsiteY17" fmla="*/ 2946400 h 3556000"/>
            <a:gd name="connsiteX18" fmla="*/ 292100 w 2438400"/>
            <a:gd name="connsiteY18" fmla="*/ 2997200 h 3556000"/>
            <a:gd name="connsiteX19" fmla="*/ 330200 w 2438400"/>
            <a:gd name="connsiteY19" fmla="*/ 3098800 h 3556000"/>
            <a:gd name="connsiteX20" fmla="*/ 355600 w 2438400"/>
            <a:gd name="connsiteY20" fmla="*/ 3175000 h 3556000"/>
            <a:gd name="connsiteX21" fmla="*/ 406400 w 2438400"/>
            <a:gd name="connsiteY21" fmla="*/ 3251200 h 3556000"/>
            <a:gd name="connsiteX22" fmla="*/ 444500 w 2438400"/>
            <a:gd name="connsiteY22" fmla="*/ 3263900 h 3556000"/>
            <a:gd name="connsiteX23" fmla="*/ 520700 w 2438400"/>
            <a:gd name="connsiteY23" fmla="*/ 3314700 h 3556000"/>
            <a:gd name="connsiteX24" fmla="*/ 596900 w 2438400"/>
            <a:gd name="connsiteY24" fmla="*/ 3352800 h 3556000"/>
            <a:gd name="connsiteX25" fmla="*/ 711200 w 2438400"/>
            <a:gd name="connsiteY25" fmla="*/ 3441700 h 3556000"/>
            <a:gd name="connsiteX26" fmla="*/ 749300 w 2438400"/>
            <a:gd name="connsiteY26" fmla="*/ 3467100 h 3556000"/>
            <a:gd name="connsiteX27" fmla="*/ 838200 w 2438400"/>
            <a:gd name="connsiteY27" fmla="*/ 3492500 h 3556000"/>
            <a:gd name="connsiteX28" fmla="*/ 914400 w 2438400"/>
            <a:gd name="connsiteY28" fmla="*/ 3517900 h 3556000"/>
            <a:gd name="connsiteX29" fmla="*/ 952500 w 2438400"/>
            <a:gd name="connsiteY29" fmla="*/ 3530600 h 3556000"/>
            <a:gd name="connsiteX30" fmla="*/ 1066800 w 2438400"/>
            <a:gd name="connsiteY30" fmla="*/ 3556000 h 3556000"/>
            <a:gd name="connsiteX31" fmla="*/ 1536700 w 2438400"/>
            <a:gd name="connsiteY31" fmla="*/ 3543300 h 3556000"/>
            <a:gd name="connsiteX32" fmla="*/ 1574800 w 2438400"/>
            <a:gd name="connsiteY32" fmla="*/ 3530600 h 3556000"/>
            <a:gd name="connsiteX33" fmla="*/ 1701800 w 2438400"/>
            <a:gd name="connsiteY33" fmla="*/ 3505200 h 3556000"/>
            <a:gd name="connsiteX34" fmla="*/ 1765300 w 2438400"/>
            <a:gd name="connsiteY34" fmla="*/ 3416300 h 3556000"/>
            <a:gd name="connsiteX35" fmla="*/ 1803400 w 2438400"/>
            <a:gd name="connsiteY35" fmla="*/ 3390900 h 3556000"/>
            <a:gd name="connsiteX36" fmla="*/ 1828800 w 2438400"/>
            <a:gd name="connsiteY36" fmla="*/ 3352800 h 3556000"/>
            <a:gd name="connsiteX37" fmla="*/ 1854200 w 2438400"/>
            <a:gd name="connsiteY37" fmla="*/ 3302000 h 3556000"/>
            <a:gd name="connsiteX38" fmla="*/ 1905000 w 2438400"/>
            <a:gd name="connsiteY38" fmla="*/ 3251200 h 3556000"/>
            <a:gd name="connsiteX39" fmla="*/ 1917700 w 2438400"/>
            <a:gd name="connsiteY39" fmla="*/ 3200400 h 3556000"/>
            <a:gd name="connsiteX40" fmla="*/ 1955800 w 2438400"/>
            <a:gd name="connsiteY40" fmla="*/ 3162300 h 3556000"/>
            <a:gd name="connsiteX41" fmla="*/ 1981200 w 2438400"/>
            <a:gd name="connsiteY41" fmla="*/ 3124200 h 3556000"/>
            <a:gd name="connsiteX42" fmla="*/ 1993900 w 2438400"/>
            <a:gd name="connsiteY42" fmla="*/ 3086100 h 3556000"/>
            <a:gd name="connsiteX43" fmla="*/ 2019300 w 2438400"/>
            <a:gd name="connsiteY43" fmla="*/ 3048000 h 3556000"/>
            <a:gd name="connsiteX44" fmla="*/ 2044700 w 2438400"/>
            <a:gd name="connsiteY44" fmla="*/ 2971800 h 3556000"/>
            <a:gd name="connsiteX45" fmla="*/ 2057400 w 2438400"/>
            <a:gd name="connsiteY45" fmla="*/ 2933700 h 3556000"/>
            <a:gd name="connsiteX46" fmla="*/ 2095500 w 2438400"/>
            <a:gd name="connsiteY46" fmla="*/ 2857500 h 3556000"/>
            <a:gd name="connsiteX47" fmla="*/ 2120900 w 2438400"/>
            <a:gd name="connsiteY47" fmla="*/ 2819400 h 3556000"/>
            <a:gd name="connsiteX48" fmla="*/ 2133600 w 2438400"/>
            <a:gd name="connsiteY48" fmla="*/ 2781300 h 3556000"/>
            <a:gd name="connsiteX49" fmla="*/ 2159000 w 2438400"/>
            <a:gd name="connsiteY49" fmla="*/ 2743200 h 3556000"/>
            <a:gd name="connsiteX50" fmla="*/ 2171700 w 2438400"/>
            <a:gd name="connsiteY50" fmla="*/ 2705100 h 3556000"/>
            <a:gd name="connsiteX51" fmla="*/ 2197100 w 2438400"/>
            <a:gd name="connsiteY51" fmla="*/ 2654300 h 3556000"/>
            <a:gd name="connsiteX52" fmla="*/ 2222500 w 2438400"/>
            <a:gd name="connsiteY52" fmla="*/ 2616200 h 3556000"/>
            <a:gd name="connsiteX53" fmla="*/ 2247900 w 2438400"/>
            <a:gd name="connsiteY53" fmla="*/ 2540000 h 3556000"/>
            <a:gd name="connsiteX54" fmla="*/ 2273300 w 2438400"/>
            <a:gd name="connsiteY54" fmla="*/ 2463800 h 3556000"/>
            <a:gd name="connsiteX55" fmla="*/ 2286000 w 2438400"/>
            <a:gd name="connsiteY55" fmla="*/ 2425700 h 3556000"/>
            <a:gd name="connsiteX56" fmla="*/ 2298700 w 2438400"/>
            <a:gd name="connsiteY56" fmla="*/ 2171700 h 3556000"/>
            <a:gd name="connsiteX57" fmla="*/ 2324100 w 2438400"/>
            <a:gd name="connsiteY57" fmla="*/ 1981200 h 3556000"/>
            <a:gd name="connsiteX58" fmla="*/ 2336800 w 2438400"/>
            <a:gd name="connsiteY58" fmla="*/ 1943100 h 3556000"/>
            <a:gd name="connsiteX59" fmla="*/ 2349500 w 2438400"/>
            <a:gd name="connsiteY59" fmla="*/ 1854200 h 3556000"/>
            <a:gd name="connsiteX60" fmla="*/ 2362200 w 2438400"/>
            <a:gd name="connsiteY60" fmla="*/ 1714500 h 3556000"/>
            <a:gd name="connsiteX61" fmla="*/ 2400300 w 2438400"/>
            <a:gd name="connsiteY61" fmla="*/ 1549400 h 3556000"/>
            <a:gd name="connsiteX62" fmla="*/ 2425700 w 2438400"/>
            <a:gd name="connsiteY62" fmla="*/ 1295400 h 3556000"/>
            <a:gd name="connsiteX63" fmla="*/ 2438400 w 2438400"/>
            <a:gd name="connsiteY63" fmla="*/ 1206500 h 3556000"/>
            <a:gd name="connsiteX64" fmla="*/ 2425700 w 2438400"/>
            <a:gd name="connsiteY64" fmla="*/ 609600 h 3556000"/>
            <a:gd name="connsiteX65" fmla="*/ 2400300 w 2438400"/>
            <a:gd name="connsiteY65" fmla="*/ 393700 h 3556000"/>
            <a:gd name="connsiteX66" fmla="*/ 2387600 w 2438400"/>
            <a:gd name="connsiteY66" fmla="*/ 0 h 3556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</a:cxnLst>
          <a:rect l="l" t="t" r="r" b="b"/>
          <a:pathLst>
            <a:path w="2438400" h="3556000">
              <a:moveTo>
                <a:pt x="0" y="965200"/>
              </a:moveTo>
              <a:cubicBezTo>
                <a:pt x="4233" y="1016000"/>
                <a:pt x="8790" y="1066774"/>
                <a:pt x="12700" y="1117600"/>
              </a:cubicBezTo>
              <a:cubicBezTo>
                <a:pt x="17257" y="1176843"/>
                <a:pt x="19767" y="1236250"/>
                <a:pt x="25400" y="1295400"/>
              </a:cubicBezTo>
              <a:cubicBezTo>
                <a:pt x="28238" y="1325199"/>
                <a:pt x="34966" y="1354530"/>
                <a:pt x="38100" y="1384300"/>
              </a:cubicBezTo>
              <a:cubicBezTo>
                <a:pt x="43436" y="1434996"/>
                <a:pt x="45967" y="1485954"/>
                <a:pt x="50800" y="1536700"/>
              </a:cubicBezTo>
              <a:cubicBezTo>
                <a:pt x="64949" y="1685266"/>
                <a:pt x="56508" y="1606195"/>
                <a:pt x="76200" y="1714500"/>
              </a:cubicBezTo>
              <a:cubicBezTo>
                <a:pt x="80806" y="1739835"/>
                <a:pt x="83505" y="1765521"/>
                <a:pt x="88900" y="1790700"/>
              </a:cubicBezTo>
              <a:cubicBezTo>
                <a:pt x="96214" y="1824834"/>
                <a:pt x="114300" y="1892300"/>
                <a:pt x="114300" y="1892300"/>
              </a:cubicBezTo>
              <a:cubicBezTo>
                <a:pt x="123328" y="1982582"/>
                <a:pt x="125662" y="2023975"/>
                <a:pt x="139700" y="2108200"/>
              </a:cubicBezTo>
              <a:cubicBezTo>
                <a:pt x="143249" y="2129492"/>
                <a:pt x="149347" y="2150331"/>
                <a:pt x="152400" y="2171700"/>
              </a:cubicBezTo>
              <a:cubicBezTo>
                <a:pt x="157821" y="2209649"/>
                <a:pt x="159679" y="2248051"/>
                <a:pt x="165100" y="2286000"/>
              </a:cubicBezTo>
              <a:cubicBezTo>
                <a:pt x="168153" y="2307369"/>
                <a:pt x="174251" y="2328208"/>
                <a:pt x="177800" y="2349500"/>
              </a:cubicBezTo>
              <a:cubicBezTo>
                <a:pt x="192195" y="2435870"/>
                <a:pt x="190358" y="2450105"/>
                <a:pt x="203200" y="2540000"/>
              </a:cubicBezTo>
              <a:cubicBezTo>
                <a:pt x="206842" y="2565492"/>
                <a:pt x="211294" y="2590865"/>
                <a:pt x="215900" y="2616200"/>
              </a:cubicBezTo>
              <a:cubicBezTo>
                <a:pt x="219761" y="2637438"/>
                <a:pt x="223917" y="2658628"/>
                <a:pt x="228600" y="2679700"/>
              </a:cubicBezTo>
              <a:cubicBezTo>
                <a:pt x="232386" y="2696739"/>
                <a:pt x="238431" y="2713283"/>
                <a:pt x="241300" y="2730500"/>
              </a:cubicBezTo>
              <a:cubicBezTo>
                <a:pt x="251142" y="2789554"/>
                <a:pt x="247768" y="2851504"/>
                <a:pt x="266700" y="2908300"/>
              </a:cubicBezTo>
              <a:cubicBezTo>
                <a:pt x="270933" y="2921000"/>
                <a:pt x="275722" y="2933528"/>
                <a:pt x="279400" y="2946400"/>
              </a:cubicBezTo>
              <a:cubicBezTo>
                <a:pt x="284195" y="2963183"/>
                <a:pt x="287305" y="2980417"/>
                <a:pt x="292100" y="2997200"/>
              </a:cubicBezTo>
              <a:cubicBezTo>
                <a:pt x="304681" y="3041235"/>
                <a:pt x="312307" y="3049594"/>
                <a:pt x="330200" y="3098800"/>
              </a:cubicBezTo>
              <a:cubicBezTo>
                <a:pt x="339350" y="3123962"/>
                <a:pt x="347133" y="3149600"/>
                <a:pt x="355600" y="3175000"/>
              </a:cubicBezTo>
              <a:cubicBezTo>
                <a:pt x="368915" y="3214944"/>
                <a:pt x="365629" y="3224019"/>
                <a:pt x="406400" y="3251200"/>
              </a:cubicBezTo>
              <a:cubicBezTo>
                <a:pt x="417539" y="3258626"/>
                <a:pt x="431800" y="3259667"/>
                <a:pt x="444500" y="3263900"/>
              </a:cubicBezTo>
              <a:cubicBezTo>
                <a:pt x="516725" y="3336125"/>
                <a:pt x="447182" y="3277941"/>
                <a:pt x="520700" y="3314700"/>
              </a:cubicBezTo>
              <a:cubicBezTo>
                <a:pt x="619177" y="3363939"/>
                <a:pt x="501135" y="3320878"/>
                <a:pt x="596900" y="3352800"/>
              </a:cubicBezTo>
              <a:cubicBezTo>
                <a:pt x="656586" y="3412486"/>
                <a:pt x="620056" y="3380937"/>
                <a:pt x="711200" y="3441700"/>
              </a:cubicBezTo>
              <a:cubicBezTo>
                <a:pt x="723900" y="3450167"/>
                <a:pt x="734820" y="3462273"/>
                <a:pt x="749300" y="3467100"/>
              </a:cubicBezTo>
              <a:cubicBezTo>
                <a:pt x="877343" y="3509781"/>
                <a:pt x="678732" y="3444660"/>
                <a:pt x="838200" y="3492500"/>
              </a:cubicBezTo>
              <a:cubicBezTo>
                <a:pt x="863845" y="3500193"/>
                <a:pt x="889000" y="3509433"/>
                <a:pt x="914400" y="3517900"/>
              </a:cubicBezTo>
              <a:cubicBezTo>
                <a:pt x="927100" y="3522133"/>
                <a:pt x="939373" y="3527975"/>
                <a:pt x="952500" y="3530600"/>
              </a:cubicBezTo>
              <a:cubicBezTo>
                <a:pt x="1033116" y="3546723"/>
                <a:pt x="995059" y="3538065"/>
                <a:pt x="1066800" y="3556000"/>
              </a:cubicBezTo>
              <a:cubicBezTo>
                <a:pt x="1223433" y="3551767"/>
                <a:pt x="1380205" y="3551125"/>
                <a:pt x="1536700" y="3543300"/>
              </a:cubicBezTo>
              <a:cubicBezTo>
                <a:pt x="1550070" y="3542631"/>
                <a:pt x="1561756" y="3533610"/>
                <a:pt x="1574800" y="3530600"/>
              </a:cubicBezTo>
              <a:cubicBezTo>
                <a:pt x="1616866" y="3520892"/>
                <a:pt x="1701800" y="3505200"/>
                <a:pt x="1701800" y="3505200"/>
              </a:cubicBezTo>
              <a:cubicBezTo>
                <a:pt x="1790071" y="3446353"/>
                <a:pt x="1687628" y="3525041"/>
                <a:pt x="1765300" y="3416300"/>
              </a:cubicBezTo>
              <a:cubicBezTo>
                <a:pt x="1774172" y="3403880"/>
                <a:pt x="1790700" y="3399367"/>
                <a:pt x="1803400" y="3390900"/>
              </a:cubicBezTo>
              <a:cubicBezTo>
                <a:pt x="1811867" y="3378200"/>
                <a:pt x="1821227" y="3366052"/>
                <a:pt x="1828800" y="3352800"/>
              </a:cubicBezTo>
              <a:cubicBezTo>
                <a:pt x="1838193" y="3336362"/>
                <a:pt x="1842841" y="3317146"/>
                <a:pt x="1854200" y="3302000"/>
              </a:cubicBezTo>
              <a:cubicBezTo>
                <a:pt x="1868568" y="3282842"/>
                <a:pt x="1888067" y="3268133"/>
                <a:pt x="1905000" y="3251200"/>
              </a:cubicBezTo>
              <a:cubicBezTo>
                <a:pt x="1909233" y="3234267"/>
                <a:pt x="1909040" y="3215555"/>
                <a:pt x="1917700" y="3200400"/>
              </a:cubicBezTo>
              <a:cubicBezTo>
                <a:pt x="1926611" y="3184806"/>
                <a:pt x="1944302" y="3176098"/>
                <a:pt x="1955800" y="3162300"/>
              </a:cubicBezTo>
              <a:cubicBezTo>
                <a:pt x="1965571" y="3150574"/>
                <a:pt x="1974374" y="3137852"/>
                <a:pt x="1981200" y="3124200"/>
              </a:cubicBezTo>
              <a:cubicBezTo>
                <a:pt x="1987187" y="3112226"/>
                <a:pt x="1987913" y="3098074"/>
                <a:pt x="1993900" y="3086100"/>
              </a:cubicBezTo>
              <a:cubicBezTo>
                <a:pt x="2000726" y="3072448"/>
                <a:pt x="2013101" y="3061948"/>
                <a:pt x="2019300" y="3048000"/>
              </a:cubicBezTo>
              <a:cubicBezTo>
                <a:pt x="2030174" y="3023534"/>
                <a:pt x="2036233" y="2997200"/>
                <a:pt x="2044700" y="2971800"/>
              </a:cubicBezTo>
              <a:cubicBezTo>
                <a:pt x="2048933" y="2959100"/>
                <a:pt x="2049974" y="2944839"/>
                <a:pt x="2057400" y="2933700"/>
              </a:cubicBezTo>
              <a:cubicBezTo>
                <a:pt x="2130193" y="2824511"/>
                <a:pt x="2042920" y="2962660"/>
                <a:pt x="2095500" y="2857500"/>
              </a:cubicBezTo>
              <a:cubicBezTo>
                <a:pt x="2102326" y="2843848"/>
                <a:pt x="2114074" y="2833052"/>
                <a:pt x="2120900" y="2819400"/>
              </a:cubicBezTo>
              <a:cubicBezTo>
                <a:pt x="2126887" y="2807426"/>
                <a:pt x="2127613" y="2793274"/>
                <a:pt x="2133600" y="2781300"/>
              </a:cubicBezTo>
              <a:cubicBezTo>
                <a:pt x="2140426" y="2767648"/>
                <a:pt x="2152174" y="2756852"/>
                <a:pt x="2159000" y="2743200"/>
              </a:cubicBezTo>
              <a:cubicBezTo>
                <a:pt x="2164987" y="2731226"/>
                <a:pt x="2166427" y="2717405"/>
                <a:pt x="2171700" y="2705100"/>
              </a:cubicBezTo>
              <a:cubicBezTo>
                <a:pt x="2179158" y="2687699"/>
                <a:pt x="2187707" y="2670738"/>
                <a:pt x="2197100" y="2654300"/>
              </a:cubicBezTo>
              <a:cubicBezTo>
                <a:pt x="2204673" y="2641048"/>
                <a:pt x="2216301" y="2630148"/>
                <a:pt x="2222500" y="2616200"/>
              </a:cubicBezTo>
              <a:cubicBezTo>
                <a:pt x="2233374" y="2591734"/>
                <a:pt x="2239433" y="2565400"/>
                <a:pt x="2247900" y="2540000"/>
              </a:cubicBezTo>
              <a:lnTo>
                <a:pt x="2273300" y="2463800"/>
              </a:lnTo>
              <a:lnTo>
                <a:pt x="2286000" y="2425700"/>
              </a:lnTo>
              <a:cubicBezTo>
                <a:pt x="2290233" y="2341033"/>
                <a:pt x="2292867" y="2256272"/>
                <a:pt x="2298700" y="2171700"/>
              </a:cubicBezTo>
              <a:cubicBezTo>
                <a:pt x="2301451" y="2131805"/>
                <a:pt x="2313691" y="2028041"/>
                <a:pt x="2324100" y="1981200"/>
              </a:cubicBezTo>
              <a:cubicBezTo>
                <a:pt x="2327004" y="1968132"/>
                <a:pt x="2332567" y="1955800"/>
                <a:pt x="2336800" y="1943100"/>
              </a:cubicBezTo>
              <a:cubicBezTo>
                <a:pt x="2341033" y="1913467"/>
                <a:pt x="2346194" y="1883951"/>
                <a:pt x="2349500" y="1854200"/>
              </a:cubicBezTo>
              <a:cubicBezTo>
                <a:pt x="2354664" y="1807727"/>
                <a:pt x="2355587" y="1760789"/>
                <a:pt x="2362200" y="1714500"/>
              </a:cubicBezTo>
              <a:cubicBezTo>
                <a:pt x="2376213" y="1616411"/>
                <a:pt x="2378293" y="1615421"/>
                <a:pt x="2400300" y="1549400"/>
              </a:cubicBezTo>
              <a:cubicBezTo>
                <a:pt x="2436657" y="1258540"/>
                <a:pt x="2384275" y="1688937"/>
                <a:pt x="2425700" y="1295400"/>
              </a:cubicBezTo>
              <a:cubicBezTo>
                <a:pt x="2428834" y="1265630"/>
                <a:pt x="2434167" y="1236133"/>
                <a:pt x="2438400" y="1206500"/>
              </a:cubicBezTo>
              <a:cubicBezTo>
                <a:pt x="2434167" y="1007533"/>
                <a:pt x="2432442" y="808497"/>
                <a:pt x="2425700" y="609600"/>
              </a:cubicBezTo>
              <a:cubicBezTo>
                <a:pt x="2421559" y="487448"/>
                <a:pt x="2418614" y="485269"/>
                <a:pt x="2400300" y="393700"/>
              </a:cubicBezTo>
              <a:cubicBezTo>
                <a:pt x="2387308" y="16938"/>
                <a:pt x="2387600" y="148240"/>
                <a:pt x="2387600" y="0"/>
              </a:cubicBezTo>
            </a:path>
          </a:pathLst>
        </a:custGeom>
        <a:noFill/>
        <a:ln>
          <a:tailEnd type="triangle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381000</xdr:colOff>
      <xdr:row>22</xdr:row>
      <xdr:rowOff>152400</xdr:rowOff>
    </xdr:from>
    <xdr:to>
      <xdr:col>9</xdr:col>
      <xdr:colOff>596900</xdr:colOff>
      <xdr:row>24</xdr:row>
      <xdr:rowOff>88900</xdr:rowOff>
    </xdr:to>
    <xdr:sp macro="" textlink="">
      <xdr:nvSpPr>
        <xdr:cNvPr id="9" name="Triangle 8">
          <a:extLst>
            <a:ext uri="{FF2B5EF4-FFF2-40B4-BE49-F238E27FC236}">
              <a16:creationId xmlns:a16="http://schemas.microsoft.com/office/drawing/2014/main" id="{E0C662DB-021D-CB4C-9345-59A6AF2A534B}"/>
            </a:ext>
          </a:extLst>
        </xdr:cNvPr>
        <xdr:cNvSpPr/>
      </xdr:nvSpPr>
      <xdr:spPr>
        <a:xfrm>
          <a:off x="9398000" y="3784600"/>
          <a:ext cx="215900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1231900</xdr:colOff>
      <xdr:row>16</xdr:row>
      <xdr:rowOff>101600</xdr:rowOff>
    </xdr:from>
    <xdr:to>
      <xdr:col>13</xdr:col>
      <xdr:colOff>520700</xdr:colOff>
      <xdr:row>28</xdr:row>
      <xdr:rowOff>20219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69C08852-648D-EB4E-A615-C52C5F4BF067}"/>
            </a:ext>
          </a:extLst>
        </xdr:cNvPr>
        <xdr:cNvSpPr/>
      </xdr:nvSpPr>
      <xdr:spPr>
        <a:xfrm>
          <a:off x="6184900" y="2743200"/>
          <a:ext cx="5765800" cy="1899819"/>
        </a:xfrm>
        <a:custGeom>
          <a:avLst/>
          <a:gdLst>
            <a:gd name="connsiteX0" fmla="*/ 0 w 5270500"/>
            <a:gd name="connsiteY0" fmla="*/ 1041400 h 1899819"/>
            <a:gd name="connsiteX1" fmla="*/ 38100 w 5270500"/>
            <a:gd name="connsiteY1" fmla="*/ 1028700 h 1899819"/>
            <a:gd name="connsiteX2" fmla="*/ 76200 w 5270500"/>
            <a:gd name="connsiteY2" fmla="*/ 1003300 h 1899819"/>
            <a:gd name="connsiteX3" fmla="*/ 165100 w 5270500"/>
            <a:gd name="connsiteY3" fmla="*/ 889000 h 1899819"/>
            <a:gd name="connsiteX4" fmla="*/ 228600 w 5270500"/>
            <a:gd name="connsiteY4" fmla="*/ 774700 h 1899819"/>
            <a:gd name="connsiteX5" fmla="*/ 254000 w 5270500"/>
            <a:gd name="connsiteY5" fmla="*/ 736600 h 1899819"/>
            <a:gd name="connsiteX6" fmla="*/ 317500 w 5270500"/>
            <a:gd name="connsiteY6" fmla="*/ 622300 h 1899819"/>
            <a:gd name="connsiteX7" fmla="*/ 342900 w 5270500"/>
            <a:gd name="connsiteY7" fmla="*/ 584200 h 1899819"/>
            <a:gd name="connsiteX8" fmla="*/ 381000 w 5270500"/>
            <a:gd name="connsiteY8" fmla="*/ 508000 h 1899819"/>
            <a:gd name="connsiteX9" fmla="*/ 393700 w 5270500"/>
            <a:gd name="connsiteY9" fmla="*/ 469900 h 1899819"/>
            <a:gd name="connsiteX10" fmla="*/ 444500 w 5270500"/>
            <a:gd name="connsiteY10" fmla="*/ 393700 h 1899819"/>
            <a:gd name="connsiteX11" fmla="*/ 457200 w 5270500"/>
            <a:gd name="connsiteY11" fmla="*/ 355600 h 1899819"/>
            <a:gd name="connsiteX12" fmla="*/ 495300 w 5270500"/>
            <a:gd name="connsiteY12" fmla="*/ 330200 h 1899819"/>
            <a:gd name="connsiteX13" fmla="*/ 533400 w 5270500"/>
            <a:gd name="connsiteY13" fmla="*/ 254000 h 1899819"/>
            <a:gd name="connsiteX14" fmla="*/ 571500 w 5270500"/>
            <a:gd name="connsiteY14" fmla="*/ 215900 h 1899819"/>
            <a:gd name="connsiteX15" fmla="*/ 596900 w 5270500"/>
            <a:gd name="connsiteY15" fmla="*/ 177800 h 1899819"/>
            <a:gd name="connsiteX16" fmla="*/ 635000 w 5270500"/>
            <a:gd name="connsiteY16" fmla="*/ 152400 h 1899819"/>
            <a:gd name="connsiteX17" fmla="*/ 749300 w 5270500"/>
            <a:gd name="connsiteY17" fmla="*/ 63500 h 1899819"/>
            <a:gd name="connsiteX18" fmla="*/ 863600 w 5270500"/>
            <a:gd name="connsiteY18" fmla="*/ 12700 h 1899819"/>
            <a:gd name="connsiteX19" fmla="*/ 901700 w 5270500"/>
            <a:gd name="connsiteY19" fmla="*/ 0 h 1899819"/>
            <a:gd name="connsiteX20" fmla="*/ 977900 w 5270500"/>
            <a:gd name="connsiteY20" fmla="*/ 12700 h 1899819"/>
            <a:gd name="connsiteX21" fmla="*/ 1041400 w 5270500"/>
            <a:gd name="connsiteY21" fmla="*/ 76200 h 1899819"/>
            <a:gd name="connsiteX22" fmla="*/ 1079500 w 5270500"/>
            <a:gd name="connsiteY22" fmla="*/ 101600 h 1899819"/>
            <a:gd name="connsiteX23" fmla="*/ 1130300 w 5270500"/>
            <a:gd name="connsiteY23" fmla="*/ 254000 h 1899819"/>
            <a:gd name="connsiteX24" fmla="*/ 1143000 w 5270500"/>
            <a:gd name="connsiteY24" fmla="*/ 292100 h 1899819"/>
            <a:gd name="connsiteX25" fmla="*/ 1168400 w 5270500"/>
            <a:gd name="connsiteY25" fmla="*/ 330200 h 1899819"/>
            <a:gd name="connsiteX26" fmla="*/ 1193800 w 5270500"/>
            <a:gd name="connsiteY26" fmla="*/ 406400 h 1899819"/>
            <a:gd name="connsiteX27" fmla="*/ 1206500 w 5270500"/>
            <a:gd name="connsiteY27" fmla="*/ 444500 h 1899819"/>
            <a:gd name="connsiteX28" fmla="*/ 1219200 w 5270500"/>
            <a:gd name="connsiteY28" fmla="*/ 482600 h 1899819"/>
            <a:gd name="connsiteX29" fmla="*/ 1244600 w 5270500"/>
            <a:gd name="connsiteY29" fmla="*/ 584200 h 1899819"/>
            <a:gd name="connsiteX30" fmla="*/ 1270000 w 5270500"/>
            <a:gd name="connsiteY30" fmla="*/ 660400 h 1899819"/>
            <a:gd name="connsiteX31" fmla="*/ 1282700 w 5270500"/>
            <a:gd name="connsiteY31" fmla="*/ 698500 h 1899819"/>
            <a:gd name="connsiteX32" fmla="*/ 1308100 w 5270500"/>
            <a:gd name="connsiteY32" fmla="*/ 736600 h 1899819"/>
            <a:gd name="connsiteX33" fmla="*/ 1333500 w 5270500"/>
            <a:gd name="connsiteY33" fmla="*/ 812800 h 1899819"/>
            <a:gd name="connsiteX34" fmla="*/ 1358900 w 5270500"/>
            <a:gd name="connsiteY34" fmla="*/ 889000 h 1899819"/>
            <a:gd name="connsiteX35" fmla="*/ 1371600 w 5270500"/>
            <a:gd name="connsiteY35" fmla="*/ 927100 h 1899819"/>
            <a:gd name="connsiteX36" fmla="*/ 1384300 w 5270500"/>
            <a:gd name="connsiteY36" fmla="*/ 977900 h 1899819"/>
            <a:gd name="connsiteX37" fmla="*/ 1409700 w 5270500"/>
            <a:gd name="connsiteY37" fmla="*/ 1028700 h 1899819"/>
            <a:gd name="connsiteX38" fmla="*/ 1435100 w 5270500"/>
            <a:gd name="connsiteY38" fmla="*/ 1143000 h 1899819"/>
            <a:gd name="connsiteX39" fmla="*/ 1447800 w 5270500"/>
            <a:gd name="connsiteY39" fmla="*/ 1193800 h 1899819"/>
            <a:gd name="connsiteX40" fmla="*/ 1460500 w 5270500"/>
            <a:gd name="connsiteY40" fmla="*/ 1231900 h 1899819"/>
            <a:gd name="connsiteX41" fmla="*/ 1485900 w 5270500"/>
            <a:gd name="connsiteY41" fmla="*/ 1333500 h 1899819"/>
            <a:gd name="connsiteX42" fmla="*/ 1524000 w 5270500"/>
            <a:gd name="connsiteY42" fmla="*/ 1371600 h 1899819"/>
            <a:gd name="connsiteX43" fmla="*/ 1587500 w 5270500"/>
            <a:gd name="connsiteY43" fmla="*/ 1447800 h 1899819"/>
            <a:gd name="connsiteX44" fmla="*/ 1651000 w 5270500"/>
            <a:gd name="connsiteY44" fmla="*/ 1562100 h 1899819"/>
            <a:gd name="connsiteX45" fmla="*/ 1676400 w 5270500"/>
            <a:gd name="connsiteY45" fmla="*/ 1600200 h 1899819"/>
            <a:gd name="connsiteX46" fmla="*/ 1727200 w 5270500"/>
            <a:gd name="connsiteY46" fmla="*/ 1676400 h 1899819"/>
            <a:gd name="connsiteX47" fmla="*/ 1790700 w 5270500"/>
            <a:gd name="connsiteY47" fmla="*/ 1739900 h 1899819"/>
            <a:gd name="connsiteX48" fmla="*/ 1879600 w 5270500"/>
            <a:gd name="connsiteY48" fmla="*/ 1828800 h 1899819"/>
            <a:gd name="connsiteX49" fmla="*/ 1917700 w 5270500"/>
            <a:gd name="connsiteY49" fmla="*/ 1866900 h 1899819"/>
            <a:gd name="connsiteX50" fmla="*/ 2133600 w 5270500"/>
            <a:gd name="connsiteY50" fmla="*/ 1879600 h 1899819"/>
            <a:gd name="connsiteX51" fmla="*/ 2171700 w 5270500"/>
            <a:gd name="connsiteY51" fmla="*/ 1866900 h 1899819"/>
            <a:gd name="connsiteX52" fmla="*/ 2247900 w 5270500"/>
            <a:gd name="connsiteY52" fmla="*/ 1816100 h 1899819"/>
            <a:gd name="connsiteX53" fmla="*/ 2298700 w 5270500"/>
            <a:gd name="connsiteY53" fmla="*/ 1739900 h 1899819"/>
            <a:gd name="connsiteX54" fmla="*/ 2311400 w 5270500"/>
            <a:gd name="connsiteY54" fmla="*/ 1701800 h 1899819"/>
            <a:gd name="connsiteX55" fmla="*/ 2387600 w 5270500"/>
            <a:gd name="connsiteY55" fmla="*/ 1587500 h 1899819"/>
            <a:gd name="connsiteX56" fmla="*/ 2413000 w 5270500"/>
            <a:gd name="connsiteY56" fmla="*/ 1549400 h 1899819"/>
            <a:gd name="connsiteX57" fmla="*/ 2451100 w 5270500"/>
            <a:gd name="connsiteY57" fmla="*/ 1473200 h 1899819"/>
            <a:gd name="connsiteX58" fmla="*/ 2463800 w 5270500"/>
            <a:gd name="connsiteY58" fmla="*/ 1435100 h 1899819"/>
            <a:gd name="connsiteX59" fmla="*/ 2489200 w 5270500"/>
            <a:gd name="connsiteY59" fmla="*/ 1397000 h 1899819"/>
            <a:gd name="connsiteX60" fmla="*/ 2514600 w 5270500"/>
            <a:gd name="connsiteY60" fmla="*/ 1320800 h 1899819"/>
            <a:gd name="connsiteX61" fmla="*/ 2552700 w 5270500"/>
            <a:gd name="connsiteY61" fmla="*/ 1244600 h 1899819"/>
            <a:gd name="connsiteX62" fmla="*/ 2578100 w 5270500"/>
            <a:gd name="connsiteY62" fmla="*/ 1206500 h 1899819"/>
            <a:gd name="connsiteX63" fmla="*/ 2603500 w 5270500"/>
            <a:gd name="connsiteY63" fmla="*/ 1130300 h 1899819"/>
            <a:gd name="connsiteX64" fmla="*/ 2616200 w 5270500"/>
            <a:gd name="connsiteY64" fmla="*/ 1092200 h 1899819"/>
            <a:gd name="connsiteX65" fmla="*/ 2641600 w 5270500"/>
            <a:gd name="connsiteY65" fmla="*/ 1054100 h 1899819"/>
            <a:gd name="connsiteX66" fmla="*/ 2667000 w 5270500"/>
            <a:gd name="connsiteY66" fmla="*/ 977900 h 1899819"/>
            <a:gd name="connsiteX67" fmla="*/ 2717800 w 5270500"/>
            <a:gd name="connsiteY67" fmla="*/ 901700 h 1899819"/>
            <a:gd name="connsiteX68" fmla="*/ 2743200 w 5270500"/>
            <a:gd name="connsiteY68" fmla="*/ 825500 h 1899819"/>
            <a:gd name="connsiteX69" fmla="*/ 2755900 w 5270500"/>
            <a:gd name="connsiteY69" fmla="*/ 787400 h 1899819"/>
            <a:gd name="connsiteX70" fmla="*/ 2819400 w 5270500"/>
            <a:gd name="connsiteY70" fmla="*/ 723900 h 1899819"/>
            <a:gd name="connsiteX71" fmla="*/ 2895600 w 5270500"/>
            <a:gd name="connsiteY71" fmla="*/ 660400 h 1899819"/>
            <a:gd name="connsiteX72" fmla="*/ 2921000 w 5270500"/>
            <a:gd name="connsiteY72" fmla="*/ 622300 h 1899819"/>
            <a:gd name="connsiteX73" fmla="*/ 2959100 w 5270500"/>
            <a:gd name="connsiteY73" fmla="*/ 609600 h 1899819"/>
            <a:gd name="connsiteX74" fmla="*/ 2997200 w 5270500"/>
            <a:gd name="connsiteY74" fmla="*/ 584200 h 1899819"/>
            <a:gd name="connsiteX75" fmla="*/ 3035300 w 5270500"/>
            <a:gd name="connsiteY75" fmla="*/ 571500 h 1899819"/>
            <a:gd name="connsiteX76" fmla="*/ 3073400 w 5270500"/>
            <a:gd name="connsiteY76" fmla="*/ 546100 h 1899819"/>
            <a:gd name="connsiteX77" fmla="*/ 3200400 w 5270500"/>
            <a:gd name="connsiteY77" fmla="*/ 520700 h 1899819"/>
            <a:gd name="connsiteX78" fmla="*/ 3327400 w 5270500"/>
            <a:gd name="connsiteY78" fmla="*/ 533400 h 1899819"/>
            <a:gd name="connsiteX79" fmla="*/ 3403600 w 5270500"/>
            <a:gd name="connsiteY79" fmla="*/ 596900 h 1899819"/>
            <a:gd name="connsiteX80" fmla="*/ 3429000 w 5270500"/>
            <a:gd name="connsiteY80" fmla="*/ 635000 h 1899819"/>
            <a:gd name="connsiteX81" fmla="*/ 3467100 w 5270500"/>
            <a:gd name="connsiteY81" fmla="*/ 647700 h 1899819"/>
            <a:gd name="connsiteX82" fmla="*/ 3543300 w 5270500"/>
            <a:gd name="connsiteY82" fmla="*/ 698500 h 1899819"/>
            <a:gd name="connsiteX83" fmla="*/ 3581400 w 5270500"/>
            <a:gd name="connsiteY83" fmla="*/ 723900 h 1899819"/>
            <a:gd name="connsiteX84" fmla="*/ 3619500 w 5270500"/>
            <a:gd name="connsiteY84" fmla="*/ 749300 h 1899819"/>
            <a:gd name="connsiteX85" fmla="*/ 3657600 w 5270500"/>
            <a:gd name="connsiteY85" fmla="*/ 774700 h 1899819"/>
            <a:gd name="connsiteX86" fmla="*/ 3683000 w 5270500"/>
            <a:gd name="connsiteY86" fmla="*/ 812800 h 1899819"/>
            <a:gd name="connsiteX87" fmla="*/ 3721100 w 5270500"/>
            <a:gd name="connsiteY87" fmla="*/ 838200 h 1899819"/>
            <a:gd name="connsiteX88" fmla="*/ 3810000 w 5270500"/>
            <a:gd name="connsiteY88" fmla="*/ 939800 h 1899819"/>
            <a:gd name="connsiteX89" fmla="*/ 3835400 w 5270500"/>
            <a:gd name="connsiteY89" fmla="*/ 977900 h 1899819"/>
            <a:gd name="connsiteX90" fmla="*/ 3873500 w 5270500"/>
            <a:gd name="connsiteY90" fmla="*/ 1003300 h 1899819"/>
            <a:gd name="connsiteX91" fmla="*/ 3924300 w 5270500"/>
            <a:gd name="connsiteY91" fmla="*/ 1079500 h 1899819"/>
            <a:gd name="connsiteX92" fmla="*/ 3949700 w 5270500"/>
            <a:gd name="connsiteY92" fmla="*/ 1117600 h 1899819"/>
            <a:gd name="connsiteX93" fmla="*/ 3987800 w 5270500"/>
            <a:gd name="connsiteY93" fmla="*/ 1143000 h 1899819"/>
            <a:gd name="connsiteX94" fmla="*/ 4000500 w 5270500"/>
            <a:gd name="connsiteY94" fmla="*/ 1181100 h 1899819"/>
            <a:gd name="connsiteX95" fmla="*/ 4076700 w 5270500"/>
            <a:gd name="connsiteY95" fmla="*/ 1231900 h 1899819"/>
            <a:gd name="connsiteX96" fmla="*/ 4241800 w 5270500"/>
            <a:gd name="connsiteY96" fmla="*/ 1193800 h 1899819"/>
            <a:gd name="connsiteX97" fmla="*/ 4279900 w 5270500"/>
            <a:gd name="connsiteY97" fmla="*/ 1181100 h 1899819"/>
            <a:gd name="connsiteX98" fmla="*/ 4318000 w 5270500"/>
            <a:gd name="connsiteY98" fmla="*/ 1143000 h 1899819"/>
            <a:gd name="connsiteX99" fmla="*/ 4368800 w 5270500"/>
            <a:gd name="connsiteY99" fmla="*/ 1066800 h 1899819"/>
            <a:gd name="connsiteX100" fmla="*/ 4406900 w 5270500"/>
            <a:gd name="connsiteY100" fmla="*/ 1041400 h 1899819"/>
            <a:gd name="connsiteX101" fmla="*/ 4470400 w 5270500"/>
            <a:gd name="connsiteY101" fmla="*/ 977900 h 1899819"/>
            <a:gd name="connsiteX102" fmla="*/ 4572000 w 5270500"/>
            <a:gd name="connsiteY102" fmla="*/ 863600 h 1899819"/>
            <a:gd name="connsiteX103" fmla="*/ 4686300 w 5270500"/>
            <a:gd name="connsiteY103" fmla="*/ 787400 h 1899819"/>
            <a:gd name="connsiteX104" fmla="*/ 4724400 w 5270500"/>
            <a:gd name="connsiteY104" fmla="*/ 762000 h 1899819"/>
            <a:gd name="connsiteX105" fmla="*/ 4813300 w 5270500"/>
            <a:gd name="connsiteY105" fmla="*/ 736600 h 1899819"/>
            <a:gd name="connsiteX106" fmla="*/ 5016500 w 5270500"/>
            <a:gd name="connsiteY106" fmla="*/ 749300 h 1899819"/>
            <a:gd name="connsiteX107" fmla="*/ 5092700 w 5270500"/>
            <a:gd name="connsiteY107" fmla="*/ 774700 h 1899819"/>
            <a:gd name="connsiteX108" fmla="*/ 5168900 w 5270500"/>
            <a:gd name="connsiteY108" fmla="*/ 812800 h 1899819"/>
            <a:gd name="connsiteX109" fmla="*/ 5194300 w 5270500"/>
            <a:gd name="connsiteY109" fmla="*/ 850900 h 1899819"/>
            <a:gd name="connsiteX110" fmla="*/ 5219700 w 5270500"/>
            <a:gd name="connsiteY110" fmla="*/ 927100 h 1899819"/>
            <a:gd name="connsiteX111" fmla="*/ 5245100 w 5270500"/>
            <a:gd name="connsiteY111" fmla="*/ 965200 h 1899819"/>
            <a:gd name="connsiteX112" fmla="*/ 5270500 w 5270500"/>
            <a:gd name="connsiteY112" fmla="*/ 1003300 h 18998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  <a:cxn ang="0">
              <a:pos x="connsiteX89" y="connsiteY89"/>
            </a:cxn>
            <a:cxn ang="0">
              <a:pos x="connsiteX90" y="connsiteY90"/>
            </a:cxn>
            <a:cxn ang="0">
              <a:pos x="connsiteX91" y="connsiteY91"/>
            </a:cxn>
            <a:cxn ang="0">
              <a:pos x="connsiteX92" y="connsiteY92"/>
            </a:cxn>
            <a:cxn ang="0">
              <a:pos x="connsiteX93" y="connsiteY93"/>
            </a:cxn>
            <a:cxn ang="0">
              <a:pos x="connsiteX94" y="connsiteY94"/>
            </a:cxn>
            <a:cxn ang="0">
              <a:pos x="connsiteX95" y="connsiteY95"/>
            </a:cxn>
            <a:cxn ang="0">
              <a:pos x="connsiteX96" y="connsiteY96"/>
            </a:cxn>
            <a:cxn ang="0">
              <a:pos x="connsiteX97" y="connsiteY97"/>
            </a:cxn>
            <a:cxn ang="0">
              <a:pos x="connsiteX98" y="connsiteY98"/>
            </a:cxn>
            <a:cxn ang="0">
              <a:pos x="connsiteX99" y="connsiteY99"/>
            </a:cxn>
            <a:cxn ang="0">
              <a:pos x="connsiteX100" y="connsiteY100"/>
            </a:cxn>
            <a:cxn ang="0">
              <a:pos x="connsiteX101" y="connsiteY101"/>
            </a:cxn>
            <a:cxn ang="0">
              <a:pos x="connsiteX102" y="connsiteY102"/>
            </a:cxn>
            <a:cxn ang="0">
              <a:pos x="connsiteX103" y="connsiteY103"/>
            </a:cxn>
            <a:cxn ang="0">
              <a:pos x="connsiteX104" y="connsiteY104"/>
            </a:cxn>
            <a:cxn ang="0">
              <a:pos x="connsiteX105" y="connsiteY105"/>
            </a:cxn>
            <a:cxn ang="0">
              <a:pos x="connsiteX106" y="connsiteY106"/>
            </a:cxn>
            <a:cxn ang="0">
              <a:pos x="connsiteX107" y="connsiteY107"/>
            </a:cxn>
            <a:cxn ang="0">
              <a:pos x="connsiteX108" y="connsiteY108"/>
            </a:cxn>
            <a:cxn ang="0">
              <a:pos x="connsiteX109" y="connsiteY109"/>
            </a:cxn>
            <a:cxn ang="0">
              <a:pos x="connsiteX110" y="connsiteY110"/>
            </a:cxn>
            <a:cxn ang="0">
              <a:pos x="connsiteX111" y="connsiteY111"/>
            </a:cxn>
            <a:cxn ang="0">
              <a:pos x="connsiteX112" y="connsiteY112"/>
            </a:cxn>
          </a:cxnLst>
          <a:rect l="l" t="t" r="r" b="b"/>
          <a:pathLst>
            <a:path w="5270500" h="1899819">
              <a:moveTo>
                <a:pt x="0" y="1041400"/>
              </a:moveTo>
              <a:cubicBezTo>
                <a:pt x="0" y="1041400"/>
                <a:pt x="26126" y="1034687"/>
                <a:pt x="38100" y="1028700"/>
              </a:cubicBezTo>
              <a:cubicBezTo>
                <a:pt x="51752" y="1021874"/>
                <a:pt x="63500" y="1011767"/>
                <a:pt x="76200" y="1003300"/>
              </a:cubicBezTo>
              <a:cubicBezTo>
                <a:pt x="136963" y="912156"/>
                <a:pt x="105414" y="948686"/>
                <a:pt x="165100" y="889000"/>
              </a:cubicBezTo>
              <a:cubicBezTo>
                <a:pt x="187453" y="821940"/>
                <a:pt x="170374" y="862039"/>
                <a:pt x="228600" y="774700"/>
              </a:cubicBezTo>
              <a:cubicBezTo>
                <a:pt x="237067" y="762000"/>
                <a:pt x="249173" y="751080"/>
                <a:pt x="254000" y="736600"/>
              </a:cubicBezTo>
              <a:cubicBezTo>
                <a:pt x="276353" y="669540"/>
                <a:pt x="259274" y="709639"/>
                <a:pt x="317500" y="622300"/>
              </a:cubicBezTo>
              <a:cubicBezTo>
                <a:pt x="325967" y="609600"/>
                <a:pt x="338073" y="598680"/>
                <a:pt x="342900" y="584200"/>
              </a:cubicBezTo>
              <a:cubicBezTo>
                <a:pt x="374822" y="488435"/>
                <a:pt x="331761" y="606477"/>
                <a:pt x="381000" y="508000"/>
              </a:cubicBezTo>
              <a:cubicBezTo>
                <a:pt x="386987" y="496026"/>
                <a:pt x="387199" y="481602"/>
                <a:pt x="393700" y="469900"/>
              </a:cubicBezTo>
              <a:cubicBezTo>
                <a:pt x="408525" y="443215"/>
                <a:pt x="434847" y="422660"/>
                <a:pt x="444500" y="393700"/>
              </a:cubicBezTo>
              <a:cubicBezTo>
                <a:pt x="448733" y="381000"/>
                <a:pt x="448837" y="366053"/>
                <a:pt x="457200" y="355600"/>
              </a:cubicBezTo>
              <a:cubicBezTo>
                <a:pt x="466735" y="343681"/>
                <a:pt x="482600" y="338667"/>
                <a:pt x="495300" y="330200"/>
              </a:cubicBezTo>
              <a:cubicBezTo>
                <a:pt x="508028" y="292015"/>
                <a:pt x="506045" y="286826"/>
                <a:pt x="533400" y="254000"/>
              </a:cubicBezTo>
              <a:cubicBezTo>
                <a:pt x="544898" y="240202"/>
                <a:pt x="560002" y="229698"/>
                <a:pt x="571500" y="215900"/>
              </a:cubicBezTo>
              <a:cubicBezTo>
                <a:pt x="581271" y="204174"/>
                <a:pt x="586107" y="188593"/>
                <a:pt x="596900" y="177800"/>
              </a:cubicBezTo>
              <a:cubicBezTo>
                <a:pt x="607693" y="167007"/>
                <a:pt x="623274" y="162171"/>
                <a:pt x="635000" y="152400"/>
              </a:cubicBezTo>
              <a:cubicBezTo>
                <a:pt x="754372" y="52924"/>
                <a:pt x="556710" y="191894"/>
                <a:pt x="749300" y="63500"/>
              </a:cubicBezTo>
              <a:cubicBezTo>
                <a:pt x="809677" y="23248"/>
                <a:pt x="772920" y="42927"/>
                <a:pt x="863600" y="12700"/>
              </a:cubicBezTo>
              <a:lnTo>
                <a:pt x="901700" y="0"/>
              </a:lnTo>
              <a:cubicBezTo>
                <a:pt x="927100" y="4233"/>
                <a:pt x="953471" y="4557"/>
                <a:pt x="977900" y="12700"/>
              </a:cubicBezTo>
              <a:cubicBezTo>
                <a:pt x="1028700" y="29633"/>
                <a:pt x="1007533" y="42333"/>
                <a:pt x="1041400" y="76200"/>
              </a:cubicBezTo>
              <a:cubicBezTo>
                <a:pt x="1052193" y="86993"/>
                <a:pt x="1066800" y="93133"/>
                <a:pt x="1079500" y="101600"/>
              </a:cubicBezTo>
              <a:lnTo>
                <a:pt x="1130300" y="254000"/>
              </a:lnTo>
              <a:cubicBezTo>
                <a:pt x="1134533" y="266700"/>
                <a:pt x="1135574" y="280961"/>
                <a:pt x="1143000" y="292100"/>
              </a:cubicBezTo>
              <a:cubicBezTo>
                <a:pt x="1151467" y="304800"/>
                <a:pt x="1162201" y="316252"/>
                <a:pt x="1168400" y="330200"/>
              </a:cubicBezTo>
              <a:cubicBezTo>
                <a:pt x="1179274" y="354666"/>
                <a:pt x="1185333" y="381000"/>
                <a:pt x="1193800" y="406400"/>
              </a:cubicBezTo>
              <a:lnTo>
                <a:pt x="1206500" y="444500"/>
              </a:lnTo>
              <a:cubicBezTo>
                <a:pt x="1210733" y="457200"/>
                <a:pt x="1215953" y="469613"/>
                <a:pt x="1219200" y="482600"/>
              </a:cubicBezTo>
              <a:cubicBezTo>
                <a:pt x="1227667" y="516467"/>
                <a:pt x="1233561" y="551082"/>
                <a:pt x="1244600" y="584200"/>
              </a:cubicBezTo>
              <a:lnTo>
                <a:pt x="1270000" y="660400"/>
              </a:lnTo>
              <a:cubicBezTo>
                <a:pt x="1274233" y="673100"/>
                <a:pt x="1275274" y="687361"/>
                <a:pt x="1282700" y="698500"/>
              </a:cubicBezTo>
              <a:cubicBezTo>
                <a:pt x="1291167" y="711200"/>
                <a:pt x="1301901" y="722652"/>
                <a:pt x="1308100" y="736600"/>
              </a:cubicBezTo>
              <a:cubicBezTo>
                <a:pt x="1318974" y="761066"/>
                <a:pt x="1325033" y="787400"/>
                <a:pt x="1333500" y="812800"/>
              </a:cubicBezTo>
              <a:lnTo>
                <a:pt x="1358900" y="889000"/>
              </a:lnTo>
              <a:cubicBezTo>
                <a:pt x="1363133" y="901700"/>
                <a:pt x="1368353" y="914113"/>
                <a:pt x="1371600" y="927100"/>
              </a:cubicBezTo>
              <a:cubicBezTo>
                <a:pt x="1375833" y="944033"/>
                <a:pt x="1378171" y="961557"/>
                <a:pt x="1384300" y="977900"/>
              </a:cubicBezTo>
              <a:cubicBezTo>
                <a:pt x="1390947" y="995627"/>
                <a:pt x="1403053" y="1010973"/>
                <a:pt x="1409700" y="1028700"/>
              </a:cubicBezTo>
              <a:cubicBezTo>
                <a:pt x="1418147" y="1051226"/>
                <a:pt x="1430711" y="1123249"/>
                <a:pt x="1435100" y="1143000"/>
              </a:cubicBezTo>
              <a:cubicBezTo>
                <a:pt x="1438886" y="1160039"/>
                <a:pt x="1443005" y="1177017"/>
                <a:pt x="1447800" y="1193800"/>
              </a:cubicBezTo>
              <a:cubicBezTo>
                <a:pt x="1451478" y="1206672"/>
                <a:pt x="1457253" y="1218913"/>
                <a:pt x="1460500" y="1231900"/>
              </a:cubicBezTo>
              <a:cubicBezTo>
                <a:pt x="1463065" y="1242159"/>
                <a:pt x="1474288" y="1316082"/>
                <a:pt x="1485900" y="1333500"/>
              </a:cubicBezTo>
              <a:cubicBezTo>
                <a:pt x="1495863" y="1348444"/>
                <a:pt x="1512502" y="1357802"/>
                <a:pt x="1524000" y="1371600"/>
              </a:cubicBezTo>
              <a:cubicBezTo>
                <a:pt x="1612407" y="1477688"/>
                <a:pt x="1476190" y="1336490"/>
                <a:pt x="1587500" y="1447800"/>
              </a:cubicBezTo>
              <a:cubicBezTo>
                <a:pt x="1609853" y="1514860"/>
                <a:pt x="1592774" y="1474761"/>
                <a:pt x="1651000" y="1562100"/>
              </a:cubicBezTo>
              <a:cubicBezTo>
                <a:pt x="1659467" y="1574800"/>
                <a:pt x="1671573" y="1585720"/>
                <a:pt x="1676400" y="1600200"/>
              </a:cubicBezTo>
              <a:cubicBezTo>
                <a:pt x="1698719" y="1667157"/>
                <a:pt x="1674349" y="1612979"/>
                <a:pt x="1727200" y="1676400"/>
              </a:cubicBezTo>
              <a:cubicBezTo>
                <a:pt x="1780117" y="1739900"/>
                <a:pt x="1720850" y="1693333"/>
                <a:pt x="1790700" y="1739900"/>
              </a:cubicBezTo>
              <a:cubicBezTo>
                <a:pt x="1848926" y="1827239"/>
                <a:pt x="1812540" y="1806447"/>
                <a:pt x="1879600" y="1828800"/>
              </a:cubicBezTo>
              <a:cubicBezTo>
                <a:pt x="1892300" y="1841500"/>
                <a:pt x="1903902" y="1855402"/>
                <a:pt x="1917700" y="1866900"/>
              </a:cubicBezTo>
              <a:cubicBezTo>
                <a:pt x="1989113" y="1926411"/>
                <a:pt x="2003349" y="1888904"/>
                <a:pt x="2133600" y="1879600"/>
              </a:cubicBezTo>
              <a:cubicBezTo>
                <a:pt x="2146300" y="1875367"/>
                <a:pt x="2159998" y="1873401"/>
                <a:pt x="2171700" y="1866900"/>
              </a:cubicBezTo>
              <a:cubicBezTo>
                <a:pt x="2198385" y="1852075"/>
                <a:pt x="2247900" y="1816100"/>
                <a:pt x="2247900" y="1816100"/>
              </a:cubicBezTo>
              <a:cubicBezTo>
                <a:pt x="2278097" y="1725508"/>
                <a:pt x="2235279" y="1835032"/>
                <a:pt x="2298700" y="1739900"/>
              </a:cubicBezTo>
              <a:cubicBezTo>
                <a:pt x="2306126" y="1728761"/>
                <a:pt x="2304899" y="1713502"/>
                <a:pt x="2311400" y="1701800"/>
              </a:cubicBezTo>
              <a:lnTo>
                <a:pt x="2387600" y="1587500"/>
              </a:lnTo>
              <a:cubicBezTo>
                <a:pt x="2396067" y="1574800"/>
                <a:pt x="2408173" y="1563880"/>
                <a:pt x="2413000" y="1549400"/>
              </a:cubicBezTo>
              <a:cubicBezTo>
                <a:pt x="2444922" y="1453635"/>
                <a:pt x="2401861" y="1571677"/>
                <a:pt x="2451100" y="1473200"/>
              </a:cubicBezTo>
              <a:cubicBezTo>
                <a:pt x="2457087" y="1461226"/>
                <a:pt x="2457813" y="1447074"/>
                <a:pt x="2463800" y="1435100"/>
              </a:cubicBezTo>
              <a:cubicBezTo>
                <a:pt x="2470626" y="1421448"/>
                <a:pt x="2483001" y="1410948"/>
                <a:pt x="2489200" y="1397000"/>
              </a:cubicBezTo>
              <a:cubicBezTo>
                <a:pt x="2500074" y="1372534"/>
                <a:pt x="2499748" y="1343077"/>
                <a:pt x="2514600" y="1320800"/>
              </a:cubicBezTo>
              <a:cubicBezTo>
                <a:pt x="2587393" y="1211611"/>
                <a:pt x="2500120" y="1349760"/>
                <a:pt x="2552700" y="1244600"/>
              </a:cubicBezTo>
              <a:cubicBezTo>
                <a:pt x="2559526" y="1230948"/>
                <a:pt x="2571901" y="1220448"/>
                <a:pt x="2578100" y="1206500"/>
              </a:cubicBezTo>
              <a:cubicBezTo>
                <a:pt x="2588974" y="1182034"/>
                <a:pt x="2595033" y="1155700"/>
                <a:pt x="2603500" y="1130300"/>
              </a:cubicBezTo>
              <a:cubicBezTo>
                <a:pt x="2607733" y="1117600"/>
                <a:pt x="2608774" y="1103339"/>
                <a:pt x="2616200" y="1092200"/>
              </a:cubicBezTo>
              <a:cubicBezTo>
                <a:pt x="2624667" y="1079500"/>
                <a:pt x="2635401" y="1068048"/>
                <a:pt x="2641600" y="1054100"/>
              </a:cubicBezTo>
              <a:cubicBezTo>
                <a:pt x="2652474" y="1029634"/>
                <a:pt x="2652148" y="1000177"/>
                <a:pt x="2667000" y="977900"/>
              </a:cubicBezTo>
              <a:cubicBezTo>
                <a:pt x="2683933" y="952500"/>
                <a:pt x="2708147" y="930660"/>
                <a:pt x="2717800" y="901700"/>
              </a:cubicBezTo>
              <a:lnTo>
                <a:pt x="2743200" y="825500"/>
              </a:lnTo>
              <a:cubicBezTo>
                <a:pt x="2747433" y="812800"/>
                <a:pt x="2748474" y="798539"/>
                <a:pt x="2755900" y="787400"/>
              </a:cubicBezTo>
              <a:cubicBezTo>
                <a:pt x="2802467" y="717550"/>
                <a:pt x="2755900" y="776817"/>
                <a:pt x="2819400" y="723900"/>
              </a:cubicBezTo>
              <a:cubicBezTo>
                <a:pt x="2917186" y="642412"/>
                <a:pt x="2801005" y="723463"/>
                <a:pt x="2895600" y="660400"/>
              </a:cubicBezTo>
              <a:cubicBezTo>
                <a:pt x="2904067" y="647700"/>
                <a:pt x="2909081" y="631835"/>
                <a:pt x="2921000" y="622300"/>
              </a:cubicBezTo>
              <a:cubicBezTo>
                <a:pt x="2931453" y="613937"/>
                <a:pt x="2947126" y="615587"/>
                <a:pt x="2959100" y="609600"/>
              </a:cubicBezTo>
              <a:cubicBezTo>
                <a:pt x="2972752" y="602774"/>
                <a:pt x="2983548" y="591026"/>
                <a:pt x="2997200" y="584200"/>
              </a:cubicBezTo>
              <a:cubicBezTo>
                <a:pt x="3009174" y="578213"/>
                <a:pt x="3023326" y="577487"/>
                <a:pt x="3035300" y="571500"/>
              </a:cubicBezTo>
              <a:cubicBezTo>
                <a:pt x="3048952" y="564674"/>
                <a:pt x="3059748" y="552926"/>
                <a:pt x="3073400" y="546100"/>
              </a:cubicBezTo>
              <a:cubicBezTo>
                <a:pt x="3108866" y="528367"/>
                <a:pt x="3167638" y="525380"/>
                <a:pt x="3200400" y="520700"/>
              </a:cubicBezTo>
              <a:cubicBezTo>
                <a:pt x="3242733" y="524933"/>
                <a:pt x="3285945" y="523833"/>
                <a:pt x="3327400" y="533400"/>
              </a:cubicBezTo>
              <a:cubicBezTo>
                <a:pt x="3348014" y="538157"/>
                <a:pt x="3392867" y="584021"/>
                <a:pt x="3403600" y="596900"/>
              </a:cubicBezTo>
              <a:cubicBezTo>
                <a:pt x="3413371" y="608626"/>
                <a:pt x="3417081" y="625465"/>
                <a:pt x="3429000" y="635000"/>
              </a:cubicBezTo>
              <a:cubicBezTo>
                <a:pt x="3439453" y="643363"/>
                <a:pt x="3455398" y="641199"/>
                <a:pt x="3467100" y="647700"/>
              </a:cubicBezTo>
              <a:cubicBezTo>
                <a:pt x="3493785" y="662525"/>
                <a:pt x="3517900" y="681567"/>
                <a:pt x="3543300" y="698500"/>
              </a:cubicBezTo>
              <a:lnTo>
                <a:pt x="3581400" y="723900"/>
              </a:lnTo>
              <a:lnTo>
                <a:pt x="3619500" y="749300"/>
              </a:lnTo>
              <a:lnTo>
                <a:pt x="3657600" y="774700"/>
              </a:lnTo>
              <a:cubicBezTo>
                <a:pt x="3666067" y="787400"/>
                <a:pt x="3672207" y="802007"/>
                <a:pt x="3683000" y="812800"/>
              </a:cubicBezTo>
              <a:cubicBezTo>
                <a:pt x="3693793" y="823593"/>
                <a:pt x="3711049" y="826713"/>
                <a:pt x="3721100" y="838200"/>
              </a:cubicBezTo>
              <a:cubicBezTo>
                <a:pt x="3824817" y="956733"/>
                <a:pt x="3724275" y="882650"/>
                <a:pt x="3810000" y="939800"/>
              </a:cubicBezTo>
              <a:cubicBezTo>
                <a:pt x="3818467" y="952500"/>
                <a:pt x="3824607" y="967107"/>
                <a:pt x="3835400" y="977900"/>
              </a:cubicBezTo>
              <a:cubicBezTo>
                <a:pt x="3846193" y="988693"/>
                <a:pt x="3863449" y="991813"/>
                <a:pt x="3873500" y="1003300"/>
              </a:cubicBezTo>
              <a:cubicBezTo>
                <a:pt x="3893602" y="1026274"/>
                <a:pt x="3907367" y="1054100"/>
                <a:pt x="3924300" y="1079500"/>
              </a:cubicBezTo>
              <a:cubicBezTo>
                <a:pt x="3932767" y="1092200"/>
                <a:pt x="3937000" y="1109133"/>
                <a:pt x="3949700" y="1117600"/>
              </a:cubicBezTo>
              <a:lnTo>
                <a:pt x="3987800" y="1143000"/>
              </a:lnTo>
              <a:cubicBezTo>
                <a:pt x="3992033" y="1155700"/>
                <a:pt x="3991034" y="1171634"/>
                <a:pt x="4000500" y="1181100"/>
              </a:cubicBezTo>
              <a:cubicBezTo>
                <a:pt x="4022086" y="1202686"/>
                <a:pt x="4076700" y="1231900"/>
                <a:pt x="4076700" y="1231900"/>
              </a:cubicBezTo>
              <a:cubicBezTo>
                <a:pt x="4192105" y="1215414"/>
                <a:pt x="4137202" y="1228666"/>
                <a:pt x="4241800" y="1193800"/>
              </a:cubicBezTo>
              <a:lnTo>
                <a:pt x="4279900" y="1181100"/>
              </a:lnTo>
              <a:cubicBezTo>
                <a:pt x="4292600" y="1168400"/>
                <a:pt x="4306973" y="1157177"/>
                <a:pt x="4318000" y="1143000"/>
              </a:cubicBezTo>
              <a:cubicBezTo>
                <a:pt x="4336742" y="1118903"/>
                <a:pt x="4343400" y="1083733"/>
                <a:pt x="4368800" y="1066800"/>
              </a:cubicBezTo>
              <a:lnTo>
                <a:pt x="4406900" y="1041400"/>
              </a:lnTo>
              <a:cubicBezTo>
                <a:pt x="4474633" y="939800"/>
                <a:pt x="4385733" y="1062567"/>
                <a:pt x="4470400" y="977900"/>
              </a:cubicBezTo>
              <a:cubicBezTo>
                <a:pt x="4546749" y="901551"/>
                <a:pt x="4411997" y="970269"/>
                <a:pt x="4572000" y="863600"/>
              </a:cubicBezTo>
              <a:lnTo>
                <a:pt x="4686300" y="787400"/>
              </a:lnTo>
              <a:cubicBezTo>
                <a:pt x="4699000" y="778933"/>
                <a:pt x="4709920" y="766827"/>
                <a:pt x="4724400" y="762000"/>
              </a:cubicBezTo>
              <a:cubicBezTo>
                <a:pt x="4779059" y="743780"/>
                <a:pt x="4749513" y="752547"/>
                <a:pt x="4813300" y="736600"/>
              </a:cubicBezTo>
              <a:cubicBezTo>
                <a:pt x="4881033" y="740833"/>
                <a:pt x="4949257" y="740130"/>
                <a:pt x="5016500" y="749300"/>
              </a:cubicBezTo>
              <a:cubicBezTo>
                <a:pt x="5043028" y="752918"/>
                <a:pt x="5067300" y="766233"/>
                <a:pt x="5092700" y="774700"/>
              </a:cubicBezTo>
              <a:cubicBezTo>
                <a:pt x="5145280" y="792227"/>
                <a:pt x="5119661" y="779974"/>
                <a:pt x="5168900" y="812800"/>
              </a:cubicBezTo>
              <a:cubicBezTo>
                <a:pt x="5177367" y="825500"/>
                <a:pt x="5188101" y="836952"/>
                <a:pt x="5194300" y="850900"/>
              </a:cubicBezTo>
              <a:cubicBezTo>
                <a:pt x="5205174" y="875366"/>
                <a:pt x="5204848" y="904823"/>
                <a:pt x="5219700" y="927100"/>
              </a:cubicBezTo>
              <a:cubicBezTo>
                <a:pt x="5228167" y="939800"/>
                <a:pt x="5238274" y="951548"/>
                <a:pt x="5245100" y="965200"/>
              </a:cubicBezTo>
              <a:cubicBezTo>
                <a:pt x="5266158" y="1007316"/>
                <a:pt x="5242193" y="1003300"/>
                <a:pt x="5270500" y="1003300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736600</xdr:colOff>
      <xdr:row>12</xdr:row>
      <xdr:rowOff>76200</xdr:rowOff>
    </xdr:from>
    <xdr:to>
      <xdr:col>5</xdr:col>
      <xdr:colOff>762000</xdr:colOff>
      <xdr:row>32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7294570-9914-E647-B3D1-453CB450384B}"/>
            </a:ext>
          </a:extLst>
        </xdr:cNvPr>
        <xdr:cNvCxnSpPr/>
      </xdr:nvCxnSpPr>
      <xdr:spPr>
        <a:xfrm>
          <a:off x="4864100" y="2057400"/>
          <a:ext cx="25400" cy="441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673100</xdr:colOff>
      <xdr:row>22</xdr:row>
      <xdr:rowOff>114300</xdr:rowOff>
    </xdr:from>
    <xdr:to>
      <xdr:col>13</xdr:col>
      <xdr:colOff>152400</xdr:colOff>
      <xdr:row>23</xdr:row>
      <xdr:rowOff>25400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7588490-E520-7B45-9BA4-418B32351D2F}"/>
            </a:ext>
          </a:extLst>
        </xdr:cNvPr>
        <xdr:cNvCxnSpPr/>
      </xdr:nvCxnSpPr>
      <xdr:spPr>
        <a:xfrm flipH="1">
          <a:off x="4800600" y="3746500"/>
          <a:ext cx="638810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1219200</xdr:colOff>
      <xdr:row>22</xdr:row>
      <xdr:rowOff>101600</xdr:rowOff>
    </xdr:from>
    <xdr:to>
      <xdr:col>6</xdr:col>
      <xdr:colOff>1409700</xdr:colOff>
      <xdr:row>23</xdr:row>
      <xdr:rowOff>127000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85860CB-31A1-124C-A294-CCBDDC478CB1}"/>
            </a:ext>
          </a:extLst>
        </xdr:cNvPr>
        <xdr:cNvSpPr/>
      </xdr:nvSpPr>
      <xdr:spPr>
        <a:xfrm>
          <a:off x="6172200" y="373380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317500</xdr:colOff>
      <xdr:row>22</xdr:row>
      <xdr:rowOff>76200</xdr:rowOff>
    </xdr:from>
    <xdr:to>
      <xdr:col>8</xdr:col>
      <xdr:colOff>508000</xdr:colOff>
      <xdr:row>23</xdr:row>
      <xdr:rowOff>101600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702F682-AD2B-5F40-B646-F18492E96034}"/>
            </a:ext>
          </a:extLst>
        </xdr:cNvPr>
        <xdr:cNvSpPr/>
      </xdr:nvSpPr>
      <xdr:spPr>
        <a:xfrm>
          <a:off x="7620000" y="3708400"/>
          <a:ext cx="190500" cy="190500"/>
        </a:xfrm>
        <a:prstGeom prst="ellipse">
          <a:avLst/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812800</xdr:colOff>
      <xdr:row>22</xdr:row>
      <xdr:rowOff>76200</xdr:rowOff>
    </xdr:from>
    <xdr:to>
      <xdr:col>10</xdr:col>
      <xdr:colOff>177800</xdr:colOff>
      <xdr:row>23</xdr:row>
      <xdr:rowOff>101600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46F6DF4-ED19-F245-A12C-CD4D0D1EFA8E}"/>
            </a:ext>
          </a:extLst>
        </xdr:cNvPr>
        <xdr:cNvSpPr/>
      </xdr:nvSpPr>
      <xdr:spPr>
        <a:xfrm>
          <a:off x="8547100" y="3708400"/>
          <a:ext cx="190500" cy="190500"/>
        </a:xfrm>
        <a:prstGeom prst="ellipse">
          <a:avLst/>
        </a:prstGeom>
        <a:solidFill>
          <a:srgbClr val="92D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533400</xdr:colOff>
      <xdr:row>22</xdr:row>
      <xdr:rowOff>12700</xdr:rowOff>
    </xdr:from>
    <xdr:to>
      <xdr:col>11</xdr:col>
      <xdr:colOff>723900</xdr:colOff>
      <xdr:row>23</xdr:row>
      <xdr:rowOff>38100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8DE3403-6F74-5D49-A621-DF453633E7B4}"/>
            </a:ext>
          </a:extLst>
        </xdr:cNvPr>
        <xdr:cNvSpPr/>
      </xdr:nvSpPr>
      <xdr:spPr>
        <a:xfrm>
          <a:off x="10312400" y="3644900"/>
          <a:ext cx="190500" cy="19050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482600</xdr:colOff>
      <xdr:row>25</xdr:row>
      <xdr:rowOff>25400</xdr:rowOff>
    </xdr:from>
    <xdr:to>
      <xdr:col>7</xdr:col>
      <xdr:colOff>698500</xdr:colOff>
      <xdr:row>26</xdr:row>
      <xdr:rowOff>127000</xdr:rowOff>
    </xdr:to>
    <xdr:sp macro="" textlink="">
      <xdr:nvSpPr>
        <xdr:cNvPr id="9" name="Triangle 8">
          <a:extLst>
            <a:ext uri="{FF2B5EF4-FFF2-40B4-BE49-F238E27FC236}">
              <a16:creationId xmlns:a16="http://schemas.microsoft.com/office/drawing/2014/main" id="{18E3ECB6-C902-78B6-C76F-AECF0843A537}"/>
            </a:ext>
          </a:extLst>
        </xdr:cNvPr>
        <xdr:cNvSpPr/>
      </xdr:nvSpPr>
      <xdr:spPr>
        <a:xfrm>
          <a:off x="6959600" y="4152900"/>
          <a:ext cx="215900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520700</xdr:colOff>
      <xdr:row>25</xdr:row>
      <xdr:rowOff>63500</xdr:rowOff>
    </xdr:from>
    <xdr:to>
      <xdr:col>10</xdr:col>
      <xdr:colOff>736600</xdr:colOff>
      <xdr:row>27</xdr:row>
      <xdr:rowOff>0</xdr:rowOff>
    </xdr:to>
    <xdr:sp macro="" textlink="">
      <xdr:nvSpPr>
        <xdr:cNvPr id="10" name="Triangle 9">
          <a:extLst>
            <a:ext uri="{FF2B5EF4-FFF2-40B4-BE49-F238E27FC236}">
              <a16:creationId xmlns:a16="http://schemas.microsoft.com/office/drawing/2014/main" id="{B1A3483B-B7CA-3042-99DE-3AFCC65C9A27}"/>
            </a:ext>
          </a:extLst>
        </xdr:cNvPr>
        <xdr:cNvSpPr/>
      </xdr:nvSpPr>
      <xdr:spPr>
        <a:xfrm>
          <a:off x="9474200" y="4191000"/>
          <a:ext cx="215900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406400</xdr:colOff>
      <xdr:row>15</xdr:row>
      <xdr:rowOff>76200</xdr:rowOff>
    </xdr:from>
    <xdr:to>
      <xdr:col>1</xdr:col>
      <xdr:colOff>622300</xdr:colOff>
      <xdr:row>17</xdr:row>
      <xdr:rowOff>12700</xdr:rowOff>
    </xdr:to>
    <xdr:sp macro="" textlink="">
      <xdr:nvSpPr>
        <xdr:cNvPr id="11" name="Triangle 10">
          <a:extLst>
            <a:ext uri="{FF2B5EF4-FFF2-40B4-BE49-F238E27FC236}">
              <a16:creationId xmlns:a16="http://schemas.microsoft.com/office/drawing/2014/main" id="{934CFFAB-DD80-1D48-98DC-2BD2EC464AF5}"/>
            </a:ext>
          </a:extLst>
        </xdr:cNvPr>
        <xdr:cNvSpPr/>
      </xdr:nvSpPr>
      <xdr:spPr>
        <a:xfrm>
          <a:off x="1231900" y="2552700"/>
          <a:ext cx="215900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196850</xdr:colOff>
      <xdr:row>13</xdr:row>
      <xdr:rowOff>25400</xdr:rowOff>
    </xdr:from>
    <xdr:to>
      <xdr:col>13</xdr:col>
      <xdr:colOff>641350</xdr:colOff>
      <xdr:row>29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4A3FDC-E8D4-CC49-8F49-3D948FF18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F7F7-BBA2-DA4F-917F-106BA51030AA}">
  <dimension ref="A2:I24"/>
  <sheetViews>
    <sheetView tabSelected="1" workbookViewId="0">
      <selection activeCell="E36" sqref="E36"/>
    </sheetView>
  </sheetViews>
  <sheetFormatPr baseColWidth="10" defaultRowHeight="13" x14ac:dyDescent="0.15"/>
  <cols>
    <col min="6" max="6" width="8.5" customWidth="1"/>
    <col min="7" max="7" width="22.33203125" customWidth="1"/>
  </cols>
  <sheetData>
    <row r="2" spans="2:9" x14ac:dyDescent="0.15">
      <c r="B2" s="1" t="s">
        <v>1</v>
      </c>
      <c r="H2" s="1"/>
      <c r="I2" s="1"/>
    </row>
    <row r="5" spans="2:9" x14ac:dyDescent="0.15">
      <c r="B5" s="1" t="s">
        <v>21</v>
      </c>
    </row>
    <row r="7" spans="2:9" x14ac:dyDescent="0.15">
      <c r="B7" s="1" t="s">
        <v>3</v>
      </c>
    </row>
    <row r="8" spans="2:9" x14ac:dyDescent="0.15">
      <c r="B8" s="2">
        <v>0</v>
      </c>
      <c r="D8" s="1" t="s">
        <v>4</v>
      </c>
      <c r="E8">
        <f>$B$8-1</f>
        <v>-1</v>
      </c>
      <c r="G8" s="8">
        <f>E8*E9</f>
        <v>2</v>
      </c>
    </row>
    <row r="9" spans="2:9" x14ac:dyDescent="0.15">
      <c r="D9" s="1" t="s">
        <v>5</v>
      </c>
      <c r="E9">
        <f>$B$8-2</f>
        <v>-2</v>
      </c>
    </row>
    <row r="10" spans="2:9" x14ac:dyDescent="0.15">
      <c r="B10" s="4" t="s">
        <v>17</v>
      </c>
      <c r="D10" s="1"/>
      <c r="G10" s="1" t="s">
        <v>24</v>
      </c>
    </row>
    <row r="11" spans="2:9" x14ac:dyDescent="0.15">
      <c r="B11" s="1" t="s">
        <v>18</v>
      </c>
      <c r="D11" s="1"/>
    </row>
    <row r="12" spans="2:9" x14ac:dyDescent="0.15">
      <c r="D12" s="1"/>
    </row>
    <row r="13" spans="2:9" x14ac:dyDescent="0.15">
      <c r="D13" s="1"/>
    </row>
    <row r="14" spans="2:9" x14ac:dyDescent="0.15">
      <c r="D14" s="1"/>
      <c r="H14" s="7">
        <v>2</v>
      </c>
    </row>
    <row r="15" spans="2:9" x14ac:dyDescent="0.15">
      <c r="D15" s="1"/>
      <c r="H15" s="7"/>
    </row>
    <row r="16" spans="2:9" x14ac:dyDescent="0.15">
      <c r="D16" s="1"/>
      <c r="H16" s="7"/>
    </row>
    <row r="17" spans="1:8" x14ac:dyDescent="0.15">
      <c r="D17" s="1"/>
      <c r="H17" s="7"/>
    </row>
    <row r="18" spans="1:8" x14ac:dyDescent="0.15">
      <c r="A18" s="5" t="s">
        <v>15</v>
      </c>
      <c r="B18" s="5" t="s">
        <v>16</v>
      </c>
      <c r="C18" s="6" t="s">
        <v>0</v>
      </c>
      <c r="H18" s="7"/>
    </row>
    <row r="19" spans="1:8" x14ac:dyDescent="0.15">
      <c r="A19">
        <v>0</v>
      </c>
      <c r="B19">
        <v>0</v>
      </c>
      <c r="C19">
        <v>2</v>
      </c>
      <c r="H19" s="7">
        <v>1</v>
      </c>
    </row>
    <row r="20" spans="1:8" x14ac:dyDescent="0.15">
      <c r="A20">
        <v>1</v>
      </c>
      <c r="B20">
        <v>0</v>
      </c>
      <c r="C20">
        <v>2</v>
      </c>
    </row>
    <row r="21" spans="1:8" x14ac:dyDescent="0.15">
      <c r="A21">
        <v>2</v>
      </c>
      <c r="B21">
        <v>107374184</v>
      </c>
      <c r="C21" s="1" t="s">
        <v>22</v>
      </c>
    </row>
    <row r="22" spans="1:8" x14ac:dyDescent="0.15">
      <c r="A22">
        <v>3</v>
      </c>
      <c r="B22">
        <v>161061277</v>
      </c>
      <c r="C22" s="1" t="s">
        <v>22</v>
      </c>
    </row>
    <row r="24" spans="1:8" x14ac:dyDescent="0.15">
      <c r="H24" s="1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EB05-6E8C-EE4C-93D1-86A7E2CFA7DB}">
  <dimension ref="A2:J26"/>
  <sheetViews>
    <sheetView workbookViewId="0">
      <selection activeCell="J26" sqref="J26"/>
    </sheetView>
  </sheetViews>
  <sheetFormatPr baseColWidth="10" defaultRowHeight="13" x14ac:dyDescent="0.15"/>
  <cols>
    <col min="5" max="5" width="12.33203125" customWidth="1"/>
    <col min="6" max="6" width="8.5" customWidth="1"/>
    <col min="7" max="7" width="32.5" customWidth="1"/>
  </cols>
  <sheetData>
    <row r="2" spans="2:9" x14ac:dyDescent="0.15">
      <c r="B2" s="1" t="s">
        <v>1</v>
      </c>
      <c r="H2" s="1"/>
      <c r="I2" s="1"/>
    </row>
    <row r="5" spans="2:9" x14ac:dyDescent="0.15">
      <c r="B5" s="1" t="s">
        <v>21</v>
      </c>
    </row>
    <row r="7" spans="2:9" x14ac:dyDescent="0.15">
      <c r="B7" s="1" t="s">
        <v>3</v>
      </c>
    </row>
    <row r="8" spans="2:9" x14ac:dyDescent="0.15">
      <c r="B8" s="2">
        <v>1.4226497303803167</v>
      </c>
      <c r="D8" s="1" t="s">
        <v>4</v>
      </c>
      <c r="E8">
        <f>$B$8-1</f>
        <v>0.42264973038031672</v>
      </c>
      <c r="G8" s="8">
        <f>E8*E9*E10</f>
        <v>0.38490017945975052</v>
      </c>
    </row>
    <row r="9" spans="2:9" x14ac:dyDescent="0.15">
      <c r="D9" s="1" t="s">
        <v>5</v>
      </c>
      <c r="E9">
        <f>$B$8-2</f>
        <v>-0.57735026961968328</v>
      </c>
    </row>
    <row r="10" spans="2:9" x14ac:dyDescent="0.15">
      <c r="B10" s="4" t="s">
        <v>17</v>
      </c>
      <c r="D10" s="1" t="s">
        <v>6</v>
      </c>
      <c r="E10">
        <f>$B$8-3</f>
        <v>-1.5773502696196833</v>
      </c>
      <c r="G10" s="1"/>
    </row>
    <row r="11" spans="2:9" x14ac:dyDescent="0.15">
      <c r="B11" s="1" t="s">
        <v>18</v>
      </c>
      <c r="D11" s="1"/>
    </row>
    <row r="12" spans="2:9" x14ac:dyDescent="0.15">
      <c r="D12" s="1"/>
    </row>
    <row r="13" spans="2:9" x14ac:dyDescent="0.15">
      <c r="D13" s="1"/>
    </row>
    <row r="14" spans="2:9" x14ac:dyDescent="0.15">
      <c r="D14" s="1"/>
      <c r="H14" s="7">
        <v>2</v>
      </c>
    </row>
    <row r="15" spans="2:9" x14ac:dyDescent="0.15">
      <c r="D15" s="1"/>
      <c r="H15" s="7"/>
    </row>
    <row r="16" spans="2:9" x14ac:dyDescent="0.15">
      <c r="D16" s="1"/>
      <c r="H16" s="7"/>
    </row>
    <row r="17" spans="1:10" x14ac:dyDescent="0.15">
      <c r="D17" s="1"/>
      <c r="H17" s="7"/>
    </row>
    <row r="18" spans="1:10" x14ac:dyDescent="0.15">
      <c r="H18" s="7"/>
    </row>
    <row r="19" spans="1:10" x14ac:dyDescent="0.15">
      <c r="H19" s="7">
        <v>1</v>
      </c>
    </row>
    <row r="20" spans="1:10" x14ac:dyDescent="0.15">
      <c r="A20" s="5" t="s">
        <v>15</v>
      </c>
      <c r="B20" s="5" t="s">
        <v>16</v>
      </c>
      <c r="C20" s="6" t="s">
        <v>0</v>
      </c>
    </row>
    <row r="21" spans="1:10" x14ac:dyDescent="0.15">
      <c r="A21">
        <v>0</v>
      </c>
      <c r="B21">
        <v>53687091</v>
      </c>
      <c r="C21" s="1" t="s">
        <v>22</v>
      </c>
    </row>
    <row r="22" spans="1:10" x14ac:dyDescent="0.15">
      <c r="A22">
        <v>1</v>
      </c>
      <c r="B22">
        <v>1.4219999999999999</v>
      </c>
      <c r="C22">
        <v>0</v>
      </c>
    </row>
    <row r="23" spans="1:10" x14ac:dyDescent="0.15">
      <c r="A23">
        <v>2</v>
      </c>
      <c r="B23">
        <v>1.4219999999999999</v>
      </c>
      <c r="C23">
        <v>0</v>
      </c>
    </row>
    <row r="24" spans="1:10" x14ac:dyDescent="0.15">
      <c r="A24">
        <v>3</v>
      </c>
      <c r="B24" s="9">
        <v>1.611</v>
      </c>
      <c r="C24" s="1" t="s">
        <v>22</v>
      </c>
      <c r="H24" s="1" t="s">
        <v>23</v>
      </c>
    </row>
    <row r="25" spans="1:10" x14ac:dyDescent="0.15">
      <c r="A25">
        <v>4</v>
      </c>
      <c r="B25">
        <v>2147483</v>
      </c>
      <c r="C25" s="1" t="s">
        <v>22</v>
      </c>
    </row>
    <row r="26" spans="1:10" x14ac:dyDescent="0.15">
      <c r="J26" s="7">
        <v>1.42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0216-250D-DF47-8C40-284622E3F925}">
  <dimension ref="A2:K25"/>
  <sheetViews>
    <sheetView workbookViewId="0">
      <selection activeCell="E8" sqref="E8"/>
    </sheetView>
  </sheetViews>
  <sheetFormatPr baseColWidth="10" defaultRowHeight="13" x14ac:dyDescent="0.15"/>
  <cols>
    <col min="7" max="7" width="20" customWidth="1"/>
  </cols>
  <sheetData>
    <row r="2" spans="2:9" x14ac:dyDescent="0.15">
      <c r="B2" s="1" t="s">
        <v>1</v>
      </c>
      <c r="H2" s="1" t="s">
        <v>19</v>
      </c>
      <c r="I2" s="1" t="s">
        <v>20</v>
      </c>
    </row>
    <row r="5" spans="2:9" x14ac:dyDescent="0.15">
      <c r="B5" s="1" t="s">
        <v>14</v>
      </c>
    </row>
    <row r="7" spans="2:9" x14ac:dyDescent="0.15">
      <c r="B7" s="1" t="s">
        <v>3</v>
      </c>
    </row>
    <row r="8" spans="2:9" x14ac:dyDescent="0.15">
      <c r="B8" s="2">
        <v>268435461</v>
      </c>
      <c r="D8" s="1" t="s">
        <v>4</v>
      </c>
      <c r="E8">
        <f>$B$8-1</f>
        <v>268435460</v>
      </c>
      <c r="G8" s="3">
        <f>E8*E9*E10*E11*E12</f>
        <v>1.3937966268311335E+42</v>
      </c>
    </row>
    <row r="9" spans="2:9" x14ac:dyDescent="0.15">
      <c r="D9" s="1" t="s">
        <v>5</v>
      </c>
      <c r="E9">
        <f>$B$8-2</f>
        <v>268435459</v>
      </c>
    </row>
    <row r="10" spans="2:9" x14ac:dyDescent="0.15">
      <c r="B10" s="4" t="s">
        <v>17</v>
      </c>
      <c r="D10" s="1" t="s">
        <v>6</v>
      </c>
      <c r="E10">
        <f>$B$8-3</f>
        <v>268435458</v>
      </c>
    </row>
    <row r="11" spans="2:9" x14ac:dyDescent="0.15">
      <c r="B11" s="1" t="s">
        <v>18</v>
      </c>
      <c r="D11" s="1" t="s">
        <v>7</v>
      </c>
      <c r="E11">
        <f>$B$8-4</f>
        <v>268435457</v>
      </c>
    </row>
    <row r="12" spans="2:9" x14ac:dyDescent="0.15">
      <c r="D12" s="1" t="s">
        <v>8</v>
      </c>
      <c r="E12">
        <f>$B$8-5</f>
        <v>268435456</v>
      </c>
    </row>
    <row r="13" spans="2:9" x14ac:dyDescent="0.15">
      <c r="D13" s="1"/>
    </row>
    <row r="14" spans="2:9" x14ac:dyDescent="0.15">
      <c r="D14" s="1"/>
    </row>
    <row r="15" spans="2:9" x14ac:dyDescent="0.15">
      <c r="D15" s="1"/>
    </row>
    <row r="16" spans="2:9" x14ac:dyDescent="0.15">
      <c r="D16" s="1"/>
      <c r="H16" s="10">
        <v>3.63</v>
      </c>
    </row>
    <row r="17" spans="1:11" x14ac:dyDescent="0.15">
      <c r="D17" s="1"/>
    </row>
    <row r="19" spans="1:11" x14ac:dyDescent="0.15">
      <c r="A19" s="5" t="s">
        <v>15</v>
      </c>
      <c r="B19" s="5" t="s">
        <v>16</v>
      </c>
      <c r="C19" s="6" t="s">
        <v>0</v>
      </c>
    </row>
    <row r="20" spans="1:11" x14ac:dyDescent="0.15">
      <c r="A20">
        <v>1</v>
      </c>
      <c r="B20">
        <v>1.355</v>
      </c>
      <c r="C20" s="10">
        <v>3.63</v>
      </c>
      <c r="K20" s="10">
        <v>1.42</v>
      </c>
    </row>
    <row r="21" spans="1:11" x14ac:dyDescent="0.15">
      <c r="A21">
        <v>1.5</v>
      </c>
      <c r="B21">
        <v>1.355</v>
      </c>
      <c r="C21" s="10">
        <v>3.63</v>
      </c>
    </row>
    <row r="22" spans="1:11" x14ac:dyDescent="0.15">
      <c r="A22">
        <v>2</v>
      </c>
      <c r="B22">
        <v>1.355</v>
      </c>
      <c r="C22" s="10">
        <v>3.63</v>
      </c>
    </row>
    <row r="23" spans="1:11" x14ac:dyDescent="0.15">
      <c r="A23">
        <v>3</v>
      </c>
      <c r="B23">
        <v>3.5430000000000001</v>
      </c>
      <c r="C23" s="11">
        <v>1.42</v>
      </c>
    </row>
    <row r="24" spans="1:11" x14ac:dyDescent="0.15">
      <c r="A24">
        <v>4</v>
      </c>
      <c r="B24">
        <v>3.5430000000000001</v>
      </c>
      <c r="C24" s="11">
        <v>1.42</v>
      </c>
      <c r="H24">
        <v>1.355</v>
      </c>
      <c r="K24">
        <v>3.5430000000000001</v>
      </c>
    </row>
    <row r="25" spans="1:11" x14ac:dyDescent="0.15">
      <c r="A25">
        <v>5</v>
      </c>
      <c r="B25">
        <v>268435461</v>
      </c>
      <c r="C25" s="9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5A1B-EBAC-FF4F-A73F-4190B3E32B71}">
  <dimension ref="A2:G24"/>
  <sheetViews>
    <sheetView workbookViewId="0">
      <selection activeCell="F31" sqref="F31"/>
    </sheetView>
  </sheetViews>
  <sheetFormatPr baseColWidth="10" defaultRowHeight="13" x14ac:dyDescent="0.15"/>
  <sheetData>
    <row r="2" spans="2:7" x14ac:dyDescent="0.15">
      <c r="B2" s="1" t="s">
        <v>1</v>
      </c>
    </row>
    <row r="5" spans="2:7" x14ac:dyDescent="0.15">
      <c r="B5" s="1" t="s">
        <v>2</v>
      </c>
    </row>
    <row r="7" spans="2:7" x14ac:dyDescent="0.15">
      <c r="B7" s="1" t="s">
        <v>3</v>
      </c>
    </row>
    <row r="8" spans="2:7" x14ac:dyDescent="0.15">
      <c r="B8" s="2">
        <v>8.6388593490949646</v>
      </c>
      <c r="D8" s="1" t="s">
        <v>4</v>
      </c>
      <c r="E8">
        <f>$B$8-1</f>
        <v>7.6388593490949646</v>
      </c>
      <c r="G8" s="3">
        <f>E8*E9*E10*E11*E12*E13*E14*E15*E16*E17</f>
        <v>6555.8993779696357</v>
      </c>
    </row>
    <row r="9" spans="2:7" x14ac:dyDescent="0.15">
      <c r="D9" s="1" t="s">
        <v>5</v>
      </c>
      <c r="E9">
        <f>$B$8-2</f>
        <v>6.6388593490949646</v>
      </c>
    </row>
    <row r="10" spans="2:7" x14ac:dyDescent="0.15">
      <c r="D10" s="1" t="s">
        <v>6</v>
      </c>
      <c r="E10">
        <f>$B$8-3</f>
        <v>5.6388593490949646</v>
      </c>
    </row>
    <row r="11" spans="2:7" x14ac:dyDescent="0.15">
      <c r="D11" s="1" t="s">
        <v>7</v>
      </c>
      <c r="E11">
        <f>$B$8-4</f>
        <v>4.6388593490949646</v>
      </c>
    </row>
    <row r="12" spans="2:7" x14ac:dyDescent="0.15">
      <c r="D12" s="1" t="s">
        <v>8</v>
      </c>
      <c r="E12">
        <f>$B$8-5</f>
        <v>3.6388593490949646</v>
      </c>
    </row>
    <row r="13" spans="2:7" x14ac:dyDescent="0.15">
      <c r="D13" s="1" t="s">
        <v>9</v>
      </c>
      <c r="E13">
        <f>$B$8-6</f>
        <v>2.6388593490949646</v>
      </c>
    </row>
    <row r="14" spans="2:7" x14ac:dyDescent="0.15">
      <c r="D14" s="1" t="s">
        <v>10</v>
      </c>
      <c r="E14">
        <f>$B$8-7</f>
        <v>1.6388593490949646</v>
      </c>
    </row>
    <row r="15" spans="2:7" x14ac:dyDescent="0.15">
      <c r="D15" s="1" t="s">
        <v>11</v>
      </c>
      <c r="E15">
        <f>$B$8-8</f>
        <v>0.63885934909496456</v>
      </c>
    </row>
    <row r="16" spans="2:7" x14ac:dyDescent="0.15">
      <c r="D16" s="1" t="s">
        <v>12</v>
      </c>
      <c r="E16">
        <f>$B$8-9</f>
        <v>-0.36114065090503544</v>
      </c>
    </row>
    <row r="17" spans="1:5" x14ac:dyDescent="0.15">
      <c r="D17" s="1" t="s">
        <v>13</v>
      </c>
      <c r="E17">
        <f>$B$8-10</f>
        <v>-1.3611406509050354</v>
      </c>
    </row>
    <row r="20" spans="1:5" x14ac:dyDescent="0.15">
      <c r="A20">
        <v>1</v>
      </c>
      <c r="B20">
        <v>1</v>
      </c>
      <c r="C20">
        <v>0</v>
      </c>
    </row>
    <row r="21" spans="1:5" x14ac:dyDescent="0.15">
      <c r="A21">
        <v>2</v>
      </c>
      <c r="B21">
        <v>2.36</v>
      </c>
      <c r="C21">
        <v>6555</v>
      </c>
    </row>
    <row r="22" spans="1:5" x14ac:dyDescent="0.15">
      <c r="A22">
        <v>5</v>
      </c>
      <c r="B22">
        <v>4.4569999999999999</v>
      </c>
      <c r="C22">
        <v>1075</v>
      </c>
    </row>
    <row r="23" spans="1:5" x14ac:dyDescent="0.15">
      <c r="A23">
        <v>7</v>
      </c>
      <c r="B23">
        <v>6.54</v>
      </c>
      <c r="C23">
        <v>1075</v>
      </c>
    </row>
    <row r="24" spans="1:5" x14ac:dyDescent="0.15">
      <c r="A24">
        <v>8</v>
      </c>
      <c r="B24">
        <v>8.6300000000000008</v>
      </c>
      <c r="C24">
        <v>6555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(x-1)(x-2)</vt:lpstr>
      <vt:lpstr>(x-1)(x-2)(x-3)</vt:lpstr>
      <vt:lpstr>(x-1)(x-2)(x-3)(x-4)(x-5)</vt:lpstr>
      <vt:lpstr>x-10</vt:lpstr>
    </vt:vector>
  </TitlesOfParts>
  <Company>SPJIMR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pgp-04-096</dc:creator>
  <cp:lastModifiedBy>Suranjan Das</cp:lastModifiedBy>
  <cp:lastPrinted>2013-09-12T09:28:25Z</cp:lastPrinted>
  <dcterms:created xsi:type="dcterms:W3CDTF">2004-07-25T05:48:50Z</dcterms:created>
  <dcterms:modified xsi:type="dcterms:W3CDTF">2026-01-01T03:25:26Z</dcterms:modified>
</cp:coreProperties>
</file>