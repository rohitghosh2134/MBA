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autoCompressPictures="0"/>
  <mc:AlternateContent xmlns:mc="http://schemas.openxmlformats.org/markup-compatibility/2006">
    <mc:Choice Requires="x15">
      <x15ac:absPath xmlns:x15ac="http://schemas.microsoft.com/office/spreadsheetml/2010/11/ac" url="C:\MBA\Courses\Term 3\SCM\Case Studies\"/>
    </mc:Choice>
  </mc:AlternateContent>
  <xr:revisionPtr revIDLastSave="0" documentId="13_ncr:1_{B7DAB13D-90AD-4505-821D-E72D848922BC}" xr6:coauthVersionLast="47" xr6:coauthVersionMax="47" xr10:uidLastSave="{00000000-0000-0000-0000-000000000000}"/>
  <bookViews>
    <workbookView xWindow="-108" yWindow="-108" windowWidth="23256" windowHeight="13176" activeTab="2" xr2:uid="{00000000-000D-0000-FFFF-FFFF00000000}"/>
  </bookViews>
  <sheets>
    <sheet name="Copyright" sheetId="2" r:id="rId1"/>
    <sheet name="Sheet1" sheetId="1" r:id="rId2"/>
    <sheet name="Sheet2" sheetId="3" r:id="rId3"/>
  </sheets>
  <definedNames>
    <definedName name="solver_adj" localSheetId="1" hidden="1">Sheet1!$E$14:$L$19,Sheet1!$A$14:$A$19</definedName>
    <definedName name="solver_cvg" localSheetId="1" hidden="1">0.0001</definedName>
    <definedName name="solver_drv" localSheetId="1" hidden="1">2</definedName>
    <definedName name="solver_eng" localSheetId="1" hidden="1">2</definedName>
    <definedName name="solver_est" localSheetId="1" hidden="1">1</definedName>
    <definedName name="solver_itr" localSheetId="1" hidden="1">2147483647</definedName>
    <definedName name="solver_lhs1" localSheetId="1" hidden="1">Sheet1!$A$14:$A$19</definedName>
    <definedName name="solver_lhs2" localSheetId="1" hidden="1">Sheet1!$M$14:$M$19</definedName>
    <definedName name="solver_lhs3" localSheetId="1" hidden="1">Sheet1!$E$14:$L$19</definedName>
    <definedName name="solver_lhs4" localSheetId="1" hidden="1">Sheet1!$E$20:$L$20</definedName>
    <definedName name="solver_lhs5" localSheetId="1" hidden="1">Sheet1!$E$20:$L$20</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4</definedName>
    <definedName name="solver_nwt" localSheetId="1" hidden="1">1</definedName>
    <definedName name="solver_opt" localSheetId="1" hidden="1">Sheet1!#REF!</definedName>
    <definedName name="solver_pre" localSheetId="1" hidden="1">0.000001</definedName>
    <definedName name="solver_rbv" localSheetId="1" hidden="1">2</definedName>
    <definedName name="solver_rel1" localSheetId="1" hidden="1">5</definedName>
    <definedName name="solver_rel2" localSheetId="1" hidden="1">1</definedName>
    <definedName name="solver_rel3" localSheetId="1" hidden="1">1</definedName>
    <definedName name="solver_rel4" localSheetId="1" hidden="1">2</definedName>
    <definedName name="solver_rel5" localSheetId="1" hidden="1">2</definedName>
    <definedName name="solver_rhs1" localSheetId="1" hidden="1">binary</definedName>
    <definedName name="solver_rhs2" localSheetId="1" hidden="1">Capacity</definedName>
    <definedName name="solver_rhs3" localSheetId="1" hidden="1">MaximumSupplyMatrix</definedName>
    <definedName name="solver_rhs4" localSheetId="1" hidden="1">Demand_in_tons</definedName>
    <definedName name="solver_rhs5" localSheetId="1" hidden="1">Demand_in_tons</definedName>
    <definedName name="solver_rlx" localSheetId="1" hidden="1">2</definedName>
    <definedName name="solver_rsd" localSheetId="1" hidden="1">0</definedName>
    <definedName name="solver_scl" localSheetId="1" hidden="1">2</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2</definedName>
    <definedName name="solver_val" localSheetId="1" hidden="1">0</definedName>
    <definedName name="solver_ver" localSheetId="1" hidden="1">3</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8" i="3" l="1"/>
  <c r="H8" i="3"/>
  <c r="G8" i="3"/>
  <c r="F8" i="3"/>
  <c r="E8" i="3"/>
  <c r="D8" i="3"/>
  <c r="C8" i="3"/>
  <c r="B8" i="3"/>
  <c r="M7" i="3"/>
  <c r="J7" i="3"/>
  <c r="M6" i="3"/>
  <c r="J6" i="3"/>
  <c r="M5" i="3"/>
  <c r="J5" i="3"/>
  <c r="M4" i="3"/>
  <c r="J4" i="3"/>
  <c r="M3" i="3"/>
  <c r="J3" i="3"/>
  <c r="M2" i="3"/>
  <c r="J2" i="3"/>
  <c r="C19" i="1" l="1"/>
  <c r="C18" i="1"/>
  <c r="C17" i="1"/>
  <c r="C16" i="1"/>
  <c r="C15" i="1"/>
  <c r="C14" i="1"/>
  <c r="B19" i="1"/>
  <c r="B18" i="1"/>
  <c r="B17" i="1"/>
  <c r="B16" i="1"/>
  <c r="B15" i="1"/>
  <c r="B14" i="1"/>
  <c r="M14" i="1"/>
  <c r="L20" i="1"/>
  <c r="K20" i="1"/>
  <c r="J20" i="1"/>
  <c r="I20" i="1"/>
  <c r="H20" i="1"/>
  <c r="G20" i="1"/>
  <c r="F20" i="1"/>
  <c r="E20" i="1"/>
  <c r="M19" i="1"/>
  <c r="M18" i="1"/>
  <c r="M17" i="1"/>
  <c r="M16" i="1"/>
  <c r="M15" i="1"/>
</calcChain>
</file>

<file path=xl/sharedStrings.xml><?xml version="1.0" encoding="utf-8"?>
<sst xmlns="http://schemas.openxmlformats.org/spreadsheetml/2006/main" count="141" uniqueCount="57">
  <si>
    <t>Quarterly Production Parameters</t>
  </si>
  <si>
    <t>Country1</t>
  </si>
  <si>
    <t>Country2</t>
  </si>
  <si>
    <t>Country3</t>
  </si>
  <si>
    <t>Country4</t>
  </si>
  <si>
    <t>Country5</t>
  </si>
  <si>
    <t>Country6</t>
  </si>
  <si>
    <t>Country7</t>
  </si>
  <si>
    <t>Country8</t>
  </si>
  <si>
    <t>Capacity</t>
  </si>
  <si>
    <t>Operating?</t>
  </si>
  <si>
    <t>Fixed Op. Cost</t>
  </si>
  <si>
    <t>Max Lead Time</t>
  </si>
  <si>
    <t>Production/Market</t>
  </si>
  <si>
    <t>Country 1</t>
  </si>
  <si>
    <t>Country 2</t>
  </si>
  <si>
    <t>Country 3</t>
  </si>
  <si>
    <t>Country 4</t>
  </si>
  <si>
    <t>Country 5</t>
  </si>
  <si>
    <t>Country 6</t>
  </si>
  <si>
    <t>Country 7</t>
  </si>
  <si>
    <t>Country 8</t>
  </si>
  <si>
    <t>Lead Time Matrix (Order Processing and Transportation) Days</t>
  </si>
  <si>
    <t>Supply Chain Matrix (tons)</t>
  </si>
  <si>
    <t>Production Total</t>
  </si>
  <si>
    <t>Demand in Tons</t>
  </si>
  <si>
    <t>Supply to Market</t>
  </si>
  <si>
    <t>Landed Cost (=Production + Transport + Import Tax) per Ton</t>
  </si>
  <si>
    <t>–</t>
  </si>
  <si>
    <t>No part of this file may be reproduced, stored in a retrieval system, posted to the Internet, or transmitted in any form or by any means without the permission of Ivey Business School Foundation.  To order copies or request permission to reproduce materials, contact Ivey Publishing, Ivey Business School, Western University, London, Ontario, Canada, N6G 0N1; (t) 519.661.3208; (e) cases@ivey.ca; www.iveycases.com.</t>
  </si>
  <si>
    <t>Last Revised:</t>
  </si>
  <si>
    <t>Prepared by:</t>
  </si>
  <si>
    <t>Title:</t>
  </si>
  <si>
    <t>Product Number:</t>
  </si>
  <si>
    <t>7B18E008</t>
  </si>
  <si>
    <t>Sika: Optimizing the APAC Epoxy Flooring Supply Chain - Student Spreadsheet</t>
  </si>
  <si>
    <t>This spreadsheet supports the product "Sika: Optimizing the APAC Epoxy Flooring Supply Chain" (9B18E008)</t>
  </si>
  <si>
    <t xml:space="preserve">Bruno Oehy and Professor Singfat Chu </t>
  </si>
  <si>
    <t>© 2018 National University of Singapore and Ivey Business School Foundation</t>
  </si>
  <si>
    <t>C1</t>
  </si>
  <si>
    <t>C2</t>
  </si>
  <si>
    <t>C3</t>
  </si>
  <si>
    <t>C4</t>
  </si>
  <si>
    <t>C5</t>
  </si>
  <si>
    <t>C6</t>
  </si>
  <si>
    <t>C7</t>
  </si>
  <si>
    <t>C8</t>
  </si>
  <si>
    <t>Sika</t>
  </si>
  <si>
    <t>Demand</t>
  </si>
  <si>
    <t>P1</t>
  </si>
  <si>
    <t>P2</t>
  </si>
  <si>
    <t>P3</t>
  </si>
  <si>
    <t>P4</t>
  </si>
  <si>
    <t>P5</t>
  </si>
  <si>
    <t>P6</t>
  </si>
  <si>
    <t>RowTotal</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</si>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</sst>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quot;$&quot;#,##0"/>
    <numFmt numFmtId="166" formatCode="_(* #,##0_);_(* \(#,##0\);_(* &quot;-&quot;??_);_(@_)"/>
    <numFmt numFmtId="167" formatCode="[$-409]mmmm\ d\,\ yyyy;@"/>
  </numFmts>
  <fonts count="10" x14ac:knownFonts="1">
    <font>
      <sz val="11"/>
      <color theme="1"/>
      <name val="Calibri"/>
      <family val="2"/>
      <scheme val="minor"/>
    </font>
    <font>
      <sz val="11"/>
      <color theme="1"/>
      <name val="Calibri"/>
      <family val="2"/>
      <scheme val="minor"/>
    </font>
    <font>
      <b/>
      <sz val="12"/>
      <color theme="1"/>
      <name val="Arial"/>
      <family val="2"/>
    </font>
    <font>
      <sz val="12"/>
      <name val="Arial"/>
      <family val="2"/>
    </font>
    <font>
      <sz val="12"/>
      <color theme="1"/>
      <name val="Arial"/>
      <family val="2"/>
    </font>
    <font>
      <b/>
      <sz val="12"/>
      <name val="Arial"/>
      <family val="2"/>
    </font>
    <font>
      <sz val="12"/>
      <color rgb="FF1F497D"/>
      <name val="Arial"/>
      <family val="2"/>
    </font>
    <font>
      <sz val="11"/>
      <color theme="1"/>
      <name val="Calibri"/>
      <family val="2"/>
    </font>
    <font>
      <i/>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5">
    <xf numFmtId="0" fontId="0" fillId="0" borderId="0" xfId="0"/>
    <xf numFmtId="0" fontId="0" fillId="0" borderId="0" xfId="0" applyAlignment="1">
      <alignment vertical="top" wrapText="1"/>
    </xf>
    <xf numFmtId="0" fontId="0" fillId="2" borderId="0" xfId="0" applyFill="1" applyAlignment="1">
      <alignment horizontal="left" vertical="top"/>
    </xf>
    <xf numFmtId="0" fontId="0" fillId="2" borderId="0" xfId="0" applyFill="1" applyAlignment="1">
      <alignment vertical="top"/>
    </xf>
    <xf numFmtId="0" fontId="0" fillId="2" borderId="0" xfId="0" applyFill="1" applyAlignment="1">
      <alignment vertical="top" wrapText="1"/>
    </xf>
    <xf numFmtId="0" fontId="0" fillId="2" borderId="0" xfId="0" applyFill="1"/>
    <xf numFmtId="0" fontId="7" fillId="2" borderId="0" xfId="0" applyFont="1" applyFill="1"/>
    <xf numFmtId="167" fontId="0" fillId="2" borderId="0" xfId="0" applyNumberFormat="1" applyFill="1"/>
    <xf numFmtId="0" fontId="8" fillId="2" borderId="0" xfId="0" applyFont="1" applyFill="1" applyAlignment="1">
      <alignment vertical="top" wrapText="1"/>
    </xf>
    <xf numFmtId="0" fontId="7" fillId="2" borderId="0" xfId="0" applyFont="1" applyFill="1"/>
    <xf numFmtId="0" fontId="0" fillId="2" borderId="0" xfId="0" applyFill="1"/>
    <xf numFmtId="0" fontId="0" fillId="0" borderId="0" xfId="0"/>
    <xf numFmtId="0" fontId="9"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center"/>
    </xf>
    <xf numFmtId="165" fontId="3" fillId="0" borderId="1" xfId="1" applyNumberFormat="1" applyFont="1" applyFill="1" applyBorder="1" applyAlignment="1">
      <alignment horizontal="center"/>
    </xf>
    <xf numFmtId="0" fontId="2" fillId="0" borderId="0" xfId="0" applyFont="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3" fillId="0" borderId="2" xfId="0" applyFont="1" applyBorder="1" applyAlignment="1">
      <alignment horizontal="center"/>
    </xf>
    <xf numFmtId="2" fontId="5" fillId="0" borderId="1" xfId="0" applyNumberFormat="1" applyFont="1" applyBorder="1" applyAlignment="1">
      <alignment horizontal="center"/>
    </xf>
    <xf numFmtId="166" fontId="6" fillId="0" borderId="1" xfId="0" applyNumberFormat="1" applyFont="1" applyBorder="1" applyAlignment="1">
      <alignment horizontal="center"/>
    </xf>
    <xf numFmtId="165" fontId="3" fillId="0" borderId="1" xfId="0" applyNumberFormat="1" applyFont="1" applyBorder="1" applyAlignment="1">
      <alignment horizontal="center"/>
    </xf>
    <xf numFmtId="166" fontId="3" fillId="0" borderId="1" xfId="1" applyNumberFormat="1" applyFont="1" applyFill="1" applyBorder="1" applyAlignment="1">
      <alignment horizontal="center"/>
    </xf>
    <xf numFmtId="164" fontId="3" fillId="0" borderId="1" xfId="1" applyNumberFormat="1" applyFont="1" applyFill="1" applyBorder="1" applyAlignment="1">
      <alignment horizontal="center"/>
    </xf>
    <xf numFmtId="164" fontId="5" fillId="0" borderId="1" xfId="1" applyNumberFormat="1" applyFont="1" applyFill="1" applyBorder="1" applyAlignment="1">
      <alignment horizontal="center"/>
    </xf>
    <xf numFmtId="164" fontId="5" fillId="0" borderId="2" xfId="1" applyNumberFormat="1" applyFont="1" applyFill="1" applyBorder="1" applyAlignment="1">
      <alignment horizontal="center"/>
    </xf>
    <xf numFmtId="166" fontId="3" fillId="0" borderId="1" xfId="0" applyNumberFormat="1" applyFont="1" applyBorder="1" applyAlignment="1">
      <alignment horizontal="center"/>
    </xf>
    <xf numFmtId="9" fontId="4" fillId="0" borderId="0" xfId="2" applyFont="1" applyAlignment="1">
      <alignment horizontal="center"/>
    </xf>
    <xf numFmtId="166" fontId="3" fillId="0" borderId="2" xfId="1" applyNumberFormat="1" applyFont="1" applyFill="1" applyBorder="1" applyAlignment="1">
      <alignment horizontal="center"/>
    </xf>
    <xf numFmtId="166" fontId="5" fillId="0" borderId="1" xfId="1" applyNumberFormat="1" applyFont="1" applyFill="1" applyBorder="1" applyAlignment="1">
      <alignment horizontal="center"/>
    </xf>
    <xf numFmtId="0" fontId="4" fillId="0" borderId="1" xfId="0" applyFont="1" applyBorder="1" applyAlignment="1">
      <alignment horizontal="center"/>
    </xf>
    <xf numFmtId="166" fontId="4" fillId="0" borderId="1" xfId="0" applyNumberFormat="1" applyFont="1" applyBorder="1" applyAlignment="1">
      <alignment horizontal="center"/>
    </xf>
    <xf numFmtId="164" fontId="3" fillId="0" borderId="3" xfId="0" applyNumberFormat="1" applyFont="1" applyBorder="1" applyAlignment="1">
      <alignment horizontal="center"/>
    </xf>
    <xf numFmtId="166" fontId="6" fillId="0" borderId="0" xfId="0" applyNumberFormat="1" applyFont="1" applyAlignment="1">
      <alignment horizontal="center"/>
    </xf>
    <xf numFmtId="3" fontId="6" fillId="0" borderId="1" xfId="1" applyNumberFormat="1" applyFont="1" applyFill="1" applyBorder="1" applyAlignment="1">
      <alignment horizontal="center"/>
    </xf>
    <xf numFmtId="0" fontId="6" fillId="0" borderId="0" xfId="0" applyFont="1" applyAlignment="1">
      <alignment horizontal="center"/>
    </xf>
    <xf numFmtId="3" fontId="6" fillId="0" borderId="0" xfId="1" applyNumberFormat="1" applyFont="1"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9" fillId="0" borderId="0" xfId="0" applyFont="1" applyAlignment="1">
      <alignment horizontal="center" vertical="center"/>
    </xf>
    <xf numFmtId="3" fontId="0" fillId="0" borderId="0" xfId="0" applyNumberFormat="1" applyAlignment="1">
      <alignment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219075</xdr:colOff>
      <xdr:row>0</xdr:row>
      <xdr:rowOff>276225</xdr:rowOff>
    </xdr:from>
    <xdr:ext cx="4721629" cy="993371"/>
    <xdr:pic>
      <xdr:nvPicPr>
        <xdr:cNvPr id="2" name="Picture 1">
          <a:extLst>
            <a:ext uri="{FF2B5EF4-FFF2-40B4-BE49-F238E27FC236}">
              <a16:creationId xmlns:a16="http://schemas.microsoft.com/office/drawing/2014/main" id="{00000000-0008-0000-0000-000002000000}"/>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190500"/>
          <a:ext cx="4721629" cy="9933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showGridLines="0" topLeftCell="A10" workbookViewId="0">
      <selection activeCell="A12" sqref="A12:B12"/>
    </sheetView>
  </sheetViews>
  <sheetFormatPr defaultColWidth="9.109375" defaultRowHeight="14.4" x14ac:dyDescent="0.3"/>
  <cols>
    <col min="1" max="1" width="20" customWidth="1"/>
    <col min="2" max="2" width="58.6640625" customWidth="1"/>
  </cols>
  <sheetData>
    <row r="1" spans="1:7" ht="106.5" customHeight="1" x14ac:dyDescent="0.3">
      <c r="A1" s="11"/>
      <c r="B1" s="11"/>
    </row>
    <row r="3" spans="1:7" x14ac:dyDescent="0.3">
      <c r="A3" s="2" t="s">
        <v>33</v>
      </c>
      <c r="B3" s="3" t="s">
        <v>34</v>
      </c>
    </row>
    <row r="4" spans="1:7" ht="28.8" x14ac:dyDescent="0.3">
      <c r="A4" s="2" t="s">
        <v>32</v>
      </c>
      <c r="B4" s="4" t="s">
        <v>35</v>
      </c>
    </row>
    <row r="5" spans="1:7" ht="28.8" x14ac:dyDescent="0.3">
      <c r="A5" s="2"/>
      <c r="B5" s="4" t="s">
        <v>36</v>
      </c>
    </row>
    <row r="6" spans="1:7" x14ac:dyDescent="0.3">
      <c r="A6" s="2" t="s">
        <v>31</v>
      </c>
      <c r="B6" s="4" t="s">
        <v>37</v>
      </c>
    </row>
    <row r="7" spans="1:7" x14ac:dyDescent="0.3">
      <c r="A7" s="5"/>
      <c r="B7" s="5"/>
    </row>
    <row r="8" spans="1:7" x14ac:dyDescent="0.3">
      <c r="A8" s="6" t="s">
        <v>30</v>
      </c>
      <c r="B8" s="7">
        <v>43185</v>
      </c>
    </row>
    <row r="9" spans="1:7" x14ac:dyDescent="0.3">
      <c r="A9" s="5"/>
      <c r="B9" s="5"/>
    </row>
    <row r="10" spans="1:7" ht="104.25" customHeight="1" x14ac:dyDescent="0.3">
      <c r="A10" s="8" t="s">
        <v>29</v>
      </c>
      <c r="B10" s="8"/>
      <c r="C10" s="1"/>
      <c r="D10" s="1"/>
      <c r="E10" s="1"/>
      <c r="F10" s="1"/>
      <c r="G10" s="1"/>
    </row>
    <row r="11" spans="1:7" x14ac:dyDescent="0.3">
      <c r="A11" s="6"/>
      <c r="B11" s="5"/>
    </row>
    <row r="12" spans="1:7" x14ac:dyDescent="0.3">
      <c r="A12" s="9" t="s">
        <v>38</v>
      </c>
      <c r="B12" s="10"/>
    </row>
    <row r="13" spans="1:7" x14ac:dyDescent="0.3">
      <c r="A13" s="5"/>
      <c r="B13" s="5"/>
    </row>
  </sheetData>
  <sheetProtection algorithmName="SHA-512" hashValue="mbWeZO3PcjW2D4/3dzWs8Ug3Lli1IdJKhNM0eWW5NCQOt34NvyaVGMiqNPLPh+9QvFiaB/TBZG87Lzg7fBCOUQ==" saltValue="WPnzmrnI1pxT7deLUaj6Kg==" spinCount="100000" sheet="1" objects="1" scenarios="1"/>
  <mergeCells count="3">
    <mergeCell ref="A10:B10"/>
    <mergeCell ref="A12:B12"/>
    <mergeCell ref="A1:B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2"/>
  <sheetViews>
    <sheetView workbookViewId="0">
      <selection activeCell="C13" sqref="C13:C19"/>
    </sheetView>
  </sheetViews>
  <sheetFormatPr defaultColWidth="8.88671875" defaultRowHeight="14.4" x14ac:dyDescent="0.3"/>
  <cols>
    <col min="1" max="1" width="36.44140625" style="41" bestFit="1" customWidth="1"/>
    <col min="2" max="2" width="9.5546875" style="41" bestFit="1" customWidth="1"/>
    <col min="3" max="3" width="15.88671875" style="41" bestFit="1" customWidth="1"/>
    <col min="4" max="4" width="68.21875" style="41" bestFit="1" customWidth="1"/>
    <col min="5" max="9" width="10.44140625" style="41" bestFit="1" customWidth="1"/>
    <col min="10" max="10" width="12.44140625" style="41" bestFit="1" customWidth="1"/>
    <col min="11" max="12" width="10.44140625" style="41" bestFit="1" customWidth="1"/>
    <col min="13" max="13" width="17" style="41" bestFit="1" customWidth="1"/>
    <col min="14" max="14" width="8.88671875" style="41"/>
    <col min="15" max="15" width="5.33203125" style="41" bestFit="1" customWidth="1"/>
    <col min="16" max="16" width="6.44140625" style="41" bestFit="1" customWidth="1"/>
    <col min="17" max="16384" width="8.88671875" style="41"/>
  </cols>
  <sheetData>
    <row r="1" spans="1:14" s="15" customFormat="1" ht="15.6" x14ac:dyDescent="0.3">
      <c r="A1" s="14" t="s">
        <v>47</v>
      </c>
    </row>
    <row r="2" spans="1:14" s="15" customFormat="1" ht="15" x14ac:dyDescent="0.25"/>
    <row r="3" spans="1:14" s="15" customFormat="1" ht="15.6" x14ac:dyDescent="0.3">
      <c r="D3" s="14" t="s">
        <v>27</v>
      </c>
      <c r="E3" s="16"/>
      <c r="F3" s="16"/>
      <c r="G3" s="16"/>
      <c r="H3" s="16"/>
      <c r="I3" s="16"/>
      <c r="J3" s="16"/>
      <c r="K3" s="16"/>
      <c r="L3" s="16"/>
    </row>
    <row r="4" spans="1:14" s="15" customFormat="1" ht="15" x14ac:dyDescent="0.25">
      <c r="D4" s="17" t="s">
        <v>13</v>
      </c>
      <c r="E4" s="17" t="s">
        <v>1</v>
      </c>
      <c r="F4" s="17" t="s">
        <v>2</v>
      </c>
      <c r="G4" s="17" t="s">
        <v>3</v>
      </c>
      <c r="H4" s="17" t="s">
        <v>4</v>
      </c>
      <c r="I4" s="17" t="s">
        <v>5</v>
      </c>
      <c r="J4" s="17" t="s">
        <v>6</v>
      </c>
      <c r="K4" s="17" t="s">
        <v>7</v>
      </c>
      <c r="L4" s="17" t="s">
        <v>8</v>
      </c>
    </row>
    <row r="5" spans="1:14" s="15" customFormat="1" ht="15" x14ac:dyDescent="0.25">
      <c r="D5" s="17" t="s">
        <v>14</v>
      </c>
      <c r="E5" s="18">
        <v>4840</v>
      </c>
      <c r="F5" s="18">
        <v>4900</v>
      </c>
      <c r="G5" s="18">
        <v>5484</v>
      </c>
      <c r="H5" s="18">
        <v>5500.8</v>
      </c>
      <c r="I5" s="18">
        <v>5182</v>
      </c>
      <c r="J5" s="18">
        <v>5050</v>
      </c>
      <c r="K5" s="18">
        <v>5152</v>
      </c>
      <c r="L5" s="18">
        <v>5172</v>
      </c>
    </row>
    <row r="6" spans="1:14" s="15" customFormat="1" ht="15" x14ac:dyDescent="0.25">
      <c r="D6" s="17" t="s">
        <v>15</v>
      </c>
      <c r="E6" s="18">
        <v>5250</v>
      </c>
      <c r="F6" s="18">
        <v>5180</v>
      </c>
      <c r="G6" s="18">
        <v>5838.0000000000009</v>
      </c>
      <c r="H6" s="18">
        <v>5871.6</v>
      </c>
      <c r="I6" s="18">
        <v>5415.4000000000005</v>
      </c>
      <c r="J6" s="18">
        <v>5350</v>
      </c>
      <c r="K6" s="18">
        <v>5509</v>
      </c>
      <c r="L6" s="18">
        <v>5519</v>
      </c>
    </row>
    <row r="7" spans="1:14" s="15" customFormat="1" ht="15" x14ac:dyDescent="0.25">
      <c r="D7" s="17" t="s">
        <v>16</v>
      </c>
      <c r="E7" s="18">
        <v>5030</v>
      </c>
      <c r="F7" s="18">
        <v>5508</v>
      </c>
      <c r="G7" s="18">
        <v>4880</v>
      </c>
      <c r="H7" s="18">
        <v>5625.6</v>
      </c>
      <c r="I7" s="18">
        <v>5236.4000000000005</v>
      </c>
      <c r="J7" s="18">
        <v>5080</v>
      </c>
      <c r="K7" s="18">
        <v>5030</v>
      </c>
      <c r="L7" s="18">
        <v>5314</v>
      </c>
    </row>
    <row r="8" spans="1:14" s="15" customFormat="1" ht="15" x14ac:dyDescent="0.25">
      <c r="D8" s="17" t="s">
        <v>17</v>
      </c>
      <c r="E8" s="18">
        <v>5020</v>
      </c>
      <c r="F8" s="18">
        <v>5504</v>
      </c>
      <c r="G8" s="18">
        <v>5594</v>
      </c>
      <c r="H8" s="18">
        <v>4940</v>
      </c>
      <c r="I8" s="18">
        <v>5198.2</v>
      </c>
      <c r="J8" s="18">
        <v>5140</v>
      </c>
      <c r="K8" s="18">
        <v>5020</v>
      </c>
      <c r="L8" s="18">
        <v>5297</v>
      </c>
    </row>
    <row r="9" spans="1:14" s="15" customFormat="1" ht="15" x14ac:dyDescent="0.25">
      <c r="D9" s="17" t="s">
        <v>18</v>
      </c>
      <c r="E9" s="18">
        <v>5191</v>
      </c>
      <c r="F9" s="18">
        <v>5708.1</v>
      </c>
      <c r="G9" s="18">
        <v>5788.1</v>
      </c>
      <c r="H9" s="18">
        <v>5829.52</v>
      </c>
      <c r="I9" s="18">
        <v>5071</v>
      </c>
      <c r="J9" s="18">
        <v>5311</v>
      </c>
      <c r="K9" s="18">
        <v>5211</v>
      </c>
      <c r="L9" s="18">
        <v>5424.55</v>
      </c>
    </row>
    <row r="10" spans="1:14" s="15" customFormat="1" ht="15" x14ac:dyDescent="0.25">
      <c r="D10" s="17" t="s">
        <v>19</v>
      </c>
      <c r="E10" s="18">
        <v>5422.5</v>
      </c>
      <c r="F10" s="18">
        <v>5655</v>
      </c>
      <c r="G10" s="18">
        <v>5775</v>
      </c>
      <c r="H10" s="18">
        <v>5776.0000000000009</v>
      </c>
      <c r="I10" s="18">
        <v>5462.5</v>
      </c>
      <c r="J10" s="18">
        <v>5050</v>
      </c>
      <c r="K10" s="18">
        <v>5170</v>
      </c>
      <c r="L10" s="18">
        <v>5492.5</v>
      </c>
    </row>
    <row r="11" spans="1:14" s="15" customFormat="1" ht="15" x14ac:dyDescent="0.25"/>
    <row r="12" spans="1:14" s="15" customFormat="1" ht="15.6" x14ac:dyDescent="0.3">
      <c r="A12" s="14" t="s">
        <v>0</v>
      </c>
      <c r="D12" s="19" t="s">
        <v>23</v>
      </c>
      <c r="E12" s="16"/>
      <c r="F12" s="16"/>
      <c r="G12" s="16"/>
      <c r="H12" s="16"/>
      <c r="I12" s="16"/>
      <c r="J12" s="16"/>
      <c r="K12" s="16"/>
      <c r="L12" s="16"/>
    </row>
    <row r="13" spans="1:14" s="15" customFormat="1" ht="15.6" x14ac:dyDescent="0.3">
      <c r="A13" s="20" t="s">
        <v>10</v>
      </c>
      <c r="B13" s="21" t="s">
        <v>9</v>
      </c>
      <c r="C13" s="17" t="s">
        <v>11</v>
      </c>
      <c r="D13" s="17" t="s">
        <v>13</v>
      </c>
      <c r="E13" s="17" t="s">
        <v>14</v>
      </c>
      <c r="F13" s="17" t="s">
        <v>15</v>
      </c>
      <c r="G13" s="17" t="s">
        <v>16</v>
      </c>
      <c r="H13" s="17" t="s">
        <v>17</v>
      </c>
      <c r="I13" s="17" t="s">
        <v>18</v>
      </c>
      <c r="J13" s="17" t="s">
        <v>19</v>
      </c>
      <c r="K13" s="17" t="s">
        <v>20</v>
      </c>
      <c r="L13" s="22" t="s">
        <v>21</v>
      </c>
      <c r="M13" s="17" t="s">
        <v>24</v>
      </c>
    </row>
    <row r="14" spans="1:14" s="15" customFormat="1" ht="15.6" x14ac:dyDescent="0.3">
      <c r="A14" s="23">
        <v>1</v>
      </c>
      <c r="B14" s="24">
        <f>1725</f>
        <v>1725</v>
      </c>
      <c r="C14" s="25">
        <f>1380000</f>
        <v>1380000</v>
      </c>
      <c r="D14" s="17" t="s">
        <v>14</v>
      </c>
      <c r="E14" s="26">
        <v>1120</v>
      </c>
      <c r="F14" s="27" t="s">
        <v>28</v>
      </c>
      <c r="G14" s="28" t="s">
        <v>28</v>
      </c>
      <c r="H14" s="28" t="s">
        <v>28</v>
      </c>
      <c r="I14" s="28" t="s">
        <v>28</v>
      </c>
      <c r="J14" s="28" t="s">
        <v>28</v>
      </c>
      <c r="K14" s="28" t="s">
        <v>28</v>
      </c>
      <c r="L14" s="29" t="s">
        <v>28</v>
      </c>
      <c r="M14" s="30">
        <f>SUM(E14:L14)</f>
        <v>1120</v>
      </c>
      <c r="N14" s="31"/>
    </row>
    <row r="15" spans="1:14" s="15" customFormat="1" ht="15.6" x14ac:dyDescent="0.3">
      <c r="A15" s="23">
        <v>1</v>
      </c>
      <c r="B15" s="24">
        <f>800</f>
        <v>800</v>
      </c>
      <c r="C15" s="25">
        <f>1050000</f>
        <v>1050000</v>
      </c>
      <c r="D15" s="17" t="s">
        <v>15</v>
      </c>
      <c r="E15" s="28" t="s">
        <v>28</v>
      </c>
      <c r="F15" s="26">
        <v>425</v>
      </c>
      <c r="G15" s="28" t="s">
        <v>28</v>
      </c>
      <c r="H15" s="28" t="s">
        <v>28</v>
      </c>
      <c r="I15" s="28" t="s">
        <v>28</v>
      </c>
      <c r="J15" s="28" t="s">
        <v>28</v>
      </c>
      <c r="K15" s="28" t="s">
        <v>28</v>
      </c>
      <c r="L15" s="29" t="s">
        <v>28</v>
      </c>
      <c r="M15" s="30">
        <f t="shared" ref="M15:M19" si="0">SUM(E15:L15)</f>
        <v>425</v>
      </c>
      <c r="N15" s="31"/>
    </row>
    <row r="16" spans="1:14" s="15" customFormat="1" ht="15.6" x14ac:dyDescent="0.3">
      <c r="A16" s="23">
        <v>1</v>
      </c>
      <c r="B16" s="24">
        <f>5286</f>
        <v>5286</v>
      </c>
      <c r="C16" s="25">
        <f>3171600</f>
        <v>3171600</v>
      </c>
      <c r="D16" s="17" t="s">
        <v>16</v>
      </c>
      <c r="E16" s="28" t="s">
        <v>28</v>
      </c>
      <c r="F16" s="27" t="s">
        <v>28</v>
      </c>
      <c r="G16" s="26">
        <v>3225</v>
      </c>
      <c r="H16" s="28" t="s">
        <v>28</v>
      </c>
      <c r="I16" s="28" t="s">
        <v>28</v>
      </c>
      <c r="J16" s="28" t="s">
        <v>28</v>
      </c>
      <c r="K16" s="26">
        <v>247</v>
      </c>
      <c r="L16" s="32">
        <v>180</v>
      </c>
      <c r="M16" s="30">
        <f t="shared" si="0"/>
        <v>3652</v>
      </c>
      <c r="N16" s="31"/>
    </row>
    <row r="17" spans="1:15" s="15" customFormat="1" ht="15.6" x14ac:dyDescent="0.3">
      <c r="A17" s="23">
        <v>1</v>
      </c>
      <c r="B17" s="24">
        <f>483</f>
        <v>483</v>
      </c>
      <c r="C17" s="25">
        <f>618240</f>
        <v>618240</v>
      </c>
      <c r="D17" s="17" t="s">
        <v>17</v>
      </c>
      <c r="E17" s="28" t="s">
        <v>28</v>
      </c>
      <c r="F17" s="27" t="s">
        <v>28</v>
      </c>
      <c r="G17" s="28" t="s">
        <v>28</v>
      </c>
      <c r="H17" s="26">
        <v>292</v>
      </c>
      <c r="I17" s="28" t="s">
        <v>28</v>
      </c>
      <c r="J17" s="28" t="s">
        <v>28</v>
      </c>
      <c r="K17" s="28" t="s">
        <v>28</v>
      </c>
      <c r="L17" s="29" t="s">
        <v>28</v>
      </c>
      <c r="M17" s="30">
        <f t="shared" si="0"/>
        <v>292</v>
      </c>
      <c r="N17" s="31"/>
    </row>
    <row r="18" spans="1:15" s="15" customFormat="1" ht="15.6" x14ac:dyDescent="0.3">
      <c r="A18" s="23">
        <v>1</v>
      </c>
      <c r="B18" s="24">
        <f>1050</f>
        <v>1050</v>
      </c>
      <c r="C18" s="25">
        <f>1785000</f>
        <v>1785000</v>
      </c>
      <c r="D18" s="17" t="s">
        <v>18</v>
      </c>
      <c r="E18" s="28" t="s">
        <v>28</v>
      </c>
      <c r="F18" s="27" t="s">
        <v>28</v>
      </c>
      <c r="G18" s="28" t="s">
        <v>28</v>
      </c>
      <c r="H18" s="33" t="s">
        <v>28</v>
      </c>
      <c r="I18" s="26">
        <v>684</v>
      </c>
      <c r="J18" s="28" t="s">
        <v>28</v>
      </c>
      <c r="K18" s="28" t="s">
        <v>28</v>
      </c>
      <c r="L18" s="29" t="s">
        <v>28</v>
      </c>
      <c r="M18" s="30">
        <f t="shared" si="0"/>
        <v>684</v>
      </c>
      <c r="N18" s="31"/>
    </row>
    <row r="19" spans="1:15" s="15" customFormat="1" ht="15.6" x14ac:dyDescent="0.3">
      <c r="A19" s="23">
        <v>1</v>
      </c>
      <c r="B19" s="24">
        <f>2334</f>
        <v>2334</v>
      </c>
      <c r="C19" s="25">
        <f>1633800</f>
        <v>1633800</v>
      </c>
      <c r="D19" s="17" t="s">
        <v>19</v>
      </c>
      <c r="E19" s="28" t="s">
        <v>28</v>
      </c>
      <c r="F19" s="27" t="s">
        <v>28</v>
      </c>
      <c r="G19" s="28" t="s">
        <v>28</v>
      </c>
      <c r="H19" s="33" t="s">
        <v>28</v>
      </c>
      <c r="I19" s="28" t="s">
        <v>28</v>
      </c>
      <c r="J19" s="26">
        <v>2065</v>
      </c>
      <c r="K19" s="28" t="s">
        <v>28</v>
      </c>
      <c r="L19" s="29" t="s">
        <v>28</v>
      </c>
      <c r="M19" s="30">
        <f t="shared" si="0"/>
        <v>2065</v>
      </c>
      <c r="N19" s="31"/>
    </row>
    <row r="20" spans="1:15" s="15" customFormat="1" ht="15" x14ac:dyDescent="0.25">
      <c r="D20" s="34" t="s">
        <v>26</v>
      </c>
      <c r="E20" s="35">
        <f>SUM(E14:E19)</f>
        <v>1120</v>
      </c>
      <c r="F20" s="35">
        <f t="shared" ref="F20:L20" si="1">SUM(F14:F19)</f>
        <v>425</v>
      </c>
      <c r="G20" s="35">
        <f t="shared" si="1"/>
        <v>3225</v>
      </c>
      <c r="H20" s="35">
        <f t="shared" si="1"/>
        <v>292</v>
      </c>
      <c r="I20" s="35">
        <f t="shared" si="1"/>
        <v>684</v>
      </c>
      <c r="J20" s="35">
        <f t="shared" si="1"/>
        <v>2065</v>
      </c>
      <c r="K20" s="35">
        <f t="shared" si="1"/>
        <v>247</v>
      </c>
      <c r="L20" s="35">
        <f t="shared" si="1"/>
        <v>180</v>
      </c>
      <c r="M20" s="36"/>
      <c r="N20" s="37"/>
      <c r="O20" s="16"/>
    </row>
    <row r="21" spans="1:15" s="15" customFormat="1" ht="15" x14ac:dyDescent="0.25">
      <c r="D21" s="21" t="s">
        <v>25</v>
      </c>
      <c r="E21" s="38">
        <v>1120</v>
      </c>
      <c r="F21" s="38">
        <v>425</v>
      </c>
      <c r="G21" s="38">
        <v>3225</v>
      </c>
      <c r="H21" s="38">
        <v>292</v>
      </c>
      <c r="I21" s="38">
        <v>684</v>
      </c>
      <c r="J21" s="38">
        <v>2065</v>
      </c>
      <c r="K21" s="38">
        <v>247</v>
      </c>
      <c r="L21" s="38">
        <v>180</v>
      </c>
    </row>
    <row r="22" spans="1:15" s="15" customFormat="1" ht="15" x14ac:dyDescent="0.25">
      <c r="A22" s="39"/>
      <c r="B22" s="40"/>
      <c r="C22" s="40"/>
      <c r="D22" s="40"/>
      <c r="E22" s="40"/>
      <c r="F22" s="40"/>
      <c r="G22" s="40"/>
      <c r="H22" s="40"/>
      <c r="I22" s="40"/>
    </row>
    <row r="23" spans="1:15" s="15" customFormat="1" ht="15.6" x14ac:dyDescent="0.3">
      <c r="D23" s="14" t="s">
        <v>22</v>
      </c>
      <c r="E23" s="16"/>
      <c r="F23" s="16"/>
      <c r="G23" s="16"/>
      <c r="H23" s="16"/>
      <c r="I23" s="16"/>
      <c r="J23" s="16"/>
      <c r="K23" s="16"/>
      <c r="L23" s="16"/>
    </row>
    <row r="24" spans="1:15" s="15" customFormat="1" ht="15" x14ac:dyDescent="0.25">
      <c r="D24" s="17" t="s">
        <v>13</v>
      </c>
      <c r="E24" s="17" t="s">
        <v>14</v>
      </c>
      <c r="F24" s="17" t="s">
        <v>15</v>
      </c>
      <c r="G24" s="17" t="s">
        <v>16</v>
      </c>
      <c r="H24" s="17" t="s">
        <v>17</v>
      </c>
      <c r="I24" s="17" t="s">
        <v>18</v>
      </c>
      <c r="J24" s="17" t="s">
        <v>19</v>
      </c>
      <c r="K24" s="17" t="s">
        <v>20</v>
      </c>
      <c r="L24" s="17" t="s">
        <v>21</v>
      </c>
    </row>
    <row r="25" spans="1:15" s="15" customFormat="1" ht="15" x14ac:dyDescent="0.25">
      <c r="D25" s="17" t="s">
        <v>14</v>
      </c>
      <c r="E25" s="17">
        <v>7</v>
      </c>
      <c r="F25" s="17">
        <v>18</v>
      </c>
      <c r="G25" s="17">
        <v>24</v>
      </c>
      <c r="H25" s="17">
        <v>14</v>
      </c>
      <c r="I25" s="17">
        <v>31</v>
      </c>
      <c r="J25" s="17">
        <v>31</v>
      </c>
      <c r="K25" s="17">
        <v>14</v>
      </c>
      <c r="L25" s="17">
        <v>39</v>
      </c>
    </row>
    <row r="26" spans="1:15" s="15" customFormat="1" ht="15" x14ac:dyDescent="0.25">
      <c r="D26" s="17" t="s">
        <v>15</v>
      </c>
      <c r="E26" s="17">
        <v>12</v>
      </c>
      <c r="F26" s="17">
        <v>7</v>
      </c>
      <c r="G26" s="17">
        <v>15</v>
      </c>
      <c r="H26" s="17">
        <v>12</v>
      </c>
      <c r="I26" s="17">
        <v>25</v>
      </c>
      <c r="J26" s="17">
        <v>20</v>
      </c>
      <c r="K26" s="17">
        <v>12</v>
      </c>
      <c r="L26" s="17">
        <v>25</v>
      </c>
    </row>
    <row r="27" spans="1:15" s="15" customFormat="1" ht="15" x14ac:dyDescent="0.25">
      <c r="D27" s="17" t="s">
        <v>16</v>
      </c>
      <c r="E27" s="17">
        <v>16</v>
      </c>
      <c r="F27" s="17">
        <v>15</v>
      </c>
      <c r="G27" s="17">
        <v>7</v>
      </c>
      <c r="H27" s="17">
        <v>16</v>
      </c>
      <c r="I27" s="17">
        <v>27</v>
      </c>
      <c r="J27" s="17">
        <v>25</v>
      </c>
      <c r="K27" s="17">
        <v>16</v>
      </c>
      <c r="L27" s="17">
        <v>29</v>
      </c>
    </row>
    <row r="28" spans="1:15" s="15" customFormat="1" ht="15" x14ac:dyDescent="0.25">
      <c r="D28" s="17" t="s">
        <v>17</v>
      </c>
      <c r="E28" s="17">
        <v>18</v>
      </c>
      <c r="F28" s="17">
        <v>20</v>
      </c>
      <c r="G28" s="17">
        <v>27</v>
      </c>
      <c r="H28" s="17">
        <v>7</v>
      </c>
      <c r="I28" s="17">
        <v>31</v>
      </c>
      <c r="J28" s="17">
        <v>21</v>
      </c>
      <c r="K28" s="17">
        <v>21</v>
      </c>
      <c r="L28" s="17">
        <v>33</v>
      </c>
    </row>
    <row r="29" spans="1:15" s="15" customFormat="1" ht="15" x14ac:dyDescent="0.25">
      <c r="D29" s="17" t="s">
        <v>18</v>
      </c>
      <c r="E29" s="17">
        <v>31</v>
      </c>
      <c r="F29" s="17">
        <v>38</v>
      </c>
      <c r="G29" s="17">
        <v>38</v>
      </c>
      <c r="H29" s="17">
        <v>38</v>
      </c>
      <c r="I29" s="17">
        <v>7</v>
      </c>
      <c r="J29" s="17">
        <v>38</v>
      </c>
      <c r="K29" s="17">
        <v>38</v>
      </c>
      <c r="L29" s="17">
        <v>24</v>
      </c>
    </row>
    <row r="30" spans="1:15" s="15" customFormat="1" ht="15" x14ac:dyDescent="0.25">
      <c r="D30" s="17" t="s">
        <v>19</v>
      </c>
      <c r="E30" s="17">
        <v>36</v>
      </c>
      <c r="F30" s="17">
        <v>40</v>
      </c>
      <c r="G30" s="17">
        <v>33</v>
      </c>
      <c r="H30" s="17">
        <v>32</v>
      </c>
      <c r="I30" s="17">
        <v>44</v>
      </c>
      <c r="J30" s="17">
        <v>7</v>
      </c>
      <c r="K30" s="17">
        <v>40</v>
      </c>
      <c r="L30" s="17">
        <v>49</v>
      </c>
    </row>
    <row r="31" spans="1:15" s="15" customFormat="1" ht="15" x14ac:dyDescent="0.25">
      <c r="D31" s="16" t="s">
        <v>12</v>
      </c>
      <c r="E31" s="16">
        <v>30</v>
      </c>
    </row>
    <row r="32" spans="1:15" s="15" customFormat="1" ht="15" x14ac:dyDescent="0.25"/>
    <row r="34" spans="1:16" x14ac:dyDescent="0.3">
      <c r="A34" s="43"/>
      <c r="B34" s="43"/>
      <c r="C34" s="43"/>
      <c r="D34" s="43"/>
      <c r="E34" s="43"/>
      <c r="F34" s="43"/>
      <c r="G34" s="43"/>
      <c r="H34" s="43"/>
      <c r="I34" s="43"/>
      <c r="J34" s="43"/>
      <c r="O34" s="43"/>
      <c r="P34" s="43"/>
    </row>
    <row r="35" spans="1:16" x14ac:dyDescent="0.3">
      <c r="A35" s="42"/>
      <c r="B35" s="42"/>
      <c r="C35" s="42"/>
      <c r="D35" s="42"/>
      <c r="E35" s="42"/>
      <c r="F35" s="42"/>
      <c r="G35" s="42"/>
      <c r="H35" s="42"/>
      <c r="I35" s="42"/>
      <c r="J35" s="42"/>
      <c r="O35" s="42"/>
      <c r="P35" s="42"/>
    </row>
    <row r="36" spans="1:16" x14ac:dyDescent="0.3">
      <c r="A36" s="42"/>
      <c r="B36" s="42"/>
      <c r="C36" s="42"/>
      <c r="D36" s="42"/>
      <c r="E36" s="42"/>
      <c r="F36" s="42"/>
      <c r="G36" s="42"/>
      <c r="H36" s="42"/>
      <c r="I36" s="42"/>
      <c r="J36" s="42"/>
      <c r="O36" s="42"/>
      <c r="P36" s="42"/>
    </row>
    <row r="37" spans="1:16" x14ac:dyDescent="0.3">
      <c r="A37" s="42"/>
      <c r="B37" s="42"/>
      <c r="C37" s="42"/>
      <c r="D37" s="42"/>
      <c r="E37" s="42"/>
      <c r="F37" s="42"/>
      <c r="G37" s="42"/>
      <c r="H37" s="42"/>
      <c r="I37" s="42"/>
      <c r="J37" s="42"/>
      <c r="O37" s="42"/>
      <c r="P37" s="42"/>
    </row>
    <row r="38" spans="1:16" x14ac:dyDescent="0.3">
      <c r="A38" s="42"/>
      <c r="B38" s="42"/>
      <c r="C38" s="42"/>
      <c r="D38" s="42"/>
      <c r="E38" s="42"/>
      <c r="F38" s="42"/>
      <c r="G38" s="42"/>
      <c r="H38" s="42"/>
      <c r="I38" s="42"/>
      <c r="J38" s="42"/>
      <c r="O38" s="42"/>
      <c r="P38" s="42"/>
    </row>
    <row r="39" spans="1:16" x14ac:dyDescent="0.3">
      <c r="A39" s="42"/>
      <c r="B39" s="42"/>
      <c r="C39" s="42"/>
      <c r="D39" s="42"/>
      <c r="E39" s="42"/>
      <c r="F39" s="42"/>
      <c r="G39" s="42"/>
      <c r="H39" s="42"/>
      <c r="I39" s="42"/>
      <c r="J39" s="42"/>
      <c r="O39" s="42"/>
      <c r="P39" s="42"/>
    </row>
    <row r="40" spans="1:16" x14ac:dyDescent="0.3">
      <c r="A40" s="42"/>
      <c r="B40" s="42"/>
      <c r="C40" s="42"/>
      <c r="D40" s="42"/>
      <c r="E40" s="42"/>
      <c r="F40" s="42"/>
      <c r="G40" s="42"/>
      <c r="H40" s="42"/>
      <c r="I40" s="42"/>
      <c r="J40" s="42"/>
      <c r="O40" s="42"/>
      <c r="P40" s="42"/>
    </row>
    <row r="41" spans="1:16" x14ac:dyDescent="0.3">
      <c r="A41" s="42"/>
      <c r="B41" s="42"/>
      <c r="C41" s="42"/>
      <c r="D41" s="42"/>
      <c r="E41" s="42"/>
      <c r="F41" s="42"/>
      <c r="G41" s="42"/>
      <c r="H41" s="42"/>
      <c r="I41" s="42"/>
      <c r="J41" s="42"/>
    </row>
    <row r="44" spans="1:16" x14ac:dyDescent="0.3">
      <c r="A44" s="12"/>
      <c r="B44" s="12"/>
      <c r="D44" s="12"/>
      <c r="E44" s="12"/>
      <c r="G44" s="12"/>
      <c r="H44" s="12"/>
    </row>
    <row r="45" spans="1:16" x14ac:dyDescent="0.3">
      <c r="A45" s="13"/>
      <c r="B45" s="44"/>
      <c r="D45" s="13"/>
      <c r="E45" s="13"/>
      <c r="G45" s="13"/>
      <c r="H45" s="13"/>
    </row>
    <row r="46" spans="1:16" x14ac:dyDescent="0.3">
      <c r="A46" s="13"/>
      <c r="B46" s="44"/>
      <c r="D46" s="13"/>
      <c r="E46" s="13"/>
      <c r="G46" s="13"/>
      <c r="H46" s="13"/>
    </row>
    <row r="47" spans="1:16" x14ac:dyDescent="0.3">
      <c r="A47" s="13"/>
      <c r="B47" s="44"/>
      <c r="D47" s="13"/>
      <c r="E47" s="13"/>
      <c r="G47" s="13"/>
      <c r="H47" s="13"/>
    </row>
    <row r="48" spans="1:16" x14ac:dyDescent="0.3">
      <c r="A48" s="13"/>
      <c r="B48" s="44"/>
      <c r="D48" s="13"/>
      <c r="E48" s="13"/>
      <c r="G48" s="13"/>
      <c r="H48" s="13"/>
    </row>
    <row r="49" spans="1:8" x14ac:dyDescent="0.3">
      <c r="A49" s="13"/>
      <c r="B49" s="44"/>
      <c r="D49" s="13"/>
      <c r="E49" s="13"/>
      <c r="G49" s="13"/>
      <c r="H49" s="13"/>
    </row>
    <row r="50" spans="1:8" x14ac:dyDescent="0.3">
      <c r="A50" s="13"/>
      <c r="B50" s="44"/>
      <c r="D50" s="13"/>
      <c r="E50" s="13"/>
      <c r="G50" s="13"/>
      <c r="H50" s="13"/>
    </row>
    <row r="51" spans="1:8" x14ac:dyDescent="0.3">
      <c r="D51" s="13"/>
      <c r="E51" s="13"/>
    </row>
    <row r="52" spans="1:8" x14ac:dyDescent="0.3">
      <c r="D52" s="13"/>
      <c r="E52" s="13"/>
    </row>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6A76-3393-4ABD-AAD4-E61C3D65A4D8}">
  <dimension ref="A1:M17"/>
  <sheetViews>
    <sheetView tabSelected="1" workbookViewId="0">
      <selection activeCell="E18" sqref="A1:XFD1048576"/>
    </sheetView>
  </sheetViews>
  <sheetFormatPr defaultRowHeight="14.4" x14ac:dyDescent="0.3"/>
  <cols>
    <col min="1" max="1" width="19.109375" bestFit="1" customWidth="1"/>
    <col min="2" max="9" width="9.77734375" bestFit="1" customWidth="1"/>
    <col min="11" max="11" width="8" bestFit="1" customWidth="1"/>
    <col min="12" max="12" width="5.33203125" bestFit="1" customWidth="1"/>
    <col min="13" max="13" width="15.88671875" bestFit="1" customWidth="1"/>
  </cols>
  <sheetData>
    <row r="1" spans="1:13" ht="15.6" x14ac:dyDescent="0.3">
      <c r="B1" t="s">
        <v>39</v>
      </c>
      <c r="C1" t="s">
        <v>40</v>
      </c>
      <c r="D1" t="s">
        <v>41</v>
      </c>
      <c r="E1" t="s">
        <v>42</v>
      </c>
      <c r="F1" t="s">
        <v>43</v>
      </c>
      <c r="G1" t="s">
        <v>44</v>
      </c>
      <c r="H1" t="s">
        <v>45</v>
      </c>
      <c r="I1" t="s">
        <v>46</v>
      </c>
      <c r="J1" t="s">
        <v>55</v>
      </c>
      <c r="K1" t="s">
        <v>9</v>
      </c>
      <c r="L1" t="s">
        <v>56</v>
      </c>
      <c r="M1" s="17" t="s">
        <v>11</v>
      </c>
    </row>
    <row r="2" spans="1:13" ht="15.6" x14ac:dyDescent="0.3">
      <c r="A2" t="s">
        <v>49</v>
      </c>
      <c r="B2">
        <v>0</v>
      </c>
      <c r="C2">
        <v>0</v>
      </c>
      <c r="D2">
        <v>0</v>
      </c>
      <c r="E2">
        <v>0</v>
      </c>
      <c r="F2">
        <v>0</v>
      </c>
      <c r="G2">
        <v>0</v>
      </c>
      <c r="H2">
        <v>0</v>
      </c>
      <c r="I2">
        <v>0</v>
      </c>
      <c r="J2">
        <f t="shared" ref="J2:J7" si="0">SUM(B2:I2)</f>
        <v>0</v>
      </c>
      <c r="K2">
        <v>1725</v>
      </c>
      <c r="L2">
        <v>1</v>
      </c>
      <c r="M2" s="25">
        <f>1380000</f>
        <v>1380000</v>
      </c>
    </row>
    <row r="3" spans="1:13" ht="15.6" x14ac:dyDescent="0.3">
      <c r="A3" t="s">
        <v>50</v>
      </c>
      <c r="B3">
        <v>0</v>
      </c>
      <c r="C3">
        <v>0</v>
      </c>
      <c r="D3">
        <v>0</v>
      </c>
      <c r="E3">
        <v>0</v>
      </c>
      <c r="F3">
        <v>0</v>
      </c>
      <c r="G3">
        <v>0</v>
      </c>
      <c r="H3">
        <v>0</v>
      </c>
      <c r="I3">
        <v>0</v>
      </c>
      <c r="J3">
        <f t="shared" si="0"/>
        <v>0</v>
      </c>
      <c r="K3">
        <v>800</v>
      </c>
      <c r="L3">
        <v>1</v>
      </c>
      <c r="M3" s="25">
        <f>1050000</f>
        <v>1050000</v>
      </c>
    </row>
    <row r="4" spans="1:13" ht="15.6" x14ac:dyDescent="0.3">
      <c r="A4" t="s">
        <v>51</v>
      </c>
      <c r="B4">
        <v>0</v>
      </c>
      <c r="C4">
        <v>0</v>
      </c>
      <c r="D4">
        <v>0</v>
      </c>
      <c r="E4">
        <v>0</v>
      </c>
      <c r="F4">
        <v>0</v>
      </c>
      <c r="G4">
        <v>0</v>
      </c>
      <c r="H4">
        <v>0</v>
      </c>
      <c r="I4">
        <v>0</v>
      </c>
      <c r="J4">
        <f t="shared" si="0"/>
        <v>0</v>
      </c>
      <c r="K4">
        <v>5286</v>
      </c>
      <c r="L4">
        <v>1</v>
      </c>
      <c r="M4" s="25">
        <f>3171600</f>
        <v>3171600</v>
      </c>
    </row>
    <row r="5" spans="1:13" ht="15.6" x14ac:dyDescent="0.3">
      <c r="A5" t="s">
        <v>52</v>
      </c>
      <c r="B5">
        <v>0</v>
      </c>
      <c r="C5">
        <v>0</v>
      </c>
      <c r="D5">
        <v>0</v>
      </c>
      <c r="E5">
        <v>0</v>
      </c>
      <c r="F5">
        <v>0</v>
      </c>
      <c r="G5">
        <v>0</v>
      </c>
      <c r="H5">
        <v>0</v>
      </c>
      <c r="I5">
        <v>0</v>
      </c>
      <c r="J5">
        <f t="shared" si="0"/>
        <v>0</v>
      </c>
      <c r="K5">
        <v>483</v>
      </c>
      <c r="L5">
        <v>1</v>
      </c>
      <c r="M5" s="25">
        <f>618240</f>
        <v>618240</v>
      </c>
    </row>
    <row r="6" spans="1:13" ht="15.6" x14ac:dyDescent="0.3">
      <c r="A6" t="s">
        <v>53</v>
      </c>
      <c r="B6">
        <v>0</v>
      </c>
      <c r="C6">
        <v>0</v>
      </c>
      <c r="D6">
        <v>0</v>
      </c>
      <c r="E6">
        <v>0</v>
      </c>
      <c r="F6">
        <v>0</v>
      </c>
      <c r="G6">
        <v>0</v>
      </c>
      <c r="H6">
        <v>0</v>
      </c>
      <c r="I6">
        <v>0</v>
      </c>
      <c r="J6">
        <f t="shared" si="0"/>
        <v>0</v>
      </c>
      <c r="K6">
        <v>1050</v>
      </c>
      <c r="L6">
        <v>1</v>
      </c>
      <c r="M6" s="25">
        <f>1785000</f>
        <v>1785000</v>
      </c>
    </row>
    <row r="7" spans="1:13" ht="15.6" x14ac:dyDescent="0.3">
      <c r="A7" t="s">
        <v>54</v>
      </c>
      <c r="B7">
        <v>0</v>
      </c>
      <c r="C7">
        <v>0</v>
      </c>
      <c r="D7">
        <v>0</v>
      </c>
      <c r="E7">
        <v>0</v>
      </c>
      <c r="F7">
        <v>0</v>
      </c>
      <c r="G7">
        <v>0</v>
      </c>
      <c r="H7">
        <v>0</v>
      </c>
      <c r="I7">
        <v>0</v>
      </c>
      <c r="J7">
        <f t="shared" si="0"/>
        <v>0</v>
      </c>
      <c r="K7">
        <v>2334</v>
      </c>
      <c r="L7">
        <v>1</v>
      </c>
      <c r="M7" s="25">
        <f>1633800</f>
        <v>1633800</v>
      </c>
    </row>
    <row r="8" spans="1:13" x14ac:dyDescent="0.3">
      <c r="B8">
        <f>SUM(B2:B7)</f>
        <v>0</v>
      </c>
      <c r="C8">
        <f t="shared" ref="C8:I8" si="1">SUM(C2:C7)</f>
        <v>0</v>
      </c>
      <c r="D8">
        <f t="shared" si="1"/>
        <v>0</v>
      </c>
      <c r="E8">
        <f t="shared" si="1"/>
        <v>0</v>
      </c>
      <c r="F8">
        <f t="shared" si="1"/>
        <v>0</v>
      </c>
      <c r="G8">
        <f t="shared" si="1"/>
        <v>0</v>
      </c>
      <c r="H8">
        <f t="shared" si="1"/>
        <v>0</v>
      </c>
      <c r="I8">
        <f t="shared" si="1"/>
        <v>0</v>
      </c>
    </row>
    <row r="9" spans="1:13" x14ac:dyDescent="0.3">
      <c r="A9" t="s">
        <v>48</v>
      </c>
      <c r="B9">
        <v>1120</v>
      </c>
      <c r="C9">
        <v>425</v>
      </c>
      <c r="D9">
        <v>3225</v>
      </c>
      <c r="E9">
        <v>292</v>
      </c>
      <c r="F9">
        <v>684</v>
      </c>
      <c r="G9">
        <v>2065</v>
      </c>
      <c r="H9">
        <v>247</v>
      </c>
      <c r="I9">
        <v>180</v>
      </c>
    </row>
    <row r="11" spans="1:13" ht="15.6" x14ac:dyDescent="0.3">
      <c r="A11" s="17" t="s">
        <v>13</v>
      </c>
      <c r="B11" s="17" t="s">
        <v>1</v>
      </c>
      <c r="C11" s="17" t="s">
        <v>2</v>
      </c>
      <c r="D11" s="17" t="s">
        <v>3</v>
      </c>
      <c r="E11" s="17" t="s">
        <v>4</v>
      </c>
      <c r="F11" s="17" t="s">
        <v>5</v>
      </c>
      <c r="G11" s="17" t="s">
        <v>6</v>
      </c>
      <c r="H11" s="17" t="s">
        <v>7</v>
      </c>
      <c r="I11" s="17" t="s">
        <v>8</v>
      </c>
    </row>
    <row r="12" spans="1:13" ht="15.6" x14ac:dyDescent="0.3">
      <c r="A12" s="17" t="s">
        <v>14</v>
      </c>
      <c r="B12" s="18">
        <v>4840</v>
      </c>
      <c r="C12" s="18">
        <v>4900</v>
      </c>
      <c r="D12" s="18">
        <v>5484</v>
      </c>
      <c r="E12" s="18">
        <v>5500.8</v>
      </c>
      <c r="F12" s="18">
        <v>5182</v>
      </c>
      <c r="G12" s="18">
        <v>5050</v>
      </c>
      <c r="H12" s="18">
        <v>5152</v>
      </c>
      <c r="I12" s="18">
        <v>5172</v>
      </c>
    </row>
    <row r="13" spans="1:13" ht="15.6" x14ac:dyDescent="0.3">
      <c r="A13" s="17" t="s">
        <v>15</v>
      </c>
      <c r="B13" s="18">
        <v>5250</v>
      </c>
      <c r="C13" s="18">
        <v>5180</v>
      </c>
      <c r="D13" s="18">
        <v>5838.0000000000009</v>
      </c>
      <c r="E13" s="18">
        <v>5871.6</v>
      </c>
      <c r="F13" s="18">
        <v>5415.4000000000005</v>
      </c>
      <c r="G13" s="18">
        <v>5350</v>
      </c>
      <c r="H13" s="18">
        <v>5509</v>
      </c>
      <c r="I13" s="18">
        <v>5519</v>
      </c>
    </row>
    <row r="14" spans="1:13" ht="15.6" x14ac:dyDescent="0.3">
      <c r="A14" s="17" t="s">
        <v>16</v>
      </c>
      <c r="B14" s="18">
        <v>5030</v>
      </c>
      <c r="C14" s="18">
        <v>5508</v>
      </c>
      <c r="D14" s="18">
        <v>4880</v>
      </c>
      <c r="E14" s="18">
        <v>5625.6</v>
      </c>
      <c r="F14" s="18">
        <v>5236.4000000000005</v>
      </c>
      <c r="G14" s="18">
        <v>5080</v>
      </c>
      <c r="H14" s="18">
        <v>5030</v>
      </c>
      <c r="I14" s="18">
        <v>5314</v>
      </c>
    </row>
    <row r="15" spans="1:13" ht="15.6" x14ac:dyDescent="0.3">
      <c r="A15" s="17" t="s">
        <v>17</v>
      </c>
      <c r="B15" s="18">
        <v>5020</v>
      </c>
      <c r="C15" s="18">
        <v>5504</v>
      </c>
      <c r="D15" s="18">
        <v>5594</v>
      </c>
      <c r="E15" s="18">
        <v>4940</v>
      </c>
      <c r="F15" s="18">
        <v>5198.2</v>
      </c>
      <c r="G15" s="18">
        <v>5140</v>
      </c>
      <c r="H15" s="18">
        <v>5020</v>
      </c>
      <c r="I15" s="18">
        <v>5297</v>
      </c>
    </row>
    <row r="16" spans="1:13" ht="15.6" x14ac:dyDescent="0.3">
      <c r="A16" s="17" t="s">
        <v>18</v>
      </c>
      <c r="B16" s="18">
        <v>5191</v>
      </c>
      <c r="C16" s="18">
        <v>5708.1</v>
      </c>
      <c r="D16" s="18">
        <v>5788.1</v>
      </c>
      <c r="E16" s="18">
        <v>5829.52</v>
      </c>
      <c r="F16" s="18">
        <v>5071</v>
      </c>
      <c r="G16" s="18">
        <v>5311</v>
      </c>
      <c r="H16" s="18">
        <v>5211</v>
      </c>
      <c r="I16" s="18">
        <v>5424.55</v>
      </c>
    </row>
    <row r="17" spans="1:9" ht="15.6" x14ac:dyDescent="0.3">
      <c r="A17" s="17" t="s">
        <v>19</v>
      </c>
      <c r="B17" s="18">
        <v>5422.5</v>
      </c>
      <c r="C17" s="18">
        <v>5655</v>
      </c>
      <c r="D17" s="18">
        <v>5775</v>
      </c>
      <c r="E17" s="18">
        <v>5776.0000000000009</v>
      </c>
      <c r="F17" s="18">
        <v>5462.5</v>
      </c>
      <c r="G17" s="18">
        <v>5050</v>
      </c>
      <c r="H17" s="18">
        <v>5170</v>
      </c>
      <c r="I17" s="18">
        <v>5492.5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Copyright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singfat</dc:creator>
  <cp:lastModifiedBy>ROHIT GHOSH</cp:lastModifiedBy>
  <dcterms:created xsi:type="dcterms:W3CDTF">2017-11-27T01:28:54Z</dcterms:created>
  <dcterms:modified xsi:type="dcterms:W3CDTF">2026-01-27T07:12:27Z</dcterms:modified>
</cp:coreProperties>
</file>