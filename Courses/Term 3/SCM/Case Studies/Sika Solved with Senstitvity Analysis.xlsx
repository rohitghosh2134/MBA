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530"/>
  <workbookPr autoCompressPictures="0"/>
  <mc:AlternateContent xmlns:mc="http://schemas.openxmlformats.org/markup-compatibility/2006">
    <mc:Choice Requires="x15">
      <x15ac:absPath xmlns:x15ac="http://schemas.microsoft.com/office/spreadsheetml/2010/11/ac" url="C:\MBA\Courses\Term 3\SCM\Case Studies\"/>
    </mc:Choice>
  </mc:AlternateContent>
  <xr:revisionPtr revIDLastSave="0" documentId="13_ncr:1_{B5A7C23D-BA5F-4185-9857-8B627C1158AF}" xr6:coauthVersionLast="47" xr6:coauthVersionMax="47" xr10:uidLastSave="{00000000-0000-0000-0000-000000000000}"/>
  <bookViews>
    <workbookView xWindow="-108" yWindow="-108" windowWidth="23256" windowHeight="13176" activeTab="2" xr2:uid="{00000000-000D-0000-FFFF-FFFF00000000}"/>
  </bookViews>
  <sheets>
    <sheet name="Copyright" sheetId="2" r:id="rId1"/>
    <sheet name="Sheet1" sheetId="1" r:id="rId2"/>
    <sheet name="Solved" sheetId="4" r:id="rId3"/>
  </sheets>
  <definedNames>
    <definedName name="solver_adj" localSheetId="1" hidden="1">Sheet1!$E$14:$L$19,Sheet1!$A$14:$A$19</definedName>
    <definedName name="solver_adj" localSheetId="2" hidden="1">Solved!$E$36:$M$41</definedName>
    <definedName name="solver_cvg" localSheetId="1" hidden="1">0.0001</definedName>
    <definedName name="solver_cvg" localSheetId="2" hidden="1">0.0001</definedName>
    <definedName name="solver_drv" localSheetId="1" hidden="1">2</definedName>
    <definedName name="solver_drv" localSheetId="2" hidden="1">2</definedName>
    <definedName name="solver_eng" localSheetId="1" hidden="1">2</definedName>
    <definedName name="solver_eng" localSheetId="2" hidden="1">2</definedName>
    <definedName name="solver_est" localSheetId="1" hidden="1">1</definedName>
    <definedName name="solver_est" localSheetId="2" hidden="1">1</definedName>
    <definedName name="solver_itr" localSheetId="1" hidden="1">2147483647</definedName>
    <definedName name="solver_itr" localSheetId="2" hidden="1">2147483647</definedName>
    <definedName name="solver_lhs1" localSheetId="1" hidden="1">Sheet1!$A$14:$A$19</definedName>
    <definedName name="solver_lhs1" localSheetId="2" hidden="1">Solved!$E$45:$E$50</definedName>
    <definedName name="solver_lhs2" localSheetId="1" hidden="1">Sheet1!$M$14:$M$19</definedName>
    <definedName name="solver_lhs2" localSheetId="2" hidden="1">Solved!$E$51:$L$51</definedName>
    <definedName name="solver_lhs3" localSheetId="1" hidden="1">Sheet1!$E$14:$L$19</definedName>
    <definedName name="solver_lhs3" localSheetId="2" hidden="1">Solved!$E$52</definedName>
    <definedName name="solver_lhs4" localSheetId="1" hidden="1">Sheet1!$E$20:$L$20</definedName>
    <definedName name="solver_lhs4" localSheetId="2" hidden="1">Solved!$M$36:$M$41</definedName>
    <definedName name="solver_lhs5" localSheetId="1" hidden="1">Sheet1!$E$20:$L$20</definedName>
    <definedName name="solver_lhs5" localSheetId="2" hidden="1">Solved!$E$20:$L$20</definedName>
    <definedName name="solver_mip" localSheetId="1" hidden="1">2147483647</definedName>
    <definedName name="solver_mip" localSheetId="2" hidden="1">2147483647</definedName>
    <definedName name="solver_mni" localSheetId="1" hidden="1">30</definedName>
    <definedName name="solver_mni" localSheetId="2" hidden="1">30</definedName>
    <definedName name="solver_mrt" localSheetId="1" hidden="1">0.075</definedName>
    <definedName name="solver_mrt" localSheetId="2" hidden="1">0.075</definedName>
    <definedName name="solver_msl" localSheetId="1" hidden="1">2</definedName>
    <definedName name="solver_msl" localSheetId="2" hidden="1">2</definedName>
    <definedName name="solver_neg" localSheetId="1" hidden="1">1</definedName>
    <definedName name="solver_neg" localSheetId="2" hidden="1">1</definedName>
    <definedName name="solver_nod" localSheetId="1" hidden="1">2147483647</definedName>
    <definedName name="solver_nod" localSheetId="2" hidden="1">2147483647</definedName>
    <definedName name="solver_num" localSheetId="1" hidden="1">4</definedName>
    <definedName name="solver_num" localSheetId="2" hidden="1">4</definedName>
    <definedName name="solver_nwt" localSheetId="1" hidden="1">1</definedName>
    <definedName name="solver_nwt" localSheetId="2" hidden="1">1</definedName>
    <definedName name="solver_opt" localSheetId="1" hidden="1">Sheet1!#REF!</definedName>
    <definedName name="solver_opt" localSheetId="2" hidden="1">Solved!$E$53</definedName>
    <definedName name="solver_pre" localSheetId="1" hidden="1">0.000001</definedName>
    <definedName name="solver_pre" localSheetId="2" hidden="1">0.000001</definedName>
    <definedName name="solver_rbv" localSheetId="1" hidden="1">2</definedName>
    <definedName name="solver_rbv" localSheetId="2" hidden="1">2</definedName>
    <definedName name="solver_rel1" localSheetId="1" hidden="1">5</definedName>
    <definedName name="solver_rel1" localSheetId="2" hidden="1">3</definedName>
    <definedName name="solver_rel2" localSheetId="1" hidden="1">1</definedName>
    <definedName name="solver_rel2" localSheetId="2" hidden="1">2</definedName>
    <definedName name="solver_rel3" localSheetId="1" hidden="1">1</definedName>
    <definedName name="solver_rel3" localSheetId="2" hidden="1">3</definedName>
    <definedName name="solver_rel4" localSheetId="1" hidden="1">2</definedName>
    <definedName name="solver_rel4" localSheetId="2" hidden="1">5</definedName>
    <definedName name="solver_rel5" localSheetId="1" hidden="1">2</definedName>
    <definedName name="solver_rel5" localSheetId="2" hidden="1">2</definedName>
    <definedName name="solver_rhs1" localSheetId="1" hidden="1">binary</definedName>
    <definedName name="solver_rhs1" localSheetId="2" hidden="1">0</definedName>
    <definedName name="solver_rhs2" localSheetId="1" hidden="1">Capacity</definedName>
    <definedName name="solver_rhs2" localSheetId="2" hidden="1">0</definedName>
    <definedName name="solver_rhs3" localSheetId="1" hidden="1">MaximumSupplyMatrix</definedName>
    <definedName name="solver_rhs3" localSheetId="2" hidden="1">700</definedName>
    <definedName name="solver_rhs4" localSheetId="1" hidden="1">Demand_in_tons</definedName>
    <definedName name="solver_rhs4" localSheetId="2" hidden="1">"binary"</definedName>
    <definedName name="solver_rhs5" localSheetId="1" hidden="1">Demand_in_tons</definedName>
    <definedName name="solver_rhs5" localSheetId="2" hidden="1">Demand_in_tons</definedName>
    <definedName name="solver_rlx" localSheetId="1" hidden="1">2</definedName>
    <definedName name="solver_rlx" localSheetId="2" hidden="1">2</definedName>
    <definedName name="solver_rsd" localSheetId="1" hidden="1">0</definedName>
    <definedName name="solver_rsd" localSheetId="2" hidden="1">0</definedName>
    <definedName name="solver_scl" localSheetId="1" hidden="1">2</definedName>
    <definedName name="solver_scl" localSheetId="2" hidden="1">2</definedName>
    <definedName name="solver_sho" localSheetId="1" hidden="1">2</definedName>
    <definedName name="solver_sho" localSheetId="2" hidden="1">2</definedName>
    <definedName name="solver_ssz" localSheetId="1" hidden="1">100</definedName>
    <definedName name="solver_ssz" localSheetId="2" hidden="1">100</definedName>
    <definedName name="solver_tim" localSheetId="1" hidden="1">2147483647</definedName>
    <definedName name="solver_tim" localSheetId="2" hidden="1">2147483647</definedName>
    <definedName name="solver_tol" localSheetId="1" hidden="1">0.01</definedName>
    <definedName name="solver_tol" localSheetId="2" hidden="1">0.01</definedName>
    <definedName name="solver_typ" localSheetId="1" hidden="1">2</definedName>
    <definedName name="solver_typ" localSheetId="2" hidden="1">2</definedName>
    <definedName name="solver_val" localSheetId="1" hidden="1">0</definedName>
    <definedName name="solver_val" localSheetId="2" hidden="1">0</definedName>
    <definedName name="solver_ver" localSheetId="1" hidden="1">3</definedName>
    <definedName name="solver_ver" localSheetId="2" hidden="1">3</definedName>
  </definedNames>
  <calcPr calcId="191029"/>
  <fileRecoveryPr autoRecover="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mx="http://schemas.microsoft.com/office/mac/excel/2008/main" uri="{7523E5D3-25F3-A5E0-1632-64F254C22452}">
      <mx:ArchID Flags="2"/>
    </ext>
  </extLst>
</workbook>
</file>

<file path=xl/calcChain.xml><?xml version="1.0" encoding="utf-8"?>
<calcChain xmlns="http://schemas.openxmlformats.org/spreadsheetml/2006/main">
  <c r="F57" i="4" l="1"/>
  <c r="G57" i="4"/>
  <c r="H57" i="4"/>
  <c r="I57" i="4"/>
  <c r="J57" i="4"/>
  <c r="K57" i="4"/>
  <c r="L57" i="4"/>
  <c r="F58" i="4"/>
  <c r="G58" i="4"/>
  <c r="H58" i="4"/>
  <c r="I58" i="4"/>
  <c r="J58" i="4"/>
  <c r="K58" i="4"/>
  <c r="L58" i="4"/>
  <c r="F59" i="4"/>
  <c r="G59" i="4"/>
  <c r="H59" i="4"/>
  <c r="I59" i="4"/>
  <c r="J59" i="4"/>
  <c r="K59" i="4"/>
  <c r="L59" i="4"/>
  <c r="F60" i="4"/>
  <c r="G60" i="4"/>
  <c r="H60" i="4"/>
  <c r="I60" i="4"/>
  <c r="J60" i="4"/>
  <c r="K60" i="4"/>
  <c r="L60" i="4"/>
  <c r="F61" i="4"/>
  <c r="G61" i="4"/>
  <c r="H61" i="4"/>
  <c r="I61" i="4"/>
  <c r="J61" i="4"/>
  <c r="K61" i="4"/>
  <c r="L61" i="4"/>
  <c r="F62" i="4"/>
  <c r="G62" i="4"/>
  <c r="H62" i="4"/>
  <c r="I62" i="4"/>
  <c r="J62" i="4"/>
  <c r="K62" i="4"/>
  <c r="L62" i="4"/>
  <c r="E58" i="4"/>
  <c r="E59" i="4"/>
  <c r="E60" i="4"/>
  <c r="E61" i="4"/>
  <c r="E62" i="4"/>
  <c r="E57" i="4"/>
  <c r="E46" i="4"/>
  <c r="E51" i="4"/>
  <c r="K51" i="4"/>
  <c r="H51" i="4"/>
  <c r="G51" i="4"/>
  <c r="F51" i="4"/>
  <c r="L51" i="4"/>
  <c r="I51" i="4"/>
  <c r="J51" i="4"/>
  <c r="L20" i="4"/>
  <c r="K20" i="4"/>
  <c r="J20" i="4"/>
  <c r="I20" i="4"/>
  <c r="H20" i="4"/>
  <c r="G20" i="4"/>
  <c r="F20" i="4"/>
  <c r="E20" i="4"/>
  <c r="M19" i="4"/>
  <c r="Q19" i="4"/>
  <c r="P19" i="4"/>
  <c r="M18" i="4"/>
  <c r="Q18" i="4"/>
  <c r="P18" i="4"/>
  <c r="M17" i="4"/>
  <c r="Q17" i="4"/>
  <c r="P17" i="4"/>
  <c r="E48" i="4" s="1"/>
  <c r="M16" i="4"/>
  <c r="Q16" i="4"/>
  <c r="P16" i="4"/>
  <c r="E47" i="4" s="1"/>
  <c r="M15" i="4"/>
  <c r="Q15" i="4"/>
  <c r="P15" i="4"/>
  <c r="M14" i="4"/>
  <c r="Q14" i="4"/>
  <c r="P14" i="4"/>
  <c r="E45" i="4" s="1"/>
  <c r="C19" i="1"/>
  <c r="C18" i="1"/>
  <c r="C17" i="1"/>
  <c r="C16" i="1"/>
  <c r="C15" i="1"/>
  <c r="C14" i="1"/>
  <c r="B19" i="1"/>
  <c r="B18" i="1"/>
  <c r="B17" i="1"/>
  <c r="B16" i="1"/>
  <c r="B15" i="1"/>
  <c r="B14" i="1"/>
  <c r="M14" i="1"/>
  <c r="L20" i="1"/>
  <c r="K20" i="1"/>
  <c r="J20" i="1"/>
  <c r="I20" i="1"/>
  <c r="H20" i="1"/>
  <c r="G20" i="1"/>
  <c r="F20" i="1"/>
  <c r="E20" i="1"/>
  <c r="M19" i="1"/>
  <c r="M18" i="1"/>
  <c r="M17" i="1"/>
  <c r="M16" i="1"/>
  <c r="M15" i="1"/>
  <c r="E53" i="4" l="1"/>
  <c r="E49" i="4"/>
  <c r="E50" i="4"/>
  <c r="E52" i="4" l="1"/>
</calcChain>
</file>

<file path=xl/sharedStrings.xml><?xml version="1.0" encoding="utf-8"?>
<sst xmlns="http://schemas.openxmlformats.org/spreadsheetml/2006/main" count="248" uniqueCount="52">
  <si>
    <t>Quarterly Production Parameters</t>
  </si>
  <si>
    <t>Country1</t>
  </si>
  <si>
    <t>Country2</t>
  </si>
  <si>
    <t>Country3</t>
  </si>
  <si>
    <t>Country4</t>
  </si>
  <si>
    <t>Country5</t>
  </si>
  <si>
    <t>Country6</t>
  </si>
  <si>
    <t>Country7</t>
  </si>
  <si>
    <t>Country8</t>
  </si>
  <si>
    <t>Capacity</t>
  </si>
  <si>
    <t>Operating?</t>
  </si>
  <si>
    <t>Fixed Op. Cost</t>
  </si>
  <si>
    <t>Max Lead Time</t>
  </si>
  <si>
    <t>Sika: Optimizing the APAC Epoxy Flooring Supply Chain</t>
  </si>
  <si>
    <t>Production/Market</t>
  </si>
  <si>
    <t>Country 1</t>
  </si>
  <si>
    <t>Country 2</t>
  </si>
  <si>
    <t>Country 3</t>
  </si>
  <si>
    <t>Country 4</t>
  </si>
  <si>
    <t>Country 5</t>
  </si>
  <si>
    <t>Country 6</t>
  </si>
  <si>
    <t>Country 7</t>
  </si>
  <si>
    <t>Country 8</t>
  </si>
  <si>
    <t>Lead Time Matrix (Order Processing and Transportation) Days</t>
  </si>
  <si>
    <t>Supply Chain Matrix (tons)</t>
  </si>
  <si>
    <t>Production Total</t>
  </si>
  <si>
    <t>Demand in Tons</t>
  </si>
  <si>
    <t>Supply to Market</t>
  </si>
  <si>
    <t>Landed Cost (=Production + Transport + Import Tax) per Ton</t>
  </si>
  <si>
    <t>–</t>
  </si>
  <si>
    <t>No part of this file may be reproduced, stored in a retrieval system, posted to the Internet, or transmitted in any form or by any means without the permission of Ivey Business School Foundation.  To order copies or request permission to reproduce materials, contact Ivey Publishing, Ivey Business School, Western University, London, Ontario, Canada, N6G 0N1; (t) 519.661.3208; (e) cases@ivey.ca; www.iveycases.com.</t>
  </si>
  <si>
    <t>Last Revised:</t>
  </si>
  <si>
    <t>Prepared by:</t>
  </si>
  <si>
    <t>Title:</t>
  </si>
  <si>
    <t>Product Number:</t>
  </si>
  <si>
    <t>7B18E008</t>
  </si>
  <si>
    <t>Sika: Optimizing the APAC Epoxy Flooring Supply Chain - Student Spreadsheet</t>
  </si>
  <si>
    <t>This spreadsheet supports the product "Sika: Optimizing the APAC Epoxy Flooring Supply Chain" (9B18E008)</t>
  </si>
  <si>
    <t xml:space="preserve">Bruno Oehy and Professor Singfat Chu </t>
  </si>
  <si>
    <t>© 2018 National University of Singapore and Ivey Business School Foundation</t>
  </si>
  <si>
    <t>isOpen</t>
  </si>
  <si>
    <t>IsOpen</t>
  </si>
  <si>
    <t>Constraints</t>
  </si>
  <si>
    <t>Unmet Demand</t>
  </si>
  <si>
    <t>Obj Function</t>
  </si>
  <si>
    <t>Excess capacity</t>
  </si>
  <si>
    <t>Lead Time</t>
  </si>
  <si>
    <t>Senstivity Analysis</t>
  </si>
  <si>
    <t>LANDED COST</t>
  </si>
  <si>
    <t>SUPPLY CHAIN MATRIX</t>
  </si>
  <si>
    <t>LEAD TIME MATRIX</t>
  </si>
  <si>
    <t>DECISION VARIABLES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</si>
</sst>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 #,##0.00_-;_-* &quot;-&quot;??_-;_-@_-"/>
    <numFmt numFmtId="164" formatCode="_(* #,##0.00_);_(* \(#,##0.00\);_(* &quot;-&quot;??_);_(@_)"/>
    <numFmt numFmtId="165" formatCode="&quot;$&quot;#,##0"/>
    <numFmt numFmtId="166" formatCode="_(* #,##0_);_(* \(#,##0\);_(* &quot;-&quot;??_);_(@_)"/>
    <numFmt numFmtId="167" formatCode="[$-409]mmmm\ d\,\ yyyy;@"/>
  </numFmts>
  <fonts count="11" x14ac:knownFonts="1">
    <font>
      <sz val="11"/>
      <color theme="1"/>
      <name val="Calibri"/>
      <family val="2"/>
      <scheme val="minor"/>
    </font>
    <font>
      <sz val="11"/>
      <color theme="1"/>
      <name val="Calibri"/>
      <family val="2"/>
      <scheme val="minor"/>
    </font>
    <font>
      <b/>
      <sz val="12"/>
      <color theme="1"/>
      <name val="Arial"/>
      <family val="2"/>
    </font>
    <font>
      <sz val="12"/>
      <name val="Arial"/>
      <family val="2"/>
    </font>
    <font>
      <sz val="12"/>
      <color theme="1"/>
      <name val="Arial"/>
      <family val="2"/>
    </font>
    <font>
      <b/>
      <sz val="12"/>
      <name val="Arial"/>
      <family val="2"/>
    </font>
    <font>
      <sz val="12"/>
      <color rgb="FF1F497D"/>
      <name val="Arial"/>
      <family val="2"/>
    </font>
    <font>
      <sz val="11"/>
      <color theme="1"/>
      <name val="Calibri"/>
      <family val="2"/>
    </font>
    <font>
      <i/>
      <sz val="11"/>
      <color theme="1"/>
      <name val="Calibri"/>
      <family val="2"/>
      <scheme val="minor"/>
    </font>
    <font>
      <b/>
      <sz val="12"/>
      <color rgb="FFFF0000"/>
      <name val="Arial"/>
      <family val="2"/>
    </font>
    <font>
      <b/>
      <sz val="11"/>
      <color rgb="FFFF0000"/>
      <name val="Calibri"/>
      <family val="2"/>
      <scheme val="minor"/>
    </font>
  </fonts>
  <fills count="5">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theme="9"/>
        <bgColor indexed="64"/>
      </patternFill>
    </fill>
  </fills>
  <borders count="6">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diagonal/>
    </border>
    <border>
      <left style="thin">
        <color auto="1"/>
      </left>
      <right style="thin">
        <color auto="1"/>
      </right>
      <top style="thin">
        <color auto="1"/>
      </top>
      <bottom/>
      <diagonal/>
    </border>
    <border>
      <left style="thin">
        <color auto="1"/>
      </left>
      <right style="thin">
        <color auto="1"/>
      </right>
      <top/>
      <bottom/>
      <diagonal/>
    </border>
  </borders>
  <cellStyleXfs count="3">
    <xf numFmtId="0" fontId="0" fillId="0" borderId="0"/>
    <xf numFmtId="43" fontId="1" fillId="0" borderId="0" applyFont="0" applyFill="0" applyBorder="0" applyAlignment="0" applyProtection="0"/>
    <xf numFmtId="9" fontId="1" fillId="0" borderId="0" applyFont="0" applyFill="0" applyBorder="0" applyAlignment="0" applyProtection="0"/>
  </cellStyleXfs>
  <cellXfs count="78">
    <xf numFmtId="0" fontId="0" fillId="0" borderId="0" xfId="0"/>
    <xf numFmtId="0" fontId="2" fillId="0" borderId="0" xfId="0" applyFont="1"/>
    <xf numFmtId="0" fontId="3" fillId="0" borderId="0" xfId="0" applyFont="1"/>
    <xf numFmtId="0" fontId="4" fillId="0" borderId="0" xfId="0" applyFont="1"/>
    <xf numFmtId="0" fontId="3" fillId="0" borderId="1" xfId="0" applyFont="1" applyBorder="1"/>
    <xf numFmtId="165" fontId="3" fillId="0" borderId="1" xfId="0" applyNumberFormat="1" applyFont="1" applyBorder="1"/>
    <xf numFmtId="0" fontId="5" fillId="0" borderId="0" xfId="0" applyFont="1"/>
    <xf numFmtId="165" fontId="3" fillId="0" borderId="1" xfId="1" applyNumberFormat="1" applyFont="1" applyFill="1" applyBorder="1"/>
    <xf numFmtId="0" fontId="6" fillId="0" borderId="1" xfId="0" applyFont="1" applyBorder="1"/>
    <xf numFmtId="3" fontId="6" fillId="0" borderId="1" xfId="1" applyNumberFormat="1" applyFont="1" applyFill="1" applyBorder="1"/>
    <xf numFmtId="0" fontId="3" fillId="0" borderId="2" xfId="0" applyFont="1" applyBorder="1"/>
    <xf numFmtId="166" fontId="6" fillId="0" borderId="1" xfId="0" applyNumberFormat="1" applyFont="1" applyBorder="1"/>
    <xf numFmtId="9" fontId="4" fillId="0" borderId="0" xfId="2" applyFont="1"/>
    <xf numFmtId="0" fontId="4" fillId="0" borderId="1" xfId="0" applyFont="1" applyBorder="1"/>
    <xf numFmtId="0" fontId="5" fillId="0" borderId="1" xfId="0" applyFont="1" applyBorder="1"/>
    <xf numFmtId="0" fontId="6" fillId="0" borderId="0" xfId="0" applyFont="1"/>
    <xf numFmtId="3" fontId="6" fillId="0" borderId="0" xfId="1" applyNumberFormat="1" applyFont="1" applyFill="1" applyBorder="1"/>
    <xf numFmtId="2" fontId="5" fillId="0" borderId="1" xfId="0" applyNumberFormat="1" applyFont="1" applyBorder="1"/>
    <xf numFmtId="164" fontId="3" fillId="0" borderId="3" xfId="0" applyNumberFormat="1" applyFont="1" applyBorder="1"/>
    <xf numFmtId="166" fontId="6" fillId="0" borderId="0" xfId="0" applyNumberFormat="1" applyFont="1"/>
    <xf numFmtId="164" fontId="5" fillId="0" borderId="1" xfId="1" applyNumberFormat="1" applyFont="1" applyFill="1" applyBorder="1" applyAlignment="1">
      <alignment horizontal="right"/>
    </xf>
    <xf numFmtId="166" fontId="3" fillId="0" borderId="1" xfId="1" applyNumberFormat="1" applyFont="1" applyFill="1" applyBorder="1"/>
    <xf numFmtId="166" fontId="4" fillId="0" borderId="1" xfId="0" applyNumberFormat="1" applyFont="1" applyBorder="1"/>
    <xf numFmtId="164" fontId="3" fillId="0" borderId="1" xfId="1" applyNumberFormat="1" applyFont="1" applyFill="1" applyBorder="1" applyAlignment="1">
      <alignment horizontal="right"/>
    </xf>
    <xf numFmtId="166" fontId="3" fillId="0" borderId="1" xfId="1" applyNumberFormat="1" applyFont="1" applyFill="1" applyBorder="1" applyAlignment="1">
      <alignment horizontal="right"/>
    </xf>
    <xf numFmtId="166" fontId="5" fillId="0" borderId="1" xfId="1" applyNumberFormat="1" applyFont="1" applyFill="1" applyBorder="1" applyAlignment="1">
      <alignment horizontal="right"/>
    </xf>
    <xf numFmtId="164" fontId="5" fillId="0" borderId="2" xfId="1" applyNumberFormat="1" applyFont="1" applyFill="1" applyBorder="1" applyAlignment="1">
      <alignment horizontal="right"/>
    </xf>
    <xf numFmtId="166" fontId="3" fillId="0" borderId="2" xfId="1" applyNumberFormat="1" applyFont="1" applyFill="1" applyBorder="1" applyAlignment="1">
      <alignment horizontal="right"/>
    </xf>
    <xf numFmtId="166" fontId="3" fillId="0" borderId="1" xfId="0" applyNumberFormat="1" applyFont="1" applyBorder="1"/>
    <xf numFmtId="0" fontId="0" fillId="0" borderId="0" xfId="0" applyAlignment="1">
      <alignment vertical="top" wrapText="1"/>
    </xf>
    <xf numFmtId="0" fontId="0" fillId="2" borderId="0" xfId="0" applyFill="1" applyAlignment="1">
      <alignment horizontal="left" vertical="top"/>
    </xf>
    <xf numFmtId="0" fontId="0" fillId="2" borderId="0" xfId="0" applyFill="1" applyAlignment="1">
      <alignment vertical="top"/>
    </xf>
    <xf numFmtId="0" fontId="0" fillId="2" borderId="0" xfId="0" applyFill="1" applyAlignment="1">
      <alignment vertical="top" wrapText="1"/>
    </xf>
    <xf numFmtId="0" fontId="0" fillId="2" borderId="0" xfId="0" applyFill="1"/>
    <xf numFmtId="0" fontId="7" fillId="2" borderId="0" xfId="0" applyFont="1" applyFill="1"/>
    <xf numFmtId="167" fontId="0" fillId="2" borderId="0" xfId="0" applyNumberFormat="1" applyFill="1"/>
    <xf numFmtId="0" fontId="8" fillId="2" borderId="0" xfId="0" applyFont="1" applyFill="1" applyAlignment="1">
      <alignment vertical="top" wrapText="1"/>
    </xf>
    <xf numFmtId="0" fontId="7" fillId="2" borderId="0" xfId="0" applyFont="1" applyFill="1"/>
    <xf numFmtId="0" fontId="0" fillId="2" borderId="0" xfId="0" applyFill="1"/>
    <xf numFmtId="0" fontId="0" fillId="0" borderId="0" xfId="0"/>
    <xf numFmtId="0" fontId="5" fillId="0" borderId="0" xfId="0" applyFont="1" applyAlignment="1">
      <alignment horizontal="center" vertical="center"/>
    </xf>
    <xf numFmtId="0" fontId="4" fillId="0" borderId="0" xfId="0" applyFont="1" applyAlignment="1">
      <alignment horizontal="center" vertical="center"/>
    </xf>
    <xf numFmtId="0" fontId="3" fillId="0" borderId="0" xfId="0" applyFont="1" applyAlignment="1">
      <alignment horizontal="center" vertical="center"/>
    </xf>
    <xf numFmtId="0" fontId="3" fillId="0" borderId="1" xfId="0" applyFont="1" applyBorder="1" applyAlignment="1">
      <alignment horizontal="center" vertical="center"/>
    </xf>
    <xf numFmtId="165" fontId="3" fillId="0" borderId="1" xfId="1" applyNumberFormat="1" applyFont="1" applyFill="1" applyBorder="1" applyAlignment="1">
      <alignment horizontal="center" vertical="center"/>
    </xf>
    <xf numFmtId="0" fontId="2" fillId="0" borderId="0" xfId="0" applyFont="1" applyAlignment="1">
      <alignment horizontal="center" vertical="center"/>
    </xf>
    <xf numFmtId="0" fontId="3" fillId="0" borderId="2" xfId="0" applyFont="1" applyBorder="1" applyAlignment="1">
      <alignment horizontal="center" vertical="center"/>
    </xf>
    <xf numFmtId="0" fontId="5" fillId="0" borderId="1" xfId="0" applyFont="1" applyBorder="1" applyAlignment="1">
      <alignment horizontal="center" vertical="center"/>
    </xf>
    <xf numFmtId="0" fontId="6" fillId="0" borderId="1" xfId="0" applyFont="1" applyBorder="1" applyAlignment="1">
      <alignment horizontal="center" vertical="center"/>
    </xf>
    <xf numFmtId="166" fontId="3" fillId="0" borderId="1" xfId="1" applyNumberFormat="1" applyFont="1" applyFill="1" applyBorder="1" applyAlignment="1">
      <alignment horizontal="center" vertical="center"/>
    </xf>
    <xf numFmtId="164" fontId="3" fillId="0" borderId="1" xfId="1" applyNumberFormat="1" applyFont="1" applyFill="1" applyBorder="1" applyAlignment="1">
      <alignment horizontal="center" vertical="center"/>
    </xf>
    <xf numFmtId="164" fontId="5" fillId="0" borderId="1" xfId="1" applyNumberFormat="1" applyFont="1" applyFill="1" applyBorder="1" applyAlignment="1">
      <alignment horizontal="center" vertical="center"/>
    </xf>
    <xf numFmtId="164" fontId="5" fillId="0" borderId="2" xfId="1" applyNumberFormat="1" applyFont="1" applyFill="1" applyBorder="1" applyAlignment="1">
      <alignment horizontal="center" vertical="center"/>
    </xf>
    <xf numFmtId="166" fontId="3" fillId="0" borderId="1" xfId="0" applyNumberFormat="1" applyFont="1" applyBorder="1" applyAlignment="1">
      <alignment horizontal="center" vertical="center"/>
    </xf>
    <xf numFmtId="9" fontId="4" fillId="0" borderId="0" xfId="2" applyFont="1" applyAlignment="1">
      <alignment horizontal="center" vertical="center"/>
    </xf>
    <xf numFmtId="2" fontId="5" fillId="0" borderId="1" xfId="0" applyNumberFormat="1" applyFont="1" applyBorder="1" applyAlignment="1">
      <alignment horizontal="center" vertical="center"/>
    </xf>
    <xf numFmtId="166" fontId="6" fillId="0" borderId="1" xfId="0" applyNumberFormat="1" applyFont="1" applyBorder="1" applyAlignment="1">
      <alignment horizontal="center" vertical="center"/>
    </xf>
    <xf numFmtId="165" fontId="3" fillId="0" borderId="1" xfId="0" applyNumberFormat="1" applyFont="1" applyBorder="1" applyAlignment="1">
      <alignment horizontal="center" vertical="center"/>
    </xf>
    <xf numFmtId="166" fontId="3" fillId="0" borderId="2" xfId="1" applyNumberFormat="1" applyFont="1" applyFill="1" applyBorder="1" applyAlignment="1">
      <alignment horizontal="center" vertical="center"/>
    </xf>
    <xf numFmtId="166" fontId="5" fillId="0" borderId="1" xfId="1" applyNumberFormat="1" applyFont="1" applyFill="1" applyBorder="1" applyAlignment="1">
      <alignment horizontal="center" vertical="center"/>
    </xf>
    <xf numFmtId="0" fontId="4" fillId="0" borderId="1" xfId="0" applyFont="1" applyBorder="1" applyAlignment="1">
      <alignment horizontal="center" vertical="center"/>
    </xf>
    <xf numFmtId="166" fontId="4" fillId="0" borderId="1" xfId="0" applyNumberFormat="1" applyFont="1" applyBorder="1" applyAlignment="1">
      <alignment horizontal="center" vertical="center"/>
    </xf>
    <xf numFmtId="164" fontId="3" fillId="0" borderId="3" xfId="0" applyNumberFormat="1" applyFont="1" applyBorder="1" applyAlignment="1">
      <alignment horizontal="center" vertical="center"/>
    </xf>
    <xf numFmtId="166" fontId="6" fillId="0" borderId="0" xfId="0" applyNumberFormat="1" applyFont="1" applyAlignment="1">
      <alignment horizontal="center" vertical="center"/>
    </xf>
    <xf numFmtId="3" fontId="6" fillId="0" borderId="1" xfId="1" applyNumberFormat="1" applyFont="1" applyFill="1" applyBorder="1" applyAlignment="1">
      <alignment horizontal="center" vertical="center"/>
    </xf>
    <xf numFmtId="0" fontId="6" fillId="0" borderId="0" xfId="0" applyFont="1" applyAlignment="1">
      <alignment horizontal="center" vertical="center"/>
    </xf>
    <xf numFmtId="3" fontId="6" fillId="0" borderId="0" xfId="1" applyNumberFormat="1" applyFont="1" applyFill="1" applyBorder="1" applyAlignment="1">
      <alignment horizontal="center" vertical="center"/>
    </xf>
    <xf numFmtId="0" fontId="0" fillId="0" borderId="0" xfId="0" applyAlignment="1">
      <alignment horizontal="center" vertical="center"/>
    </xf>
    <xf numFmtId="0" fontId="0" fillId="0" borderId="1" xfId="0" applyBorder="1" applyAlignment="1">
      <alignment horizontal="center" vertical="center"/>
    </xf>
    <xf numFmtId="166" fontId="0" fillId="0" borderId="1" xfId="0" applyNumberFormat="1" applyBorder="1" applyAlignment="1">
      <alignment horizontal="center" vertical="center"/>
    </xf>
    <xf numFmtId="166" fontId="0" fillId="0" borderId="4" xfId="0" applyNumberFormat="1" applyBorder="1" applyAlignment="1">
      <alignment horizontal="center" vertical="center"/>
    </xf>
    <xf numFmtId="166" fontId="0" fillId="0" borderId="0" xfId="0" applyNumberFormat="1" applyAlignment="1">
      <alignment horizontal="center" vertical="center"/>
    </xf>
    <xf numFmtId="0" fontId="3" fillId="0" borderId="5" xfId="0" applyFont="1" applyBorder="1" applyAlignment="1">
      <alignment horizontal="center" vertical="center"/>
    </xf>
    <xf numFmtId="166" fontId="0" fillId="0" borderId="5" xfId="0" applyNumberFormat="1" applyBorder="1" applyAlignment="1">
      <alignment horizontal="center" vertical="center"/>
    </xf>
    <xf numFmtId="0" fontId="3" fillId="0" borderId="0" xfId="0" applyFont="1" applyFill="1" applyBorder="1" applyAlignment="1">
      <alignment horizontal="center" vertical="center"/>
    </xf>
    <xf numFmtId="0" fontId="9" fillId="3" borderId="0" xfId="0" applyFont="1" applyFill="1" applyAlignment="1">
      <alignment horizontal="center" vertical="center"/>
    </xf>
    <xf numFmtId="166" fontId="10" fillId="3" borderId="0" xfId="0" applyNumberFormat="1" applyFont="1" applyFill="1" applyAlignment="1">
      <alignment horizontal="center" vertical="center"/>
    </xf>
    <xf numFmtId="0" fontId="10" fillId="4" borderId="0" xfId="0" applyFont="1" applyFill="1" applyAlignment="1">
      <alignment horizontal="center" vertical="center"/>
    </xf>
  </cellXfs>
  <cellStyles count="3">
    <cellStyle name="Comma" xfId="1" builtinId="3"/>
    <cellStyle name="Normal" xfId="0" builtinId="0"/>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oneCellAnchor>
    <xdr:from>
      <xdr:col>0</xdr:col>
      <xdr:colOff>219075</xdr:colOff>
      <xdr:row>0</xdr:row>
      <xdr:rowOff>276225</xdr:rowOff>
    </xdr:from>
    <xdr:ext cx="4721629" cy="993371"/>
    <xdr:pic>
      <xdr:nvPicPr>
        <xdr:cNvPr id="2" name="Picture 1">
          <a:extLst>
            <a:ext uri="{FF2B5EF4-FFF2-40B4-BE49-F238E27FC236}">
              <a16:creationId xmlns:a16="http://schemas.microsoft.com/office/drawing/2014/main" id="{00000000-0008-0000-0000-000002000000}"/>
            </a:ext>
          </a:extLst>
        </xdr:cNvPr>
        <xdr:cNvPicPr preferRelativeResize="0">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19075" y="190500"/>
          <a:ext cx="4721629" cy="993371"/>
        </a:xfrm>
        <a:prstGeom prst="rect">
          <a:avLst/>
        </a:prstGeom>
        <a:solidFill>
          <a:srgbClr val="FFFFFF">
            <a:shade val="85000"/>
          </a:srgbClr>
        </a:solidFill>
        <a:ln w="88900" cap="sq">
          <a:solidFill>
            <a:srgbClr val="FFFFFF"/>
          </a:solidFill>
          <a:miter lim="800000"/>
        </a:ln>
        <a:effectLst>
          <a:outerShdw blurRad="55000" dist="18000" dir="5400000" algn="tl" rotWithShape="0">
            <a:srgbClr val="000000">
              <a:alpha val="40000"/>
            </a:srgbClr>
          </a:outerShdw>
        </a:effectLst>
        <a:scene3d>
          <a:camera prst="orthographicFront"/>
          <a:lightRig rig="twoPt" dir="t">
            <a:rot lat="0" lon="0" rev="7200000"/>
          </a:lightRig>
        </a:scene3d>
        <a:sp3d>
          <a:bevelT w="25400" h="19050"/>
          <a:contourClr>
            <a:srgbClr val="FFFFFF"/>
          </a:contourClr>
        </a:sp3d>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3"/>
  <sheetViews>
    <sheetView showGridLines="0" workbookViewId="0">
      <selection activeCell="A12" sqref="A12:B12"/>
    </sheetView>
  </sheetViews>
  <sheetFormatPr defaultColWidth="9.109375" defaultRowHeight="14.4" x14ac:dyDescent="0.3"/>
  <cols>
    <col min="1" max="1" width="20" customWidth="1"/>
    <col min="2" max="2" width="58.6640625" customWidth="1"/>
  </cols>
  <sheetData>
    <row r="1" spans="1:7" ht="106.5" customHeight="1" x14ac:dyDescent="0.3">
      <c r="A1" s="39"/>
      <c r="B1" s="39"/>
    </row>
    <row r="3" spans="1:7" x14ac:dyDescent="0.3">
      <c r="A3" s="30" t="s">
        <v>34</v>
      </c>
      <c r="B3" s="31" t="s">
        <v>35</v>
      </c>
    </row>
    <row r="4" spans="1:7" ht="28.8" x14ac:dyDescent="0.3">
      <c r="A4" s="30" t="s">
        <v>33</v>
      </c>
      <c r="B4" s="32" t="s">
        <v>36</v>
      </c>
    </row>
    <row r="5" spans="1:7" ht="28.8" x14ac:dyDescent="0.3">
      <c r="A5" s="30"/>
      <c r="B5" s="32" t="s">
        <v>37</v>
      </c>
    </row>
    <row r="6" spans="1:7" x14ac:dyDescent="0.3">
      <c r="A6" s="30" t="s">
        <v>32</v>
      </c>
      <c r="B6" s="32" t="s">
        <v>38</v>
      </c>
    </row>
    <row r="7" spans="1:7" x14ac:dyDescent="0.3">
      <c r="A7" s="33"/>
      <c r="B7" s="33"/>
    </row>
    <row r="8" spans="1:7" x14ac:dyDescent="0.3">
      <c r="A8" s="34" t="s">
        <v>31</v>
      </c>
      <c r="B8" s="35">
        <v>43185</v>
      </c>
    </row>
    <row r="9" spans="1:7" x14ac:dyDescent="0.3">
      <c r="A9" s="33"/>
      <c r="B9" s="33"/>
    </row>
    <row r="10" spans="1:7" ht="104.25" customHeight="1" x14ac:dyDescent="0.3">
      <c r="A10" s="36" t="s">
        <v>30</v>
      </c>
      <c r="B10" s="36"/>
      <c r="C10" s="29"/>
      <c r="D10" s="29"/>
      <c r="E10" s="29"/>
      <c r="F10" s="29"/>
      <c r="G10" s="29"/>
    </row>
    <row r="11" spans="1:7" x14ac:dyDescent="0.3">
      <c r="A11" s="34"/>
      <c r="B11" s="33"/>
    </row>
    <row r="12" spans="1:7" x14ac:dyDescent="0.3">
      <c r="A12" s="37" t="s">
        <v>39</v>
      </c>
      <c r="B12" s="38"/>
    </row>
    <row r="13" spans="1:7" x14ac:dyDescent="0.3">
      <c r="A13" s="33"/>
      <c r="B13" s="33"/>
    </row>
  </sheetData>
  <sheetProtection algorithmName="SHA-512" hashValue="mbWeZO3PcjW2D4/3dzWs8Ug3Lli1IdJKhNM0eWW5NCQOt34NvyaVGMiqNPLPh+9QvFiaB/TBZG87Lzg7fBCOUQ==" saltValue="WPnzmrnI1pxT7deLUaj6Kg==" spinCount="100000" sheet="1" objects="1" scenarios="1"/>
  <mergeCells count="3">
    <mergeCell ref="A10:B10"/>
    <mergeCell ref="A12:B12"/>
    <mergeCell ref="A1:B1"/>
  </mergeCell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32"/>
  <sheetViews>
    <sheetView topLeftCell="A17" workbookViewId="0">
      <selection activeCell="A14" sqref="A14:A19"/>
    </sheetView>
  </sheetViews>
  <sheetFormatPr defaultColWidth="8.88671875" defaultRowHeight="14.4" x14ac:dyDescent="0.3"/>
  <cols>
    <col min="1" max="1" width="16.88671875" bestFit="1" customWidth="1"/>
    <col min="2" max="2" width="14.109375" bestFit="1" customWidth="1"/>
    <col min="3" max="3" width="16.6640625" bestFit="1" customWidth="1"/>
    <col min="4" max="4" width="19.6640625" bestFit="1" customWidth="1"/>
    <col min="5" max="5" width="11.44140625" bestFit="1" customWidth="1"/>
    <col min="6" max="6" width="10.109375" bestFit="1" customWidth="1"/>
    <col min="7" max="7" width="11.44140625" bestFit="1" customWidth="1"/>
    <col min="8" max="9" width="10.109375" bestFit="1" customWidth="1"/>
    <col min="10" max="10" width="11.33203125" customWidth="1"/>
    <col min="11" max="12" width="10.109375" bestFit="1" customWidth="1"/>
    <col min="13" max="13" width="17" bestFit="1" customWidth="1"/>
  </cols>
  <sheetData>
    <row r="1" spans="1:14" s="3" customFormat="1" ht="15.6" x14ac:dyDescent="0.3">
      <c r="A1" s="6" t="s">
        <v>13</v>
      </c>
    </row>
    <row r="2" spans="1:14" s="3" customFormat="1" ht="15" x14ac:dyDescent="0.25"/>
    <row r="3" spans="1:14" s="3" customFormat="1" ht="15.6" x14ac:dyDescent="0.3">
      <c r="D3" s="6" t="s">
        <v>28</v>
      </c>
      <c r="E3" s="2"/>
      <c r="F3" s="2"/>
      <c r="G3" s="2"/>
      <c r="H3" s="2"/>
      <c r="I3" s="2"/>
      <c r="J3" s="2"/>
      <c r="K3" s="2"/>
      <c r="L3" s="2"/>
    </row>
    <row r="4" spans="1:14" s="3" customFormat="1" ht="15" x14ac:dyDescent="0.25">
      <c r="D4" s="4" t="s">
        <v>14</v>
      </c>
      <c r="E4" s="4" t="s">
        <v>1</v>
      </c>
      <c r="F4" s="4" t="s">
        <v>2</v>
      </c>
      <c r="G4" s="4" t="s">
        <v>3</v>
      </c>
      <c r="H4" s="4" t="s">
        <v>4</v>
      </c>
      <c r="I4" s="4" t="s">
        <v>5</v>
      </c>
      <c r="J4" s="4" t="s">
        <v>6</v>
      </c>
      <c r="K4" s="4" t="s">
        <v>7</v>
      </c>
      <c r="L4" s="4" t="s">
        <v>8</v>
      </c>
    </row>
    <row r="5" spans="1:14" s="3" customFormat="1" ht="15" x14ac:dyDescent="0.25">
      <c r="D5" s="4" t="s">
        <v>15</v>
      </c>
      <c r="E5" s="7">
        <v>4840</v>
      </c>
      <c r="F5" s="7">
        <v>4900</v>
      </c>
      <c r="G5" s="7">
        <v>5484</v>
      </c>
      <c r="H5" s="7">
        <v>5500.8</v>
      </c>
      <c r="I5" s="7">
        <v>5182</v>
      </c>
      <c r="J5" s="7">
        <v>5050</v>
      </c>
      <c r="K5" s="7">
        <v>5152</v>
      </c>
      <c r="L5" s="7">
        <v>5172</v>
      </c>
    </row>
    <row r="6" spans="1:14" s="3" customFormat="1" ht="15" x14ac:dyDescent="0.25">
      <c r="D6" s="4" t="s">
        <v>16</v>
      </c>
      <c r="E6" s="7">
        <v>5250</v>
      </c>
      <c r="F6" s="7">
        <v>5180</v>
      </c>
      <c r="G6" s="7">
        <v>5838.0000000000009</v>
      </c>
      <c r="H6" s="7">
        <v>5871.6</v>
      </c>
      <c r="I6" s="7">
        <v>5415.4000000000005</v>
      </c>
      <c r="J6" s="7">
        <v>5350</v>
      </c>
      <c r="K6" s="7">
        <v>5509</v>
      </c>
      <c r="L6" s="7">
        <v>5519</v>
      </c>
    </row>
    <row r="7" spans="1:14" s="3" customFormat="1" ht="15" x14ac:dyDescent="0.25">
      <c r="D7" s="4" t="s">
        <v>17</v>
      </c>
      <c r="E7" s="7">
        <v>5030</v>
      </c>
      <c r="F7" s="7">
        <v>5508</v>
      </c>
      <c r="G7" s="7">
        <v>4880</v>
      </c>
      <c r="H7" s="7">
        <v>5625.6</v>
      </c>
      <c r="I7" s="7">
        <v>5236.4000000000005</v>
      </c>
      <c r="J7" s="7">
        <v>5080</v>
      </c>
      <c r="K7" s="7">
        <v>5030</v>
      </c>
      <c r="L7" s="7">
        <v>5314</v>
      </c>
    </row>
    <row r="8" spans="1:14" s="3" customFormat="1" ht="15" x14ac:dyDescent="0.25">
      <c r="D8" s="4" t="s">
        <v>18</v>
      </c>
      <c r="E8" s="7">
        <v>5020</v>
      </c>
      <c r="F8" s="7">
        <v>5504</v>
      </c>
      <c r="G8" s="7">
        <v>5594</v>
      </c>
      <c r="H8" s="7">
        <v>4940</v>
      </c>
      <c r="I8" s="7">
        <v>5198.2</v>
      </c>
      <c r="J8" s="7">
        <v>5140</v>
      </c>
      <c r="K8" s="7">
        <v>5020</v>
      </c>
      <c r="L8" s="7">
        <v>5297</v>
      </c>
    </row>
    <row r="9" spans="1:14" s="3" customFormat="1" ht="15" x14ac:dyDescent="0.25">
      <c r="D9" s="4" t="s">
        <v>19</v>
      </c>
      <c r="E9" s="7">
        <v>5191</v>
      </c>
      <c r="F9" s="7">
        <v>5708.1</v>
      </c>
      <c r="G9" s="7">
        <v>5788.1</v>
      </c>
      <c r="H9" s="7">
        <v>5829.52</v>
      </c>
      <c r="I9" s="7">
        <v>5071</v>
      </c>
      <c r="J9" s="7">
        <v>5311</v>
      </c>
      <c r="K9" s="7">
        <v>5211</v>
      </c>
      <c r="L9" s="7">
        <v>5424.55</v>
      </c>
    </row>
    <row r="10" spans="1:14" s="3" customFormat="1" ht="15" x14ac:dyDescent="0.25">
      <c r="D10" s="4" t="s">
        <v>20</v>
      </c>
      <c r="E10" s="7">
        <v>5422.5</v>
      </c>
      <c r="F10" s="7">
        <v>5655</v>
      </c>
      <c r="G10" s="7">
        <v>5775</v>
      </c>
      <c r="H10" s="7">
        <v>5776.0000000000009</v>
      </c>
      <c r="I10" s="7">
        <v>5462.5</v>
      </c>
      <c r="J10" s="7">
        <v>5050</v>
      </c>
      <c r="K10" s="7">
        <v>5170</v>
      </c>
      <c r="L10" s="7">
        <v>5492.5</v>
      </c>
    </row>
    <row r="11" spans="1:14" s="3" customFormat="1" ht="15" x14ac:dyDescent="0.25"/>
    <row r="12" spans="1:14" s="3" customFormat="1" ht="15.6" x14ac:dyDescent="0.3">
      <c r="A12" s="6" t="s">
        <v>0</v>
      </c>
      <c r="D12" s="1" t="s">
        <v>24</v>
      </c>
      <c r="E12" s="2"/>
      <c r="F12" s="2"/>
      <c r="G12" s="2"/>
      <c r="H12" s="2"/>
      <c r="I12" s="2"/>
      <c r="J12" s="2"/>
      <c r="K12" s="2"/>
      <c r="L12" s="2"/>
    </row>
    <row r="13" spans="1:14" s="3" customFormat="1" ht="15.6" x14ac:dyDescent="0.3">
      <c r="A13" s="14" t="s">
        <v>10</v>
      </c>
      <c r="B13" s="8" t="s">
        <v>9</v>
      </c>
      <c r="C13" s="4" t="s">
        <v>11</v>
      </c>
      <c r="D13" s="4" t="s">
        <v>14</v>
      </c>
      <c r="E13" s="4" t="s">
        <v>15</v>
      </c>
      <c r="F13" s="4" t="s">
        <v>16</v>
      </c>
      <c r="G13" s="4" t="s">
        <v>17</v>
      </c>
      <c r="H13" s="4" t="s">
        <v>18</v>
      </c>
      <c r="I13" s="4" t="s">
        <v>19</v>
      </c>
      <c r="J13" s="4" t="s">
        <v>20</v>
      </c>
      <c r="K13" s="4" t="s">
        <v>21</v>
      </c>
      <c r="L13" s="10" t="s">
        <v>22</v>
      </c>
      <c r="M13" s="4" t="s">
        <v>25</v>
      </c>
    </row>
    <row r="14" spans="1:14" s="3" customFormat="1" ht="15.6" x14ac:dyDescent="0.3">
      <c r="A14" s="17">
        <v>1</v>
      </c>
      <c r="B14" s="11">
        <f>1725</f>
        <v>1725</v>
      </c>
      <c r="C14" s="5">
        <f>1380000</f>
        <v>1380000</v>
      </c>
      <c r="D14" s="4" t="s">
        <v>15</v>
      </c>
      <c r="E14" s="21">
        <v>1120</v>
      </c>
      <c r="F14" s="23" t="s">
        <v>29</v>
      </c>
      <c r="G14" s="20" t="s">
        <v>29</v>
      </c>
      <c r="H14" s="20" t="s">
        <v>29</v>
      </c>
      <c r="I14" s="20" t="s">
        <v>29</v>
      </c>
      <c r="J14" s="20" t="s">
        <v>29</v>
      </c>
      <c r="K14" s="20" t="s">
        <v>29</v>
      </c>
      <c r="L14" s="26" t="s">
        <v>29</v>
      </c>
      <c r="M14" s="28">
        <f>SUM(E14:L14)</f>
        <v>1120</v>
      </c>
      <c r="N14" s="12"/>
    </row>
    <row r="15" spans="1:14" s="3" customFormat="1" ht="15.6" x14ac:dyDescent="0.3">
      <c r="A15" s="17">
        <v>1</v>
      </c>
      <c r="B15" s="11">
        <f>800</f>
        <v>800</v>
      </c>
      <c r="C15" s="5">
        <f>1050000</f>
        <v>1050000</v>
      </c>
      <c r="D15" s="4" t="s">
        <v>16</v>
      </c>
      <c r="E15" s="20" t="s">
        <v>29</v>
      </c>
      <c r="F15" s="21">
        <v>425</v>
      </c>
      <c r="G15" s="20" t="s">
        <v>29</v>
      </c>
      <c r="H15" s="20" t="s">
        <v>29</v>
      </c>
      <c r="I15" s="20" t="s">
        <v>29</v>
      </c>
      <c r="J15" s="20" t="s">
        <v>29</v>
      </c>
      <c r="K15" s="20" t="s">
        <v>29</v>
      </c>
      <c r="L15" s="26" t="s">
        <v>29</v>
      </c>
      <c r="M15" s="28">
        <f t="shared" ref="M15:M19" si="0">SUM(E15:L15)</f>
        <v>425</v>
      </c>
      <c r="N15" s="12"/>
    </row>
    <row r="16" spans="1:14" s="3" customFormat="1" ht="15.6" x14ac:dyDescent="0.3">
      <c r="A16" s="17">
        <v>1</v>
      </c>
      <c r="B16" s="11">
        <f>5286</f>
        <v>5286</v>
      </c>
      <c r="C16" s="5">
        <f>3171600</f>
        <v>3171600</v>
      </c>
      <c r="D16" s="4" t="s">
        <v>17</v>
      </c>
      <c r="E16" s="20" t="s">
        <v>29</v>
      </c>
      <c r="F16" s="23" t="s">
        <v>29</v>
      </c>
      <c r="G16" s="24">
        <v>3225</v>
      </c>
      <c r="H16" s="20" t="s">
        <v>29</v>
      </c>
      <c r="I16" s="20" t="s">
        <v>29</v>
      </c>
      <c r="J16" s="20" t="s">
        <v>29</v>
      </c>
      <c r="K16" s="24">
        <v>247</v>
      </c>
      <c r="L16" s="27">
        <v>180</v>
      </c>
      <c r="M16" s="28">
        <f t="shared" si="0"/>
        <v>3652</v>
      </c>
      <c r="N16" s="12"/>
    </row>
    <row r="17" spans="1:15" s="3" customFormat="1" ht="15.6" x14ac:dyDescent="0.3">
      <c r="A17" s="17">
        <v>1</v>
      </c>
      <c r="B17" s="11">
        <f>483</f>
        <v>483</v>
      </c>
      <c r="C17" s="5">
        <f>618240</f>
        <v>618240</v>
      </c>
      <c r="D17" s="4" t="s">
        <v>18</v>
      </c>
      <c r="E17" s="20" t="s">
        <v>29</v>
      </c>
      <c r="F17" s="23" t="s">
        <v>29</v>
      </c>
      <c r="G17" s="20" t="s">
        <v>29</v>
      </c>
      <c r="H17" s="21">
        <v>292</v>
      </c>
      <c r="I17" s="20" t="s">
        <v>29</v>
      </c>
      <c r="J17" s="20" t="s">
        <v>29</v>
      </c>
      <c r="K17" s="20" t="s">
        <v>29</v>
      </c>
      <c r="L17" s="26" t="s">
        <v>29</v>
      </c>
      <c r="M17" s="28">
        <f t="shared" si="0"/>
        <v>292</v>
      </c>
      <c r="N17" s="12"/>
    </row>
    <row r="18" spans="1:15" s="3" customFormat="1" ht="15.6" x14ac:dyDescent="0.3">
      <c r="A18" s="17">
        <v>1</v>
      </c>
      <c r="B18" s="11">
        <f>1050</f>
        <v>1050</v>
      </c>
      <c r="C18" s="5">
        <f>1785000</f>
        <v>1785000</v>
      </c>
      <c r="D18" s="4" t="s">
        <v>19</v>
      </c>
      <c r="E18" s="20" t="s">
        <v>29</v>
      </c>
      <c r="F18" s="23" t="s">
        <v>29</v>
      </c>
      <c r="G18" s="20" t="s">
        <v>29</v>
      </c>
      <c r="H18" s="25" t="s">
        <v>29</v>
      </c>
      <c r="I18" s="21">
        <v>684</v>
      </c>
      <c r="J18" s="20" t="s">
        <v>29</v>
      </c>
      <c r="K18" s="20" t="s">
        <v>29</v>
      </c>
      <c r="L18" s="26" t="s">
        <v>29</v>
      </c>
      <c r="M18" s="28">
        <f t="shared" si="0"/>
        <v>684</v>
      </c>
      <c r="N18" s="12"/>
    </row>
    <row r="19" spans="1:15" s="3" customFormat="1" ht="15.6" x14ac:dyDescent="0.3">
      <c r="A19" s="17">
        <v>1</v>
      </c>
      <c r="B19" s="11">
        <f>2334</f>
        <v>2334</v>
      </c>
      <c r="C19" s="5">
        <f>1633800</f>
        <v>1633800</v>
      </c>
      <c r="D19" s="4" t="s">
        <v>20</v>
      </c>
      <c r="E19" s="20" t="s">
        <v>29</v>
      </c>
      <c r="F19" s="23" t="s">
        <v>29</v>
      </c>
      <c r="G19" s="20" t="s">
        <v>29</v>
      </c>
      <c r="H19" s="25" t="s">
        <v>29</v>
      </c>
      <c r="I19" s="20" t="s">
        <v>29</v>
      </c>
      <c r="J19" s="21">
        <v>2065</v>
      </c>
      <c r="K19" s="20" t="s">
        <v>29</v>
      </c>
      <c r="L19" s="26" t="s">
        <v>29</v>
      </c>
      <c r="M19" s="28">
        <f t="shared" si="0"/>
        <v>2065</v>
      </c>
      <c r="N19" s="12"/>
    </row>
    <row r="20" spans="1:15" s="3" customFormat="1" ht="15" x14ac:dyDescent="0.25">
      <c r="D20" s="13" t="s">
        <v>27</v>
      </c>
      <c r="E20" s="22">
        <f>SUM(E14:E19)</f>
        <v>1120</v>
      </c>
      <c r="F20" s="22">
        <f t="shared" ref="F20:L20" si="1">SUM(F14:F19)</f>
        <v>425</v>
      </c>
      <c r="G20" s="22">
        <f t="shared" si="1"/>
        <v>3225</v>
      </c>
      <c r="H20" s="22">
        <f t="shared" si="1"/>
        <v>292</v>
      </c>
      <c r="I20" s="22">
        <f t="shared" si="1"/>
        <v>684</v>
      </c>
      <c r="J20" s="22">
        <f t="shared" si="1"/>
        <v>2065</v>
      </c>
      <c r="K20" s="22">
        <f t="shared" si="1"/>
        <v>247</v>
      </c>
      <c r="L20" s="22">
        <f t="shared" si="1"/>
        <v>180</v>
      </c>
      <c r="M20" s="18"/>
      <c r="N20" s="19"/>
      <c r="O20" s="2"/>
    </row>
    <row r="21" spans="1:15" s="3" customFormat="1" ht="15" x14ac:dyDescent="0.25">
      <c r="D21" s="8" t="s">
        <v>26</v>
      </c>
      <c r="E21" s="9">
        <v>1120</v>
      </c>
      <c r="F21" s="9">
        <v>425</v>
      </c>
      <c r="G21" s="9">
        <v>3225</v>
      </c>
      <c r="H21" s="9">
        <v>292</v>
      </c>
      <c r="I21" s="9">
        <v>684</v>
      </c>
      <c r="J21" s="9">
        <v>2065</v>
      </c>
      <c r="K21" s="9">
        <v>247</v>
      </c>
      <c r="L21" s="9">
        <v>180</v>
      </c>
    </row>
    <row r="22" spans="1:15" s="3" customFormat="1" ht="15" x14ac:dyDescent="0.25">
      <c r="A22" s="15"/>
      <c r="B22" s="16"/>
      <c r="C22" s="16"/>
      <c r="D22" s="16"/>
      <c r="E22" s="16"/>
      <c r="F22" s="16"/>
      <c r="G22" s="16"/>
      <c r="H22" s="16"/>
      <c r="I22" s="16"/>
    </row>
    <row r="23" spans="1:15" s="3" customFormat="1" ht="15.6" x14ac:dyDescent="0.3">
      <c r="D23" s="6" t="s">
        <v>23</v>
      </c>
      <c r="E23" s="2"/>
      <c r="F23" s="2"/>
      <c r="G23" s="2"/>
      <c r="H23" s="2"/>
      <c r="I23" s="2"/>
      <c r="J23" s="2"/>
      <c r="K23" s="2"/>
      <c r="L23" s="2"/>
    </row>
    <row r="24" spans="1:15" s="3" customFormat="1" ht="15" x14ac:dyDescent="0.25">
      <c r="D24" s="4" t="s">
        <v>14</v>
      </c>
      <c r="E24" s="4" t="s">
        <v>15</v>
      </c>
      <c r="F24" s="4" t="s">
        <v>16</v>
      </c>
      <c r="G24" s="4" t="s">
        <v>17</v>
      </c>
      <c r="H24" s="4" t="s">
        <v>18</v>
      </c>
      <c r="I24" s="4" t="s">
        <v>19</v>
      </c>
      <c r="J24" s="4" t="s">
        <v>20</v>
      </c>
      <c r="K24" s="4" t="s">
        <v>21</v>
      </c>
      <c r="L24" s="4" t="s">
        <v>22</v>
      </c>
    </row>
    <row r="25" spans="1:15" s="3" customFormat="1" ht="15" x14ac:dyDescent="0.25">
      <c r="D25" s="4" t="s">
        <v>15</v>
      </c>
      <c r="E25" s="4">
        <v>7</v>
      </c>
      <c r="F25" s="4">
        <v>18</v>
      </c>
      <c r="G25" s="4">
        <v>24</v>
      </c>
      <c r="H25" s="4">
        <v>14</v>
      </c>
      <c r="I25" s="4">
        <v>31</v>
      </c>
      <c r="J25" s="4">
        <v>31</v>
      </c>
      <c r="K25" s="4">
        <v>14</v>
      </c>
      <c r="L25" s="4">
        <v>39</v>
      </c>
    </row>
    <row r="26" spans="1:15" s="3" customFormat="1" ht="15" x14ac:dyDescent="0.25">
      <c r="D26" s="4" t="s">
        <v>16</v>
      </c>
      <c r="E26" s="4">
        <v>12</v>
      </c>
      <c r="F26" s="4">
        <v>7</v>
      </c>
      <c r="G26" s="4">
        <v>15</v>
      </c>
      <c r="H26" s="4">
        <v>12</v>
      </c>
      <c r="I26" s="4">
        <v>25</v>
      </c>
      <c r="J26" s="4">
        <v>20</v>
      </c>
      <c r="K26" s="4">
        <v>12</v>
      </c>
      <c r="L26" s="4">
        <v>25</v>
      </c>
    </row>
    <row r="27" spans="1:15" s="3" customFormat="1" ht="15" x14ac:dyDescent="0.25">
      <c r="D27" s="4" t="s">
        <v>17</v>
      </c>
      <c r="E27" s="4">
        <v>16</v>
      </c>
      <c r="F27" s="4">
        <v>15</v>
      </c>
      <c r="G27" s="4">
        <v>7</v>
      </c>
      <c r="H27" s="4">
        <v>16</v>
      </c>
      <c r="I27" s="4">
        <v>27</v>
      </c>
      <c r="J27" s="4">
        <v>25</v>
      </c>
      <c r="K27" s="4">
        <v>16</v>
      </c>
      <c r="L27" s="4">
        <v>29</v>
      </c>
    </row>
    <row r="28" spans="1:15" s="3" customFormat="1" ht="15" x14ac:dyDescent="0.25">
      <c r="D28" s="4" t="s">
        <v>18</v>
      </c>
      <c r="E28" s="4">
        <v>18</v>
      </c>
      <c r="F28" s="4">
        <v>20</v>
      </c>
      <c r="G28" s="4">
        <v>27</v>
      </c>
      <c r="H28" s="4">
        <v>7</v>
      </c>
      <c r="I28" s="4">
        <v>31</v>
      </c>
      <c r="J28" s="4">
        <v>21</v>
      </c>
      <c r="K28" s="4">
        <v>21</v>
      </c>
      <c r="L28" s="4">
        <v>33</v>
      </c>
    </row>
    <row r="29" spans="1:15" s="3" customFormat="1" ht="15" x14ac:dyDescent="0.25">
      <c r="D29" s="4" t="s">
        <v>19</v>
      </c>
      <c r="E29" s="4">
        <v>31</v>
      </c>
      <c r="F29" s="4">
        <v>38</v>
      </c>
      <c r="G29" s="4">
        <v>38</v>
      </c>
      <c r="H29" s="4">
        <v>38</v>
      </c>
      <c r="I29" s="4">
        <v>7</v>
      </c>
      <c r="J29" s="4">
        <v>38</v>
      </c>
      <c r="K29" s="4">
        <v>38</v>
      </c>
      <c r="L29" s="4">
        <v>24</v>
      </c>
    </row>
    <row r="30" spans="1:15" s="3" customFormat="1" ht="15" x14ac:dyDescent="0.25">
      <c r="D30" s="4" t="s">
        <v>20</v>
      </c>
      <c r="E30" s="4">
        <v>36</v>
      </c>
      <c r="F30" s="4">
        <v>40</v>
      </c>
      <c r="G30" s="4">
        <v>33</v>
      </c>
      <c r="H30" s="4">
        <v>32</v>
      </c>
      <c r="I30" s="4">
        <v>44</v>
      </c>
      <c r="J30" s="4">
        <v>7</v>
      </c>
      <c r="K30" s="4">
        <v>40</v>
      </c>
      <c r="L30" s="4">
        <v>49</v>
      </c>
    </row>
    <row r="31" spans="1:15" s="3" customFormat="1" ht="15" x14ac:dyDescent="0.25">
      <c r="D31" s="2" t="s">
        <v>12</v>
      </c>
      <c r="E31" s="2">
        <v>30</v>
      </c>
    </row>
    <row r="32" spans="1:15" s="3" customFormat="1" ht="15" x14ac:dyDescent="0.25"/>
  </sheetData>
  <pageMargins left="0.7" right="0.7" top="0.75" bottom="0.75" header="0.3" footer="0.3"/>
  <pageSetup orientation="portrait"/>
  <extLs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94CF33-3A6E-41D9-826C-99313D5DB454}">
  <dimension ref="A1:Q62"/>
  <sheetViews>
    <sheetView tabSelected="1" topLeftCell="A47" zoomScaleNormal="100" workbookViewId="0">
      <selection activeCell="O60" sqref="O60"/>
    </sheetView>
  </sheetViews>
  <sheetFormatPr defaultColWidth="5.44140625" defaultRowHeight="14.4" x14ac:dyDescent="0.3"/>
  <cols>
    <col min="1" max="3" width="5.44140625" style="67"/>
    <col min="4" max="4" width="26.44140625" style="67" bestFit="1" customWidth="1"/>
    <col min="5" max="12" width="22.6640625" style="67" bestFit="1" customWidth="1"/>
    <col min="13" max="13" width="17" style="67" bestFit="1" customWidth="1"/>
    <col min="14" max="14" width="9.33203125" style="67" bestFit="1" customWidth="1"/>
    <col min="15" max="15" width="12.77734375" style="67" bestFit="1" customWidth="1"/>
    <col min="16" max="16" width="9.5546875" style="67" bestFit="1" customWidth="1"/>
    <col min="17" max="17" width="15.88671875" style="67" bestFit="1" customWidth="1"/>
    <col min="18" max="16384" width="5.44140625" style="67"/>
  </cols>
  <sheetData>
    <row r="1" spans="1:17" s="41" customFormat="1" ht="15.6" x14ac:dyDescent="0.3">
      <c r="A1" s="40"/>
    </row>
    <row r="2" spans="1:17" s="41" customFormat="1" ht="15" x14ac:dyDescent="0.3"/>
    <row r="3" spans="1:17" s="41" customFormat="1" ht="15.6" x14ac:dyDescent="0.3">
      <c r="D3" s="40" t="s">
        <v>48</v>
      </c>
      <c r="E3" s="42"/>
      <c r="F3" s="42"/>
      <c r="G3" s="42"/>
      <c r="H3" s="42"/>
      <c r="I3" s="42"/>
      <c r="J3" s="42"/>
      <c r="K3" s="42"/>
      <c r="L3" s="42"/>
    </row>
    <row r="4" spans="1:17" s="41" customFormat="1" ht="15" x14ac:dyDescent="0.3">
      <c r="D4" s="43" t="s">
        <v>14</v>
      </c>
      <c r="E4" s="43" t="s">
        <v>1</v>
      </c>
      <c r="F4" s="43" t="s">
        <v>2</v>
      </c>
      <c r="G4" s="43" t="s">
        <v>3</v>
      </c>
      <c r="H4" s="43" t="s">
        <v>4</v>
      </c>
      <c r="I4" s="43" t="s">
        <v>5</v>
      </c>
      <c r="J4" s="43" t="s">
        <v>6</v>
      </c>
      <c r="K4" s="43" t="s">
        <v>7</v>
      </c>
      <c r="L4" s="43" t="s">
        <v>8</v>
      </c>
    </row>
    <row r="5" spans="1:17" s="41" customFormat="1" ht="15" x14ac:dyDescent="0.3">
      <c r="D5" s="43" t="s">
        <v>15</v>
      </c>
      <c r="E5" s="44">
        <v>4840</v>
      </c>
      <c r="F5" s="44">
        <v>4900</v>
      </c>
      <c r="G5" s="44">
        <v>5484</v>
      </c>
      <c r="H5" s="44">
        <v>5500.8</v>
      </c>
      <c r="I5" s="44">
        <v>5182</v>
      </c>
      <c r="J5" s="44">
        <v>5050</v>
      </c>
      <c r="K5" s="44">
        <v>5152</v>
      </c>
      <c r="L5" s="44">
        <v>5172</v>
      </c>
    </row>
    <row r="6" spans="1:17" s="41" customFormat="1" ht="15" x14ac:dyDescent="0.3">
      <c r="D6" s="43" t="s">
        <v>16</v>
      </c>
      <c r="E6" s="44">
        <v>5250</v>
      </c>
      <c r="F6" s="44">
        <v>5180</v>
      </c>
      <c r="G6" s="44">
        <v>5838.0000000000009</v>
      </c>
      <c r="H6" s="44">
        <v>5871.6</v>
      </c>
      <c r="I6" s="44">
        <v>5415.4000000000005</v>
      </c>
      <c r="J6" s="44">
        <v>5350</v>
      </c>
      <c r="K6" s="44">
        <v>5509</v>
      </c>
      <c r="L6" s="44">
        <v>5519</v>
      </c>
    </row>
    <row r="7" spans="1:17" s="41" customFormat="1" ht="15" x14ac:dyDescent="0.3">
      <c r="D7" s="43" t="s">
        <v>17</v>
      </c>
      <c r="E7" s="44">
        <v>5030</v>
      </c>
      <c r="F7" s="44">
        <v>5508</v>
      </c>
      <c r="G7" s="44">
        <v>4880</v>
      </c>
      <c r="H7" s="44">
        <v>5625.6</v>
      </c>
      <c r="I7" s="44">
        <v>5236.4000000000005</v>
      </c>
      <c r="J7" s="44">
        <v>5080</v>
      </c>
      <c r="K7" s="44">
        <v>5030</v>
      </c>
      <c r="L7" s="44">
        <v>5314</v>
      </c>
    </row>
    <row r="8" spans="1:17" s="41" customFormat="1" ht="15" x14ac:dyDescent="0.3">
      <c r="D8" s="43" t="s">
        <v>18</v>
      </c>
      <c r="E8" s="44">
        <v>5020</v>
      </c>
      <c r="F8" s="44">
        <v>5504</v>
      </c>
      <c r="G8" s="44">
        <v>5594</v>
      </c>
      <c r="H8" s="44">
        <v>4940</v>
      </c>
      <c r="I8" s="44">
        <v>5198.2</v>
      </c>
      <c r="J8" s="44">
        <v>5140</v>
      </c>
      <c r="K8" s="44">
        <v>5020</v>
      </c>
      <c r="L8" s="44">
        <v>5297</v>
      </c>
    </row>
    <row r="9" spans="1:17" s="41" customFormat="1" ht="15" x14ac:dyDescent="0.3">
      <c r="D9" s="43" t="s">
        <v>19</v>
      </c>
      <c r="E9" s="44">
        <v>5191</v>
      </c>
      <c r="F9" s="44">
        <v>5708.1</v>
      </c>
      <c r="G9" s="44">
        <v>5788.1</v>
      </c>
      <c r="H9" s="44">
        <v>5829.52</v>
      </c>
      <c r="I9" s="44">
        <v>5071</v>
      </c>
      <c r="J9" s="44">
        <v>5311</v>
      </c>
      <c r="K9" s="44">
        <v>5211</v>
      </c>
      <c r="L9" s="44">
        <v>5424.55</v>
      </c>
    </row>
    <row r="10" spans="1:17" s="41" customFormat="1" ht="15" x14ac:dyDescent="0.3">
      <c r="D10" s="43" t="s">
        <v>20</v>
      </c>
      <c r="E10" s="44">
        <v>5422.5</v>
      </c>
      <c r="F10" s="44">
        <v>5655</v>
      </c>
      <c r="G10" s="44">
        <v>5775</v>
      </c>
      <c r="H10" s="44">
        <v>5776.0000000000009</v>
      </c>
      <c r="I10" s="44">
        <v>5462.5</v>
      </c>
      <c r="J10" s="44">
        <v>5050</v>
      </c>
      <c r="K10" s="44">
        <v>5170</v>
      </c>
      <c r="L10" s="44">
        <v>5492.5</v>
      </c>
    </row>
    <row r="11" spans="1:17" s="41" customFormat="1" ht="15" x14ac:dyDescent="0.3"/>
    <row r="12" spans="1:17" s="41" customFormat="1" ht="15.6" x14ac:dyDescent="0.3">
      <c r="A12" s="40"/>
      <c r="D12" s="45" t="s">
        <v>49</v>
      </c>
      <c r="E12" s="42"/>
      <c r="F12" s="42"/>
      <c r="G12" s="42"/>
      <c r="H12" s="42"/>
      <c r="I12" s="42"/>
      <c r="J12" s="42"/>
      <c r="K12" s="42"/>
      <c r="L12" s="42"/>
    </row>
    <row r="13" spans="1:17" s="41" customFormat="1" ht="15.6" x14ac:dyDescent="0.3">
      <c r="D13" s="43" t="s">
        <v>14</v>
      </c>
      <c r="E13" s="43" t="s">
        <v>15</v>
      </c>
      <c r="F13" s="43" t="s">
        <v>16</v>
      </c>
      <c r="G13" s="43" t="s">
        <v>17</v>
      </c>
      <c r="H13" s="43" t="s">
        <v>18</v>
      </c>
      <c r="I13" s="43" t="s">
        <v>19</v>
      </c>
      <c r="J13" s="43" t="s">
        <v>20</v>
      </c>
      <c r="K13" s="43" t="s">
        <v>21</v>
      </c>
      <c r="L13" s="46" t="s">
        <v>22</v>
      </c>
      <c r="M13" s="43" t="s">
        <v>25</v>
      </c>
      <c r="N13" s="41" t="s">
        <v>40</v>
      </c>
      <c r="O13" s="47" t="s">
        <v>10</v>
      </c>
      <c r="P13" s="48" t="s">
        <v>9</v>
      </c>
      <c r="Q13" s="43" t="s">
        <v>11</v>
      </c>
    </row>
    <row r="14" spans="1:17" s="41" customFormat="1" ht="15.6" x14ac:dyDescent="0.3">
      <c r="D14" s="43" t="s">
        <v>15</v>
      </c>
      <c r="E14" s="49">
        <v>1120</v>
      </c>
      <c r="F14" s="50" t="s">
        <v>29</v>
      </c>
      <c r="G14" s="51" t="s">
        <v>29</v>
      </c>
      <c r="H14" s="51" t="s">
        <v>29</v>
      </c>
      <c r="I14" s="51" t="s">
        <v>29</v>
      </c>
      <c r="J14" s="51" t="s">
        <v>29</v>
      </c>
      <c r="K14" s="51" t="s">
        <v>29</v>
      </c>
      <c r="L14" s="52" t="s">
        <v>29</v>
      </c>
      <c r="M14" s="53">
        <f>SUM(E14:L14)</f>
        <v>1120</v>
      </c>
      <c r="N14" s="54"/>
      <c r="O14" s="55">
        <v>1</v>
      </c>
      <c r="P14" s="56">
        <f>1725</f>
        <v>1725</v>
      </c>
      <c r="Q14" s="57">
        <f>1380000</f>
        <v>1380000</v>
      </c>
    </row>
    <row r="15" spans="1:17" s="41" customFormat="1" ht="15.6" x14ac:dyDescent="0.3">
      <c r="D15" s="43" t="s">
        <v>16</v>
      </c>
      <c r="E15" s="51" t="s">
        <v>29</v>
      </c>
      <c r="F15" s="49">
        <v>425</v>
      </c>
      <c r="G15" s="51" t="s">
        <v>29</v>
      </c>
      <c r="H15" s="51" t="s">
        <v>29</v>
      </c>
      <c r="I15" s="51" t="s">
        <v>29</v>
      </c>
      <c r="J15" s="51" t="s">
        <v>29</v>
      </c>
      <c r="K15" s="51" t="s">
        <v>29</v>
      </c>
      <c r="L15" s="52" t="s">
        <v>29</v>
      </c>
      <c r="M15" s="53">
        <f t="shared" ref="M15:M19" si="0">SUM(E15:L15)</f>
        <v>425</v>
      </c>
      <c r="N15" s="54"/>
      <c r="O15" s="55">
        <v>1</v>
      </c>
      <c r="P15" s="56">
        <f>800</f>
        <v>800</v>
      </c>
      <c r="Q15" s="57">
        <f>1050000</f>
        <v>1050000</v>
      </c>
    </row>
    <row r="16" spans="1:17" s="41" customFormat="1" ht="15.6" x14ac:dyDescent="0.3">
      <c r="D16" s="43" t="s">
        <v>17</v>
      </c>
      <c r="E16" s="51" t="s">
        <v>29</v>
      </c>
      <c r="F16" s="50" t="s">
        <v>29</v>
      </c>
      <c r="G16" s="49">
        <v>3225</v>
      </c>
      <c r="H16" s="51" t="s">
        <v>29</v>
      </c>
      <c r="I16" s="51" t="s">
        <v>29</v>
      </c>
      <c r="J16" s="51" t="s">
        <v>29</v>
      </c>
      <c r="K16" s="49">
        <v>247</v>
      </c>
      <c r="L16" s="58">
        <v>180</v>
      </c>
      <c r="M16" s="53">
        <f t="shared" si="0"/>
        <v>3652</v>
      </c>
      <c r="N16" s="54"/>
      <c r="O16" s="55">
        <v>1</v>
      </c>
      <c r="P16" s="56">
        <f>5286</f>
        <v>5286</v>
      </c>
      <c r="Q16" s="57">
        <f>3171600</f>
        <v>3171600</v>
      </c>
    </row>
    <row r="17" spans="1:17" s="41" customFormat="1" ht="15.6" x14ac:dyDescent="0.3">
      <c r="D17" s="43" t="s">
        <v>18</v>
      </c>
      <c r="E17" s="51" t="s">
        <v>29</v>
      </c>
      <c r="F17" s="50" t="s">
        <v>29</v>
      </c>
      <c r="G17" s="51" t="s">
        <v>29</v>
      </c>
      <c r="H17" s="49">
        <v>292</v>
      </c>
      <c r="I17" s="51" t="s">
        <v>29</v>
      </c>
      <c r="J17" s="51" t="s">
        <v>29</v>
      </c>
      <c r="K17" s="51" t="s">
        <v>29</v>
      </c>
      <c r="L17" s="52" t="s">
        <v>29</v>
      </c>
      <c r="M17" s="53">
        <f t="shared" si="0"/>
        <v>292</v>
      </c>
      <c r="N17" s="54"/>
      <c r="O17" s="55">
        <v>1</v>
      </c>
      <c r="P17" s="56">
        <f>483</f>
        <v>483</v>
      </c>
      <c r="Q17" s="57">
        <f>618240</f>
        <v>618240</v>
      </c>
    </row>
    <row r="18" spans="1:17" s="41" customFormat="1" ht="15.6" x14ac:dyDescent="0.3">
      <c r="D18" s="43" t="s">
        <v>19</v>
      </c>
      <c r="E18" s="51" t="s">
        <v>29</v>
      </c>
      <c r="F18" s="50" t="s">
        <v>29</v>
      </c>
      <c r="G18" s="51" t="s">
        <v>29</v>
      </c>
      <c r="H18" s="59" t="s">
        <v>29</v>
      </c>
      <c r="I18" s="49">
        <v>684</v>
      </c>
      <c r="J18" s="51" t="s">
        <v>29</v>
      </c>
      <c r="K18" s="51" t="s">
        <v>29</v>
      </c>
      <c r="L18" s="52" t="s">
        <v>29</v>
      </c>
      <c r="M18" s="53">
        <f t="shared" si="0"/>
        <v>684</v>
      </c>
      <c r="N18" s="54"/>
      <c r="O18" s="55">
        <v>1</v>
      </c>
      <c r="P18" s="56">
        <f>1050</f>
        <v>1050</v>
      </c>
      <c r="Q18" s="57">
        <f>1785000</f>
        <v>1785000</v>
      </c>
    </row>
    <row r="19" spans="1:17" s="41" customFormat="1" ht="15.6" x14ac:dyDescent="0.3">
      <c r="D19" s="43" t="s">
        <v>20</v>
      </c>
      <c r="E19" s="51" t="s">
        <v>29</v>
      </c>
      <c r="F19" s="50" t="s">
        <v>29</v>
      </c>
      <c r="G19" s="51" t="s">
        <v>29</v>
      </c>
      <c r="H19" s="59" t="s">
        <v>29</v>
      </c>
      <c r="I19" s="51" t="s">
        <v>29</v>
      </c>
      <c r="J19" s="49">
        <v>2065</v>
      </c>
      <c r="K19" s="51" t="s">
        <v>29</v>
      </c>
      <c r="L19" s="52" t="s">
        <v>29</v>
      </c>
      <c r="M19" s="53">
        <f t="shared" si="0"/>
        <v>2065</v>
      </c>
      <c r="N19" s="54"/>
      <c r="O19" s="55">
        <v>1</v>
      </c>
      <c r="P19" s="56">
        <f>2334</f>
        <v>2334</v>
      </c>
      <c r="Q19" s="57">
        <f>1633800</f>
        <v>1633800</v>
      </c>
    </row>
    <row r="20" spans="1:17" s="41" customFormat="1" ht="15" x14ac:dyDescent="0.3">
      <c r="D20" s="60" t="s">
        <v>27</v>
      </c>
      <c r="E20" s="61">
        <f>SUM(E14:E19)</f>
        <v>1120</v>
      </c>
      <c r="F20" s="61">
        <f t="shared" ref="F20:L20" si="1">SUM(F14:F19)</f>
        <v>425</v>
      </c>
      <c r="G20" s="61">
        <f t="shared" si="1"/>
        <v>3225</v>
      </c>
      <c r="H20" s="61">
        <f t="shared" si="1"/>
        <v>292</v>
      </c>
      <c r="I20" s="61">
        <f t="shared" si="1"/>
        <v>684</v>
      </c>
      <c r="J20" s="61">
        <f t="shared" si="1"/>
        <v>2065</v>
      </c>
      <c r="K20" s="61">
        <f t="shared" si="1"/>
        <v>247</v>
      </c>
      <c r="L20" s="61">
        <f t="shared" si="1"/>
        <v>180</v>
      </c>
      <c r="M20" s="62"/>
      <c r="N20" s="63"/>
      <c r="O20" s="42"/>
    </row>
    <row r="21" spans="1:17" s="41" customFormat="1" ht="15" x14ac:dyDescent="0.3">
      <c r="D21" s="48" t="s">
        <v>26</v>
      </c>
      <c r="E21" s="64">
        <v>1120</v>
      </c>
      <c r="F21" s="64">
        <v>425</v>
      </c>
      <c r="G21" s="64">
        <v>3225</v>
      </c>
      <c r="H21" s="64">
        <v>292</v>
      </c>
      <c r="I21" s="64">
        <v>684</v>
      </c>
      <c r="J21" s="64">
        <v>2065</v>
      </c>
      <c r="K21" s="64">
        <v>247</v>
      </c>
      <c r="L21" s="64">
        <v>180</v>
      </c>
    </row>
    <row r="22" spans="1:17" s="41" customFormat="1" ht="15" x14ac:dyDescent="0.3">
      <c r="A22" s="65"/>
      <c r="B22" s="66"/>
      <c r="C22" s="66"/>
      <c r="D22" s="66"/>
      <c r="E22" s="66"/>
      <c r="F22" s="66"/>
      <c r="G22" s="66"/>
      <c r="H22" s="66"/>
      <c r="I22" s="66"/>
    </row>
    <row r="23" spans="1:17" s="41" customFormat="1" ht="15.6" x14ac:dyDescent="0.3">
      <c r="D23" s="40" t="s">
        <v>50</v>
      </c>
      <c r="E23" s="42"/>
      <c r="F23" s="42"/>
      <c r="G23" s="42"/>
      <c r="H23" s="42"/>
      <c r="I23" s="42"/>
      <c r="J23" s="42"/>
      <c r="K23" s="42"/>
      <c r="L23" s="42"/>
    </row>
    <row r="24" spans="1:17" s="41" customFormat="1" ht="15" x14ac:dyDescent="0.3">
      <c r="D24" s="43" t="s">
        <v>14</v>
      </c>
      <c r="E24" s="43" t="s">
        <v>15</v>
      </c>
      <c r="F24" s="43" t="s">
        <v>16</v>
      </c>
      <c r="G24" s="43" t="s">
        <v>17</v>
      </c>
      <c r="H24" s="43" t="s">
        <v>18</v>
      </c>
      <c r="I24" s="43" t="s">
        <v>19</v>
      </c>
      <c r="J24" s="43" t="s">
        <v>20</v>
      </c>
      <c r="K24" s="43" t="s">
        <v>21</v>
      </c>
      <c r="L24" s="43" t="s">
        <v>22</v>
      </c>
    </row>
    <row r="25" spans="1:17" s="41" customFormat="1" ht="15" x14ac:dyDescent="0.3">
      <c r="D25" s="43" t="s">
        <v>15</v>
      </c>
      <c r="E25" s="43">
        <v>7</v>
      </c>
      <c r="F25" s="43">
        <v>18</v>
      </c>
      <c r="G25" s="43">
        <v>24</v>
      </c>
      <c r="H25" s="43">
        <v>14</v>
      </c>
      <c r="I25" s="43">
        <v>31</v>
      </c>
      <c r="J25" s="43">
        <v>31</v>
      </c>
      <c r="K25" s="43">
        <v>14</v>
      </c>
      <c r="L25" s="43">
        <v>39</v>
      </c>
    </row>
    <row r="26" spans="1:17" s="41" customFormat="1" ht="15" x14ac:dyDescent="0.3">
      <c r="D26" s="43" t="s">
        <v>16</v>
      </c>
      <c r="E26" s="43">
        <v>12</v>
      </c>
      <c r="F26" s="43">
        <v>7</v>
      </c>
      <c r="G26" s="43">
        <v>15</v>
      </c>
      <c r="H26" s="43">
        <v>12</v>
      </c>
      <c r="I26" s="43">
        <v>25</v>
      </c>
      <c r="J26" s="43">
        <v>20</v>
      </c>
      <c r="K26" s="43">
        <v>12</v>
      </c>
      <c r="L26" s="43">
        <v>25</v>
      </c>
    </row>
    <row r="27" spans="1:17" s="41" customFormat="1" ht="15" x14ac:dyDescent="0.3">
      <c r="D27" s="43" t="s">
        <v>17</v>
      </c>
      <c r="E27" s="43">
        <v>16</v>
      </c>
      <c r="F27" s="43">
        <v>15</v>
      </c>
      <c r="G27" s="43">
        <v>7</v>
      </c>
      <c r="H27" s="43">
        <v>16</v>
      </c>
      <c r="I27" s="43">
        <v>27</v>
      </c>
      <c r="J27" s="43">
        <v>25</v>
      </c>
      <c r="K27" s="43">
        <v>16</v>
      </c>
      <c r="L27" s="43">
        <v>29</v>
      </c>
    </row>
    <row r="28" spans="1:17" s="41" customFormat="1" ht="15" x14ac:dyDescent="0.3">
      <c r="D28" s="43" t="s">
        <v>18</v>
      </c>
      <c r="E28" s="43">
        <v>18</v>
      </c>
      <c r="F28" s="43">
        <v>20</v>
      </c>
      <c r="G28" s="43">
        <v>27</v>
      </c>
      <c r="H28" s="43">
        <v>7</v>
      </c>
      <c r="I28" s="43">
        <v>31</v>
      </c>
      <c r="J28" s="43">
        <v>21</v>
      </c>
      <c r="K28" s="43">
        <v>21</v>
      </c>
      <c r="L28" s="43">
        <v>33</v>
      </c>
    </row>
    <row r="29" spans="1:17" s="41" customFormat="1" ht="15" x14ac:dyDescent="0.3">
      <c r="D29" s="43" t="s">
        <v>19</v>
      </c>
      <c r="E29" s="43">
        <v>31</v>
      </c>
      <c r="F29" s="43">
        <v>38</v>
      </c>
      <c r="G29" s="43">
        <v>38</v>
      </c>
      <c r="H29" s="43">
        <v>38</v>
      </c>
      <c r="I29" s="43">
        <v>7</v>
      </c>
      <c r="J29" s="43">
        <v>38</v>
      </c>
      <c r="K29" s="43">
        <v>38</v>
      </c>
      <c r="L29" s="43">
        <v>24</v>
      </c>
    </row>
    <row r="30" spans="1:17" s="41" customFormat="1" ht="15" x14ac:dyDescent="0.3">
      <c r="D30" s="43" t="s">
        <v>20</v>
      </c>
      <c r="E30" s="43">
        <v>36</v>
      </c>
      <c r="F30" s="43">
        <v>40</v>
      </c>
      <c r="G30" s="43">
        <v>33</v>
      </c>
      <c r="H30" s="43">
        <v>32</v>
      </c>
      <c r="I30" s="43">
        <v>44</v>
      </c>
      <c r="J30" s="43">
        <v>7</v>
      </c>
      <c r="K30" s="43">
        <v>40</v>
      </c>
      <c r="L30" s="43">
        <v>49</v>
      </c>
    </row>
    <row r="31" spans="1:17" s="41" customFormat="1" ht="15" x14ac:dyDescent="0.3">
      <c r="D31" s="42" t="s">
        <v>12</v>
      </c>
      <c r="E31" s="42">
        <v>30</v>
      </c>
    </row>
    <row r="32" spans="1:17" s="41" customFormat="1" ht="15" x14ac:dyDescent="0.3"/>
    <row r="34" spans="4:13" ht="15.6" x14ac:dyDescent="0.3">
      <c r="D34" s="40" t="s">
        <v>51</v>
      </c>
    </row>
    <row r="35" spans="4:13" ht="15" x14ac:dyDescent="0.3">
      <c r="D35" s="43" t="s">
        <v>14</v>
      </c>
      <c r="E35" s="43" t="s">
        <v>15</v>
      </c>
      <c r="F35" s="43" t="s">
        <v>16</v>
      </c>
      <c r="G35" s="43" t="s">
        <v>17</v>
      </c>
      <c r="H35" s="43" t="s">
        <v>18</v>
      </c>
      <c r="I35" s="43" t="s">
        <v>19</v>
      </c>
      <c r="J35" s="43" t="s">
        <v>20</v>
      </c>
      <c r="K35" s="43" t="s">
        <v>21</v>
      </c>
      <c r="L35" s="43" t="s">
        <v>22</v>
      </c>
      <c r="M35" s="43" t="s">
        <v>41</v>
      </c>
    </row>
    <row r="36" spans="4:13" ht="15" x14ac:dyDescent="0.3">
      <c r="D36" s="43" t="s">
        <v>15</v>
      </c>
      <c r="E36" s="49">
        <v>0</v>
      </c>
      <c r="F36" s="49">
        <v>0</v>
      </c>
      <c r="G36" s="49">
        <v>0</v>
      </c>
      <c r="H36" s="49">
        <v>0</v>
      </c>
      <c r="I36" s="49">
        <v>0</v>
      </c>
      <c r="J36" s="49">
        <v>0</v>
      </c>
      <c r="K36" s="49">
        <v>0</v>
      </c>
      <c r="L36" s="49">
        <v>0</v>
      </c>
      <c r="M36" s="68">
        <v>0</v>
      </c>
    </row>
    <row r="37" spans="4:13" ht="15" x14ac:dyDescent="0.3">
      <c r="D37" s="43" t="s">
        <v>16</v>
      </c>
      <c r="E37" s="49">
        <v>0</v>
      </c>
      <c r="F37" s="49">
        <v>0</v>
      </c>
      <c r="G37" s="49">
        <v>0</v>
      </c>
      <c r="H37" s="49">
        <v>0</v>
      </c>
      <c r="I37" s="49">
        <v>0</v>
      </c>
      <c r="J37" s="49">
        <v>0</v>
      </c>
      <c r="K37" s="49">
        <v>0</v>
      </c>
      <c r="L37" s="49">
        <v>0</v>
      </c>
      <c r="M37" s="68">
        <v>0</v>
      </c>
    </row>
    <row r="38" spans="4:13" ht="15" x14ac:dyDescent="0.3">
      <c r="D38" s="43" t="s">
        <v>17</v>
      </c>
      <c r="E38" s="49">
        <v>929.00000000000023</v>
      </c>
      <c r="F38" s="49">
        <v>425</v>
      </c>
      <c r="G38" s="49">
        <v>3225</v>
      </c>
      <c r="H38" s="49">
        <v>0</v>
      </c>
      <c r="I38" s="49">
        <v>0</v>
      </c>
      <c r="J38" s="49">
        <v>0</v>
      </c>
      <c r="K38" s="49">
        <v>247</v>
      </c>
      <c r="L38" s="49">
        <v>0</v>
      </c>
      <c r="M38" s="68">
        <v>1</v>
      </c>
    </row>
    <row r="39" spans="4:13" ht="15" x14ac:dyDescent="0.3">
      <c r="D39" s="43" t="s">
        <v>18</v>
      </c>
      <c r="E39" s="49">
        <v>190.99999999999977</v>
      </c>
      <c r="F39" s="49">
        <v>0</v>
      </c>
      <c r="G39" s="49">
        <v>0</v>
      </c>
      <c r="H39" s="49">
        <v>292</v>
      </c>
      <c r="I39" s="49">
        <v>0</v>
      </c>
      <c r="J39" s="49">
        <v>0</v>
      </c>
      <c r="K39" s="49">
        <v>0</v>
      </c>
      <c r="L39" s="49">
        <v>0</v>
      </c>
      <c r="M39" s="68">
        <v>1</v>
      </c>
    </row>
    <row r="40" spans="4:13" ht="15" x14ac:dyDescent="0.3">
      <c r="D40" s="43" t="s">
        <v>19</v>
      </c>
      <c r="E40" s="49">
        <v>0</v>
      </c>
      <c r="F40" s="49">
        <v>0</v>
      </c>
      <c r="G40" s="49">
        <v>0</v>
      </c>
      <c r="H40" s="49">
        <v>0</v>
      </c>
      <c r="I40" s="49">
        <v>684</v>
      </c>
      <c r="J40" s="49">
        <v>0</v>
      </c>
      <c r="K40" s="49">
        <v>0</v>
      </c>
      <c r="L40" s="49">
        <v>180</v>
      </c>
      <c r="M40" s="68">
        <v>1</v>
      </c>
    </row>
    <row r="41" spans="4:13" ht="15" x14ac:dyDescent="0.3">
      <c r="D41" s="43" t="s">
        <v>20</v>
      </c>
      <c r="E41" s="49">
        <v>0</v>
      </c>
      <c r="F41" s="49">
        <v>0</v>
      </c>
      <c r="G41" s="49">
        <v>0</v>
      </c>
      <c r="H41" s="49">
        <v>0</v>
      </c>
      <c r="I41" s="49">
        <v>0</v>
      </c>
      <c r="J41" s="49">
        <v>2065</v>
      </c>
      <c r="K41" s="49">
        <v>0</v>
      </c>
      <c r="L41" s="49">
        <v>0</v>
      </c>
      <c r="M41" s="68">
        <v>1</v>
      </c>
    </row>
    <row r="43" spans="4:13" ht="15" x14ac:dyDescent="0.3">
      <c r="D43" s="42" t="s">
        <v>42</v>
      </c>
    </row>
    <row r="44" spans="4:13" ht="15" x14ac:dyDescent="0.3">
      <c r="D44" s="42" t="s">
        <v>45</v>
      </c>
    </row>
    <row r="45" spans="4:13" ht="15" x14ac:dyDescent="0.3">
      <c r="D45" s="43" t="s">
        <v>15</v>
      </c>
      <c r="E45" s="69">
        <f>P14*M36-SUM(E36:L36)</f>
        <v>0</v>
      </c>
    </row>
    <row r="46" spans="4:13" ht="15" x14ac:dyDescent="0.3">
      <c r="D46" s="43" t="s">
        <v>16</v>
      </c>
      <c r="E46" s="69">
        <f>P15*M37-SUM(E37:L37)</f>
        <v>0</v>
      </c>
    </row>
    <row r="47" spans="4:13" ht="15" x14ac:dyDescent="0.3">
      <c r="D47" s="43" t="s">
        <v>17</v>
      </c>
      <c r="E47" s="69">
        <f>P16*M38-SUM(E38:L38)</f>
        <v>460</v>
      </c>
    </row>
    <row r="48" spans="4:13" ht="15" x14ac:dyDescent="0.3">
      <c r="D48" s="43" t="s">
        <v>18</v>
      </c>
      <c r="E48" s="69">
        <f>P17*M39-SUM(E39:L39)</f>
        <v>0</v>
      </c>
    </row>
    <row r="49" spans="4:15" ht="15" x14ac:dyDescent="0.3">
      <c r="D49" s="43" t="s">
        <v>19</v>
      </c>
      <c r="E49" s="69">
        <f>P18*M40-SUM(E40:L40)</f>
        <v>186</v>
      </c>
    </row>
    <row r="50" spans="4:15" ht="15" x14ac:dyDescent="0.3">
      <c r="D50" s="43" t="s">
        <v>20</v>
      </c>
      <c r="E50" s="70">
        <f>P19*M41-SUM(E41:L41)</f>
        <v>269</v>
      </c>
    </row>
    <row r="51" spans="4:15" ht="15" x14ac:dyDescent="0.3">
      <c r="D51" s="43" t="s">
        <v>43</v>
      </c>
      <c r="E51" s="69">
        <f>E21-SUM(E36:E41)</f>
        <v>0</v>
      </c>
      <c r="F51" s="69">
        <f t="shared" ref="F51:L51" si="2">F21-SUM(F36:F41)</f>
        <v>0</v>
      </c>
      <c r="G51" s="69">
        <f t="shared" si="2"/>
        <v>0</v>
      </c>
      <c r="H51" s="69">
        <f t="shared" si="2"/>
        <v>0</v>
      </c>
      <c r="I51" s="69">
        <f t="shared" si="2"/>
        <v>0</v>
      </c>
      <c r="J51" s="69">
        <f t="shared" si="2"/>
        <v>0</v>
      </c>
      <c r="K51" s="69">
        <f t="shared" si="2"/>
        <v>0</v>
      </c>
      <c r="L51" s="69">
        <f t="shared" si="2"/>
        <v>0</v>
      </c>
      <c r="M51" s="71"/>
    </row>
    <row r="52" spans="4:15" ht="15" x14ac:dyDescent="0.3">
      <c r="D52" s="72" t="s">
        <v>45</v>
      </c>
      <c r="E52" s="73">
        <f>SUM(E45:E51)</f>
        <v>915</v>
      </c>
    </row>
    <row r="53" spans="4:15" ht="15.6" x14ac:dyDescent="0.3">
      <c r="D53" s="75" t="s">
        <v>44</v>
      </c>
      <c r="E53" s="76">
        <f>SUMPRODUCT(E57:L62,E36:L41)+SUMPRODUCT(M36:M41,Q14:Q19)</f>
        <v>48477353</v>
      </c>
    </row>
    <row r="55" spans="4:15" ht="15" x14ac:dyDescent="0.3">
      <c r="D55" s="74" t="s">
        <v>47</v>
      </c>
    </row>
    <row r="56" spans="4:15" ht="15" x14ac:dyDescent="0.3">
      <c r="D56" s="43" t="s">
        <v>14</v>
      </c>
      <c r="E56" s="43" t="s">
        <v>15</v>
      </c>
      <c r="F56" s="43" t="s">
        <v>16</v>
      </c>
      <c r="G56" s="43" t="s">
        <v>17</v>
      </c>
      <c r="H56" s="43" t="s">
        <v>18</v>
      </c>
      <c r="I56" s="43" t="s">
        <v>19</v>
      </c>
      <c r="J56" s="43" t="s">
        <v>20</v>
      </c>
      <c r="K56" s="43" t="s">
        <v>21</v>
      </c>
      <c r="L56" s="43" t="s">
        <v>22</v>
      </c>
    </row>
    <row r="57" spans="4:15" ht="15" x14ac:dyDescent="0.3">
      <c r="D57" s="43" t="s">
        <v>15</v>
      </c>
      <c r="E57" s="49">
        <f>IF(E25&lt;=$O$59,1,10000000000)*E5</f>
        <v>4840</v>
      </c>
      <c r="F57" s="49">
        <f>IF(F25&lt;=$O$59,1,10000000000)*F5</f>
        <v>4900</v>
      </c>
      <c r="G57" s="49">
        <f>IF(G25&lt;=$O$59,1,10000000000)*G5</f>
        <v>5484</v>
      </c>
      <c r="H57" s="49">
        <f>IF(H25&lt;=$O$59,1,10000000000)*H5</f>
        <v>5500.8</v>
      </c>
      <c r="I57" s="49">
        <f>IF(I25&lt;=$O$59,1,10000000000)*I5</f>
        <v>51820000000000</v>
      </c>
      <c r="J57" s="49">
        <f>IF(J25&lt;=$O$59,1,10000000000)*J5</f>
        <v>50500000000000</v>
      </c>
      <c r="K57" s="49">
        <f>IF(K25&lt;=$O$59,1,10000000000)*K5</f>
        <v>5152</v>
      </c>
      <c r="L57" s="49">
        <f>IF(L25&lt;=$O$59,1,10000000000)*L5</f>
        <v>51720000000000</v>
      </c>
    </row>
    <row r="58" spans="4:15" ht="15" x14ac:dyDescent="0.3">
      <c r="D58" s="43" t="s">
        <v>16</v>
      </c>
      <c r="E58" s="49">
        <f>IF(E26&lt;=$O$59,1,10000000000)*E6</f>
        <v>5250</v>
      </c>
      <c r="F58" s="49">
        <f>IF(F26&lt;=$O$59,1,10000000000)*F6</f>
        <v>5180</v>
      </c>
      <c r="G58" s="49">
        <f>IF(G26&lt;=$O$59,1,10000000000)*G6</f>
        <v>5838.0000000000009</v>
      </c>
      <c r="H58" s="49">
        <f>IF(H26&lt;=$O$59,1,10000000000)*H6</f>
        <v>5871.6</v>
      </c>
      <c r="I58" s="49">
        <f>IF(I26&lt;=$O$59,1,10000000000)*I6</f>
        <v>5415.4000000000005</v>
      </c>
      <c r="J58" s="49">
        <f>IF(J26&lt;=$O$59,1,10000000000)*J6</f>
        <v>5350</v>
      </c>
      <c r="K58" s="49">
        <f>IF(K26&lt;=$O$59,1,10000000000)*K6</f>
        <v>5509</v>
      </c>
      <c r="L58" s="49">
        <f>IF(L26&lt;=$O$59,1,10000000000)*L6</f>
        <v>5519</v>
      </c>
    </row>
    <row r="59" spans="4:15" ht="15" x14ac:dyDescent="0.3">
      <c r="D59" s="43" t="s">
        <v>17</v>
      </c>
      <c r="E59" s="49">
        <f>IF(E27&lt;=$O$59,1,10000000000)*E7</f>
        <v>5030</v>
      </c>
      <c r="F59" s="49">
        <f>IF(F27&lt;=$O$59,1,10000000000)*F7</f>
        <v>5508</v>
      </c>
      <c r="G59" s="49">
        <f>IF(G27&lt;=$O$59,1,10000000000)*G7</f>
        <v>4880</v>
      </c>
      <c r="H59" s="49">
        <f>IF(H27&lt;=$O$59,1,10000000000)*H7</f>
        <v>5625.6</v>
      </c>
      <c r="I59" s="49">
        <f>IF(I27&lt;=$O$59,1,10000000000)*I7</f>
        <v>52364000000000.008</v>
      </c>
      <c r="J59" s="49">
        <f>IF(J27&lt;=$O$59,1,10000000000)*J7</f>
        <v>5080</v>
      </c>
      <c r="K59" s="49">
        <f>IF(K27&lt;=$O$59,1,10000000000)*K7</f>
        <v>5030</v>
      </c>
      <c r="L59" s="49">
        <f>IF(L27&lt;=$O$59,1,10000000000)*L7</f>
        <v>53140000000000</v>
      </c>
      <c r="N59" s="77" t="s">
        <v>46</v>
      </c>
      <c r="O59" s="77">
        <v>25</v>
      </c>
    </row>
    <row r="60" spans="4:15" ht="15" x14ac:dyDescent="0.3">
      <c r="D60" s="43" t="s">
        <v>18</v>
      </c>
      <c r="E60" s="49">
        <f>IF(E28&lt;=$O$59,1,10000000000)*E8</f>
        <v>5020</v>
      </c>
      <c r="F60" s="49">
        <f>IF(F28&lt;=$O$59,1,10000000000)*F8</f>
        <v>5504</v>
      </c>
      <c r="G60" s="49">
        <f>IF(G28&lt;=$O$59,1,10000000000)*G8</f>
        <v>55940000000000</v>
      </c>
      <c r="H60" s="49">
        <f>IF(H28&lt;=$O$59,1,10000000000)*H8</f>
        <v>4940</v>
      </c>
      <c r="I60" s="49">
        <f>IF(I28&lt;=$O$59,1,10000000000)*I8</f>
        <v>51982000000000</v>
      </c>
      <c r="J60" s="49">
        <f>IF(J28&lt;=$O$59,1,10000000000)*J8</f>
        <v>5140</v>
      </c>
      <c r="K60" s="49">
        <f>IF(K28&lt;=$O$59,1,10000000000)*K8</f>
        <v>5020</v>
      </c>
      <c r="L60" s="49">
        <f>IF(L28&lt;=$O$59,1,10000000000)*L8</f>
        <v>52970000000000</v>
      </c>
    </row>
    <row r="61" spans="4:15" ht="15" x14ac:dyDescent="0.3">
      <c r="D61" s="43" t="s">
        <v>19</v>
      </c>
      <c r="E61" s="49">
        <f>IF(E29&lt;=$O$59,1,10000000000)*E9</f>
        <v>51910000000000</v>
      </c>
      <c r="F61" s="49">
        <f>IF(F29&lt;=$O$59,1,10000000000)*F9</f>
        <v>57081000000000</v>
      </c>
      <c r="G61" s="49">
        <f>IF(G29&lt;=$O$59,1,10000000000)*G9</f>
        <v>57881000000000</v>
      </c>
      <c r="H61" s="49">
        <f>IF(H29&lt;=$O$59,1,10000000000)*H9</f>
        <v>58295200000000.008</v>
      </c>
      <c r="I61" s="49">
        <f>IF(I29&lt;=$O$59,1,10000000000)*I9</f>
        <v>5071</v>
      </c>
      <c r="J61" s="49">
        <f>IF(J29&lt;=$O$59,1,10000000000)*J9</f>
        <v>53110000000000</v>
      </c>
      <c r="K61" s="49">
        <f>IF(K29&lt;=$O$59,1,10000000000)*K9</f>
        <v>52110000000000</v>
      </c>
      <c r="L61" s="49">
        <f>IF(L29&lt;=$O$59,1,10000000000)*L9</f>
        <v>5424.55</v>
      </c>
    </row>
    <row r="62" spans="4:15" ht="15" x14ac:dyDescent="0.3">
      <c r="D62" s="43" t="s">
        <v>20</v>
      </c>
      <c r="E62" s="49">
        <f>IF(E30&lt;=$O$59,1,10000000000)*E10</f>
        <v>54225000000000</v>
      </c>
      <c r="F62" s="49">
        <f>IF(F30&lt;=$O$59,1,10000000000)*F10</f>
        <v>56550000000000</v>
      </c>
      <c r="G62" s="49">
        <f>IF(G30&lt;=$O$59,1,10000000000)*G10</f>
        <v>57750000000000</v>
      </c>
      <c r="H62" s="49">
        <f>IF(H30&lt;=$O$59,1,10000000000)*H10</f>
        <v>57760000000000.008</v>
      </c>
      <c r="I62" s="49">
        <f>IF(I30&lt;=$O$59,1,10000000000)*I10</f>
        <v>54625000000000</v>
      </c>
      <c r="J62" s="49">
        <f>IF(J30&lt;=$O$59,1,10000000000)*J10</f>
        <v>5050</v>
      </c>
      <c r="K62" s="49">
        <f>IF(K30&lt;=$O$59,1,10000000000)*K10</f>
        <v>51700000000000</v>
      </c>
      <c r="L62" s="49">
        <f>IF(L30&lt;=$O$59,1,10000000000)*L10</f>
        <v>54925000000000</v>
      </c>
    </row>
  </sheetData>
  <pageMargins left="0.7" right="0.7" top="0.75" bottom="0.75" header="0.3" footer="0.3"/>
  <pageSetup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Copyright</vt:lpstr>
      <vt:lpstr>Sheet1</vt:lpstr>
      <vt:lpstr>Solved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singfat</dc:creator>
  <cp:lastModifiedBy>ROHIT GHOSH</cp:lastModifiedBy>
  <dcterms:created xsi:type="dcterms:W3CDTF">2017-11-27T01:28:54Z</dcterms:created>
  <dcterms:modified xsi:type="dcterms:W3CDTF">2026-01-29T06:14:20Z</dcterms:modified>
</cp:coreProperties>
</file>