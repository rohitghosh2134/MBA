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MBA\Courses\Term 3\SCM\Case Studies\"/>
    </mc:Choice>
  </mc:AlternateContent>
  <xr:revisionPtr revIDLastSave="0" documentId="13_ncr:1_{CDB38E15-01C0-4383-8782-C7578E6A601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odel" sheetId="1" r:id="rId1"/>
  </sheets>
  <definedNames>
    <definedName name="solver_adj" localSheetId="0" hidden="1">Model!$B$2:$I$7,Model!$L$2:$L$7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Model!$B$6:$I$7</definedName>
    <definedName name="solver_lhs2" localSheetId="0" hidden="1">Model!$B$8:$I$8</definedName>
    <definedName name="solver_lhs3" localSheetId="0" hidden="1">Model!$F$2:$G$2</definedName>
    <definedName name="solver_lhs4" localSheetId="0" hidden="1">Model!$F$5</definedName>
    <definedName name="solver_lhs5" localSheetId="0" hidden="1">Model!$I$2</definedName>
    <definedName name="solver_lhs6" localSheetId="0" hidden="1">Model!$I$5</definedName>
    <definedName name="solver_lhs7" localSheetId="0" hidden="1">Model!$J$2:$J$7</definedName>
    <definedName name="solver_lhs8" localSheetId="0" hidden="1">Model!$L$2:$L$7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8</definedName>
    <definedName name="solver_nwt" localSheetId="0" hidden="1">1</definedName>
    <definedName name="solver_opt" localSheetId="0" hidden="1">Model!$B$20</definedName>
    <definedName name="solver_pre" localSheetId="0" hidden="1">0.000001</definedName>
    <definedName name="solver_rbv" localSheetId="0" hidden="1">2</definedName>
    <definedName name="solver_rel1" localSheetId="0" hidden="1">2</definedName>
    <definedName name="solver_rel2" localSheetId="0" hidden="1">2</definedName>
    <definedName name="solver_rel3" localSheetId="0" hidden="1">2</definedName>
    <definedName name="solver_rel4" localSheetId="0" hidden="1">2</definedName>
    <definedName name="solver_rel5" localSheetId="0" hidden="1">2</definedName>
    <definedName name="solver_rel6" localSheetId="0" hidden="1">2</definedName>
    <definedName name="solver_rel7" localSheetId="0" hidden="1">1</definedName>
    <definedName name="solver_rel8" localSheetId="0" hidden="1">5</definedName>
    <definedName name="solver_rhs1" localSheetId="0" hidden="1">0</definedName>
    <definedName name="solver_rhs2" localSheetId="0" hidden="1">Model!$B$9:$I$9</definedName>
    <definedName name="solver_rhs3" localSheetId="0" hidden="1">0</definedName>
    <definedName name="solver_rhs4" localSheetId="0" hidden="1">0</definedName>
    <definedName name="solver_rhs5" localSheetId="0" hidden="1">0</definedName>
    <definedName name="solver_rhs6" localSheetId="0" hidden="1">0</definedName>
    <definedName name="solver_rhs7" localSheetId="0" hidden="1">Model!$N$2:$N$7</definedName>
    <definedName name="solver_rhs8" localSheetId="0" hidden="1">"binary"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2" i="1"/>
  <c r="B20" i="1"/>
  <c r="M7" i="1" l="1"/>
  <c r="M6" i="1"/>
  <c r="M5" i="1"/>
  <c r="M4" i="1"/>
  <c r="M3" i="1"/>
  <c r="M2" i="1"/>
  <c r="I8" i="1"/>
  <c r="H8" i="1"/>
  <c r="G8" i="1"/>
  <c r="F8" i="1"/>
  <c r="E8" i="1"/>
  <c r="D8" i="1"/>
  <c r="C8" i="1"/>
  <c r="B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<sst xmlns="http://schemas.openxmlformats.org/spreadsheetml/2006/main" count="36" uniqueCount="36">
  <si>
    <t>C1</t>
  </si>
  <si>
    <t>C2</t>
  </si>
  <si>
    <t>C3</t>
  </si>
  <si>
    <t>C4</t>
  </si>
  <si>
    <t>C5</t>
  </si>
  <si>
    <t>C6</t>
  </si>
  <si>
    <t>C7</t>
  </si>
  <si>
    <t>C8</t>
  </si>
  <si>
    <t>RowTotal</t>
  </si>
  <si>
    <t>Capacity</t>
  </si>
  <si>
    <t>Open</t>
  </si>
  <si>
    <t>P1</t>
  </si>
  <si>
    <t>P2</t>
  </si>
  <si>
    <t>P3</t>
  </si>
  <si>
    <t>P4</t>
  </si>
  <si>
    <t>P5</t>
  </si>
  <si>
    <t>P6</t>
  </si>
  <si>
    <t>Demand</t>
  </si>
  <si>
    <t>Production/Market</t>
  </si>
  <si>
    <t>Country1</t>
  </si>
  <si>
    <t>Country2</t>
  </si>
  <si>
    <t>Country3</t>
  </si>
  <si>
    <t>Country4</t>
  </si>
  <si>
    <t>Country5</t>
  </si>
  <si>
    <t>Country6</t>
  </si>
  <si>
    <t>Country7</t>
  </si>
  <si>
    <t>Country8</t>
  </si>
  <si>
    <t>Country 1</t>
  </si>
  <si>
    <t>Country 2</t>
  </si>
  <si>
    <t>Country 3</t>
  </si>
  <si>
    <t>Country 4</t>
  </si>
  <si>
    <t>Country 5</t>
  </si>
  <si>
    <t>Country 6</t>
  </si>
  <si>
    <t>Fixed Op. Cost</t>
  </si>
  <si>
    <t>TOTAL COST</t>
  </si>
  <si>
    <t>TOTAL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</si>
</sst>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164" fontId="2" fillId="0" borderId="1" xfId="1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G19" sqref="G19"/>
    </sheetView>
  </sheetViews>
  <sheetFormatPr defaultRowHeight="14.4" x14ac:dyDescent="0.3"/>
  <cols>
    <col min="1" max="1" width="19.109375" bestFit="1" customWidth="1"/>
    <col min="2" max="9" width="9.77734375" bestFit="1" customWidth="1"/>
    <col min="11" max="11" width="8" bestFit="1" customWidth="1"/>
    <col min="12" max="12" width="5.33203125" bestFit="1" customWidth="1"/>
    <col min="13" max="13" width="15.88671875" bestFit="1" customWidth="1"/>
  </cols>
  <sheetData>
    <row r="1" spans="1:14" ht="15.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1" t="s">
        <v>33</v>
      </c>
      <c r="N1" t="s">
        <v>35</v>
      </c>
    </row>
    <row r="2" spans="1:14" ht="15.6" x14ac:dyDescent="0.3">
      <c r="A2" t="s">
        <v>11</v>
      </c>
      <c r="B2">
        <v>1120</v>
      </c>
      <c r="C2">
        <v>425</v>
      </c>
      <c r="D2">
        <v>0</v>
      </c>
      <c r="E2">
        <v>0</v>
      </c>
      <c r="F2">
        <v>0</v>
      </c>
      <c r="G2">
        <v>0</v>
      </c>
      <c r="H2">
        <v>180.00000000000023</v>
      </c>
      <c r="I2">
        <v>0</v>
      </c>
      <c r="J2">
        <f t="shared" ref="J2:J7" si="0">SUM(B2:I2)</f>
        <v>1725.0000000000002</v>
      </c>
      <c r="K2">
        <v>1725</v>
      </c>
      <c r="L2">
        <v>1</v>
      </c>
      <c r="M2" s="3">
        <f>1380000</f>
        <v>1380000</v>
      </c>
      <c r="N2">
        <f>K2*L2</f>
        <v>1725</v>
      </c>
    </row>
    <row r="3" spans="1:14" ht="15.6" x14ac:dyDescent="0.3">
      <c r="A3" t="s">
        <v>12</v>
      </c>
      <c r="B3">
        <v>0</v>
      </c>
      <c r="C3">
        <v>0</v>
      </c>
      <c r="D3">
        <v>0</v>
      </c>
      <c r="E3">
        <v>0</v>
      </c>
      <c r="F3">
        <v>684</v>
      </c>
      <c r="G3">
        <v>0</v>
      </c>
      <c r="H3">
        <v>0</v>
      </c>
      <c r="I3">
        <v>60</v>
      </c>
      <c r="J3">
        <f t="shared" si="0"/>
        <v>744</v>
      </c>
      <c r="K3">
        <v>800</v>
      </c>
      <c r="L3">
        <v>1</v>
      </c>
      <c r="M3" s="3">
        <f>1050000</f>
        <v>1050000</v>
      </c>
      <c r="N3">
        <f t="shared" ref="N3:N9" si="1">K3*L3</f>
        <v>800</v>
      </c>
    </row>
    <row r="4" spans="1:14" ht="15.6" x14ac:dyDescent="0.3">
      <c r="A4" t="s">
        <v>13</v>
      </c>
      <c r="B4">
        <v>0</v>
      </c>
      <c r="C4">
        <v>0</v>
      </c>
      <c r="D4">
        <v>3225</v>
      </c>
      <c r="E4">
        <v>0</v>
      </c>
      <c r="F4">
        <v>0</v>
      </c>
      <c r="G4">
        <v>1941</v>
      </c>
      <c r="H4">
        <v>0</v>
      </c>
      <c r="I4">
        <v>120</v>
      </c>
      <c r="J4">
        <f t="shared" si="0"/>
        <v>5286</v>
      </c>
      <c r="K4">
        <v>5286</v>
      </c>
      <c r="L4">
        <v>1</v>
      </c>
      <c r="M4" s="3">
        <f>3171600</f>
        <v>3171600</v>
      </c>
      <c r="N4">
        <f t="shared" si="1"/>
        <v>5286</v>
      </c>
    </row>
    <row r="5" spans="1:14" ht="15.6" x14ac:dyDescent="0.3">
      <c r="A5" t="s">
        <v>14</v>
      </c>
      <c r="B5">
        <v>0</v>
      </c>
      <c r="C5">
        <v>0</v>
      </c>
      <c r="D5">
        <v>0</v>
      </c>
      <c r="E5">
        <v>292</v>
      </c>
      <c r="F5">
        <v>0</v>
      </c>
      <c r="G5">
        <v>124</v>
      </c>
      <c r="H5">
        <v>66.999999999999773</v>
      </c>
      <c r="I5">
        <v>0</v>
      </c>
      <c r="J5">
        <f t="shared" si="0"/>
        <v>482.99999999999977</v>
      </c>
      <c r="K5">
        <v>483</v>
      </c>
      <c r="L5">
        <v>1</v>
      </c>
      <c r="M5" s="3">
        <f>618240</f>
        <v>618240</v>
      </c>
      <c r="N5">
        <f t="shared" si="1"/>
        <v>483</v>
      </c>
    </row>
    <row r="6" spans="1:14" ht="15.6" x14ac:dyDescent="0.3">
      <c r="A6" t="s">
        <v>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f t="shared" si="0"/>
        <v>0</v>
      </c>
      <c r="K6">
        <v>1050</v>
      </c>
      <c r="L6">
        <v>0</v>
      </c>
      <c r="M6" s="3">
        <f>1785000</f>
        <v>1785000</v>
      </c>
      <c r="N6">
        <f t="shared" si="1"/>
        <v>0</v>
      </c>
    </row>
    <row r="7" spans="1:14" ht="15.6" x14ac:dyDescent="0.3">
      <c r="A7" t="s">
        <v>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f t="shared" si="0"/>
        <v>0</v>
      </c>
      <c r="K7">
        <v>2334</v>
      </c>
      <c r="L7">
        <v>0</v>
      </c>
      <c r="M7" s="3">
        <f>1633800</f>
        <v>1633800</v>
      </c>
      <c r="N7">
        <f t="shared" si="1"/>
        <v>0</v>
      </c>
    </row>
    <row r="8" spans="1:14" x14ac:dyDescent="0.3">
      <c r="B8">
        <f>SUM(B2:B7)</f>
        <v>1120</v>
      </c>
      <c r="C8">
        <f t="shared" ref="C8:I8" si="2">SUM(C2:C7)</f>
        <v>425</v>
      </c>
      <c r="D8">
        <f t="shared" si="2"/>
        <v>3225</v>
      </c>
      <c r="E8">
        <f t="shared" si="2"/>
        <v>292</v>
      </c>
      <c r="F8">
        <f t="shared" si="2"/>
        <v>684</v>
      </c>
      <c r="G8">
        <f t="shared" si="2"/>
        <v>2065</v>
      </c>
      <c r="H8">
        <f t="shared" si="2"/>
        <v>247</v>
      </c>
      <c r="I8">
        <f t="shared" si="2"/>
        <v>180</v>
      </c>
    </row>
    <row r="9" spans="1:14" x14ac:dyDescent="0.3">
      <c r="A9" t="s">
        <v>17</v>
      </c>
      <c r="B9">
        <v>1120</v>
      </c>
      <c r="C9">
        <v>425</v>
      </c>
      <c r="D9">
        <v>3225</v>
      </c>
      <c r="E9">
        <v>292</v>
      </c>
      <c r="F9">
        <v>684</v>
      </c>
      <c r="G9">
        <v>2065</v>
      </c>
      <c r="H9">
        <v>247</v>
      </c>
      <c r="I9">
        <v>180</v>
      </c>
    </row>
    <row r="11" spans="1:14" ht="15.6" x14ac:dyDescent="0.3">
      <c r="A11" s="1" t="s">
        <v>18</v>
      </c>
      <c r="B11" s="1" t="s">
        <v>19</v>
      </c>
      <c r="C11" s="1" t="s">
        <v>20</v>
      </c>
      <c r="D11" s="1" t="s">
        <v>21</v>
      </c>
      <c r="E11" s="1" t="s">
        <v>22</v>
      </c>
      <c r="F11" s="1" t="s">
        <v>23</v>
      </c>
      <c r="G11" s="1" t="s">
        <v>24</v>
      </c>
      <c r="H11" s="1" t="s">
        <v>25</v>
      </c>
      <c r="I11" s="1" t="s">
        <v>26</v>
      </c>
    </row>
    <row r="12" spans="1:14" ht="15.6" x14ac:dyDescent="0.3">
      <c r="A12" s="1" t="s">
        <v>27</v>
      </c>
      <c r="B12" s="2">
        <v>4840</v>
      </c>
      <c r="C12" s="2">
        <v>4900</v>
      </c>
      <c r="D12" s="2">
        <v>5484</v>
      </c>
      <c r="E12" s="2">
        <v>5500.8</v>
      </c>
      <c r="F12" s="2">
        <v>5182</v>
      </c>
      <c r="G12" s="2">
        <v>5050</v>
      </c>
      <c r="H12" s="2">
        <v>5152</v>
      </c>
      <c r="I12" s="2">
        <v>5172</v>
      </c>
    </row>
    <row r="13" spans="1:14" ht="15.6" x14ac:dyDescent="0.3">
      <c r="A13" s="1" t="s">
        <v>28</v>
      </c>
      <c r="B13" s="2">
        <v>5250</v>
      </c>
      <c r="C13" s="2">
        <v>5180</v>
      </c>
      <c r="D13" s="2">
        <v>5838.0000000000009</v>
      </c>
      <c r="E13" s="2">
        <v>5871.6</v>
      </c>
      <c r="F13" s="2">
        <v>5415.4000000000005</v>
      </c>
      <c r="G13" s="2">
        <v>5350</v>
      </c>
      <c r="H13" s="2">
        <v>5509</v>
      </c>
      <c r="I13" s="2">
        <v>5519</v>
      </c>
    </row>
    <row r="14" spans="1:14" ht="15.6" x14ac:dyDescent="0.3">
      <c r="A14" s="1" t="s">
        <v>29</v>
      </c>
      <c r="B14" s="2">
        <v>5030</v>
      </c>
      <c r="C14" s="2">
        <v>5508</v>
      </c>
      <c r="D14" s="2">
        <v>4880</v>
      </c>
      <c r="E14" s="2">
        <v>5625.6</v>
      </c>
      <c r="F14" s="2">
        <v>5236.4000000000005</v>
      </c>
      <c r="G14" s="2">
        <v>5080</v>
      </c>
      <c r="H14" s="2">
        <v>5030</v>
      </c>
      <c r="I14" s="2">
        <v>5314</v>
      </c>
    </row>
    <row r="15" spans="1:14" ht="15.6" x14ac:dyDescent="0.3">
      <c r="A15" s="1" t="s">
        <v>30</v>
      </c>
      <c r="B15" s="2">
        <v>5020</v>
      </c>
      <c r="C15" s="2">
        <v>5504</v>
      </c>
      <c r="D15" s="2">
        <v>5594</v>
      </c>
      <c r="E15" s="2">
        <v>4940</v>
      </c>
      <c r="F15" s="2">
        <v>5198.2</v>
      </c>
      <c r="G15" s="2">
        <v>5140</v>
      </c>
      <c r="H15" s="2">
        <v>5020</v>
      </c>
      <c r="I15" s="2">
        <v>5297</v>
      </c>
    </row>
    <row r="16" spans="1:14" ht="15.6" x14ac:dyDescent="0.3">
      <c r="A16" s="1" t="s">
        <v>31</v>
      </c>
      <c r="B16" s="2">
        <v>5191</v>
      </c>
      <c r="C16" s="2">
        <v>5708.1</v>
      </c>
      <c r="D16" s="2">
        <v>5788.1</v>
      </c>
      <c r="E16" s="2">
        <v>5829.52</v>
      </c>
      <c r="F16" s="2">
        <v>5071</v>
      </c>
      <c r="G16" s="2">
        <v>5311</v>
      </c>
      <c r="H16" s="2">
        <v>5211</v>
      </c>
      <c r="I16" s="2">
        <v>5424.55</v>
      </c>
    </row>
    <row r="17" spans="1:9" ht="15.6" x14ac:dyDescent="0.3">
      <c r="A17" s="1" t="s">
        <v>32</v>
      </c>
      <c r="B17" s="2">
        <v>5422.5</v>
      </c>
      <c r="C17" s="2">
        <v>5655</v>
      </c>
      <c r="D17" s="2">
        <v>5775</v>
      </c>
      <c r="E17" s="2">
        <v>5776.0000000000009</v>
      </c>
      <c r="F17" s="2">
        <v>5462.5</v>
      </c>
      <c r="G17" s="2">
        <v>5050</v>
      </c>
      <c r="H17" s="2">
        <v>5170</v>
      </c>
      <c r="I17" s="2">
        <v>5492.5</v>
      </c>
    </row>
    <row r="20" spans="1:9" x14ac:dyDescent="0.3">
      <c r="A20" t="s">
        <v>34</v>
      </c>
      <c r="B20">
        <f>SUMPRODUCT(B2:I7, B12:I17) + SUMPRODUCT(M2:M7, L2:L7)</f>
        <v>47337913.600000001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GHOSH</cp:lastModifiedBy>
  <dcterms:created xsi:type="dcterms:W3CDTF">2026-01-27T06:56:12Z</dcterms:created>
  <dcterms:modified xsi:type="dcterms:W3CDTF">2026-01-27T07:42:29Z</dcterms:modified>
</cp:coreProperties>
</file>