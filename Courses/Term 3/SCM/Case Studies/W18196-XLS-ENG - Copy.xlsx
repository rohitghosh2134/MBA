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iamab\Downloads\"/>
    </mc:Choice>
  </mc:AlternateContent>
  <xr:revisionPtr revIDLastSave="0" documentId="13_ncr:1_{D164DC30-9FC8-47BF-8B63-75F21EA6E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adj" localSheetId="0" hidden="1">Sheet1!$E$14:$L$19,Sheet1!$A$14:$A$19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Sheet1!$A$14:$A$19</definedName>
    <definedName name="solver_lhs2" localSheetId="0" hidden="1">Sheet1!$M$14:$M$19</definedName>
    <definedName name="solver_lhs3" localSheetId="0" hidden="1">Sheet1!$E$14:$L$19</definedName>
    <definedName name="solver_lhs4" localSheetId="0" hidden="1">Sheet1!$E$20:$L$20</definedName>
    <definedName name="solver_lhs5" localSheetId="0" hidden="1">Sheet1!$E$20:$L$20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Sheet1!#REF!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1</definedName>
    <definedName name="solver_rel3" localSheetId="0" hidden="1">1</definedName>
    <definedName name="solver_rel4" localSheetId="0" hidden="1">2</definedName>
    <definedName name="solver_rel5" localSheetId="0" hidden="1">2</definedName>
    <definedName name="solver_rhs1" localSheetId="0" hidden="1">binary</definedName>
    <definedName name="solver_rhs2" localSheetId="0" hidden="1">Capacity</definedName>
    <definedName name="solver_rhs3" localSheetId="0" hidden="1">MaximumSupplyMatrix</definedName>
    <definedName name="solver_rhs4" localSheetId="0" hidden="1">Demand_in_tons</definedName>
    <definedName name="solver_rhs5" localSheetId="0" hidden="1">Demand_in_tons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  <c r="B19" i="1"/>
  <c r="B18" i="1"/>
  <c r="B17" i="1"/>
  <c r="B16" i="1"/>
  <c r="B15" i="1"/>
  <c r="B14" i="1"/>
  <c r="M14" i="1"/>
  <c r="L20" i="1"/>
  <c r="K20" i="1"/>
  <c r="J20" i="1"/>
  <c r="I20" i="1"/>
  <c r="H20" i="1"/>
  <c r="G20" i="1"/>
  <c r="F20" i="1"/>
  <c r="E20" i="1"/>
  <c r="M19" i="1"/>
  <c r="M18" i="1"/>
  <c r="M17" i="1"/>
  <c r="M16" i="1"/>
  <c r="M15" i="1"/>
</calcChain>
</file>

<file path=xl/sharedStrings.xml><?xml version="1.0" encoding="utf-8"?>
<sst xmlns="http://schemas.openxmlformats.org/spreadsheetml/2006/main" count="97" uniqueCount="30">
  <si>
    <t>Quarterly Production Parameters</t>
  </si>
  <si>
    <t>Country1</t>
  </si>
  <si>
    <t>Country2</t>
  </si>
  <si>
    <t>Country3</t>
  </si>
  <si>
    <t>Country4</t>
  </si>
  <si>
    <t>Country5</t>
  </si>
  <si>
    <t>Country6</t>
  </si>
  <si>
    <t>Country7</t>
  </si>
  <si>
    <t>Country8</t>
  </si>
  <si>
    <t>Capacity</t>
  </si>
  <si>
    <t>Operating?</t>
  </si>
  <si>
    <t>Fixed Op. Cost</t>
  </si>
  <si>
    <t>Max Lead Time</t>
  </si>
  <si>
    <t>Sika: Optimizing the APAC Epoxy Flooring Supply Chain</t>
  </si>
  <si>
    <t>Production/Market</t>
  </si>
  <si>
    <t>Country 1</t>
  </si>
  <si>
    <t>Country 2</t>
  </si>
  <si>
    <t>Country 3</t>
  </si>
  <si>
    <t>Country 4</t>
  </si>
  <si>
    <t>Country 5</t>
  </si>
  <si>
    <t>Country 6</t>
  </si>
  <si>
    <t>Country 7</t>
  </si>
  <si>
    <t>Country 8</t>
  </si>
  <si>
    <t>Lead Time Matrix (Order Processing and Transportation) Days</t>
  </si>
  <si>
    <t>Supply Chain Matrix (tons)</t>
  </si>
  <si>
    <t>Production Total</t>
  </si>
  <si>
    <t>Demand in Tons</t>
  </si>
  <si>
    <t>Supply to Market</t>
  </si>
  <si>
    <t>Landed Cost (=Production + Transport + Import Tax) per Ton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</si>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</sst>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.00_-;\-* #,##0.00_-;_-* &quot;-&quot;??_-;_-@_-"/>
    <numFmt numFmtId="166" formatCode="&quot;$&quot;#,##0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1F497D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166" fontId="3" fillId="0" borderId="1" xfId="0" applyNumberFormat="1" applyFont="1" applyBorder="1"/>
    <xf numFmtId="0" fontId="5" fillId="0" borderId="0" xfId="0" applyFont="1"/>
    <xf numFmtId="166" fontId="3" fillId="0" borderId="1" xfId="1" applyNumberFormat="1" applyFont="1" applyFill="1" applyBorder="1"/>
    <xf numFmtId="0" fontId="6" fillId="0" borderId="1" xfId="0" applyFont="1" applyBorder="1"/>
    <xf numFmtId="3" fontId="6" fillId="0" borderId="1" xfId="1" applyNumberFormat="1" applyFont="1" applyFill="1" applyBorder="1"/>
    <xf numFmtId="0" fontId="3" fillId="0" borderId="2" xfId="0" applyFont="1" applyBorder="1"/>
    <xf numFmtId="167" fontId="6" fillId="0" borderId="1" xfId="0" applyNumberFormat="1" applyFont="1" applyBorder="1"/>
    <xf numFmtId="9" fontId="4" fillId="0" borderId="0" xfId="2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3" fontId="6" fillId="0" borderId="0" xfId="1" applyNumberFormat="1" applyFont="1" applyFill="1" applyBorder="1"/>
    <xf numFmtId="2" fontId="5" fillId="0" borderId="1" xfId="0" applyNumberFormat="1" applyFont="1" applyBorder="1"/>
    <xf numFmtId="164" fontId="3" fillId="0" borderId="3" xfId="0" applyNumberFormat="1" applyFont="1" applyBorder="1"/>
    <xf numFmtId="167" fontId="6" fillId="0" borderId="0" xfId="0" applyNumberFormat="1" applyFont="1"/>
    <xf numFmtId="164" fontId="5" fillId="0" borderId="1" xfId="1" applyNumberFormat="1" applyFont="1" applyFill="1" applyBorder="1" applyAlignment="1">
      <alignment horizontal="right"/>
    </xf>
    <xf numFmtId="167" fontId="3" fillId="0" borderId="1" xfId="1" applyNumberFormat="1" applyFont="1" applyFill="1" applyBorder="1"/>
    <xf numFmtId="167" fontId="4" fillId="0" borderId="1" xfId="0" applyNumberFormat="1" applyFont="1" applyBorder="1"/>
    <xf numFmtId="164" fontId="3" fillId="0" borderId="1" xfId="1" applyNumberFormat="1" applyFont="1" applyFill="1" applyBorder="1" applyAlignment="1">
      <alignment horizontal="right"/>
    </xf>
    <xf numFmtId="167" fontId="3" fillId="0" borderId="1" xfId="1" applyNumberFormat="1" applyFont="1" applyFill="1" applyBorder="1" applyAlignment="1">
      <alignment horizontal="right"/>
    </xf>
    <xf numFmtId="167" fontId="5" fillId="0" borderId="1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167" fontId="3" fillId="0" borderId="2" xfId="1" applyNumberFormat="1" applyFont="1" applyFill="1" applyBorder="1" applyAlignment="1">
      <alignment horizontal="right"/>
    </xf>
    <xf numFmtId="167" fontId="3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tabSelected="1" workbookViewId="0">
      <selection activeCell="F21" sqref="F21"/>
    </sheetView>
  </sheetViews>
  <sheetFormatPr defaultColWidth="8.88671875" defaultRowHeight="14.4" x14ac:dyDescent="0.3"/>
  <cols>
    <col min="1" max="1" width="16.88671875" bestFit="1" customWidth="1"/>
    <col min="2" max="2" width="14.109375" bestFit="1" customWidth="1"/>
    <col min="3" max="3" width="16.6640625" bestFit="1" customWidth="1"/>
    <col min="4" max="4" width="19.6640625" bestFit="1" customWidth="1"/>
    <col min="5" max="5" width="11.44140625" bestFit="1" customWidth="1"/>
    <col min="6" max="6" width="10.109375" bestFit="1" customWidth="1"/>
    <col min="7" max="7" width="11.44140625" bestFit="1" customWidth="1"/>
    <col min="8" max="9" width="10.109375" bestFit="1" customWidth="1"/>
    <col min="10" max="10" width="11.33203125" customWidth="1"/>
    <col min="11" max="12" width="10.109375" bestFit="1" customWidth="1"/>
    <col min="13" max="13" width="17" bestFit="1" customWidth="1"/>
  </cols>
  <sheetData>
    <row r="1" spans="1:14" s="3" customFormat="1" ht="15.6" x14ac:dyDescent="0.3">
      <c r="A1" s="6" t="s">
        <v>13</v>
      </c>
    </row>
    <row r="2" spans="1:14" s="3" customFormat="1" ht="15" x14ac:dyDescent="0.25"/>
    <row r="3" spans="1:14" s="3" customFormat="1" ht="15.6" x14ac:dyDescent="0.3">
      <c r="D3" s="6" t="s">
        <v>28</v>
      </c>
      <c r="E3" s="2"/>
      <c r="F3" s="2"/>
      <c r="G3" s="2"/>
      <c r="H3" s="2"/>
      <c r="I3" s="2"/>
      <c r="J3" s="2"/>
      <c r="K3" s="2"/>
      <c r="L3" s="2"/>
    </row>
    <row r="4" spans="1:14" s="3" customFormat="1" ht="15" x14ac:dyDescent="0.25">
      <c r="D4" s="4" t="s">
        <v>14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</row>
    <row r="5" spans="1:14" s="3" customFormat="1" ht="15" x14ac:dyDescent="0.25">
      <c r="D5" s="4" t="s">
        <v>15</v>
      </c>
      <c r="E5" s="7">
        <v>4840</v>
      </c>
      <c r="F5" s="7">
        <v>4900</v>
      </c>
      <c r="G5" s="7">
        <v>5484</v>
      </c>
      <c r="H5" s="7">
        <v>5500.8</v>
      </c>
      <c r="I5" s="7">
        <v>5182</v>
      </c>
      <c r="J5" s="7">
        <v>5050</v>
      </c>
      <c r="K5" s="7">
        <v>5152</v>
      </c>
      <c r="L5" s="7">
        <v>5172</v>
      </c>
    </row>
    <row r="6" spans="1:14" s="3" customFormat="1" ht="15" x14ac:dyDescent="0.25">
      <c r="D6" s="4" t="s">
        <v>16</v>
      </c>
      <c r="E6" s="7">
        <v>5250</v>
      </c>
      <c r="F6" s="7">
        <v>5180</v>
      </c>
      <c r="G6" s="7">
        <v>5838.0000000000009</v>
      </c>
      <c r="H6" s="7">
        <v>5871.6</v>
      </c>
      <c r="I6" s="7">
        <v>5415.4000000000005</v>
      </c>
      <c r="J6" s="7">
        <v>5350</v>
      </c>
      <c r="K6" s="7">
        <v>5509</v>
      </c>
      <c r="L6" s="7">
        <v>5519</v>
      </c>
    </row>
    <row r="7" spans="1:14" s="3" customFormat="1" ht="15" x14ac:dyDescent="0.25">
      <c r="D7" s="4" t="s">
        <v>17</v>
      </c>
      <c r="E7" s="7">
        <v>5030</v>
      </c>
      <c r="F7" s="7">
        <v>5508</v>
      </c>
      <c r="G7" s="7">
        <v>4880</v>
      </c>
      <c r="H7" s="7">
        <v>5625.6</v>
      </c>
      <c r="I7" s="7">
        <v>5236.4000000000005</v>
      </c>
      <c r="J7" s="7">
        <v>5080</v>
      </c>
      <c r="K7" s="7">
        <v>5030</v>
      </c>
      <c r="L7" s="7">
        <v>5314</v>
      </c>
    </row>
    <row r="8" spans="1:14" s="3" customFormat="1" ht="15" x14ac:dyDescent="0.25">
      <c r="D8" s="4" t="s">
        <v>18</v>
      </c>
      <c r="E8" s="7">
        <v>5020</v>
      </c>
      <c r="F8" s="7">
        <v>5504</v>
      </c>
      <c r="G8" s="7">
        <v>5594</v>
      </c>
      <c r="H8" s="7">
        <v>4940</v>
      </c>
      <c r="I8" s="7">
        <v>5198.2</v>
      </c>
      <c r="J8" s="7">
        <v>5140</v>
      </c>
      <c r="K8" s="7">
        <v>5020</v>
      </c>
      <c r="L8" s="7">
        <v>5297</v>
      </c>
    </row>
    <row r="9" spans="1:14" s="3" customFormat="1" ht="15" x14ac:dyDescent="0.25">
      <c r="D9" s="4" t="s">
        <v>19</v>
      </c>
      <c r="E9" s="7">
        <v>5191</v>
      </c>
      <c r="F9" s="7">
        <v>5708.1</v>
      </c>
      <c r="G9" s="7">
        <v>5788.1</v>
      </c>
      <c r="H9" s="7">
        <v>5829.52</v>
      </c>
      <c r="I9" s="7">
        <v>5071</v>
      </c>
      <c r="J9" s="7">
        <v>5311</v>
      </c>
      <c r="K9" s="7">
        <v>5211</v>
      </c>
      <c r="L9" s="7">
        <v>5424.55</v>
      </c>
    </row>
    <row r="10" spans="1:14" s="3" customFormat="1" ht="15" x14ac:dyDescent="0.25">
      <c r="D10" s="4" t="s">
        <v>20</v>
      </c>
      <c r="E10" s="7">
        <v>5422.5</v>
      </c>
      <c r="F10" s="7">
        <v>5655</v>
      </c>
      <c r="G10" s="7">
        <v>5775</v>
      </c>
      <c r="H10" s="7">
        <v>5776.0000000000009</v>
      </c>
      <c r="I10" s="7">
        <v>5462.5</v>
      </c>
      <c r="J10" s="7">
        <v>5050</v>
      </c>
      <c r="K10" s="7">
        <v>5170</v>
      </c>
      <c r="L10" s="7">
        <v>5492.5</v>
      </c>
    </row>
    <row r="11" spans="1:14" s="3" customFormat="1" ht="15" x14ac:dyDescent="0.25"/>
    <row r="12" spans="1:14" s="3" customFormat="1" ht="15.6" x14ac:dyDescent="0.3">
      <c r="A12" s="6" t="s">
        <v>0</v>
      </c>
      <c r="D12" s="1" t="s">
        <v>24</v>
      </c>
      <c r="E12" s="2"/>
      <c r="F12" s="2"/>
      <c r="G12" s="2"/>
      <c r="H12" s="2"/>
      <c r="I12" s="2"/>
      <c r="J12" s="2"/>
      <c r="K12" s="2"/>
      <c r="L12" s="2"/>
    </row>
    <row r="13" spans="1:14" s="3" customFormat="1" ht="15.6" x14ac:dyDescent="0.3">
      <c r="A13" s="14" t="s">
        <v>10</v>
      </c>
      <c r="B13" s="8" t="s">
        <v>9</v>
      </c>
      <c r="C13" s="4" t="s">
        <v>11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10" t="s">
        <v>22</v>
      </c>
      <c r="M13" s="4" t="s">
        <v>25</v>
      </c>
    </row>
    <row r="14" spans="1:14" s="3" customFormat="1" ht="15.6" x14ac:dyDescent="0.3">
      <c r="A14" s="17">
        <v>1</v>
      </c>
      <c r="B14" s="11">
        <f>1725</f>
        <v>1725</v>
      </c>
      <c r="C14" s="5">
        <f>1380000</f>
        <v>1380000</v>
      </c>
      <c r="D14" s="4" t="s">
        <v>15</v>
      </c>
      <c r="E14" s="21">
        <v>1120</v>
      </c>
      <c r="F14" s="23" t="s">
        <v>29</v>
      </c>
      <c r="G14" s="20" t="s">
        <v>29</v>
      </c>
      <c r="H14" s="20" t="s">
        <v>29</v>
      </c>
      <c r="I14" s="20" t="s">
        <v>29</v>
      </c>
      <c r="J14" s="20" t="s">
        <v>29</v>
      </c>
      <c r="K14" s="20" t="s">
        <v>29</v>
      </c>
      <c r="L14" s="26" t="s">
        <v>29</v>
      </c>
      <c r="M14" s="28">
        <f>SUM(E14:L14)</f>
        <v>1120</v>
      </c>
      <c r="N14" s="12"/>
    </row>
    <row r="15" spans="1:14" s="3" customFormat="1" ht="15.6" x14ac:dyDescent="0.3">
      <c r="A15" s="17">
        <v>1</v>
      </c>
      <c r="B15" s="11">
        <f>800</f>
        <v>800</v>
      </c>
      <c r="C15" s="5">
        <f>1050000</f>
        <v>1050000</v>
      </c>
      <c r="D15" s="4" t="s">
        <v>16</v>
      </c>
      <c r="E15" s="20" t="s">
        <v>29</v>
      </c>
      <c r="F15" s="21">
        <v>425</v>
      </c>
      <c r="G15" s="20" t="s">
        <v>29</v>
      </c>
      <c r="H15" s="20" t="s">
        <v>29</v>
      </c>
      <c r="I15" s="20" t="s">
        <v>29</v>
      </c>
      <c r="J15" s="20" t="s">
        <v>29</v>
      </c>
      <c r="K15" s="20" t="s">
        <v>29</v>
      </c>
      <c r="L15" s="26" t="s">
        <v>29</v>
      </c>
      <c r="M15" s="28">
        <f t="shared" ref="M15:M19" si="0">SUM(E15:L15)</f>
        <v>425</v>
      </c>
      <c r="N15" s="12"/>
    </row>
    <row r="16" spans="1:14" s="3" customFormat="1" ht="15.6" x14ac:dyDescent="0.3">
      <c r="A16" s="17">
        <v>1</v>
      </c>
      <c r="B16" s="11">
        <f>5286</f>
        <v>5286</v>
      </c>
      <c r="C16" s="5">
        <f>3171600</f>
        <v>3171600</v>
      </c>
      <c r="D16" s="4" t="s">
        <v>17</v>
      </c>
      <c r="E16" s="20" t="s">
        <v>29</v>
      </c>
      <c r="F16" s="23" t="s">
        <v>29</v>
      </c>
      <c r="G16" s="24">
        <v>3225</v>
      </c>
      <c r="H16" s="20" t="s">
        <v>29</v>
      </c>
      <c r="I16" s="20" t="s">
        <v>29</v>
      </c>
      <c r="J16" s="20" t="s">
        <v>29</v>
      </c>
      <c r="K16" s="24">
        <v>247</v>
      </c>
      <c r="L16" s="27">
        <v>180</v>
      </c>
      <c r="M16" s="28">
        <f t="shared" si="0"/>
        <v>3652</v>
      </c>
      <c r="N16" s="12"/>
    </row>
    <row r="17" spans="1:15" s="3" customFormat="1" ht="15.6" x14ac:dyDescent="0.3">
      <c r="A17" s="17">
        <v>1</v>
      </c>
      <c r="B17" s="11">
        <f>483</f>
        <v>483</v>
      </c>
      <c r="C17" s="5">
        <f>618240</f>
        <v>618240</v>
      </c>
      <c r="D17" s="4" t="s">
        <v>18</v>
      </c>
      <c r="E17" s="20" t="s">
        <v>29</v>
      </c>
      <c r="F17" s="23" t="s">
        <v>29</v>
      </c>
      <c r="G17" s="20" t="s">
        <v>29</v>
      </c>
      <c r="H17" s="21">
        <v>292</v>
      </c>
      <c r="I17" s="20" t="s">
        <v>29</v>
      </c>
      <c r="J17" s="20" t="s">
        <v>29</v>
      </c>
      <c r="K17" s="20" t="s">
        <v>29</v>
      </c>
      <c r="L17" s="26" t="s">
        <v>29</v>
      </c>
      <c r="M17" s="28">
        <f t="shared" si="0"/>
        <v>292</v>
      </c>
      <c r="N17" s="12"/>
    </row>
    <row r="18" spans="1:15" s="3" customFormat="1" ht="15.6" x14ac:dyDescent="0.3">
      <c r="A18" s="17">
        <v>1</v>
      </c>
      <c r="B18" s="11">
        <f>1050</f>
        <v>1050</v>
      </c>
      <c r="C18" s="5">
        <f>1785000</f>
        <v>1785000</v>
      </c>
      <c r="D18" s="4" t="s">
        <v>19</v>
      </c>
      <c r="E18" s="20" t="s">
        <v>29</v>
      </c>
      <c r="F18" s="23" t="s">
        <v>29</v>
      </c>
      <c r="G18" s="20" t="s">
        <v>29</v>
      </c>
      <c r="H18" s="25" t="s">
        <v>29</v>
      </c>
      <c r="I18" s="21">
        <v>684</v>
      </c>
      <c r="J18" s="20" t="s">
        <v>29</v>
      </c>
      <c r="K18" s="20" t="s">
        <v>29</v>
      </c>
      <c r="L18" s="26" t="s">
        <v>29</v>
      </c>
      <c r="M18" s="28">
        <f t="shared" si="0"/>
        <v>684</v>
      </c>
      <c r="N18" s="12"/>
    </row>
    <row r="19" spans="1:15" s="3" customFormat="1" ht="15.6" x14ac:dyDescent="0.3">
      <c r="A19" s="17">
        <v>1</v>
      </c>
      <c r="B19" s="11">
        <f>2334</f>
        <v>2334</v>
      </c>
      <c r="C19" s="5">
        <f>1633800</f>
        <v>1633800</v>
      </c>
      <c r="D19" s="4" t="s">
        <v>20</v>
      </c>
      <c r="E19" s="20" t="s">
        <v>29</v>
      </c>
      <c r="F19" s="23" t="s">
        <v>29</v>
      </c>
      <c r="G19" s="20" t="s">
        <v>29</v>
      </c>
      <c r="H19" s="25" t="s">
        <v>29</v>
      </c>
      <c r="I19" s="20" t="s">
        <v>29</v>
      </c>
      <c r="J19" s="21">
        <v>2065</v>
      </c>
      <c r="K19" s="20" t="s">
        <v>29</v>
      </c>
      <c r="L19" s="26" t="s">
        <v>29</v>
      </c>
      <c r="M19" s="28">
        <f t="shared" si="0"/>
        <v>2065</v>
      </c>
      <c r="N19" s="12"/>
    </row>
    <row r="20" spans="1:15" s="3" customFormat="1" ht="15" x14ac:dyDescent="0.25">
      <c r="D20" s="13" t="s">
        <v>27</v>
      </c>
      <c r="E20" s="22">
        <f>SUM(E14:E19)</f>
        <v>1120</v>
      </c>
      <c r="F20" s="22">
        <f t="shared" ref="F20:L20" si="1">SUM(F14:F19)</f>
        <v>425</v>
      </c>
      <c r="G20" s="22">
        <f t="shared" si="1"/>
        <v>3225</v>
      </c>
      <c r="H20" s="22">
        <f t="shared" si="1"/>
        <v>292</v>
      </c>
      <c r="I20" s="22">
        <f t="shared" si="1"/>
        <v>684</v>
      </c>
      <c r="J20" s="22">
        <f t="shared" si="1"/>
        <v>2065</v>
      </c>
      <c r="K20" s="22">
        <f t="shared" si="1"/>
        <v>247</v>
      </c>
      <c r="L20" s="22">
        <f t="shared" si="1"/>
        <v>180</v>
      </c>
      <c r="M20" s="18"/>
      <c r="N20" s="19"/>
      <c r="O20" s="2"/>
    </row>
    <row r="21" spans="1:15" s="3" customFormat="1" ht="15" x14ac:dyDescent="0.25">
      <c r="D21" s="8" t="s">
        <v>26</v>
      </c>
      <c r="E21" s="9">
        <v>1120</v>
      </c>
      <c r="F21" s="9">
        <v>425</v>
      </c>
      <c r="G21" s="9">
        <v>3225</v>
      </c>
      <c r="H21" s="9">
        <v>292</v>
      </c>
      <c r="I21" s="9">
        <v>684</v>
      </c>
      <c r="J21" s="9">
        <v>2065</v>
      </c>
      <c r="K21" s="9">
        <v>247</v>
      </c>
      <c r="L21" s="9">
        <v>180</v>
      </c>
    </row>
    <row r="22" spans="1:15" s="3" customFormat="1" ht="15" x14ac:dyDescent="0.25">
      <c r="A22" s="15"/>
      <c r="B22" s="16"/>
      <c r="C22" s="16"/>
      <c r="D22" s="16"/>
      <c r="E22" s="16"/>
      <c r="F22" s="16"/>
      <c r="G22" s="16"/>
      <c r="H22" s="16"/>
      <c r="I22" s="16"/>
    </row>
    <row r="23" spans="1:15" s="3" customFormat="1" ht="15.6" x14ac:dyDescent="0.3">
      <c r="D23" s="6" t="s">
        <v>23</v>
      </c>
      <c r="E23" s="2"/>
      <c r="F23" s="2"/>
      <c r="G23" s="2"/>
      <c r="H23" s="2"/>
      <c r="I23" s="2"/>
      <c r="J23" s="2"/>
      <c r="K23" s="2"/>
      <c r="L23" s="2"/>
    </row>
    <row r="24" spans="1:15" s="3" customFormat="1" ht="15" x14ac:dyDescent="0.25">
      <c r="D24" s="4" t="s">
        <v>14</v>
      </c>
      <c r="E24" s="4" t="s">
        <v>15</v>
      </c>
      <c r="F24" s="4" t="s">
        <v>16</v>
      </c>
      <c r="G24" s="4" t="s">
        <v>17</v>
      </c>
      <c r="H24" s="4" t="s">
        <v>18</v>
      </c>
      <c r="I24" s="4" t="s">
        <v>19</v>
      </c>
      <c r="J24" s="4" t="s">
        <v>20</v>
      </c>
      <c r="K24" s="4" t="s">
        <v>21</v>
      </c>
      <c r="L24" s="4" t="s">
        <v>22</v>
      </c>
    </row>
    <row r="25" spans="1:15" s="3" customFormat="1" ht="15" x14ac:dyDescent="0.25">
      <c r="D25" s="4" t="s">
        <v>15</v>
      </c>
      <c r="E25" s="4">
        <v>7</v>
      </c>
      <c r="F25" s="4">
        <v>18</v>
      </c>
      <c r="G25" s="4">
        <v>24</v>
      </c>
      <c r="H25" s="4">
        <v>14</v>
      </c>
      <c r="I25" s="4">
        <v>31</v>
      </c>
      <c r="J25" s="4">
        <v>31</v>
      </c>
      <c r="K25" s="4">
        <v>14</v>
      </c>
      <c r="L25" s="4">
        <v>39</v>
      </c>
    </row>
    <row r="26" spans="1:15" s="3" customFormat="1" ht="15" x14ac:dyDescent="0.25">
      <c r="D26" s="4" t="s">
        <v>16</v>
      </c>
      <c r="E26" s="4">
        <v>12</v>
      </c>
      <c r="F26" s="4">
        <v>7</v>
      </c>
      <c r="G26" s="4">
        <v>15</v>
      </c>
      <c r="H26" s="4">
        <v>12</v>
      </c>
      <c r="I26" s="4">
        <v>25</v>
      </c>
      <c r="J26" s="4">
        <v>20</v>
      </c>
      <c r="K26" s="4">
        <v>12</v>
      </c>
      <c r="L26" s="4">
        <v>25</v>
      </c>
    </row>
    <row r="27" spans="1:15" s="3" customFormat="1" ht="15" x14ac:dyDescent="0.25">
      <c r="D27" s="4" t="s">
        <v>17</v>
      </c>
      <c r="E27" s="4">
        <v>16</v>
      </c>
      <c r="F27" s="4">
        <v>15</v>
      </c>
      <c r="G27" s="4">
        <v>7</v>
      </c>
      <c r="H27" s="4">
        <v>16</v>
      </c>
      <c r="I27" s="4">
        <v>27</v>
      </c>
      <c r="J27" s="4">
        <v>25</v>
      </c>
      <c r="K27" s="4">
        <v>16</v>
      </c>
      <c r="L27" s="4">
        <v>29</v>
      </c>
    </row>
    <row r="28" spans="1:15" s="3" customFormat="1" ht="15" x14ac:dyDescent="0.25">
      <c r="D28" s="4" t="s">
        <v>18</v>
      </c>
      <c r="E28" s="4">
        <v>18</v>
      </c>
      <c r="F28" s="4">
        <v>20</v>
      </c>
      <c r="G28" s="4">
        <v>27</v>
      </c>
      <c r="H28" s="4">
        <v>7</v>
      </c>
      <c r="I28" s="4">
        <v>31</v>
      </c>
      <c r="J28" s="4">
        <v>21</v>
      </c>
      <c r="K28" s="4">
        <v>21</v>
      </c>
      <c r="L28" s="4">
        <v>33</v>
      </c>
    </row>
    <row r="29" spans="1:15" s="3" customFormat="1" ht="15" x14ac:dyDescent="0.25">
      <c r="D29" s="4" t="s">
        <v>19</v>
      </c>
      <c r="E29" s="4">
        <v>31</v>
      </c>
      <c r="F29" s="4">
        <v>38</v>
      </c>
      <c r="G29" s="4">
        <v>38</v>
      </c>
      <c r="H29" s="4">
        <v>38</v>
      </c>
      <c r="I29" s="4">
        <v>7</v>
      </c>
      <c r="J29" s="4">
        <v>38</v>
      </c>
      <c r="K29" s="4">
        <v>38</v>
      </c>
      <c r="L29" s="4">
        <v>24</v>
      </c>
    </row>
    <row r="30" spans="1:15" s="3" customFormat="1" ht="15" x14ac:dyDescent="0.25">
      <c r="D30" s="4" t="s">
        <v>20</v>
      </c>
      <c r="E30" s="4">
        <v>36</v>
      </c>
      <c r="F30" s="4">
        <v>40</v>
      </c>
      <c r="G30" s="4">
        <v>33</v>
      </c>
      <c r="H30" s="4">
        <v>32</v>
      </c>
      <c r="I30" s="4">
        <v>44</v>
      </c>
      <c r="J30" s="4">
        <v>7</v>
      </c>
      <c r="K30" s="4">
        <v>40</v>
      </c>
      <c r="L30" s="4">
        <v>49</v>
      </c>
    </row>
    <row r="31" spans="1:15" s="3" customFormat="1" ht="15" x14ac:dyDescent="0.25">
      <c r="D31" s="2" t="s">
        <v>12</v>
      </c>
      <c r="E31" s="2">
        <v>30</v>
      </c>
    </row>
    <row r="32" spans="1:15" s="3" customFormat="1" ht="15" x14ac:dyDescent="0.25"/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singfat</dc:creator>
  <cp:lastModifiedBy>Abhishek Kumar Singh</cp:lastModifiedBy>
  <dcterms:created xsi:type="dcterms:W3CDTF">2017-11-27T01:28:54Z</dcterms:created>
  <dcterms:modified xsi:type="dcterms:W3CDTF">2026-01-28T13:54:13Z</dcterms:modified>
</cp:coreProperties>
</file>