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MBA\Courses\Term 3\SCM\Case Studies\Excel Sheets\"/>
    </mc:Choice>
  </mc:AlternateContent>
  <xr:revisionPtr revIDLastSave="0" documentId="13_ncr:1_{1EB37F12-6025-41EE-9E9F-9BDF7B8B17A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4. QComm. LMD and Return" sheetId="1" r:id="rId1"/>
  </sheets>
  <definedNames>
    <definedName name="solver_adj" localSheetId="0" hidden="1">'4. QComm. LMD and Return'!$B$13:$F$17</definedName>
    <definedName name="solver_cvg" localSheetId="0" hidden="1">0.00001</definedName>
    <definedName name="solver_drv" localSheetId="0" hidden="1">1</definedName>
    <definedName name="solver_dua" localSheetId="0" hidden="1">1</definedName>
    <definedName name="solver_eng" localSheetId="0" hidden="1">2</definedName>
    <definedName name="solver_est" localSheetId="0" hidden="1">1</definedName>
    <definedName name="solver_ibd" localSheetId="0" hidden="1">2</definedName>
    <definedName name="solver_itr" localSheetId="0" hidden="1">100</definedName>
    <definedName name="solver_lhs1" localSheetId="0" hidden="1">'4. QComm. LMD and Return'!$B$13:$F$17</definedName>
    <definedName name="solver_lhs2" localSheetId="0" hidden="1">'4. QComm. LMD and Return'!$B$22:$B$26</definedName>
    <definedName name="solver_lhs3" localSheetId="0" hidden="1">'4. QComm. LMD and Return'!$B$29:$F$29</definedName>
    <definedName name="solver_lhs4" localSheetId="0" hidden="1">'4. QComm. LMD and Return'!$B$13:$F$17</definedName>
    <definedName name="solver_lhs5" localSheetId="0" hidden="1">'4. QComm. LMD and Return'!$B$22:$B$26</definedName>
    <definedName name="solver_lhs6" localSheetId="0" hidden="1">'4. QComm. LMD and Return'!$B$25</definedName>
    <definedName name="solver_lhs7" localSheetId="0" hidden="1">'4. QComm. LMD and Return'!$B$26</definedName>
    <definedName name="solver_lin" localSheetId="0" hidden="1">1</definedName>
    <definedName name="solver_lva" localSheetId="0" hidden="1">2</definedName>
    <definedName name="solver_mip" localSheetId="0" hidden="1">1000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1000</definedName>
    <definedName name="solver_num" localSheetId="0" hidden="1">3</definedName>
    <definedName name="solver_nwt" localSheetId="0" hidden="1">1</definedName>
    <definedName name="solver_ofx" localSheetId="0" hidden="1">2</definedName>
    <definedName name="solver_opt" localSheetId="0" hidden="1">'4. QComm. LMD and Return'!$B$32</definedName>
    <definedName name="solver_pre" localSheetId="0" hidden="1">0.00000001</definedName>
    <definedName name="solver_pro" localSheetId="0" hidden="1">2</definedName>
    <definedName name="solver_rbv" localSheetId="0" hidden="1">1</definedName>
    <definedName name="solver_rel1" localSheetId="0" hidden="1">5</definedName>
    <definedName name="solver_rel2" localSheetId="0" hidden="1">2</definedName>
    <definedName name="solver_rel3" localSheetId="0" hidden="1">2</definedName>
    <definedName name="solver_rel4" localSheetId="0" hidden="1">5</definedName>
    <definedName name="solver_rel5" localSheetId="0" hidden="1">3</definedName>
    <definedName name="solver_rel6" localSheetId="0" hidden="1">3</definedName>
    <definedName name="solver_rel7" localSheetId="0" hidden="1">3</definedName>
    <definedName name="solver_reo" localSheetId="0" hidden="1">2</definedName>
    <definedName name="solver_rep" localSheetId="0" hidden="1">2</definedName>
    <definedName name="solver_rhs1" localSheetId="0" hidden="1">"binary"</definedName>
    <definedName name="solver_rhs2" localSheetId="0" hidden="1">1</definedName>
    <definedName name="solver_rhs3" localSheetId="0" hidden="1">1</definedName>
    <definedName name="solver_rhs4" localSheetId="0" hidden="1">binary</definedName>
    <definedName name="solver_rhs5" localSheetId="0" hidden="1">0</definedName>
    <definedName name="solver_rhs6" localSheetId="0" hidden="1">0</definedName>
    <definedName name="solver_rhs7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0</definedName>
    <definedName name="solver_tim" localSheetId="0" hidden="1">100</definedName>
    <definedName name="solver_tms" localSheetId="0" hidden="1">2</definedName>
    <definedName name="solver_tol" localSheetId="0" hidden="1">0.00000005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F29" i="1"/>
  <c r="E29" i="1"/>
  <c r="D29" i="1"/>
  <c r="C29" i="1"/>
  <c r="B29" i="1"/>
  <c r="B23" i="1"/>
  <c r="B24" i="1"/>
  <c r="B25" i="1"/>
  <c r="B26" i="1"/>
  <c r="B22" i="1"/>
</calcChain>
</file>

<file path=xl/sharedStrings.xml><?xml version="1.0" encoding="utf-8"?>
<sst xmlns="http://schemas.openxmlformats.org/spreadsheetml/2006/main" count="42" uniqueCount="20">
  <si>
    <t>R1</t>
  </si>
  <si>
    <t>R2</t>
  </si>
  <si>
    <t>R3</t>
  </si>
  <si>
    <t>R4</t>
  </si>
  <si>
    <t>R5</t>
  </si>
  <si>
    <t>S1</t>
  </si>
  <si>
    <t>S2</t>
  </si>
  <si>
    <t>S3</t>
  </si>
  <si>
    <t>S4</t>
  </si>
  <si>
    <t>S5</t>
  </si>
  <si>
    <t>Decision Variables</t>
  </si>
  <si>
    <t>Constraints</t>
  </si>
  <si>
    <t>Excess Capacity</t>
  </si>
  <si>
    <t>Demand</t>
  </si>
  <si>
    <t>Objective Function</t>
  </si>
  <si>
    <t>Inputs - Delivery and Return, Distance or Costs</t>
  </si>
  <si>
    <t>Travel Units or Costs between pair of Delivery/Return</t>
  </si>
  <si>
    <t>Delivery/Return</t>
  </si>
  <si>
    <t>Deliver to Return Location (1 indicates Locations Pairs for Dual Cycle)</t>
  </si>
  <si>
    <t>Total 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</si>
</sst>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7" x14ac:knownFonts="1">
    <font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i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2" xfId="0" applyFont="1" applyBorder="1" applyAlignment="1">
      <alignment horizontal="center" wrapText="1"/>
    </xf>
    <xf numFmtId="0" fontId="3" fillId="0" borderId="4" xfId="0" applyFont="1" applyBorder="1"/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7" xfId="0" applyFont="1" applyBorder="1"/>
    <xf numFmtId="165" fontId="1" fillId="0" borderId="8" xfId="1" applyNumberFormat="1" applyBorder="1"/>
    <xf numFmtId="165" fontId="1" fillId="0" borderId="9" xfId="1" applyNumberFormat="1" applyBorder="1"/>
    <xf numFmtId="0" fontId="1" fillId="0" borderId="10" xfId="0" applyFont="1" applyBorder="1"/>
    <xf numFmtId="165" fontId="1" fillId="0" borderId="11" xfId="1" applyNumberFormat="1" applyBorder="1"/>
    <xf numFmtId="165" fontId="1" fillId="0" borderId="0" xfId="1" applyNumberFormat="1" applyBorder="1"/>
    <xf numFmtId="0" fontId="0" fillId="0" borderId="12" xfId="0" applyBorder="1"/>
    <xf numFmtId="1" fontId="1" fillId="0" borderId="8" xfId="1" applyNumberFormat="1" applyFill="1" applyBorder="1"/>
    <xf numFmtId="1" fontId="1" fillId="0" borderId="9" xfId="1" applyNumberFormat="1" applyFill="1" applyBorder="1"/>
    <xf numFmtId="1" fontId="1" fillId="0" borderId="9" xfId="1" applyNumberFormat="1" applyBorder="1"/>
    <xf numFmtId="1" fontId="1" fillId="0" borderId="11" xfId="1" applyNumberFormat="1" applyFill="1" applyBorder="1"/>
    <xf numFmtId="1" fontId="1" fillId="0" borderId="0" xfId="1" applyNumberFormat="1" applyFill="1" applyBorder="1"/>
    <xf numFmtId="1" fontId="1" fillId="0" borderId="11" xfId="1" applyNumberFormat="1" applyBorder="1"/>
    <xf numFmtId="1" fontId="1" fillId="0" borderId="0" xfId="1" applyNumberFormat="1" applyBorder="1"/>
    <xf numFmtId="1" fontId="1" fillId="0" borderId="13" xfId="1" applyNumberFormat="1" applyFill="1" applyBorder="1"/>
    <xf numFmtId="1" fontId="1" fillId="0" borderId="14" xfId="1" applyNumberFormat="1" applyFill="1" applyBorder="1"/>
    <xf numFmtId="1" fontId="1" fillId="0" borderId="14" xfId="1" applyNumberFormat="1" applyBorder="1"/>
    <xf numFmtId="0" fontId="3" fillId="0" borderId="2" xfId="0" applyFont="1" applyBorder="1"/>
    <xf numFmtId="0" fontId="0" fillId="0" borderId="3" xfId="0" applyBorder="1"/>
    <xf numFmtId="1" fontId="0" fillId="0" borderId="11" xfId="0" applyNumberFormat="1" applyBorder="1"/>
    <xf numFmtId="0" fontId="0" fillId="0" borderId="10" xfId="0" applyBorder="1"/>
    <xf numFmtId="0" fontId="0" fillId="0" borderId="11" xfId="0" applyBorder="1"/>
    <xf numFmtId="0" fontId="0" fillId="0" borderId="5" xfId="0" applyBorder="1" applyAlignment="1">
      <alignment horizontal="right"/>
    </xf>
    <xf numFmtId="0" fontId="0" fillId="0" borderId="15" xfId="0" applyBorder="1" applyAlignment="1">
      <alignment horizontal="right"/>
    </xf>
    <xf numFmtId="0" fontId="3" fillId="0" borderId="16" xfId="0" applyFont="1" applyBorder="1"/>
    <xf numFmtId="0" fontId="2" fillId="0" borderId="17" xfId="0" applyFont="1" applyBorder="1"/>
    <xf numFmtId="167" fontId="1" fillId="0" borderId="18" xfId="2" applyNumberFormat="1" applyBorder="1"/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1" xfId="0" applyFont="1" applyBorder="1"/>
    <xf numFmtId="0" fontId="2" fillId="0" borderId="4" xfId="0" applyFont="1" applyBorder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showGridLines="0" tabSelected="1" topLeftCell="A11" zoomScaleNormal="100" workbookViewId="0">
      <selection activeCell="H17" sqref="H17"/>
    </sheetView>
  </sheetViews>
  <sheetFormatPr defaultRowHeight="13.2" x14ac:dyDescent="0.25"/>
  <cols>
    <col min="1" max="1" width="14.77734375" customWidth="1"/>
    <col min="2" max="2" width="11.5546875" bestFit="1" customWidth="1"/>
    <col min="3" max="6" width="8.21875" bestFit="1" customWidth="1"/>
  </cols>
  <sheetData>
    <row r="1" spans="1:6" ht="13.8" thickBot="1" x14ac:dyDescent="0.3">
      <c r="A1" s="1" t="s">
        <v>15</v>
      </c>
    </row>
    <row r="2" spans="1:6" x14ac:dyDescent="0.25">
      <c r="A2" s="38"/>
      <c r="B2" s="40" t="s">
        <v>16</v>
      </c>
      <c r="C2" s="41"/>
      <c r="D2" s="41"/>
      <c r="E2" s="41"/>
      <c r="F2" s="41"/>
    </row>
    <row r="3" spans="1:6" x14ac:dyDescent="0.25">
      <c r="A3" s="39" t="s">
        <v>17</v>
      </c>
      <c r="B3" s="5" t="s">
        <v>0</v>
      </c>
      <c r="C3" s="6" t="s">
        <v>1</v>
      </c>
      <c r="D3" s="6" t="s">
        <v>2</v>
      </c>
      <c r="E3" s="6" t="s">
        <v>3</v>
      </c>
      <c r="F3" s="6" t="s">
        <v>4</v>
      </c>
    </row>
    <row r="4" spans="1:6" x14ac:dyDescent="0.25">
      <c r="A4" s="7" t="s">
        <v>5</v>
      </c>
      <c r="B4" s="8">
        <v>1675</v>
      </c>
      <c r="C4" s="9">
        <v>400</v>
      </c>
      <c r="D4" s="9">
        <v>685</v>
      </c>
      <c r="E4" s="9">
        <v>1630</v>
      </c>
      <c r="F4" s="9">
        <v>1160</v>
      </c>
    </row>
    <row r="5" spans="1:6" x14ac:dyDescent="0.25">
      <c r="A5" s="10" t="s">
        <v>6</v>
      </c>
      <c r="B5" s="11">
        <v>1460</v>
      </c>
      <c r="C5" s="12">
        <v>1940</v>
      </c>
      <c r="D5" s="12">
        <v>970</v>
      </c>
      <c r="E5" s="12">
        <v>100</v>
      </c>
      <c r="F5" s="12">
        <v>495</v>
      </c>
    </row>
    <row r="6" spans="1:6" x14ac:dyDescent="0.25">
      <c r="A6" s="10" t="s">
        <v>7</v>
      </c>
      <c r="B6" s="11">
        <v>1925</v>
      </c>
      <c r="C6" s="12">
        <v>2400</v>
      </c>
      <c r="D6" s="12">
        <v>1425</v>
      </c>
      <c r="E6" s="12">
        <v>500</v>
      </c>
      <c r="F6" s="12">
        <v>950</v>
      </c>
    </row>
    <row r="7" spans="1:6" x14ac:dyDescent="0.25">
      <c r="A7" s="10" t="s">
        <v>8</v>
      </c>
      <c r="B7" s="11">
        <v>380</v>
      </c>
      <c r="C7" s="12">
        <v>1355</v>
      </c>
      <c r="D7" s="12">
        <v>543</v>
      </c>
      <c r="E7" s="12">
        <v>1045</v>
      </c>
      <c r="F7" s="12">
        <v>665</v>
      </c>
    </row>
    <row r="8" spans="1:6" ht="13.8" thickBot="1" x14ac:dyDescent="0.3">
      <c r="A8" s="10" t="s">
        <v>9</v>
      </c>
      <c r="B8" s="11">
        <v>922</v>
      </c>
      <c r="C8" s="12">
        <v>1646</v>
      </c>
      <c r="D8" s="12">
        <v>700</v>
      </c>
      <c r="E8" s="12">
        <v>508</v>
      </c>
      <c r="F8" s="12">
        <v>311</v>
      </c>
    </row>
    <row r="9" spans="1:6" x14ac:dyDescent="0.25">
      <c r="A9" s="13"/>
    </row>
    <row r="10" spans="1:6" ht="13.8" thickBot="1" x14ac:dyDescent="0.3">
      <c r="A10" s="1" t="s">
        <v>10</v>
      </c>
    </row>
    <row r="11" spans="1:6" ht="92.4" x14ac:dyDescent="0.25">
      <c r="A11" s="2"/>
      <c r="B11" s="3" t="s">
        <v>18</v>
      </c>
      <c r="C11" s="25"/>
      <c r="D11" s="25"/>
      <c r="E11" s="25"/>
      <c r="F11" s="25"/>
    </row>
    <row r="12" spans="1:6" x14ac:dyDescent="0.25">
      <c r="A12" s="4" t="s">
        <v>17</v>
      </c>
      <c r="B12" s="5" t="s">
        <v>0</v>
      </c>
      <c r="C12" s="6" t="s">
        <v>1</v>
      </c>
      <c r="D12" s="6" t="s">
        <v>2</v>
      </c>
      <c r="E12" s="6" t="s">
        <v>3</v>
      </c>
      <c r="F12" s="6" t="s">
        <v>4</v>
      </c>
    </row>
    <row r="13" spans="1:6" x14ac:dyDescent="0.25">
      <c r="A13" s="7" t="s">
        <v>5</v>
      </c>
      <c r="B13" s="14">
        <v>0</v>
      </c>
      <c r="C13" s="15">
        <v>1</v>
      </c>
      <c r="D13" s="15">
        <v>0</v>
      </c>
      <c r="E13" s="16">
        <v>0</v>
      </c>
      <c r="F13" s="16">
        <v>0</v>
      </c>
    </row>
    <row r="14" spans="1:6" x14ac:dyDescent="0.25">
      <c r="A14" s="10" t="s">
        <v>6</v>
      </c>
      <c r="B14" s="17">
        <v>0</v>
      </c>
      <c r="C14" s="18">
        <v>0</v>
      </c>
      <c r="D14" s="18">
        <v>0</v>
      </c>
      <c r="E14" s="18">
        <v>0</v>
      </c>
      <c r="F14" s="18">
        <v>1</v>
      </c>
    </row>
    <row r="15" spans="1:6" x14ac:dyDescent="0.25">
      <c r="A15" s="10" t="s">
        <v>7</v>
      </c>
      <c r="B15" s="19">
        <v>0</v>
      </c>
      <c r="C15" s="20">
        <v>0</v>
      </c>
      <c r="D15" s="20">
        <v>0</v>
      </c>
      <c r="E15" s="18">
        <v>1</v>
      </c>
      <c r="F15" s="18">
        <v>0</v>
      </c>
    </row>
    <row r="16" spans="1:6" x14ac:dyDescent="0.25">
      <c r="A16" s="10" t="s">
        <v>8</v>
      </c>
      <c r="B16" s="17">
        <v>1</v>
      </c>
      <c r="C16" s="18">
        <v>0</v>
      </c>
      <c r="D16" s="18">
        <v>0</v>
      </c>
      <c r="E16" s="20">
        <v>0</v>
      </c>
      <c r="F16" s="20">
        <v>0</v>
      </c>
    </row>
    <row r="17" spans="1:6" ht="13.8" thickBot="1" x14ac:dyDescent="0.3">
      <c r="A17" s="10" t="s">
        <v>9</v>
      </c>
      <c r="B17" s="21">
        <v>0</v>
      </c>
      <c r="C17" s="22">
        <v>0</v>
      </c>
      <c r="D17" s="22">
        <v>1</v>
      </c>
      <c r="E17" s="23">
        <v>0</v>
      </c>
      <c r="F17" s="23">
        <v>0</v>
      </c>
    </row>
    <row r="20" spans="1:6" ht="13.8" thickBot="1" x14ac:dyDescent="0.3">
      <c r="A20" s="1" t="s">
        <v>11</v>
      </c>
    </row>
    <row r="21" spans="1:6" x14ac:dyDescent="0.25">
      <c r="A21" s="4" t="s">
        <v>17</v>
      </c>
      <c r="B21" s="24" t="s">
        <v>12</v>
      </c>
      <c r="C21" s="25"/>
      <c r="D21" s="25"/>
      <c r="E21" s="25"/>
      <c r="F21" s="25"/>
    </row>
    <row r="22" spans="1:6" x14ac:dyDescent="0.25">
      <c r="A22" s="7" t="s">
        <v>5</v>
      </c>
      <c r="B22" s="26">
        <f>SUM(B13:F13)</f>
        <v>1</v>
      </c>
    </row>
    <row r="23" spans="1:6" x14ac:dyDescent="0.25">
      <c r="A23" s="10" t="s">
        <v>6</v>
      </c>
      <c r="B23" s="26">
        <f t="shared" ref="B23:B26" si="0">SUM(B14:F14)</f>
        <v>1</v>
      </c>
    </row>
    <row r="24" spans="1:6" x14ac:dyDescent="0.25">
      <c r="A24" s="10" t="s">
        <v>7</v>
      </c>
      <c r="B24" s="26">
        <f t="shared" si="0"/>
        <v>1</v>
      </c>
    </row>
    <row r="25" spans="1:6" x14ac:dyDescent="0.25">
      <c r="A25" s="10" t="s">
        <v>8</v>
      </c>
      <c r="B25" s="26">
        <f t="shared" si="0"/>
        <v>1</v>
      </c>
    </row>
    <row r="26" spans="1:6" x14ac:dyDescent="0.25">
      <c r="A26" s="10" t="s">
        <v>9</v>
      </c>
      <c r="B26" s="26">
        <f t="shared" si="0"/>
        <v>1</v>
      </c>
    </row>
    <row r="27" spans="1:6" x14ac:dyDescent="0.25">
      <c r="A27" s="27"/>
      <c r="B27" s="28"/>
    </row>
    <row r="28" spans="1:6" x14ac:dyDescent="0.25">
      <c r="A28" s="27"/>
      <c r="B28" s="29" t="s">
        <v>0</v>
      </c>
      <c r="C28" s="30" t="s">
        <v>1</v>
      </c>
      <c r="D28" s="30" t="s">
        <v>2</v>
      </c>
      <c r="E28" s="30" t="s">
        <v>3</v>
      </c>
      <c r="F28" s="30" t="s">
        <v>4</v>
      </c>
    </row>
    <row r="29" spans="1:6" ht="13.8" thickBot="1" x14ac:dyDescent="0.3">
      <c r="A29" s="31" t="s">
        <v>13</v>
      </c>
      <c r="B29" s="18">
        <f>SUM(B13:B17)</f>
        <v>1</v>
      </c>
      <c r="C29" s="18">
        <f>SUM(C13:C17)</f>
        <v>1</v>
      </c>
      <c r="D29" s="18">
        <f>SUM(D13:D17)</f>
        <v>1</v>
      </c>
      <c r="E29" s="18">
        <f>SUM(E13:E17)</f>
        <v>1</v>
      </c>
      <c r="F29" s="18">
        <f>SUM(F13:F17)</f>
        <v>1</v>
      </c>
    </row>
    <row r="31" spans="1:6" ht="13.8" thickBot="1" x14ac:dyDescent="0.3">
      <c r="A31" s="1" t="s">
        <v>14</v>
      </c>
    </row>
    <row r="32" spans="1:6" ht="13.8" thickBot="1" x14ac:dyDescent="0.3">
      <c r="A32" s="32" t="s">
        <v>19</v>
      </c>
      <c r="B32" s="33">
        <f>SUMPRODUCT(B4:F8,B13:F17)</f>
        <v>2475</v>
      </c>
    </row>
    <row r="33" spans="1:6" x14ac:dyDescent="0.25">
      <c r="A33" s="34"/>
      <c r="B33" s="34"/>
      <c r="C33" s="34"/>
      <c r="D33" s="34"/>
      <c r="E33" s="34"/>
      <c r="F33" s="34"/>
    </row>
    <row r="39" spans="1:6" x14ac:dyDescent="0.25">
      <c r="A39" s="1"/>
      <c r="B39" s="1"/>
    </row>
    <row r="40" spans="1:6" x14ac:dyDescent="0.25">
      <c r="A40" s="35"/>
    </row>
    <row r="41" spans="1:6" ht="13.8" x14ac:dyDescent="0.25">
      <c r="A41" s="36"/>
      <c r="B41" s="37"/>
    </row>
    <row r="42" spans="1:6" ht="13.8" x14ac:dyDescent="0.25">
      <c r="A42" s="36"/>
      <c r="B42" s="37"/>
    </row>
    <row r="43" spans="1:6" ht="13.8" x14ac:dyDescent="0.25">
      <c r="A43" s="36"/>
      <c r="B43" s="37"/>
    </row>
    <row r="44" spans="1:6" ht="13.8" x14ac:dyDescent="0.25">
      <c r="A44" s="36"/>
      <c r="B44" s="37"/>
    </row>
    <row r="45" spans="1:6" ht="13.8" x14ac:dyDescent="0.25">
      <c r="A45" s="36"/>
      <c r="B45" s="37"/>
    </row>
    <row r="46" spans="1:6" ht="13.8" x14ac:dyDescent="0.25">
      <c r="A46" s="36"/>
      <c r="B46" s="37"/>
    </row>
    <row r="47" spans="1:6" ht="13.8" x14ac:dyDescent="0.25">
      <c r="A47" s="36"/>
      <c r="B47" s="37"/>
    </row>
    <row r="49" spans="1:2" x14ac:dyDescent="0.25">
      <c r="A49" s="35"/>
      <c r="B49" s="35"/>
    </row>
    <row r="50" spans="1:2" ht="13.8" x14ac:dyDescent="0.25">
      <c r="A50" s="36"/>
      <c r="B50" s="37"/>
    </row>
    <row r="51" spans="1:2" ht="13.8" x14ac:dyDescent="0.25">
      <c r="A51" s="36"/>
      <c r="B51" s="37"/>
    </row>
  </sheetData>
  <mergeCells count="1">
    <mergeCell ref="B2:F2"/>
  </mergeCells>
  <pageMargins left="0.75" right="0.75" top="1" bottom="1" header="0.5" footer="0.5"/>
  <pageSetup orientation="portrait" horizontalDpi="4294967292" r:id="rId1"/>
  <headerFooter alignWithMargins="0">
    <oddHeader>&amp;C&amp;A</oddHeader>
  </headerFooter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 QComm. LMD and 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Bhavin Shah</dc:creator>
  <cp:lastModifiedBy>ROHIT GHOSH</cp:lastModifiedBy>
  <dcterms:created xsi:type="dcterms:W3CDTF">2026-01-23T10:43:23Z</dcterms:created>
  <dcterms:modified xsi:type="dcterms:W3CDTF">2026-01-27T07:52:42Z</dcterms:modified>
</cp:coreProperties>
</file>