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MBA\Courses\Term 3\SCM\Case Studies\Excel Sheets\"/>
    </mc:Choice>
  </mc:AlternateContent>
  <xr:revisionPtr revIDLastSave="0" documentId="13_ncr:1_{6EE5E45B-84F7-428B-B764-F4B0102996C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emand Planning" sheetId="7" r:id="rId1"/>
  </sheets>
  <definedNames>
    <definedName name="solver_adj" localSheetId="0" hidden="1">'Demand Planning'!$B$14:$G$18</definedName>
    <definedName name="solver_cvg" localSheetId="0" hidden="1">0.001</definedName>
    <definedName name="solver_drv" localSheetId="0" hidden="1">1</definedName>
    <definedName name="solver_dua" localSheetId="0" hidden="1">1</definedName>
    <definedName name="solver_eng" localSheetId="0" hidden="1">2</definedName>
    <definedName name="solver_est" localSheetId="0" hidden="1">1</definedName>
    <definedName name="solver_ibd" localSheetId="0" hidden="1">2</definedName>
    <definedName name="solver_itr" localSheetId="0" hidden="1">100</definedName>
    <definedName name="solver_lhs1" localSheetId="0" hidden="1">'Demand Planning'!$B$14:$G$18</definedName>
    <definedName name="solver_lhs2" localSheetId="0" hidden="1">'Demand Planning'!$B$22:$B$26</definedName>
    <definedName name="solver_lhs3" localSheetId="0" hidden="1">'Demand Planning'!$B$29:$G$29</definedName>
    <definedName name="solver_lhs4" localSheetId="0" hidden="1">'Demand Planning'!$B$14:$G$18</definedName>
    <definedName name="solver_lhs5" localSheetId="0" hidden="1">'Demand Planning'!#REF!</definedName>
    <definedName name="solver_lhs6" localSheetId="0" hidden="1">'Demand Planning'!#REF!</definedName>
    <definedName name="solver_lhs7" localSheetId="0" hidden="1">'Demand Planning'!#REF!</definedName>
    <definedName name="solver_lin" localSheetId="0" hidden="1">1</definedName>
    <definedName name="solver_lva" localSheetId="0" hidden="1">2</definedName>
    <definedName name="solver_mip" localSheetId="0" hidden="1">1000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1000</definedName>
    <definedName name="solver_num" localSheetId="0" hidden="1">3</definedName>
    <definedName name="solver_nwt" localSheetId="0" hidden="1">1</definedName>
    <definedName name="solver_ofx" localSheetId="0" hidden="1">2</definedName>
    <definedName name="solver_opt" localSheetId="0" hidden="1">'Demand Planning'!$B$32</definedName>
    <definedName name="solver_pre" localSheetId="0" hidden="1">0.000001</definedName>
    <definedName name="solver_pro" localSheetId="0" hidden="1">2</definedName>
    <definedName name="solver_rbv" localSheetId="0" hidden="1">1</definedName>
    <definedName name="solver_rel1" localSheetId="0" hidden="1">3</definedName>
    <definedName name="solver_rel2" localSheetId="0" hidden="1">3</definedName>
    <definedName name="solver_rel3" localSheetId="0" hidden="1">2</definedName>
    <definedName name="solver_rel4" localSheetId="0" hidden="1">3</definedName>
    <definedName name="solver_rel5" localSheetId="0" hidden="1">3</definedName>
    <definedName name="solver_rel6" localSheetId="0" hidden="1">3</definedName>
    <definedName name="solver_rel7" localSheetId="0" hidden="1">3</definedName>
    <definedName name="solver_reo" localSheetId="0" hidden="1">2</definedName>
    <definedName name="solver_rep" localSheetId="0" hidden="1">2</definedName>
    <definedName name="solver_rhs1" localSheetId="0" hidden="1">0</definedName>
    <definedName name="solver_rhs2" localSheetId="0" hidden="1">0</definedName>
    <definedName name="solver_rhs3" localSheetId="0" hidden="1">0</definedName>
    <definedName name="solver_rhs4" localSheetId="0" hidden="1">0</definedName>
    <definedName name="solver_rhs5" localSheetId="0" hidden="1">0</definedName>
    <definedName name="solver_rhs6" localSheetId="0" hidden="1">0</definedName>
    <definedName name="solver_rhs7" localSheetId="0" hidden="1">0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0</definedName>
    <definedName name="solver_tim" localSheetId="0" hidden="1">100</definedName>
    <definedName name="solver_tms" localSheetId="0" hidden="1">2</definedName>
    <definedName name="solver_tol" localSheetId="0" hidden="1">0.001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7" l="1"/>
  <c r="B25" i="7"/>
  <c r="B24" i="7"/>
  <c r="B23" i="7"/>
  <c r="B22" i="7"/>
  <c r="B32" i="7"/>
  <c r="G29" i="7"/>
  <c r="F29" i="7"/>
  <c r="E29" i="7"/>
  <c r="D29" i="7"/>
  <c r="C29" i="7"/>
  <c r="B29" i="7"/>
  <c r="I9" i="7"/>
  <c r="G19" i="7"/>
  <c r="F19" i="7"/>
  <c r="E19" i="7"/>
  <c r="D19" i="7"/>
  <c r="C19" i="7"/>
  <c r="B19" i="7"/>
  <c r="H15" i="7"/>
  <c r="H16" i="7"/>
  <c r="H17" i="7"/>
  <c r="H18" i="7"/>
  <c r="H14" i="7"/>
  <c r="H19" i="7" l="1"/>
</calcChain>
</file>

<file path=xl/sharedStrings.xml><?xml version="1.0" encoding="utf-8"?>
<sst xmlns="http://schemas.openxmlformats.org/spreadsheetml/2006/main" count="49" uniqueCount="25">
  <si>
    <t>Constraints</t>
  </si>
  <si>
    <t>Demand</t>
  </si>
  <si>
    <t>Cost =</t>
  </si>
  <si>
    <t>Atlanta</t>
  </si>
  <si>
    <t>Boston</t>
  </si>
  <si>
    <t>Chicago</t>
  </si>
  <si>
    <t>Denver</t>
  </si>
  <si>
    <t>Omaha</t>
  </si>
  <si>
    <t>Portland</t>
  </si>
  <si>
    <t>Baltimore</t>
  </si>
  <si>
    <t>Salt Lake</t>
  </si>
  <si>
    <t>Memphis</t>
  </si>
  <si>
    <t>Wichita</t>
  </si>
  <si>
    <t>Excess Capacity</t>
  </si>
  <si>
    <t>Cheyenne</t>
  </si>
  <si>
    <t>Supply City</t>
  </si>
  <si>
    <t>Demand City
Production and Transportation Cost per 1000 Units</t>
  </si>
  <si>
    <t>Decision Variables</t>
  </si>
  <si>
    <t>Objective Function</t>
  </si>
  <si>
    <t>Unmet Demand</t>
  </si>
  <si>
    <t>Demand City - Production Allocation (1000 Units)</t>
  </si>
  <si>
    <t>Inputs - Costs, Capacities, Demands (for TelecomOptic)</t>
  </si>
  <si>
    <t>Capacity</t>
  </si>
  <si>
    <t>Fixed Cost</t>
  </si>
  <si>
    <t>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</si>
</sst>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&quot;$&quot;* #,##0_);_(&quot;$&quot;* \(#,##0\);_(&quot;$&quot;* &quot;-&quot;??_);_(@_)"/>
    <numFmt numFmtId="167" formatCode="_(* #,##0_);_(* \(#,##0\);_(* &quot;-&quot;??_);_(@_)"/>
    <numFmt numFmtId="168" formatCode="0_)"/>
  </numFmts>
  <fonts count="12" x14ac:knownFonts="1">
    <font>
      <sz val="10"/>
      <name val="Arial"/>
    </font>
    <font>
      <sz val="10"/>
      <name val="Arial"/>
      <family val="2"/>
    </font>
    <font>
      <b/>
      <i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C00000"/>
      <name val="Calibri"/>
      <family val="2"/>
      <scheme val="minor"/>
    </font>
    <font>
      <i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15" xfId="0" applyFont="1" applyBorder="1"/>
    <xf numFmtId="0" fontId="4" fillId="0" borderId="19" xfId="0" applyFont="1" applyBorder="1" applyAlignment="1">
      <alignment horizontal="center" wrapText="1"/>
    </xf>
    <xf numFmtId="0" fontId="4" fillId="0" borderId="6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6" fillId="0" borderId="26" xfId="0" applyFont="1" applyBorder="1" applyAlignment="1">
      <alignment horizontal="center" vertical="center"/>
    </xf>
    <xf numFmtId="0" fontId="4" fillId="0" borderId="16" xfId="0" applyFont="1" applyBorder="1"/>
    <xf numFmtId="0" fontId="3" fillId="0" borderId="13" xfId="0" applyFont="1" applyBorder="1" applyAlignment="1">
      <alignment horizontal="right"/>
    </xf>
    <xf numFmtId="0" fontId="3" fillId="0" borderId="12" xfId="0" applyFont="1" applyBorder="1" applyAlignment="1">
      <alignment horizontal="right"/>
    </xf>
    <xf numFmtId="0" fontId="7" fillId="0" borderId="26" xfId="0" applyFont="1" applyBorder="1" applyAlignment="1">
      <alignment horizontal="center" vertical="center"/>
    </xf>
    <xf numFmtId="0" fontId="3" fillId="0" borderId="9" xfId="0" applyFont="1" applyBorder="1"/>
    <xf numFmtId="167" fontId="3" fillId="0" borderId="21" xfId="1" applyNumberFormat="1" applyFont="1" applyBorder="1"/>
    <xf numFmtId="167" fontId="3" fillId="0" borderId="10" xfId="1" applyNumberFormat="1" applyFont="1" applyBorder="1"/>
    <xf numFmtId="168" fontId="6" fillId="0" borderId="26" xfId="0" applyNumberFormat="1" applyFont="1" applyBorder="1" applyAlignment="1">
      <alignment horizontal="center" vertical="center"/>
    </xf>
    <xf numFmtId="0" fontId="3" fillId="0" borderId="2" xfId="0" applyFont="1" applyBorder="1"/>
    <xf numFmtId="167" fontId="3" fillId="0" borderId="8" xfId="1" applyNumberFormat="1" applyFont="1" applyBorder="1"/>
    <xf numFmtId="167" fontId="3" fillId="0" borderId="0" xfId="1" applyNumberFormat="1" applyFont="1" applyBorder="1"/>
    <xf numFmtId="0" fontId="3" fillId="0" borderId="3" xfId="0" applyFont="1" applyBorder="1"/>
    <xf numFmtId="0" fontId="4" fillId="0" borderId="4" xfId="0" applyFont="1" applyBorder="1"/>
    <xf numFmtId="0" fontId="3" fillId="0" borderId="14" xfId="0" applyFont="1" applyBorder="1"/>
    <xf numFmtId="0" fontId="3" fillId="0" borderId="5" xfId="0" applyFont="1" applyBorder="1"/>
    <xf numFmtId="0" fontId="3" fillId="0" borderId="1" xfId="0" applyFont="1" applyBorder="1"/>
    <xf numFmtId="0" fontId="3" fillId="0" borderId="6" xfId="0" applyFont="1" applyBorder="1"/>
    <xf numFmtId="1" fontId="3" fillId="0" borderId="0" xfId="0" applyNumberFormat="1" applyFont="1"/>
    <xf numFmtId="0" fontId="3" fillId="0" borderId="4" xfId="0" applyFont="1" applyBorder="1"/>
    <xf numFmtId="0" fontId="4" fillId="0" borderId="18" xfId="0" applyFont="1" applyBorder="1"/>
    <xf numFmtId="0" fontId="4" fillId="0" borderId="7" xfId="0" applyFont="1" applyBorder="1" applyAlignment="1">
      <alignment horizontal="center"/>
    </xf>
    <xf numFmtId="0" fontId="3" fillId="0" borderId="25" xfId="0" applyFont="1" applyBorder="1"/>
    <xf numFmtId="0" fontId="3" fillId="0" borderId="17" xfId="0" applyFont="1" applyBorder="1" applyAlignment="1">
      <alignment horizontal="right"/>
    </xf>
    <xf numFmtId="0" fontId="3" fillId="0" borderId="20" xfId="0" applyFont="1" applyBorder="1" applyAlignment="1">
      <alignment horizontal="right"/>
    </xf>
    <xf numFmtId="1" fontId="3" fillId="0" borderId="14" xfId="0" applyNumberFormat="1" applyFont="1" applyBorder="1"/>
    <xf numFmtId="0" fontId="2" fillId="0" borderId="22" xfId="0" applyFont="1" applyBorder="1"/>
    <xf numFmtId="166" fontId="3" fillId="0" borderId="23" xfId="2" applyNumberFormat="1" applyFont="1" applyBorder="1"/>
    <xf numFmtId="0" fontId="5" fillId="0" borderId="0" xfId="0" applyFont="1"/>
    <xf numFmtId="166" fontId="3" fillId="0" borderId="0" xfId="0" applyNumberFormat="1" applyFont="1"/>
    <xf numFmtId="166" fontId="3" fillId="0" borderId="0" xfId="2" applyNumberFormat="1" applyFont="1" applyBorder="1"/>
    <xf numFmtId="0" fontId="4" fillId="0" borderId="0" xfId="0" applyFont="1"/>
    <xf numFmtId="166" fontId="5" fillId="0" borderId="0" xfId="2" applyNumberFormat="1" applyFont="1" applyFill="1"/>
    <xf numFmtId="0" fontId="8" fillId="0" borderId="0" xfId="0" applyFont="1" applyAlignment="1">
      <alignment horizontal="right"/>
    </xf>
    <xf numFmtId="0" fontId="9" fillId="0" borderId="0" xfId="0" applyFont="1" applyAlignment="1">
      <alignment horizontal="left"/>
    </xf>
    <xf numFmtId="1" fontId="3" fillId="2" borderId="21" xfId="1" applyNumberFormat="1" applyFont="1" applyFill="1" applyBorder="1"/>
    <xf numFmtId="1" fontId="3" fillId="2" borderId="10" xfId="1" applyNumberFormat="1" applyFont="1" applyFill="1" applyBorder="1"/>
    <xf numFmtId="1" fontId="3" fillId="2" borderId="8" xfId="1" applyNumberFormat="1" applyFont="1" applyFill="1" applyBorder="1"/>
    <xf numFmtId="1" fontId="3" fillId="2" borderId="0" xfId="1" applyNumberFormat="1" applyFont="1" applyFill="1" applyBorder="1"/>
    <xf numFmtId="1" fontId="3" fillId="2" borderId="14" xfId="1" applyNumberFormat="1" applyFont="1" applyFill="1" applyBorder="1"/>
    <xf numFmtId="1" fontId="3" fillId="2" borderId="5" xfId="1" applyNumberFormat="1" applyFont="1" applyFill="1" applyBorder="1"/>
    <xf numFmtId="168" fontId="11" fillId="4" borderId="26" xfId="0" applyNumberFormat="1" applyFont="1" applyFill="1" applyBorder="1" applyAlignment="1">
      <alignment horizontal="center" vertical="center"/>
    </xf>
    <xf numFmtId="1" fontId="3" fillId="3" borderId="26" xfId="0" applyNumberFormat="1" applyFont="1" applyFill="1" applyBorder="1"/>
    <xf numFmtId="1" fontId="10" fillId="4" borderId="26" xfId="0" applyNumberFormat="1" applyFont="1" applyFill="1" applyBorder="1"/>
    <xf numFmtId="0" fontId="3" fillId="0" borderId="27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3" fillId="0" borderId="29" xfId="0" applyFont="1" applyBorder="1"/>
    <xf numFmtId="0" fontId="4" fillId="0" borderId="30" xfId="0" applyFont="1" applyBorder="1" applyAlignment="1">
      <alignment horizontal="center"/>
    </xf>
    <xf numFmtId="1" fontId="3" fillId="0" borderId="0" xfId="0" applyNumberFormat="1" applyFont="1" applyBorder="1"/>
    <xf numFmtId="1" fontId="3" fillId="0" borderId="10" xfId="0" applyNumberFormat="1" applyFont="1" applyBorder="1"/>
    <xf numFmtId="0" fontId="3" fillId="0" borderId="0" xfId="0" applyFont="1" applyBorder="1"/>
    <xf numFmtId="1" fontId="3" fillId="0" borderId="31" xfId="0" applyNumberFormat="1" applyFont="1" applyBorder="1"/>
    <xf numFmtId="0" fontId="5" fillId="0" borderId="30" xfId="0" applyFont="1" applyBorder="1" applyAlignment="1">
      <alignment horizontal="right"/>
    </xf>
    <xf numFmtId="0" fontId="5" fillId="0" borderId="32" xfId="0" applyFont="1" applyBorder="1" applyAlignment="1">
      <alignment horizontal="right"/>
    </xf>
    <xf numFmtId="0" fontId="3" fillId="0" borderId="10" xfId="0" applyFont="1" applyBorder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/>
  <dimension ref="A1:I50"/>
  <sheetViews>
    <sheetView showGridLines="0" tabSelected="1" zoomScale="95" zoomScaleNormal="95" workbookViewId="0">
      <selection activeCell="N16" sqref="N16"/>
    </sheetView>
  </sheetViews>
  <sheetFormatPr defaultRowHeight="13.8" x14ac:dyDescent="0.3"/>
  <cols>
    <col min="1" max="1" width="14.77734375" style="2" customWidth="1"/>
    <col min="2" max="2" width="11.5546875" style="2" bestFit="1" customWidth="1"/>
    <col min="3" max="5" width="8.21875" style="2" bestFit="1" customWidth="1"/>
    <col min="6" max="6" width="11.44140625" style="2" customWidth="1"/>
    <col min="7" max="16384" width="8.88671875" style="2"/>
  </cols>
  <sheetData>
    <row r="1" spans="1:9" ht="14.4" thickBot="1" x14ac:dyDescent="0.35">
      <c r="A1" s="1" t="s">
        <v>21</v>
      </c>
    </row>
    <row r="2" spans="1:9" ht="15.6" x14ac:dyDescent="0.3">
      <c r="A2" s="3"/>
      <c r="B2" s="4" t="s">
        <v>16</v>
      </c>
      <c r="C2" s="5"/>
      <c r="D2" s="5"/>
      <c r="E2" s="5"/>
      <c r="F2" s="5"/>
      <c r="G2" s="6"/>
      <c r="H2" s="61"/>
      <c r="I2" s="7" t="s">
        <v>23</v>
      </c>
    </row>
    <row r="3" spans="1:9" ht="15.6" x14ac:dyDescent="0.3">
      <c r="A3" s="8" t="s">
        <v>15</v>
      </c>
      <c r="B3" s="9" t="s">
        <v>3</v>
      </c>
      <c r="C3" s="10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62" t="s">
        <v>22</v>
      </c>
      <c r="I3" s="11" t="s">
        <v>24</v>
      </c>
    </row>
    <row r="4" spans="1:9" ht="15.6" x14ac:dyDescent="0.3">
      <c r="A4" s="12" t="s">
        <v>9</v>
      </c>
      <c r="B4" s="13">
        <v>1675</v>
      </c>
      <c r="C4" s="14">
        <v>400</v>
      </c>
      <c r="D4" s="14">
        <v>685</v>
      </c>
      <c r="E4" s="14">
        <v>1630</v>
      </c>
      <c r="F4" s="14">
        <v>1160</v>
      </c>
      <c r="G4" s="14">
        <v>2800</v>
      </c>
      <c r="H4" s="63">
        <v>18</v>
      </c>
      <c r="I4" s="15">
        <v>7650</v>
      </c>
    </row>
    <row r="5" spans="1:9" ht="15.6" x14ac:dyDescent="0.3">
      <c r="A5" s="16" t="s">
        <v>14</v>
      </c>
      <c r="B5" s="17">
        <v>1460</v>
      </c>
      <c r="C5" s="18">
        <v>1940</v>
      </c>
      <c r="D5" s="18">
        <v>970</v>
      </c>
      <c r="E5" s="18">
        <v>100</v>
      </c>
      <c r="F5" s="18">
        <v>495</v>
      </c>
      <c r="G5" s="18">
        <v>1200</v>
      </c>
      <c r="H5" s="59">
        <v>24</v>
      </c>
      <c r="I5" s="15">
        <v>3500</v>
      </c>
    </row>
    <row r="6" spans="1:9" ht="15.6" x14ac:dyDescent="0.3">
      <c r="A6" s="16" t="s">
        <v>10</v>
      </c>
      <c r="B6" s="17">
        <v>1925</v>
      </c>
      <c r="C6" s="18">
        <v>2400</v>
      </c>
      <c r="D6" s="18">
        <v>1425</v>
      </c>
      <c r="E6" s="18">
        <v>500</v>
      </c>
      <c r="F6" s="18">
        <v>950</v>
      </c>
      <c r="G6" s="18">
        <v>800</v>
      </c>
      <c r="H6" s="59">
        <v>27</v>
      </c>
      <c r="I6" s="15">
        <v>5000</v>
      </c>
    </row>
    <row r="7" spans="1:9" ht="15.6" x14ac:dyDescent="0.3">
      <c r="A7" s="16" t="s">
        <v>11</v>
      </c>
      <c r="B7" s="17">
        <v>380</v>
      </c>
      <c r="C7" s="18">
        <v>1355</v>
      </c>
      <c r="D7" s="18">
        <v>543</v>
      </c>
      <c r="E7" s="18">
        <v>1045</v>
      </c>
      <c r="F7" s="18">
        <v>665</v>
      </c>
      <c r="G7" s="18">
        <v>2321</v>
      </c>
      <c r="H7" s="59">
        <v>22</v>
      </c>
      <c r="I7" s="15">
        <v>4100</v>
      </c>
    </row>
    <row r="8" spans="1:9" ht="15.6" x14ac:dyDescent="0.3">
      <c r="A8" s="16" t="s">
        <v>12</v>
      </c>
      <c r="B8" s="17">
        <v>922</v>
      </c>
      <c r="C8" s="18">
        <v>1646</v>
      </c>
      <c r="D8" s="18">
        <v>700</v>
      </c>
      <c r="E8" s="18">
        <v>508</v>
      </c>
      <c r="F8" s="18">
        <v>311</v>
      </c>
      <c r="G8" s="18">
        <v>1797</v>
      </c>
      <c r="H8" s="59">
        <v>31</v>
      </c>
      <c r="I8" s="15">
        <v>2200</v>
      </c>
    </row>
    <row r="9" spans="1:9" ht="16.2" thickBot="1" x14ac:dyDescent="0.35">
      <c r="A9" s="20" t="s">
        <v>1</v>
      </c>
      <c r="B9" s="21">
        <v>10</v>
      </c>
      <c r="C9" s="22">
        <v>8</v>
      </c>
      <c r="D9" s="22">
        <v>14</v>
      </c>
      <c r="E9" s="22">
        <v>6</v>
      </c>
      <c r="F9" s="22">
        <v>7</v>
      </c>
      <c r="G9" s="22">
        <v>11</v>
      </c>
      <c r="H9" s="22"/>
      <c r="I9" s="48">
        <f>SUM(I4:I8)</f>
        <v>22450</v>
      </c>
    </row>
    <row r="10" spans="1:9" x14ac:dyDescent="0.3">
      <c r="A10" s="23"/>
    </row>
    <row r="11" spans="1:9" ht="14.4" thickBot="1" x14ac:dyDescent="0.35">
      <c r="A11" s="1" t="s">
        <v>17</v>
      </c>
    </row>
    <row r="12" spans="1:9" x14ac:dyDescent="0.3">
      <c r="A12" s="3"/>
      <c r="B12" s="4" t="s">
        <v>20</v>
      </c>
      <c r="C12" s="24"/>
      <c r="D12" s="24"/>
      <c r="E12" s="24"/>
      <c r="F12" s="24"/>
      <c r="G12" s="24"/>
      <c r="H12" s="51"/>
    </row>
    <row r="13" spans="1:9" x14ac:dyDescent="0.3">
      <c r="A13" s="8" t="s">
        <v>15</v>
      </c>
      <c r="B13" s="9" t="s">
        <v>3</v>
      </c>
      <c r="C13" s="10" t="s">
        <v>4</v>
      </c>
      <c r="D13" s="10" t="s">
        <v>5</v>
      </c>
      <c r="E13" s="10" t="s">
        <v>6</v>
      </c>
      <c r="F13" s="10" t="s">
        <v>7</v>
      </c>
      <c r="G13" s="10" t="s">
        <v>8</v>
      </c>
      <c r="H13" s="52"/>
    </row>
    <row r="14" spans="1:9" x14ac:dyDescent="0.3">
      <c r="A14" s="12" t="s">
        <v>9</v>
      </c>
      <c r="B14" s="42">
        <v>0</v>
      </c>
      <c r="C14" s="43">
        <v>8</v>
      </c>
      <c r="D14" s="43">
        <v>2</v>
      </c>
      <c r="E14" s="43">
        <v>0</v>
      </c>
      <c r="F14" s="43">
        <v>0</v>
      </c>
      <c r="G14" s="43">
        <v>0</v>
      </c>
      <c r="H14" s="49">
        <f>SUM(B14:G14)</f>
        <v>10</v>
      </c>
    </row>
    <row r="15" spans="1:9" x14ac:dyDescent="0.3">
      <c r="A15" s="16" t="s">
        <v>14</v>
      </c>
      <c r="B15" s="44">
        <v>0</v>
      </c>
      <c r="C15" s="45">
        <v>0</v>
      </c>
      <c r="D15" s="45">
        <v>0</v>
      </c>
      <c r="E15" s="45">
        <v>6</v>
      </c>
      <c r="F15" s="45">
        <v>0</v>
      </c>
      <c r="G15" s="45">
        <v>0</v>
      </c>
      <c r="H15" s="49">
        <f t="shared" ref="H15:H18" si="0">SUM(B15:G15)</f>
        <v>6</v>
      </c>
    </row>
    <row r="16" spans="1:9" x14ac:dyDescent="0.3">
      <c r="A16" s="16" t="s">
        <v>10</v>
      </c>
      <c r="B16" s="44">
        <v>0</v>
      </c>
      <c r="C16" s="45">
        <v>0</v>
      </c>
      <c r="D16" s="45">
        <v>0</v>
      </c>
      <c r="E16" s="45">
        <v>0</v>
      </c>
      <c r="F16" s="45">
        <v>0</v>
      </c>
      <c r="G16" s="45">
        <v>11</v>
      </c>
      <c r="H16" s="49">
        <f t="shared" si="0"/>
        <v>11</v>
      </c>
    </row>
    <row r="17" spans="1:8" x14ac:dyDescent="0.3">
      <c r="A17" s="16" t="s">
        <v>11</v>
      </c>
      <c r="B17" s="44">
        <v>10</v>
      </c>
      <c r="C17" s="45">
        <v>0</v>
      </c>
      <c r="D17" s="45">
        <v>12</v>
      </c>
      <c r="E17" s="45">
        <v>0</v>
      </c>
      <c r="F17" s="45">
        <v>0</v>
      </c>
      <c r="G17" s="45">
        <v>0</v>
      </c>
      <c r="H17" s="49">
        <f t="shared" si="0"/>
        <v>22</v>
      </c>
    </row>
    <row r="18" spans="1:8" ht="14.4" thickBot="1" x14ac:dyDescent="0.35">
      <c r="A18" s="26" t="s">
        <v>12</v>
      </c>
      <c r="B18" s="46">
        <v>0</v>
      </c>
      <c r="C18" s="47">
        <v>0</v>
      </c>
      <c r="D18" s="47">
        <v>0</v>
      </c>
      <c r="E18" s="47">
        <v>0</v>
      </c>
      <c r="F18" s="47">
        <v>7</v>
      </c>
      <c r="G18" s="47">
        <v>0</v>
      </c>
      <c r="H18" s="49">
        <f t="shared" si="0"/>
        <v>7</v>
      </c>
    </row>
    <row r="19" spans="1:8" x14ac:dyDescent="0.3">
      <c r="B19" s="25">
        <f>SUM(B14:B18)</f>
        <v>10</v>
      </c>
      <c r="C19" s="25">
        <f>SUM(C14:C18)</f>
        <v>8</v>
      </c>
      <c r="D19" s="25">
        <f>SUM(D14:D18)</f>
        <v>14</v>
      </c>
      <c r="E19" s="25">
        <f>SUM(E14:E18)</f>
        <v>6</v>
      </c>
      <c r="F19" s="25">
        <f>SUM(F14:F18)</f>
        <v>7</v>
      </c>
      <c r="G19" s="25">
        <f>SUM(G14:G18)</f>
        <v>11</v>
      </c>
      <c r="H19" s="50">
        <f>SUM(H14:H18)</f>
        <v>56</v>
      </c>
    </row>
    <row r="20" spans="1:8" ht="14.4" thickBot="1" x14ac:dyDescent="0.35">
      <c r="A20" s="1" t="s">
        <v>0</v>
      </c>
    </row>
    <row r="21" spans="1:8" x14ac:dyDescent="0.3">
      <c r="A21" s="27" t="s">
        <v>15</v>
      </c>
      <c r="B21" s="56" t="s">
        <v>13</v>
      </c>
      <c r="C21" s="5"/>
      <c r="D21" s="5"/>
      <c r="E21" s="5"/>
      <c r="F21" s="5"/>
      <c r="G21" s="28"/>
    </row>
    <row r="22" spans="1:8" x14ac:dyDescent="0.3">
      <c r="A22" s="55" t="s">
        <v>9</v>
      </c>
      <c r="B22" s="58">
        <f>H4-SUM(B14:G14)</f>
        <v>8</v>
      </c>
      <c r="C22" s="57"/>
      <c r="D22" s="53"/>
      <c r="E22" s="53"/>
      <c r="F22" s="53"/>
      <c r="G22" s="54"/>
    </row>
    <row r="23" spans="1:8" x14ac:dyDescent="0.3">
      <c r="A23" s="29" t="s">
        <v>14</v>
      </c>
      <c r="B23" s="57">
        <f>H5-SUM(B15:G15)</f>
        <v>18</v>
      </c>
      <c r="C23" s="57"/>
      <c r="D23" s="59"/>
      <c r="E23" s="59"/>
      <c r="F23" s="59"/>
      <c r="G23" s="19"/>
    </row>
    <row r="24" spans="1:8" x14ac:dyDescent="0.3">
      <c r="A24" s="29" t="s">
        <v>10</v>
      </c>
      <c r="B24" s="57">
        <f>H6-SUM(B16:G16)</f>
        <v>16</v>
      </c>
      <c r="C24" s="57"/>
      <c r="D24" s="59"/>
      <c r="E24" s="59"/>
      <c r="F24" s="59"/>
      <c r="G24" s="19"/>
    </row>
    <row r="25" spans="1:8" x14ac:dyDescent="0.3">
      <c r="A25" s="29" t="s">
        <v>11</v>
      </c>
      <c r="B25" s="57">
        <f>H7-SUM(B17:G17)</f>
        <v>0</v>
      </c>
      <c r="C25" s="57"/>
      <c r="D25" s="59"/>
      <c r="E25" s="59"/>
      <c r="F25" s="59"/>
      <c r="G25" s="19"/>
    </row>
    <row r="26" spans="1:8" x14ac:dyDescent="0.3">
      <c r="A26" s="29" t="s">
        <v>12</v>
      </c>
      <c r="B26" s="57">
        <f>H8-SUM(B18:G18)</f>
        <v>24</v>
      </c>
      <c r="C26" s="57"/>
      <c r="D26" s="59"/>
      <c r="E26" s="59"/>
      <c r="F26" s="59"/>
      <c r="G26" s="19"/>
    </row>
    <row r="27" spans="1:8" x14ac:dyDescent="0.3">
      <c r="A27" s="29"/>
      <c r="B27" s="59"/>
      <c r="C27" s="59"/>
      <c r="D27" s="59"/>
      <c r="E27" s="59"/>
      <c r="F27" s="59"/>
      <c r="G27" s="19"/>
    </row>
    <row r="28" spans="1:8" x14ac:dyDescent="0.3">
      <c r="A28" s="16"/>
      <c r="B28" s="9" t="s">
        <v>3</v>
      </c>
      <c r="C28" s="30" t="s">
        <v>4</v>
      </c>
      <c r="D28" s="30" t="s">
        <v>5</v>
      </c>
      <c r="E28" s="30" t="s">
        <v>6</v>
      </c>
      <c r="F28" s="30" t="s">
        <v>7</v>
      </c>
      <c r="G28" s="31" t="s">
        <v>8</v>
      </c>
    </row>
    <row r="29" spans="1:8" ht="14.4" thickBot="1" x14ac:dyDescent="0.35">
      <c r="A29" s="20" t="s">
        <v>19</v>
      </c>
      <c r="B29" s="32">
        <f>B9-SUM(B14:B18)</f>
        <v>0</v>
      </c>
      <c r="C29" s="32">
        <f>C9-SUM(C14:C18)</f>
        <v>0</v>
      </c>
      <c r="D29" s="32">
        <f>D9-SUM(D14:D18)</f>
        <v>0</v>
      </c>
      <c r="E29" s="32">
        <f>E9-SUM(E14:E18)</f>
        <v>0</v>
      </c>
      <c r="F29" s="32">
        <f>F9-SUM(F14:F18)</f>
        <v>0</v>
      </c>
      <c r="G29" s="60">
        <f>G9-SUM(G14:G18)</f>
        <v>0</v>
      </c>
    </row>
    <row r="31" spans="1:8" ht="14.4" thickBot="1" x14ac:dyDescent="0.35">
      <c r="A31" s="1" t="s">
        <v>18</v>
      </c>
    </row>
    <row r="32" spans="1:8" ht="14.4" thickBot="1" x14ac:dyDescent="0.35">
      <c r="A32" s="33" t="s">
        <v>2</v>
      </c>
      <c r="B32" s="34">
        <f>SUMPRODUCT(B4:G8,B14:G18)</f>
        <v>26463</v>
      </c>
      <c r="D32" s="35"/>
      <c r="F32" s="36"/>
      <c r="G32" s="37"/>
    </row>
    <row r="33" spans="1:7" x14ac:dyDescent="0.3">
      <c r="A33" s="38"/>
      <c r="G33" s="39"/>
    </row>
    <row r="34" spans="1:7" ht="14.4" x14ac:dyDescent="0.3">
      <c r="A34" s="40"/>
      <c r="B34" s="41"/>
      <c r="C34" s="41"/>
    </row>
    <row r="35" spans="1:7" ht="14.4" x14ac:dyDescent="0.3">
      <c r="A35" s="40"/>
      <c r="B35" s="41"/>
      <c r="C35" s="41"/>
    </row>
    <row r="36" spans="1:7" ht="14.4" x14ac:dyDescent="0.3">
      <c r="A36" s="40"/>
      <c r="B36" s="41"/>
      <c r="C36" s="41"/>
    </row>
    <row r="37" spans="1:7" ht="14.4" x14ac:dyDescent="0.3">
      <c r="A37" s="40"/>
      <c r="B37" s="41"/>
      <c r="C37" s="41"/>
    </row>
    <row r="38" spans="1:7" ht="14.4" x14ac:dyDescent="0.3">
      <c r="A38" s="40"/>
      <c r="B38" s="41"/>
      <c r="C38" s="41"/>
    </row>
    <row r="39" spans="1:7" ht="14.4" x14ac:dyDescent="0.3">
      <c r="A39" s="40"/>
      <c r="B39" s="41"/>
      <c r="C39" s="41"/>
    </row>
    <row r="40" spans="1:7" ht="14.4" x14ac:dyDescent="0.3">
      <c r="A40" s="40"/>
      <c r="B40" s="41"/>
      <c r="C40" s="41"/>
      <c r="D40" s="41"/>
      <c r="E40" s="41"/>
    </row>
    <row r="41" spans="1:7" ht="14.4" x14ac:dyDescent="0.3">
      <c r="D41" s="41"/>
      <c r="E41" s="41"/>
    </row>
    <row r="42" spans="1:7" ht="14.4" x14ac:dyDescent="0.3">
      <c r="A42" s="38"/>
      <c r="B42" s="38"/>
      <c r="D42" s="41"/>
    </row>
    <row r="43" spans="1:7" ht="14.4" x14ac:dyDescent="0.3">
      <c r="A43" s="40"/>
      <c r="B43" s="41"/>
      <c r="C43" s="41"/>
      <c r="D43" s="41"/>
    </row>
    <row r="44" spans="1:7" ht="14.4" x14ac:dyDescent="0.3">
      <c r="A44" s="40"/>
      <c r="B44" s="41"/>
      <c r="C44" s="41"/>
      <c r="D44" s="41"/>
      <c r="E44" s="41"/>
      <c r="F44" s="41"/>
    </row>
    <row r="45" spans="1:7" ht="14.4" x14ac:dyDescent="0.3">
      <c r="D45" s="41"/>
      <c r="E45" s="41"/>
      <c r="F45" s="41"/>
      <c r="G45" s="41"/>
    </row>
    <row r="46" spans="1:7" ht="14.4" x14ac:dyDescent="0.3">
      <c r="A46" s="38"/>
      <c r="D46" s="41"/>
      <c r="E46" s="41"/>
      <c r="F46" s="41"/>
      <c r="G46" s="41"/>
    </row>
    <row r="49" spans="4:6" ht="14.4" x14ac:dyDescent="0.3">
      <c r="D49" s="41"/>
      <c r="E49" s="41"/>
    </row>
    <row r="50" spans="4:6" ht="14.4" x14ac:dyDescent="0.3">
      <c r="D50" s="41"/>
      <c r="E50" s="41"/>
      <c r="F50" s="41"/>
    </row>
  </sheetData>
  <mergeCells count="4">
    <mergeCell ref="B2:G2"/>
    <mergeCell ref="B12:G12"/>
    <mergeCell ref="B21:G21"/>
    <mergeCell ref="H12:H13"/>
  </mergeCells>
  <phoneticPr fontId="0" type="noConversion"/>
  <pageMargins left="0.75" right="0.75" top="1" bottom="1" header="0.5" footer="0.5"/>
  <pageSetup orientation="portrait" horizontalDpi="4294967292" r:id="rId1"/>
  <headerFooter alignWithMargins="0">
    <oddHeader>&amp;C&amp;A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 Planning</vt:lpstr>
    </vt:vector>
  </TitlesOfParts>
  <Company>Kellogg Graduate School of Management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Supply Chain Management - 6th Edition</dc:title>
  <dc:creator>Sunil Chopra/Jay Mabe</dc:creator>
  <cp:lastModifiedBy>ROHIT GHOSH</cp:lastModifiedBy>
  <cp:lastPrinted>2001-09-10T20:25:10Z</cp:lastPrinted>
  <dcterms:created xsi:type="dcterms:W3CDTF">1999-02-07T23:04:46Z</dcterms:created>
  <dcterms:modified xsi:type="dcterms:W3CDTF">2026-01-23T03:58:53Z</dcterms:modified>
</cp:coreProperties>
</file>