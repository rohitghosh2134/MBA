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MBA\Courses\Term 3\SCM\Case Studies\Excel Sheets\"/>
    </mc:Choice>
  </mc:AlternateContent>
  <xr:revisionPtr revIDLastSave="0" documentId="8_{A8FF81B4-5844-403E-99F4-C4428ED638A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Demand Planning" sheetId="7" r:id="rId1"/>
    <sheet name="Sheet1" sheetId="8" r:id="rId2"/>
  </sheets>
  <definedNames>
    <definedName name="solver_adj" localSheetId="0" hidden="1">'Demand Planning'!$B$14:$H$18</definedName>
    <definedName name="solver_adj" localSheetId="1" hidden="1">Sheet1!$B$14:$G$18</definedName>
    <definedName name="solver_cvg" localSheetId="0" hidden="1">0.001</definedName>
    <definedName name="solver_cvg" localSheetId="1" hidden="1">0.0001</definedName>
    <definedName name="solver_drv" localSheetId="0" hidden="1">1</definedName>
    <definedName name="solver_drv" localSheetId="1" hidden="1">2</definedName>
    <definedName name="solver_dua" localSheetId="0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bd" localSheetId="0" hidden="1">2</definedName>
    <definedName name="solver_itr" localSheetId="0" hidden="1">100</definedName>
    <definedName name="solver_itr" localSheetId="1" hidden="1">2147483647</definedName>
    <definedName name="solver_lhs1" localSheetId="0" hidden="1">'Demand Planning'!$B$22:$B$26</definedName>
    <definedName name="solver_lhs1" localSheetId="1" hidden="1">Sheet1!$B$14:$G$18</definedName>
    <definedName name="solver_lhs2" localSheetId="0" hidden="1">'Demand Planning'!$B$29:$G$29</definedName>
    <definedName name="solver_lhs2" localSheetId="1" hidden="1">Sheet1!$B$32:$B$36</definedName>
    <definedName name="solver_lhs3" localSheetId="0" hidden="1">'Demand Planning'!$H$14:$H$18</definedName>
    <definedName name="solver_lhs3" localSheetId="1" hidden="1">Sheet1!$B$39:$G$39</definedName>
    <definedName name="solver_lhs4" localSheetId="0" hidden="1">'Demand Planning'!$H$20</definedName>
    <definedName name="solver_lhs5" localSheetId="0" hidden="1">'Demand Planning'!$H$20</definedName>
    <definedName name="solver_lhs6" localSheetId="0" hidden="1">'Demand Planning'!$B$25</definedName>
    <definedName name="solver_lhs7" localSheetId="0" hidden="1">'Demand Planning'!$B$26</definedName>
    <definedName name="solver_lin" localSheetId="0" hidden="1">1</definedName>
    <definedName name="solver_lva" localSheetId="0" hidden="1">2</definedName>
    <definedName name="solver_mip" localSheetId="0" hidden="1">1000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1000</definedName>
    <definedName name="solver_nod" localSheetId="1" hidden="1">2147483647</definedName>
    <definedName name="solver_num" localSheetId="0" hidden="1">3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fx" localSheetId="0" hidden="1">2</definedName>
    <definedName name="solver_opt" localSheetId="0" hidden="1">'Demand Planning'!$B$32</definedName>
    <definedName name="solver_opt" localSheetId="1" hidden="1">Sheet1!$B$42</definedName>
    <definedName name="solver_pre" localSheetId="0" hidden="1">0.000001</definedName>
    <definedName name="solver_pre" localSheetId="1" hidden="1">0.000001</definedName>
    <definedName name="solver_pro" localSheetId="0" hidden="1">2</definedName>
    <definedName name="solver_rbv" localSheetId="0" hidden="1">1</definedName>
    <definedName name="solver_rbv" localSheetId="1" hidden="1">2</definedName>
    <definedName name="solver_rel1" localSheetId="0" hidden="1">3</definedName>
    <definedName name="solver_rel1" localSheetId="1" hidden="1">5</definedName>
    <definedName name="solver_rel2" localSheetId="0" hidden="1">2</definedName>
    <definedName name="solver_rel2" localSheetId="1" hidden="1">3</definedName>
    <definedName name="solver_rel3" localSheetId="0" hidden="1">5</definedName>
    <definedName name="solver_rel3" localSheetId="1" hidden="1">2</definedName>
    <definedName name="solver_rel4" localSheetId="0" hidden="1">2</definedName>
    <definedName name="solver_rel5" localSheetId="0" hidden="1">2</definedName>
    <definedName name="solver_rel6" localSheetId="0" hidden="1">3</definedName>
    <definedName name="solver_rel7" localSheetId="0" hidden="1">3</definedName>
    <definedName name="solver_reo" localSheetId="0" hidden="1">2</definedName>
    <definedName name="solver_rep" localSheetId="0" hidden="1">2</definedName>
    <definedName name="solver_rhs1" localSheetId="0" hidden="1">0</definedName>
    <definedName name="solver_rhs1" localSheetId="1" hidden="1">"binary"</definedName>
    <definedName name="solver_rhs2" localSheetId="0" hidden="1">0</definedName>
    <definedName name="solver_rhs2" localSheetId="1" hidden="1">0</definedName>
    <definedName name="solver_rhs3" localSheetId="0" hidden="1">"binary"</definedName>
    <definedName name="solver_rhs3" localSheetId="1" hidden="1">1</definedName>
    <definedName name="solver_rhs4" localSheetId="0" hidden="1">4</definedName>
    <definedName name="solver_rhs5" localSheetId="0" hidden="1">4</definedName>
    <definedName name="solver_rhs6" localSheetId="0" hidden="1">0</definedName>
    <definedName name="solver_rhs7" localSheetId="0" hidden="1">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0</definedName>
    <definedName name="solver_ssz" localSheetId="1" hidden="1">100</definedName>
    <definedName name="solver_tim" localSheetId="0" hidden="1">100</definedName>
    <definedName name="solver_tim" localSheetId="1" hidden="1">2147483647</definedName>
    <definedName name="solver_tms" localSheetId="0" hidden="1">2</definedName>
    <definedName name="solver_tol" localSheetId="0" hidden="1">0.001</definedName>
    <definedName name="solver_tol" localSheetId="1" hidden="1">0.01</definedName>
    <definedName name="solver_typ" localSheetId="0" hidden="1">2</definedName>
    <definedName name="solver_typ" localSheetId="1" hidden="1">2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8" l="1"/>
  <c r="B27" i="8"/>
  <c r="B25" i="8"/>
  <c r="B26" i="8"/>
  <c r="B28" i="8"/>
  <c r="C24" i="8"/>
  <c r="D24" i="8"/>
  <c r="E24" i="8"/>
  <c r="F24" i="8"/>
  <c r="G24" i="8"/>
  <c r="C25" i="8"/>
  <c r="D25" i="8"/>
  <c r="E25" i="8"/>
  <c r="F25" i="8"/>
  <c r="G25" i="8"/>
  <c r="C26" i="8"/>
  <c r="D26" i="8"/>
  <c r="E26" i="8"/>
  <c r="F26" i="8"/>
  <c r="G26" i="8"/>
  <c r="C27" i="8"/>
  <c r="D27" i="8"/>
  <c r="E27" i="8"/>
  <c r="F27" i="8"/>
  <c r="G27" i="8"/>
  <c r="C28" i="8"/>
  <c r="D28" i="8"/>
  <c r="E28" i="8"/>
  <c r="F28" i="8"/>
  <c r="G28" i="8"/>
  <c r="B24" i="8"/>
  <c r="G39" i="8"/>
  <c r="F39" i="8"/>
  <c r="E39" i="8"/>
  <c r="D39" i="8"/>
  <c r="C39" i="8"/>
  <c r="B39" i="8"/>
  <c r="B33" i="8"/>
  <c r="B34" i="8"/>
  <c r="B35" i="8"/>
  <c r="B36" i="8"/>
  <c r="H20" i="8"/>
  <c r="H9" i="8"/>
  <c r="B32" i="7"/>
  <c r="B23" i="7"/>
  <c r="B24" i="7"/>
  <c r="B25" i="7"/>
  <c r="B26" i="7"/>
  <c r="B22" i="7"/>
  <c r="H9" i="7"/>
  <c r="C29" i="7"/>
  <c r="D29" i="7"/>
  <c r="E29" i="7"/>
  <c r="F29" i="7"/>
  <c r="G29" i="7"/>
  <c r="B29" i="7"/>
  <c r="B42" i="8" l="1"/>
  <c r="B46" i="8" s="1"/>
  <c r="H20" i="7"/>
  <c r="B36" i="7"/>
</calcChain>
</file>

<file path=xl/sharedStrings.xml><?xml version="1.0" encoding="utf-8"?>
<sst xmlns="http://schemas.openxmlformats.org/spreadsheetml/2006/main" count="122" uniqueCount="31">
  <si>
    <t>Constraints</t>
  </si>
  <si>
    <t>Demand</t>
  </si>
  <si>
    <t>Cost =</t>
  </si>
  <si>
    <t>Atlanta</t>
  </si>
  <si>
    <t>Boston</t>
  </si>
  <si>
    <t>Chicago</t>
  </si>
  <si>
    <t>Denver</t>
  </si>
  <si>
    <t>Omaha</t>
  </si>
  <si>
    <t>Portland</t>
  </si>
  <si>
    <t>Baltimore</t>
  </si>
  <si>
    <t>Salt Lake</t>
  </si>
  <si>
    <t>Memphis</t>
  </si>
  <si>
    <t>Wichita</t>
  </si>
  <si>
    <t>Excess Capacity</t>
  </si>
  <si>
    <t>Cheyenne</t>
  </si>
  <si>
    <t>Supply City</t>
  </si>
  <si>
    <t>Demand City
Production and Transportation Cost per 1000 Units</t>
  </si>
  <si>
    <t>Decision Variables</t>
  </si>
  <si>
    <t>Objective Function</t>
  </si>
  <si>
    <t>Unmet Demand</t>
  </si>
  <si>
    <t>Demand City - Production Allocation (1000 Units)</t>
  </si>
  <si>
    <t xml:space="preserve">      Total Available Capacity</t>
  </si>
  <si>
    <t>Inputs - Costs, Capacities, Demands (for TelecomOptic)</t>
  </si>
  <si>
    <t>Capacity</t>
  </si>
  <si>
    <t xml:space="preserve">Fixed </t>
  </si>
  <si>
    <t>Cost ($)</t>
  </si>
  <si>
    <t>Plants</t>
  </si>
  <si>
    <t>(1=open)</t>
  </si>
  <si>
    <t>Fixed Cost =</t>
  </si>
  <si>
    <t>Total Cost =</t>
  </si>
  <si>
    <t>Resulting Production Allocation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</si>
</sst>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9" x14ac:knownFonts="1">
    <font>
      <sz val="10"/>
      <name val="Arial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Times New Roman"/>
      <family val="1"/>
    </font>
    <font>
      <i/>
      <sz val="11"/>
      <name val="Times New Roman"/>
      <family val="1"/>
    </font>
    <font>
      <b/>
      <sz val="10"/>
      <color rgb="FFFF0000"/>
      <name val="Arial"/>
      <family val="2"/>
    </font>
    <font>
      <b/>
      <sz val="10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/>
    <xf numFmtId="0" fontId="0" fillId="0" borderId="16" xfId="0" applyBorder="1"/>
    <xf numFmtId="0" fontId="4" fillId="0" borderId="17" xfId="0" applyFont="1" applyBorder="1"/>
    <xf numFmtId="0" fontId="3" fillId="0" borderId="18" xfId="0" applyFont="1" applyBorder="1" applyAlignment="1">
      <alignment horizontal="right"/>
    </xf>
    <xf numFmtId="0" fontId="0" fillId="0" borderId="20" xfId="0" applyBorder="1" applyAlignment="1">
      <alignment horizontal="right"/>
    </xf>
    <xf numFmtId="0" fontId="4" fillId="0" borderId="21" xfId="0" applyFont="1" applyBorder="1"/>
    <xf numFmtId="0" fontId="4" fillId="0" borderId="22" xfId="0" applyFont="1" applyBorder="1"/>
    <xf numFmtId="0" fontId="0" fillId="0" borderId="23" xfId="0" applyBorder="1" applyAlignment="1">
      <alignment horizontal="right"/>
    </xf>
    <xf numFmtId="0" fontId="3" fillId="0" borderId="19" xfId="0" applyFont="1" applyBorder="1" applyAlignment="1">
      <alignment horizontal="right"/>
    </xf>
    <xf numFmtId="0" fontId="2" fillId="0" borderId="25" xfId="0" applyFont="1" applyBorder="1"/>
    <xf numFmtId="0" fontId="4" fillId="0" borderId="4" xfId="0" applyFont="1" applyBorder="1"/>
    <xf numFmtId="167" fontId="1" fillId="0" borderId="24" xfId="1" applyNumberFormat="1" applyBorder="1"/>
    <xf numFmtId="167" fontId="1" fillId="0" borderId="11" xfId="1" applyNumberFormat="1" applyBorder="1"/>
    <xf numFmtId="167" fontId="1" fillId="0" borderId="9" xfId="1" applyNumberFormat="1" applyBorder="1"/>
    <xf numFmtId="167" fontId="1" fillId="0" borderId="0" xfId="1" applyNumberFormat="1" applyBorder="1"/>
    <xf numFmtId="166" fontId="1" fillId="0" borderId="26" xfId="2" applyNumberFormat="1" applyBorder="1"/>
    <xf numFmtId="1" fontId="0" fillId="0" borderId="24" xfId="1" applyNumberFormat="1" applyFont="1" applyFill="1" applyBorder="1"/>
    <xf numFmtId="1" fontId="0" fillId="0" borderId="11" xfId="1" applyNumberFormat="1" applyFont="1" applyFill="1" applyBorder="1"/>
    <xf numFmtId="1" fontId="0" fillId="0" borderId="11" xfId="1" applyNumberFormat="1" applyFont="1" applyBorder="1"/>
    <xf numFmtId="1" fontId="0" fillId="0" borderId="9" xfId="1" applyNumberFormat="1" applyFont="1" applyFill="1" applyBorder="1"/>
    <xf numFmtId="1" fontId="0" fillId="0" borderId="0" xfId="1" applyNumberFormat="1" applyFont="1" applyFill="1" applyBorder="1"/>
    <xf numFmtId="1" fontId="0" fillId="0" borderId="27" xfId="1" applyNumberFormat="1" applyFont="1" applyFill="1" applyBorder="1"/>
    <xf numFmtId="1" fontId="0" fillId="0" borderId="9" xfId="1" applyNumberFormat="1" applyFont="1" applyBorder="1"/>
    <xf numFmtId="1" fontId="0" fillId="0" borderId="0" xfId="1" applyNumberFormat="1" applyFont="1" applyBorder="1"/>
    <xf numFmtId="1" fontId="0" fillId="0" borderId="15" xfId="1" applyNumberFormat="1" applyFont="1" applyFill="1" applyBorder="1"/>
    <xf numFmtId="1" fontId="0" fillId="0" borderId="5" xfId="1" applyNumberFormat="1" applyFont="1" applyFill="1" applyBorder="1"/>
    <xf numFmtId="1" fontId="0" fillId="0" borderId="5" xfId="1" applyNumberFormat="1" applyFont="1" applyBorder="1"/>
    <xf numFmtId="1" fontId="0" fillId="0" borderId="9" xfId="0" applyNumberFormat="1" applyBorder="1"/>
    <xf numFmtId="1" fontId="0" fillId="0" borderId="15" xfId="0" applyNumberFormat="1" applyBorder="1"/>
    <xf numFmtId="0" fontId="4" fillId="0" borderId="0" xfId="0" applyFont="1"/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66" fontId="3" fillId="0" borderId="0" xfId="2" applyNumberFormat="1" applyFont="1" applyFill="1"/>
    <xf numFmtId="0" fontId="3" fillId="0" borderId="0" xfId="0" applyFont="1"/>
    <xf numFmtId="166" fontId="0" fillId="0" borderId="0" xfId="2" applyNumberFormat="1" applyFont="1" applyBorder="1"/>
    <xf numFmtId="166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0" fontId="3" fillId="0" borderId="29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167" fontId="1" fillId="0" borderId="31" xfId="1" applyNumberFormat="1" applyBorder="1"/>
    <xf numFmtId="167" fontId="1" fillId="0" borderId="32" xfId="1" applyNumberFormat="1" applyBorder="1"/>
    <xf numFmtId="0" fontId="7" fillId="2" borderId="33" xfId="0" applyFont="1" applyFill="1" applyBorder="1"/>
    <xf numFmtId="0" fontId="3" fillId="0" borderId="19" xfId="0" applyFont="1" applyBorder="1" applyAlignment="1">
      <alignment horizontal="right" wrapText="1"/>
    </xf>
    <xf numFmtId="0" fontId="0" fillId="0" borderId="18" xfId="0" applyBorder="1" applyAlignment="1">
      <alignment horizontal="right"/>
    </xf>
    <xf numFmtId="1" fontId="8" fillId="0" borderId="34" xfId="0" applyNumberFormat="1" applyFont="1" applyBorder="1" applyAlignment="1">
      <alignment horizontal="right"/>
    </xf>
    <xf numFmtId="167" fontId="0" fillId="0" borderId="0" xfId="0" applyNumberFormat="1"/>
    <xf numFmtId="167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left"/>
    </xf>
    <xf numFmtId="1" fontId="8" fillId="0" borderId="35" xfId="0" applyNumberFormat="1" applyFont="1" applyBorder="1" applyAlignment="1">
      <alignment horizontal="right"/>
    </xf>
    <xf numFmtId="1" fontId="0" fillId="0" borderId="36" xfId="0" applyNumberFormat="1" applyBorder="1"/>
    <xf numFmtId="2" fontId="2" fillId="0" borderId="0" xfId="0" applyNumberFormat="1" applyFont="1"/>
    <xf numFmtId="2" fontId="0" fillId="0" borderId="0" xfId="0" applyNumberFormat="1"/>
    <xf numFmtId="2" fontId="0" fillId="0" borderId="16" xfId="0" applyNumberFormat="1" applyBorder="1"/>
    <xf numFmtId="2" fontId="3" fillId="0" borderId="29" xfId="0" applyNumberFormat="1" applyFont="1" applyBorder="1" applyAlignment="1">
      <alignment horizontal="right"/>
    </xf>
    <xf numFmtId="2" fontId="3" fillId="0" borderId="19" xfId="0" applyNumberFormat="1" applyFont="1" applyBorder="1" applyAlignment="1">
      <alignment horizontal="right"/>
    </xf>
    <xf numFmtId="2" fontId="4" fillId="0" borderId="17" xfId="0" applyNumberFormat="1" applyFont="1" applyBorder="1"/>
    <xf numFmtId="2" fontId="0" fillId="0" borderId="14" xfId="0" applyNumberFormat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3" fillId="0" borderId="30" xfId="0" applyNumberFormat="1" applyFont="1" applyBorder="1" applyAlignment="1">
      <alignment horizontal="right"/>
    </xf>
    <xf numFmtId="2" fontId="3" fillId="0" borderId="18" xfId="0" applyNumberFormat="1" applyFont="1" applyBorder="1" applyAlignment="1">
      <alignment horizontal="right"/>
    </xf>
    <xf numFmtId="2" fontId="0" fillId="0" borderId="10" xfId="0" applyNumberFormat="1" applyBorder="1"/>
    <xf numFmtId="2" fontId="1" fillId="0" borderId="24" xfId="1" applyNumberFormat="1" applyBorder="1"/>
    <xf numFmtId="2" fontId="1" fillId="0" borderId="11" xfId="1" applyNumberFormat="1" applyBorder="1"/>
    <xf numFmtId="2" fontId="1" fillId="0" borderId="31" xfId="1" applyNumberFormat="1" applyBorder="1"/>
    <xf numFmtId="2" fontId="0" fillId="0" borderId="12" xfId="0" applyNumberFormat="1" applyBorder="1"/>
    <xf numFmtId="2" fontId="0" fillId="0" borderId="2" xfId="0" applyNumberFormat="1" applyBorder="1"/>
    <xf numFmtId="2" fontId="1" fillId="0" borderId="9" xfId="1" applyNumberFormat="1" applyBorder="1"/>
    <xf numFmtId="2" fontId="1" fillId="0" borderId="0" xfId="1" applyNumberFormat="1" applyBorder="1"/>
    <xf numFmtId="2" fontId="1" fillId="0" borderId="32" xfId="1" applyNumberFormat="1" applyBorder="1"/>
    <xf numFmtId="2" fontId="0" fillId="0" borderId="3" xfId="0" applyNumberFormat="1" applyBorder="1"/>
    <xf numFmtId="2" fontId="4" fillId="0" borderId="4" xfId="0" applyNumberFormat="1" applyFont="1" applyBorder="1"/>
    <xf numFmtId="2" fontId="0" fillId="0" borderId="15" xfId="0" applyNumberFormat="1" applyBorder="1"/>
    <xf numFmtId="2" fontId="0" fillId="0" borderId="5" xfId="0" applyNumberFormat="1" applyBorder="1"/>
    <xf numFmtId="2" fontId="7" fillId="2" borderId="33" xfId="0" applyNumberFormat="1" applyFont="1" applyFill="1" applyBorder="1"/>
    <xf numFmtId="2" fontId="0" fillId="0" borderId="6" xfId="0" applyNumberFormat="1" applyBorder="1"/>
    <xf numFmtId="2" fontId="0" fillId="0" borderId="1" xfId="0" applyNumberFormat="1" applyBorder="1"/>
    <xf numFmtId="2" fontId="0" fillId="0" borderId="7" xfId="0" applyNumberFormat="1" applyBorder="1"/>
    <xf numFmtId="2" fontId="3" fillId="0" borderId="19" xfId="0" applyNumberFormat="1" applyFont="1" applyBorder="1" applyAlignment="1">
      <alignment horizontal="right" wrapText="1"/>
    </xf>
    <xf numFmtId="2" fontId="0" fillId="0" borderId="18" xfId="0" applyNumberFormat="1" applyBorder="1" applyAlignment="1">
      <alignment horizontal="right"/>
    </xf>
    <xf numFmtId="2" fontId="0" fillId="0" borderId="24" xfId="1" applyNumberFormat="1" applyFont="1" applyFill="1" applyBorder="1"/>
    <xf numFmtId="2" fontId="0" fillId="0" borderId="11" xfId="1" applyNumberFormat="1" applyFont="1" applyFill="1" applyBorder="1"/>
    <xf numFmtId="2" fontId="0" fillId="0" borderId="11" xfId="1" applyNumberFormat="1" applyFont="1" applyBorder="1"/>
    <xf numFmtId="2" fontId="8" fillId="0" borderId="34" xfId="0" applyNumberFormat="1" applyFont="1" applyBorder="1" applyAlignment="1">
      <alignment horizontal="right"/>
    </xf>
    <xf numFmtId="2" fontId="0" fillId="0" borderId="0" xfId="1" applyNumberFormat="1" applyFont="1" applyFill="1" applyBorder="1"/>
    <xf numFmtId="2" fontId="0" fillId="0" borderId="9" xfId="1" applyNumberFormat="1" applyFont="1" applyFill="1" applyBorder="1"/>
    <xf numFmtId="2" fontId="0" fillId="0" borderId="27" xfId="1" applyNumberFormat="1" applyFont="1" applyFill="1" applyBorder="1"/>
    <xf numFmtId="2" fontId="0" fillId="0" borderId="9" xfId="1" applyNumberFormat="1" applyFont="1" applyBorder="1"/>
    <xf numFmtId="2" fontId="0" fillId="0" borderId="0" xfId="1" applyNumberFormat="1" applyFont="1" applyBorder="1"/>
    <xf numFmtId="2" fontId="0" fillId="0" borderId="4" xfId="0" applyNumberFormat="1" applyBorder="1"/>
    <xf numFmtId="2" fontId="0" fillId="0" borderId="15" xfId="1" applyNumberFormat="1" applyFont="1" applyFill="1" applyBorder="1"/>
    <xf numFmtId="2" fontId="0" fillId="0" borderId="5" xfId="1" applyNumberFormat="1" applyFont="1" applyFill="1" applyBorder="1"/>
    <xf numFmtId="2" fontId="0" fillId="0" borderId="5" xfId="1" applyNumberFormat="1" applyFont="1" applyBorder="1"/>
    <xf numFmtId="2" fontId="8" fillId="0" borderId="35" xfId="0" applyNumberFormat="1" applyFont="1" applyBorder="1" applyAlignment="1">
      <alignment horizontal="right"/>
    </xf>
    <xf numFmtId="2" fontId="0" fillId="0" borderId="37" xfId="0" applyNumberFormat="1" applyBorder="1" applyAlignment="1">
      <alignment horizontal="right"/>
    </xf>
    <xf numFmtId="2" fontId="0" fillId="0" borderId="38" xfId="1" applyNumberFormat="1" applyFont="1" applyFill="1" applyBorder="1"/>
    <xf numFmtId="2" fontId="4" fillId="0" borderId="0" xfId="0" applyNumberFormat="1" applyFont="1" applyAlignment="1">
      <alignment horizontal="left"/>
    </xf>
    <xf numFmtId="2" fontId="0" fillId="0" borderId="0" xfId="0" applyNumberFormat="1" applyAlignment="1">
      <alignment horizontal="right"/>
    </xf>
    <xf numFmtId="2" fontId="4" fillId="0" borderId="21" xfId="0" applyNumberFormat="1" applyFont="1" applyBorder="1"/>
    <xf numFmtId="2" fontId="4" fillId="0" borderId="22" xfId="0" applyNumberFormat="1" applyFont="1" applyBorder="1"/>
    <xf numFmtId="2" fontId="0" fillId="0" borderId="8" xfId="0" applyNumberFormat="1" applyBorder="1"/>
    <xf numFmtId="2" fontId="0" fillId="0" borderId="9" xfId="0" applyNumberFormat="1" applyBorder="1"/>
    <xf numFmtId="2" fontId="4" fillId="0" borderId="0" xfId="0" applyNumberFormat="1" applyFont="1"/>
    <xf numFmtId="2" fontId="4" fillId="0" borderId="3" xfId="0" applyNumberFormat="1" applyFont="1" applyBorder="1" applyAlignment="1">
      <alignment horizontal="left"/>
    </xf>
    <xf numFmtId="2" fontId="0" fillId="0" borderId="0" xfId="2" applyNumberFormat="1" applyFont="1" applyBorder="1"/>
    <xf numFmtId="2" fontId="3" fillId="0" borderId="0" xfId="2" applyNumberFormat="1" applyFont="1" applyFill="1"/>
    <xf numFmtId="2" fontId="0" fillId="0" borderId="20" xfId="0" applyNumberFormat="1" applyBorder="1" applyAlignment="1">
      <alignment horizontal="right"/>
    </xf>
    <xf numFmtId="2" fontId="0" fillId="0" borderId="23" xfId="0" applyNumberFormat="1" applyBorder="1" applyAlignment="1">
      <alignment horizontal="right"/>
    </xf>
    <xf numFmtId="2" fontId="2" fillId="0" borderId="25" xfId="0" applyNumberFormat="1" applyFont="1" applyBorder="1"/>
    <xf numFmtId="2" fontId="1" fillId="0" borderId="26" xfId="2" applyNumberFormat="1" applyBorder="1"/>
    <xf numFmtId="2" fontId="3" fillId="0" borderId="0" xfId="0" applyNumberFormat="1" applyFont="1"/>
    <xf numFmtId="2" fontId="6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left"/>
    </xf>
    <xf numFmtId="0" fontId="4" fillId="0" borderId="22" xfId="0" applyFont="1" applyBorder="1" applyAlignment="1">
      <alignment horizontal="center" wrapText="1"/>
    </xf>
    <xf numFmtId="0" fontId="4" fillId="0" borderId="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0" fillId="0" borderId="7" xfId="0" applyBorder="1"/>
    <xf numFmtId="0" fontId="0" fillId="0" borderId="28" xfId="0" applyBorder="1"/>
    <xf numFmtId="2" fontId="4" fillId="0" borderId="22" xfId="0" applyNumberFormat="1" applyFont="1" applyBorder="1" applyAlignment="1">
      <alignment horizontal="center" wrapText="1"/>
    </xf>
    <xf numFmtId="2" fontId="4" fillId="0" borderId="7" xfId="0" applyNumberFormat="1" applyFont="1" applyBorder="1" applyAlignment="1">
      <alignment horizontal="center"/>
    </xf>
    <xf numFmtId="2" fontId="4" fillId="0" borderId="28" xfId="0" applyNumberFormat="1" applyFont="1" applyBorder="1" applyAlignment="1">
      <alignment horizontal="center"/>
    </xf>
    <xf numFmtId="2" fontId="0" fillId="0" borderId="7" xfId="0" applyNumberFormat="1" applyBorder="1"/>
    <xf numFmtId="2" fontId="0" fillId="0" borderId="28" xfId="0" applyNumberFormat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50"/>
  <sheetViews>
    <sheetView showGridLines="0" zoomScale="95" zoomScaleNormal="95" workbookViewId="0">
      <selection activeCell="M16" sqref="A1:XFD1048576"/>
    </sheetView>
  </sheetViews>
  <sheetFormatPr defaultRowHeight="13.2" x14ac:dyDescent="0.25"/>
  <cols>
    <col min="1" max="1" width="14.77734375" customWidth="1"/>
    <col min="2" max="2" width="11.5546875" bestFit="1" customWidth="1"/>
    <col min="3" max="5" width="8.21875" bestFit="1" customWidth="1"/>
    <col min="6" max="6" width="11.44140625" customWidth="1"/>
  </cols>
  <sheetData>
    <row r="1" spans="1:10" ht="13.8" thickBot="1" x14ac:dyDescent="0.3">
      <c r="A1" s="1" t="s">
        <v>22</v>
      </c>
    </row>
    <row r="2" spans="1:10" ht="27" customHeight="1" x14ac:dyDescent="0.25">
      <c r="A2" s="16"/>
      <c r="B2" s="130" t="s">
        <v>16</v>
      </c>
      <c r="C2" s="131"/>
      <c r="D2" s="131"/>
      <c r="E2" s="131"/>
      <c r="F2" s="131"/>
      <c r="G2" s="132"/>
      <c r="H2" s="55" t="s">
        <v>24</v>
      </c>
      <c r="I2" s="23"/>
    </row>
    <row r="3" spans="1:10" x14ac:dyDescent="0.25">
      <c r="A3" s="17" t="s">
        <v>15</v>
      </c>
      <c r="B3" s="14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56" t="s">
        <v>25</v>
      </c>
      <c r="I3" s="18" t="s">
        <v>23</v>
      </c>
    </row>
    <row r="4" spans="1:10" x14ac:dyDescent="0.25">
      <c r="A4" s="11" t="s">
        <v>9</v>
      </c>
      <c r="B4" s="26">
        <v>1675</v>
      </c>
      <c r="C4" s="27">
        <v>400</v>
      </c>
      <c r="D4" s="27">
        <v>685</v>
      </c>
      <c r="E4" s="27">
        <v>1630</v>
      </c>
      <c r="F4" s="27">
        <v>1160</v>
      </c>
      <c r="G4" s="27">
        <v>2800</v>
      </c>
      <c r="H4" s="57">
        <v>7650</v>
      </c>
      <c r="I4" s="12">
        <v>18</v>
      </c>
    </row>
    <row r="5" spans="1:10" x14ac:dyDescent="0.25">
      <c r="A5" s="3" t="s">
        <v>14</v>
      </c>
      <c r="B5" s="28">
        <v>1460</v>
      </c>
      <c r="C5" s="29">
        <v>1940</v>
      </c>
      <c r="D5" s="29">
        <v>970</v>
      </c>
      <c r="E5" s="29">
        <v>100</v>
      </c>
      <c r="F5" s="29">
        <v>495</v>
      </c>
      <c r="G5" s="29">
        <v>1200</v>
      </c>
      <c r="H5" s="58">
        <v>3500</v>
      </c>
      <c r="I5" s="4">
        <v>24</v>
      </c>
    </row>
    <row r="6" spans="1:10" x14ac:dyDescent="0.25">
      <c r="A6" s="3" t="s">
        <v>10</v>
      </c>
      <c r="B6" s="28">
        <v>1925</v>
      </c>
      <c r="C6" s="29">
        <v>2400</v>
      </c>
      <c r="D6" s="29">
        <v>1425</v>
      </c>
      <c r="E6" s="29">
        <v>500</v>
      </c>
      <c r="F6" s="29">
        <v>950</v>
      </c>
      <c r="G6" s="29">
        <v>800</v>
      </c>
      <c r="H6" s="58">
        <v>5000</v>
      </c>
      <c r="I6" s="4">
        <v>27</v>
      </c>
    </row>
    <row r="7" spans="1:10" x14ac:dyDescent="0.25">
      <c r="A7" s="3" t="s">
        <v>11</v>
      </c>
      <c r="B7" s="28">
        <v>380</v>
      </c>
      <c r="C7" s="29">
        <v>1355</v>
      </c>
      <c r="D7" s="29">
        <v>543</v>
      </c>
      <c r="E7" s="29">
        <v>1045</v>
      </c>
      <c r="F7" s="29">
        <v>665</v>
      </c>
      <c r="G7" s="29">
        <v>2321</v>
      </c>
      <c r="H7" s="58">
        <v>4100</v>
      </c>
      <c r="I7" s="4">
        <v>22</v>
      </c>
    </row>
    <row r="8" spans="1:10" x14ac:dyDescent="0.25">
      <c r="A8" s="3" t="s">
        <v>12</v>
      </c>
      <c r="B8" s="28">
        <v>922</v>
      </c>
      <c r="C8" s="29">
        <v>1646</v>
      </c>
      <c r="D8" s="29">
        <v>700</v>
      </c>
      <c r="E8" s="29">
        <v>508</v>
      </c>
      <c r="F8" s="29">
        <v>311</v>
      </c>
      <c r="G8" s="29">
        <v>1797</v>
      </c>
      <c r="H8" s="58">
        <v>2200</v>
      </c>
      <c r="I8" s="4">
        <v>31</v>
      </c>
    </row>
    <row r="9" spans="1:10" ht="13.8" thickBot="1" x14ac:dyDescent="0.3">
      <c r="A9" s="25" t="s">
        <v>1</v>
      </c>
      <c r="B9" s="15">
        <v>10</v>
      </c>
      <c r="C9" s="6">
        <v>8</v>
      </c>
      <c r="D9" s="6">
        <v>14</v>
      </c>
      <c r="E9" s="6">
        <v>6</v>
      </c>
      <c r="F9" s="6">
        <v>7</v>
      </c>
      <c r="G9" s="6">
        <v>11</v>
      </c>
      <c r="H9" s="59">
        <f>SUM(B9:G9)</f>
        <v>56</v>
      </c>
      <c r="I9" s="7"/>
      <c r="J9" s="63"/>
    </row>
    <row r="10" spans="1:10" ht="5.25" customHeight="1" x14ac:dyDescent="0.25">
      <c r="A10" s="2"/>
    </row>
    <row r="11" spans="1:10" ht="13.8" thickBot="1" x14ac:dyDescent="0.3">
      <c r="A11" s="1" t="s">
        <v>17</v>
      </c>
    </row>
    <row r="12" spans="1:10" ht="12.75" customHeight="1" x14ac:dyDescent="0.25">
      <c r="A12" s="16"/>
      <c r="B12" s="130" t="s">
        <v>20</v>
      </c>
      <c r="C12" s="133"/>
      <c r="D12" s="133"/>
      <c r="E12" s="133"/>
      <c r="F12" s="133"/>
      <c r="G12" s="134"/>
      <c r="H12" s="60" t="s">
        <v>26</v>
      </c>
    </row>
    <row r="13" spans="1:10" x14ac:dyDescent="0.25">
      <c r="A13" s="17" t="s">
        <v>15</v>
      </c>
      <c r="B13" s="14" t="s">
        <v>3</v>
      </c>
      <c r="C13" s="13" t="s">
        <v>4</v>
      </c>
      <c r="D13" s="13" t="s">
        <v>5</v>
      </c>
      <c r="E13" s="13" t="s">
        <v>6</v>
      </c>
      <c r="F13" s="13" t="s">
        <v>7</v>
      </c>
      <c r="G13" s="13" t="s">
        <v>8</v>
      </c>
      <c r="H13" s="61" t="s">
        <v>27</v>
      </c>
    </row>
    <row r="14" spans="1:10" x14ac:dyDescent="0.25">
      <c r="A14" s="11" t="s">
        <v>9</v>
      </c>
      <c r="B14" s="31">
        <v>0</v>
      </c>
      <c r="C14" s="32">
        <v>8</v>
      </c>
      <c r="D14" s="32">
        <v>2.0000000000000053</v>
      </c>
      <c r="E14" s="33">
        <v>0</v>
      </c>
      <c r="F14" s="33">
        <v>0</v>
      </c>
      <c r="G14" s="33">
        <v>0</v>
      </c>
      <c r="H14" s="62">
        <v>1</v>
      </c>
      <c r="I14" s="35"/>
    </row>
    <row r="15" spans="1:10" x14ac:dyDescent="0.25">
      <c r="A15" s="3" t="s">
        <v>14</v>
      </c>
      <c r="B15" s="34">
        <v>0</v>
      </c>
      <c r="C15" s="35">
        <v>0</v>
      </c>
      <c r="D15" s="35">
        <v>0</v>
      </c>
      <c r="E15" s="35">
        <v>6</v>
      </c>
      <c r="F15" s="35">
        <v>6.9999999999999991</v>
      </c>
      <c r="G15" s="36">
        <v>10.999999999999998</v>
      </c>
      <c r="H15" s="62">
        <v>1</v>
      </c>
      <c r="I15" s="35"/>
    </row>
    <row r="16" spans="1:10" x14ac:dyDescent="0.25">
      <c r="A16" s="3" t="s">
        <v>10</v>
      </c>
      <c r="B16" s="37">
        <v>0</v>
      </c>
      <c r="C16" s="38">
        <v>0</v>
      </c>
      <c r="D16" s="38">
        <v>0</v>
      </c>
      <c r="E16" s="35">
        <v>0</v>
      </c>
      <c r="F16" s="35">
        <v>0</v>
      </c>
      <c r="G16" s="36">
        <v>1.7763568394002505E-15</v>
      </c>
      <c r="H16" s="62">
        <v>0</v>
      </c>
      <c r="I16" s="35"/>
    </row>
    <row r="17" spans="1:10" x14ac:dyDescent="0.25">
      <c r="A17" s="3" t="s">
        <v>11</v>
      </c>
      <c r="B17" s="34">
        <v>10.000000000000004</v>
      </c>
      <c r="C17" s="35">
        <v>0</v>
      </c>
      <c r="D17" s="35">
        <v>11.999999999999995</v>
      </c>
      <c r="E17" s="38">
        <v>0</v>
      </c>
      <c r="F17" s="38">
        <v>0</v>
      </c>
      <c r="G17" s="38">
        <v>0</v>
      </c>
      <c r="H17" s="62">
        <v>1</v>
      </c>
      <c r="I17" s="35"/>
    </row>
    <row r="18" spans="1:10" ht="13.8" thickBot="1" x14ac:dyDescent="0.3">
      <c r="A18" s="5" t="s">
        <v>12</v>
      </c>
      <c r="B18" s="39">
        <v>0</v>
      </c>
      <c r="C18" s="40">
        <v>0</v>
      </c>
      <c r="D18" s="40">
        <v>0</v>
      </c>
      <c r="E18" s="41">
        <v>0</v>
      </c>
      <c r="F18" s="41">
        <v>8.8817841970012523E-16</v>
      </c>
      <c r="G18" s="41">
        <v>0</v>
      </c>
      <c r="H18" s="66">
        <v>0</v>
      </c>
      <c r="I18" s="35"/>
      <c r="J18" s="54"/>
    </row>
    <row r="19" spans="1:10" ht="6" customHeight="1" x14ac:dyDescent="0.25"/>
    <row r="20" spans="1:10" ht="13.8" thickBot="1" x14ac:dyDescent="0.3">
      <c r="A20" s="1" t="s">
        <v>0</v>
      </c>
      <c r="H20" s="54">
        <f>SUM(H14:H18)</f>
        <v>3</v>
      </c>
    </row>
    <row r="21" spans="1:10" x14ac:dyDescent="0.25">
      <c r="A21" s="20" t="s">
        <v>15</v>
      </c>
      <c r="B21" s="21" t="s">
        <v>13</v>
      </c>
      <c r="C21" s="8"/>
      <c r="D21" s="8"/>
      <c r="E21" s="8"/>
      <c r="F21" s="8"/>
      <c r="G21" s="9"/>
    </row>
    <row r="22" spans="1:10" x14ac:dyDescent="0.25">
      <c r="A22" s="3" t="s">
        <v>9</v>
      </c>
      <c r="B22" s="42">
        <f>I4*H14-SUM(B14:G14)</f>
        <v>7.9999999999999947</v>
      </c>
      <c r="D22" s="46" t="s">
        <v>21</v>
      </c>
      <c r="E22" s="44"/>
      <c r="F22" s="44"/>
      <c r="G22" s="45"/>
      <c r="H22" s="46"/>
    </row>
    <row r="23" spans="1:10" x14ac:dyDescent="0.25">
      <c r="A23" s="3" t="s">
        <v>14</v>
      </c>
      <c r="B23" s="42">
        <f t="shared" ref="B23:B26" si="0">I5*H15-SUM(B15:G15)</f>
        <v>0</v>
      </c>
      <c r="G23" s="4"/>
    </row>
    <row r="24" spans="1:10" x14ac:dyDescent="0.25">
      <c r="A24" s="3" t="s">
        <v>10</v>
      </c>
      <c r="B24" s="42">
        <f t="shared" si="0"/>
        <v>-1.7763568394002505E-15</v>
      </c>
      <c r="G24" s="4"/>
    </row>
    <row r="25" spans="1:10" x14ac:dyDescent="0.25">
      <c r="A25" s="3" t="s">
        <v>11</v>
      </c>
      <c r="B25" s="42">
        <f t="shared" si="0"/>
        <v>0</v>
      </c>
      <c r="G25" s="4"/>
    </row>
    <row r="26" spans="1:10" x14ac:dyDescent="0.25">
      <c r="A26" s="3" t="s">
        <v>12</v>
      </c>
      <c r="B26" s="42">
        <f t="shared" si="0"/>
        <v>-8.8817841970012523E-16</v>
      </c>
      <c r="G26" s="4"/>
    </row>
    <row r="27" spans="1:10" ht="5.25" customHeight="1" x14ac:dyDescent="0.25">
      <c r="A27" s="3"/>
      <c r="B27" s="10"/>
      <c r="G27" s="4"/>
    </row>
    <row r="28" spans="1:10" x14ac:dyDescent="0.25">
      <c r="A28" s="3"/>
      <c r="B28" s="14" t="s">
        <v>3</v>
      </c>
      <c r="C28" s="19" t="s">
        <v>4</v>
      </c>
      <c r="D28" s="19" t="s">
        <v>5</v>
      </c>
      <c r="E28" s="19" t="s">
        <v>6</v>
      </c>
      <c r="F28" s="19" t="s">
        <v>7</v>
      </c>
      <c r="G28" s="22" t="s">
        <v>8</v>
      </c>
      <c r="H28" s="53"/>
    </row>
    <row r="29" spans="1:10" ht="13.8" thickBot="1" x14ac:dyDescent="0.3">
      <c r="A29" s="25" t="s">
        <v>19</v>
      </c>
      <c r="B29" s="43">
        <f>B9-SUM(B14:B18)</f>
        <v>0</v>
      </c>
      <c r="C29" s="43">
        <f t="shared" ref="C29:G29" si="1">C9-SUM(C14:C18)</f>
        <v>0</v>
      </c>
      <c r="D29" s="43">
        <f t="shared" si="1"/>
        <v>0</v>
      </c>
      <c r="E29" s="43">
        <f t="shared" si="1"/>
        <v>0</v>
      </c>
      <c r="F29" s="43">
        <f t="shared" si="1"/>
        <v>0</v>
      </c>
      <c r="G29" s="67">
        <f t="shared" si="1"/>
        <v>0</v>
      </c>
      <c r="H29" s="54"/>
    </row>
    <row r="30" spans="1:10" ht="6" customHeight="1" x14ac:dyDescent="0.25"/>
    <row r="31" spans="1:10" ht="13.8" thickBot="1" x14ac:dyDescent="0.3">
      <c r="A31" s="1" t="s">
        <v>18</v>
      </c>
    </row>
    <row r="32" spans="1:10" ht="13.8" thickBot="1" x14ac:dyDescent="0.3">
      <c r="A32" s="24" t="s">
        <v>2</v>
      </c>
      <c r="B32" s="30">
        <f>SUMPRODUCT(B4:G8,B14:G18)+SUMPRODUCT(H4:H8,H14:H18)</f>
        <v>47401</v>
      </c>
      <c r="D32" s="50"/>
      <c r="F32" s="52"/>
      <c r="G32" s="51"/>
      <c r="H32" s="51"/>
    </row>
    <row r="33" spans="1:8" x14ac:dyDescent="0.25">
      <c r="A33" s="44"/>
      <c r="G33" s="49"/>
      <c r="H33" s="49"/>
    </row>
    <row r="34" spans="1:8" ht="13.8" x14ac:dyDescent="0.25">
      <c r="A34" s="48" t="s">
        <v>28</v>
      </c>
      <c r="B34" s="64">
        <v>22450</v>
      </c>
      <c r="C34" s="47"/>
    </row>
    <row r="35" spans="1:8" ht="13.8" x14ac:dyDescent="0.25">
      <c r="A35" s="48"/>
      <c r="B35" s="47"/>
      <c r="C35" s="47"/>
    </row>
    <row r="36" spans="1:8" ht="13.8" x14ac:dyDescent="0.25">
      <c r="A36" s="48" t="s">
        <v>29</v>
      </c>
      <c r="B36" s="65">
        <f>B32+B34</f>
        <v>69851</v>
      </c>
      <c r="C36" s="47"/>
    </row>
    <row r="37" spans="1:8" ht="13.8" x14ac:dyDescent="0.25">
      <c r="A37" s="48"/>
      <c r="B37" s="47"/>
      <c r="C37" s="47"/>
    </row>
    <row r="38" spans="1:8" ht="13.8" x14ac:dyDescent="0.25">
      <c r="A38" s="48"/>
      <c r="B38" s="47"/>
      <c r="C38" s="47"/>
    </row>
    <row r="39" spans="1:8" ht="13.8" x14ac:dyDescent="0.25">
      <c r="A39" s="48"/>
      <c r="B39" s="47"/>
      <c r="C39" s="47"/>
    </row>
    <row r="40" spans="1:8" ht="13.8" x14ac:dyDescent="0.25">
      <c r="A40" s="48"/>
      <c r="B40" s="47"/>
      <c r="C40" s="47"/>
      <c r="D40" s="47"/>
      <c r="E40" s="47"/>
    </row>
    <row r="41" spans="1:8" ht="13.8" x14ac:dyDescent="0.25">
      <c r="D41" s="47"/>
      <c r="E41" s="47"/>
    </row>
    <row r="42" spans="1:8" ht="13.8" x14ac:dyDescent="0.25">
      <c r="A42" s="44"/>
      <c r="B42" s="44"/>
      <c r="D42" s="47"/>
    </row>
    <row r="43" spans="1:8" ht="13.8" x14ac:dyDescent="0.25">
      <c r="A43" s="48"/>
      <c r="B43" s="47"/>
      <c r="C43" s="47"/>
      <c r="D43" s="47"/>
    </row>
    <row r="44" spans="1:8" ht="13.8" x14ac:dyDescent="0.25">
      <c r="A44" s="48"/>
      <c r="B44" s="47"/>
      <c r="C44" s="47"/>
      <c r="D44" s="47"/>
      <c r="E44" s="47"/>
      <c r="F44" s="47"/>
    </row>
    <row r="45" spans="1:8" ht="13.8" x14ac:dyDescent="0.25">
      <c r="D45" s="47"/>
      <c r="E45" s="47"/>
      <c r="F45" s="47"/>
      <c r="G45" s="47"/>
      <c r="H45" s="47"/>
    </row>
    <row r="46" spans="1:8" ht="13.8" x14ac:dyDescent="0.25">
      <c r="A46" s="44"/>
      <c r="D46" s="47"/>
      <c r="E46" s="47"/>
      <c r="F46" s="47"/>
      <c r="G46" s="47"/>
      <c r="H46" s="47"/>
    </row>
    <row r="49" spans="4:6" ht="13.8" x14ac:dyDescent="0.25">
      <c r="D49" s="47"/>
      <c r="E49" s="47"/>
    </row>
    <row r="50" spans="4:6" ht="13.8" x14ac:dyDescent="0.25">
      <c r="D50" s="47"/>
      <c r="E50" s="47"/>
      <c r="F50" s="47"/>
    </row>
  </sheetData>
  <mergeCells count="2">
    <mergeCell ref="B2:G2"/>
    <mergeCell ref="B12:G12"/>
  </mergeCells>
  <phoneticPr fontId="0" type="noConversion"/>
  <pageMargins left="0.75" right="0.75" top="1" bottom="1" header="0.5" footer="0.5"/>
  <pageSetup orientation="portrait" horizontalDpi="4294967292" r:id="rId1"/>
  <headerFooter alignWithMargins="0">
    <oddHeader>&amp;C&amp;A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B5C95-9A89-40B3-B84C-D7948C4F9B37}">
  <dimension ref="A1:I60"/>
  <sheetViews>
    <sheetView tabSelected="1" topLeftCell="A7" workbookViewId="0">
      <selection activeCell="H19" sqref="H19"/>
    </sheetView>
  </sheetViews>
  <sheetFormatPr defaultRowHeight="13.2" x14ac:dyDescent="0.25"/>
  <cols>
    <col min="1" max="1" width="14.77734375" style="69" customWidth="1"/>
    <col min="2" max="2" width="11.5546875" style="69" bestFit="1" customWidth="1"/>
    <col min="3" max="5" width="8.21875" style="69" bestFit="1" customWidth="1"/>
    <col min="6" max="6" width="11.44140625" style="69" customWidth="1"/>
    <col min="7" max="16384" width="8.88671875" style="69"/>
  </cols>
  <sheetData>
    <row r="1" spans="1:9" ht="13.8" thickBot="1" x14ac:dyDescent="0.3">
      <c r="A1" s="68" t="s">
        <v>22</v>
      </c>
    </row>
    <row r="2" spans="1:9" x14ac:dyDescent="0.25">
      <c r="A2" s="70"/>
      <c r="B2" s="135" t="s">
        <v>16</v>
      </c>
      <c r="C2" s="136"/>
      <c r="D2" s="136"/>
      <c r="E2" s="136"/>
      <c r="F2" s="136"/>
      <c r="G2" s="137"/>
      <c r="H2" s="71" t="s">
        <v>24</v>
      </c>
      <c r="I2" s="72"/>
    </row>
    <row r="3" spans="1:9" x14ac:dyDescent="0.25">
      <c r="A3" s="73" t="s">
        <v>15</v>
      </c>
      <c r="B3" s="74" t="s">
        <v>3</v>
      </c>
      <c r="C3" s="75" t="s">
        <v>4</v>
      </c>
      <c r="D3" s="75" t="s">
        <v>5</v>
      </c>
      <c r="E3" s="75" t="s">
        <v>6</v>
      </c>
      <c r="F3" s="75" t="s">
        <v>7</v>
      </c>
      <c r="G3" s="75" t="s">
        <v>8</v>
      </c>
      <c r="H3" s="76" t="s">
        <v>25</v>
      </c>
      <c r="I3" s="77" t="s">
        <v>23</v>
      </c>
    </row>
    <row r="4" spans="1:9" x14ac:dyDescent="0.25">
      <c r="A4" s="78" t="s">
        <v>9</v>
      </c>
      <c r="B4" s="79">
        <v>1675</v>
      </c>
      <c r="C4" s="80">
        <v>400</v>
      </c>
      <c r="D4" s="80">
        <v>685</v>
      </c>
      <c r="E4" s="80">
        <v>1630</v>
      </c>
      <c r="F4" s="80">
        <v>1160</v>
      </c>
      <c r="G4" s="80">
        <v>2800</v>
      </c>
      <c r="H4" s="81">
        <v>7650</v>
      </c>
      <c r="I4" s="82">
        <v>18</v>
      </c>
    </row>
    <row r="5" spans="1:9" x14ac:dyDescent="0.25">
      <c r="A5" s="83" t="s">
        <v>14</v>
      </c>
      <c r="B5" s="84">
        <v>1460</v>
      </c>
      <c r="C5" s="85">
        <v>1940</v>
      </c>
      <c r="D5" s="85">
        <v>970</v>
      </c>
      <c r="E5" s="85">
        <v>100</v>
      </c>
      <c r="F5" s="85">
        <v>495</v>
      </c>
      <c r="G5" s="85">
        <v>1200</v>
      </c>
      <c r="H5" s="86">
        <v>3500</v>
      </c>
      <c r="I5" s="87">
        <v>24</v>
      </c>
    </row>
    <row r="6" spans="1:9" x14ac:dyDescent="0.25">
      <c r="A6" s="83" t="s">
        <v>10</v>
      </c>
      <c r="B6" s="84">
        <v>1925</v>
      </c>
      <c r="C6" s="85">
        <v>2400</v>
      </c>
      <c r="D6" s="85">
        <v>1425</v>
      </c>
      <c r="E6" s="85">
        <v>500</v>
      </c>
      <c r="F6" s="85">
        <v>950</v>
      </c>
      <c r="G6" s="85">
        <v>800</v>
      </c>
      <c r="H6" s="86">
        <v>5000</v>
      </c>
      <c r="I6" s="87">
        <v>27</v>
      </c>
    </row>
    <row r="7" spans="1:9" x14ac:dyDescent="0.25">
      <c r="A7" s="83" t="s">
        <v>11</v>
      </c>
      <c r="B7" s="84">
        <v>380</v>
      </c>
      <c r="C7" s="85">
        <v>1355</v>
      </c>
      <c r="D7" s="85">
        <v>543</v>
      </c>
      <c r="E7" s="85">
        <v>1045</v>
      </c>
      <c r="F7" s="85">
        <v>665</v>
      </c>
      <c r="G7" s="85">
        <v>2321</v>
      </c>
      <c r="H7" s="86">
        <v>4100</v>
      </c>
      <c r="I7" s="87">
        <v>22</v>
      </c>
    </row>
    <row r="8" spans="1:9" x14ac:dyDescent="0.25">
      <c r="A8" s="83" t="s">
        <v>12</v>
      </c>
      <c r="B8" s="84">
        <v>922</v>
      </c>
      <c r="C8" s="85">
        <v>1646</v>
      </c>
      <c r="D8" s="85">
        <v>700</v>
      </c>
      <c r="E8" s="85">
        <v>508</v>
      </c>
      <c r="F8" s="85">
        <v>311</v>
      </c>
      <c r="G8" s="85">
        <v>1797</v>
      </c>
      <c r="H8" s="86">
        <v>2200</v>
      </c>
      <c r="I8" s="87">
        <v>31</v>
      </c>
    </row>
    <row r="9" spans="1:9" ht="13.8" thickBot="1" x14ac:dyDescent="0.3">
      <c r="A9" s="88" t="s">
        <v>1</v>
      </c>
      <c r="B9" s="89">
        <v>10</v>
      </c>
      <c r="C9" s="90">
        <v>8</v>
      </c>
      <c r="D9" s="90">
        <v>14</v>
      </c>
      <c r="E9" s="90">
        <v>6</v>
      </c>
      <c r="F9" s="90">
        <v>7</v>
      </c>
      <c r="G9" s="90">
        <v>11</v>
      </c>
      <c r="H9" s="91">
        <f>SUM(B9:G9)</f>
        <v>56</v>
      </c>
      <c r="I9" s="92"/>
    </row>
    <row r="10" spans="1:9" x14ac:dyDescent="0.25">
      <c r="A10" s="93"/>
    </row>
    <row r="11" spans="1:9" ht="13.8" thickBot="1" x14ac:dyDescent="0.3">
      <c r="A11" s="68" t="s">
        <v>17</v>
      </c>
    </row>
    <row r="12" spans="1:9" x14ac:dyDescent="0.25">
      <c r="A12" s="70"/>
      <c r="B12" s="135" t="s">
        <v>20</v>
      </c>
      <c r="C12" s="138"/>
      <c r="D12" s="138"/>
      <c r="E12" s="138"/>
      <c r="F12" s="138"/>
      <c r="G12" s="139"/>
      <c r="H12" s="95" t="s">
        <v>26</v>
      </c>
    </row>
    <row r="13" spans="1:9" x14ac:dyDescent="0.25">
      <c r="A13" s="73" t="s">
        <v>15</v>
      </c>
      <c r="B13" s="74" t="s">
        <v>3</v>
      </c>
      <c r="C13" s="75" t="s">
        <v>4</v>
      </c>
      <c r="D13" s="75" t="s">
        <v>5</v>
      </c>
      <c r="E13" s="75" t="s">
        <v>6</v>
      </c>
      <c r="F13" s="75" t="s">
        <v>7</v>
      </c>
      <c r="G13" s="75" t="s">
        <v>8</v>
      </c>
      <c r="H13" s="96" t="s">
        <v>27</v>
      </c>
    </row>
    <row r="14" spans="1:9" x14ac:dyDescent="0.25">
      <c r="A14" s="78" t="s">
        <v>9</v>
      </c>
      <c r="B14" s="97">
        <v>0</v>
      </c>
      <c r="C14" s="98">
        <v>0</v>
      </c>
      <c r="D14" s="98">
        <v>0</v>
      </c>
      <c r="E14" s="99">
        <v>0</v>
      </c>
      <c r="F14" s="99">
        <v>0</v>
      </c>
      <c r="G14" s="99">
        <v>0</v>
      </c>
      <c r="H14" s="100">
        <v>0</v>
      </c>
      <c r="I14" s="101"/>
    </row>
    <row r="15" spans="1:9" x14ac:dyDescent="0.25">
      <c r="A15" s="83" t="s">
        <v>14</v>
      </c>
      <c r="B15" s="102">
        <v>0</v>
      </c>
      <c r="C15" s="101">
        <v>0</v>
      </c>
      <c r="D15" s="101">
        <v>0</v>
      </c>
      <c r="E15" s="101">
        <v>0</v>
      </c>
      <c r="F15" s="101">
        <v>0</v>
      </c>
      <c r="G15" s="103">
        <v>0</v>
      </c>
      <c r="H15" s="100">
        <v>0</v>
      </c>
      <c r="I15" s="101"/>
    </row>
    <row r="16" spans="1:9" x14ac:dyDescent="0.25">
      <c r="A16" s="83" t="s">
        <v>10</v>
      </c>
      <c r="B16" s="104">
        <v>0</v>
      </c>
      <c r="C16" s="105">
        <v>0</v>
      </c>
      <c r="D16" s="105">
        <v>0</v>
      </c>
      <c r="E16" s="101">
        <v>1</v>
      </c>
      <c r="F16" s="101">
        <v>0</v>
      </c>
      <c r="G16" s="103">
        <v>1</v>
      </c>
      <c r="H16" s="100">
        <v>1</v>
      </c>
      <c r="I16" s="101"/>
    </row>
    <row r="17" spans="1:9" x14ac:dyDescent="0.25">
      <c r="A17" s="83" t="s">
        <v>11</v>
      </c>
      <c r="B17" s="102">
        <v>1</v>
      </c>
      <c r="C17" s="101">
        <v>1</v>
      </c>
      <c r="D17" s="101">
        <v>0</v>
      </c>
      <c r="E17" s="105">
        <v>0</v>
      </c>
      <c r="F17" s="105">
        <v>0</v>
      </c>
      <c r="G17" s="105">
        <v>0</v>
      </c>
      <c r="H17" s="100">
        <v>1</v>
      </c>
      <c r="I17" s="101"/>
    </row>
    <row r="18" spans="1:9" ht="13.8" thickBot="1" x14ac:dyDescent="0.3">
      <c r="A18" s="106" t="s">
        <v>12</v>
      </c>
      <c r="B18" s="107">
        <v>0</v>
      </c>
      <c r="C18" s="108">
        <v>0</v>
      </c>
      <c r="D18" s="108">
        <v>1</v>
      </c>
      <c r="E18" s="109">
        <v>0</v>
      </c>
      <c r="F18" s="109">
        <v>1</v>
      </c>
      <c r="G18" s="109">
        <v>0</v>
      </c>
      <c r="H18" s="110">
        <v>1</v>
      </c>
      <c r="I18" s="101"/>
    </row>
    <row r="20" spans="1:9" x14ac:dyDescent="0.25">
      <c r="H20" s="69">
        <f>SUM(H14:H18)</f>
        <v>3</v>
      </c>
    </row>
    <row r="21" spans="1:9" ht="13.8" thickBot="1" x14ac:dyDescent="0.3">
      <c r="A21" s="68" t="s">
        <v>30</v>
      </c>
    </row>
    <row r="22" spans="1:9" x14ac:dyDescent="0.25">
      <c r="A22" s="70"/>
      <c r="B22" s="135" t="s">
        <v>20</v>
      </c>
      <c r="C22" s="138"/>
      <c r="D22" s="138"/>
      <c r="E22" s="138"/>
      <c r="F22" s="138"/>
      <c r="G22" s="139"/>
    </row>
    <row r="23" spans="1:9" x14ac:dyDescent="0.25">
      <c r="A23" s="73" t="s">
        <v>15</v>
      </c>
      <c r="B23" s="74" t="s">
        <v>3</v>
      </c>
      <c r="C23" s="75" t="s">
        <v>4</v>
      </c>
      <c r="D23" s="75" t="s">
        <v>5</v>
      </c>
      <c r="E23" s="75" t="s">
        <v>6</v>
      </c>
      <c r="F23" s="75" t="s">
        <v>7</v>
      </c>
      <c r="G23" s="111" t="s">
        <v>8</v>
      </c>
    </row>
    <row r="24" spans="1:9" x14ac:dyDescent="0.25">
      <c r="A24" s="78" t="s">
        <v>9</v>
      </c>
      <c r="B24" s="112">
        <f t="shared" ref="B24:G24" si="0">B14*B$9</f>
        <v>0</v>
      </c>
      <c r="C24" s="112">
        <f t="shared" si="0"/>
        <v>0</v>
      </c>
      <c r="D24" s="112">
        <f t="shared" si="0"/>
        <v>0</v>
      </c>
      <c r="E24" s="112">
        <f t="shared" si="0"/>
        <v>0</v>
      </c>
      <c r="F24" s="112">
        <f t="shared" si="0"/>
        <v>0</v>
      </c>
      <c r="G24" s="112">
        <f t="shared" si="0"/>
        <v>0</v>
      </c>
      <c r="H24" s="113"/>
    </row>
    <row r="25" spans="1:9" x14ac:dyDescent="0.25">
      <c r="A25" s="83" t="s">
        <v>14</v>
      </c>
      <c r="B25" s="112">
        <f>B15*B$9</f>
        <v>0</v>
      </c>
      <c r="C25" s="112">
        <f t="shared" ref="C25:G28" si="1">C15*C$9</f>
        <v>0</v>
      </c>
      <c r="D25" s="112">
        <f t="shared" si="1"/>
        <v>0</v>
      </c>
      <c r="E25" s="112">
        <f t="shared" si="1"/>
        <v>0</v>
      </c>
      <c r="F25" s="112">
        <f t="shared" si="1"/>
        <v>0</v>
      </c>
      <c r="G25" s="112">
        <f t="shared" si="1"/>
        <v>0</v>
      </c>
    </row>
    <row r="26" spans="1:9" x14ac:dyDescent="0.25">
      <c r="A26" s="83" t="s">
        <v>10</v>
      </c>
      <c r="B26" s="112">
        <f t="shared" ref="B26:B28" si="2">B16*B$9</f>
        <v>0</v>
      </c>
      <c r="C26" s="112">
        <f t="shared" si="1"/>
        <v>0</v>
      </c>
      <c r="D26" s="112">
        <f t="shared" si="1"/>
        <v>0</v>
      </c>
      <c r="E26" s="112">
        <f t="shared" si="1"/>
        <v>6</v>
      </c>
      <c r="F26" s="112">
        <f t="shared" si="1"/>
        <v>0</v>
      </c>
      <c r="G26" s="112">
        <f t="shared" si="1"/>
        <v>11</v>
      </c>
    </row>
    <row r="27" spans="1:9" x14ac:dyDescent="0.25">
      <c r="A27" s="83" t="s">
        <v>11</v>
      </c>
      <c r="B27" s="112">
        <f>B17*B$9</f>
        <v>10</v>
      </c>
      <c r="C27" s="112">
        <f t="shared" si="1"/>
        <v>8</v>
      </c>
      <c r="D27" s="112">
        <f t="shared" si="1"/>
        <v>0</v>
      </c>
      <c r="E27" s="112">
        <f t="shared" si="1"/>
        <v>0</v>
      </c>
      <c r="F27" s="112">
        <f t="shared" si="1"/>
        <v>0</v>
      </c>
      <c r="G27" s="112">
        <f t="shared" si="1"/>
        <v>0</v>
      </c>
    </row>
    <row r="28" spans="1:9" ht="13.8" thickBot="1" x14ac:dyDescent="0.3">
      <c r="A28" s="106" t="s">
        <v>12</v>
      </c>
      <c r="B28" s="112">
        <f t="shared" si="2"/>
        <v>0</v>
      </c>
      <c r="C28" s="112">
        <f t="shared" si="1"/>
        <v>0</v>
      </c>
      <c r="D28" s="112">
        <f t="shared" si="1"/>
        <v>14</v>
      </c>
      <c r="E28" s="112">
        <f t="shared" si="1"/>
        <v>0</v>
      </c>
      <c r="F28" s="112">
        <f t="shared" si="1"/>
        <v>7</v>
      </c>
      <c r="G28" s="112">
        <f t="shared" si="1"/>
        <v>0</v>
      </c>
    </row>
    <row r="30" spans="1:9" ht="13.8" thickBot="1" x14ac:dyDescent="0.3">
      <c r="A30" s="68" t="s">
        <v>0</v>
      </c>
      <c r="H30" s="114"/>
    </row>
    <row r="31" spans="1:9" x14ac:dyDescent="0.25">
      <c r="A31" s="115" t="s">
        <v>15</v>
      </c>
      <c r="B31" s="116" t="s">
        <v>13</v>
      </c>
      <c r="C31" s="94"/>
      <c r="D31" s="94"/>
      <c r="E31" s="94"/>
      <c r="F31" s="94"/>
      <c r="G31" s="117"/>
    </row>
    <row r="32" spans="1:9" x14ac:dyDescent="0.25">
      <c r="A32" s="83" t="s">
        <v>9</v>
      </c>
      <c r="B32" s="118">
        <f>I4*H14-SUMPRODUCT(B14:G14,$B$9:$G$9)</f>
        <v>0</v>
      </c>
      <c r="D32" s="113" t="s">
        <v>21</v>
      </c>
      <c r="E32" s="119"/>
      <c r="F32" s="119"/>
      <c r="G32" s="120"/>
    </row>
    <row r="33" spans="1:8" x14ac:dyDescent="0.25">
      <c r="A33" s="83" t="s">
        <v>14</v>
      </c>
      <c r="B33" s="118">
        <f t="shared" ref="B33:B36" si="3">I5*H15-SUMPRODUCT(B15:G15,$B$9:$G$9)</f>
        <v>0</v>
      </c>
      <c r="G33" s="87"/>
    </row>
    <row r="34" spans="1:8" x14ac:dyDescent="0.25">
      <c r="A34" s="83" t="s">
        <v>10</v>
      </c>
      <c r="B34" s="118">
        <f t="shared" si="3"/>
        <v>10</v>
      </c>
      <c r="G34" s="87"/>
      <c r="H34" s="121"/>
    </row>
    <row r="35" spans="1:8" x14ac:dyDescent="0.25">
      <c r="A35" s="83" t="s">
        <v>11</v>
      </c>
      <c r="B35" s="118">
        <f t="shared" si="3"/>
        <v>4</v>
      </c>
      <c r="G35" s="87"/>
      <c r="H35" s="122"/>
    </row>
    <row r="36" spans="1:8" x14ac:dyDescent="0.25">
      <c r="A36" s="83" t="s">
        <v>12</v>
      </c>
      <c r="B36" s="118">
        <f t="shared" si="3"/>
        <v>10</v>
      </c>
      <c r="G36" s="87"/>
    </row>
    <row r="37" spans="1:8" x14ac:dyDescent="0.25">
      <c r="A37" s="83"/>
      <c r="B37" s="118"/>
      <c r="G37" s="87"/>
    </row>
    <row r="38" spans="1:8" x14ac:dyDescent="0.25">
      <c r="A38" s="83"/>
      <c r="B38" s="74" t="s">
        <v>3</v>
      </c>
      <c r="C38" s="123" t="s">
        <v>4</v>
      </c>
      <c r="D38" s="123" t="s">
        <v>5</v>
      </c>
      <c r="E38" s="123" t="s">
        <v>6</v>
      </c>
      <c r="F38" s="123" t="s">
        <v>7</v>
      </c>
      <c r="G38" s="124" t="s">
        <v>8</v>
      </c>
    </row>
    <row r="39" spans="1:8" ht="13.8" thickBot="1" x14ac:dyDescent="0.3">
      <c r="A39" s="88" t="s">
        <v>19</v>
      </c>
      <c r="B39" s="89">
        <f>SUM(B14:B18)</f>
        <v>1</v>
      </c>
      <c r="C39" s="89">
        <f t="shared" ref="C39:G39" si="4">SUM(C14:C18)</f>
        <v>1</v>
      </c>
      <c r="D39" s="89">
        <f t="shared" si="4"/>
        <v>1</v>
      </c>
      <c r="E39" s="89">
        <f t="shared" si="4"/>
        <v>1</v>
      </c>
      <c r="F39" s="89">
        <f t="shared" si="4"/>
        <v>1</v>
      </c>
      <c r="G39" s="89">
        <f t="shared" si="4"/>
        <v>1</v>
      </c>
    </row>
    <row r="41" spans="1:8" ht="13.8" thickBot="1" x14ac:dyDescent="0.3">
      <c r="A41" s="68" t="s">
        <v>18</v>
      </c>
    </row>
    <row r="42" spans="1:8" ht="13.8" thickBot="1" x14ac:dyDescent="0.3">
      <c r="A42" s="125" t="s">
        <v>2</v>
      </c>
      <c r="B42" s="126">
        <f>SUMPRODUCT(H14:H18,H4:H8)+SUMPRODUCT(B4:G8,B24:G28)</f>
        <v>49717</v>
      </c>
      <c r="D42" s="127"/>
      <c r="G42" s="121"/>
    </row>
    <row r="43" spans="1:8" x14ac:dyDescent="0.25">
      <c r="A43" s="119"/>
      <c r="G43" s="122"/>
    </row>
    <row r="44" spans="1:8" ht="13.8" x14ac:dyDescent="0.25">
      <c r="A44" s="128" t="s">
        <v>28</v>
      </c>
      <c r="B44" s="129">
        <v>22450</v>
      </c>
      <c r="C44" s="129"/>
    </row>
    <row r="45" spans="1:8" ht="13.8" x14ac:dyDescent="0.25">
      <c r="A45" s="128"/>
      <c r="B45" s="129"/>
      <c r="C45" s="129"/>
    </row>
    <row r="46" spans="1:8" ht="13.8" x14ac:dyDescent="0.25">
      <c r="A46" s="128" t="s">
        <v>29</v>
      </c>
      <c r="B46" s="129">
        <f>B42+B44</f>
        <v>72167</v>
      </c>
      <c r="C46" s="129"/>
    </row>
    <row r="47" spans="1:8" ht="13.8" x14ac:dyDescent="0.25">
      <c r="A47" s="128"/>
      <c r="B47" s="129"/>
      <c r="C47" s="129"/>
      <c r="H47" s="129"/>
    </row>
    <row r="48" spans="1:8" ht="13.8" x14ac:dyDescent="0.25">
      <c r="A48" s="128"/>
      <c r="B48" s="129"/>
      <c r="C48" s="129"/>
      <c r="H48" s="129"/>
    </row>
    <row r="49" spans="1:7" ht="13.8" x14ac:dyDescent="0.25">
      <c r="A49" s="128"/>
      <c r="B49" s="129"/>
      <c r="C49" s="129"/>
    </row>
    <row r="50" spans="1:7" ht="13.8" x14ac:dyDescent="0.25">
      <c r="A50" s="128"/>
      <c r="B50" s="129"/>
      <c r="C50" s="129"/>
      <c r="D50" s="129"/>
      <c r="E50" s="129"/>
    </row>
    <row r="51" spans="1:7" ht="13.8" x14ac:dyDescent="0.25">
      <c r="D51" s="129"/>
      <c r="E51" s="129"/>
    </row>
    <row r="52" spans="1:7" ht="13.8" x14ac:dyDescent="0.25">
      <c r="A52" s="119"/>
      <c r="B52" s="119"/>
      <c r="D52" s="129"/>
    </row>
    <row r="53" spans="1:7" ht="13.8" x14ac:dyDescent="0.25">
      <c r="A53" s="128"/>
      <c r="B53" s="129"/>
      <c r="C53" s="129"/>
      <c r="D53" s="129"/>
    </row>
    <row r="54" spans="1:7" ht="13.8" x14ac:dyDescent="0.25">
      <c r="A54" s="128"/>
      <c r="B54" s="129"/>
      <c r="C54" s="129"/>
      <c r="D54" s="129"/>
      <c r="E54" s="129"/>
      <c r="F54" s="129"/>
    </row>
    <row r="55" spans="1:7" ht="13.8" x14ac:dyDescent="0.25">
      <c r="D55" s="129"/>
      <c r="E55" s="129"/>
      <c r="F55" s="129"/>
      <c r="G55" s="129"/>
    </row>
    <row r="56" spans="1:7" ht="13.8" x14ac:dyDescent="0.25">
      <c r="A56" s="119"/>
      <c r="D56" s="129"/>
      <c r="E56" s="129"/>
      <c r="F56" s="129"/>
      <c r="G56" s="129"/>
    </row>
    <row r="59" spans="1:7" ht="13.8" x14ac:dyDescent="0.25">
      <c r="D59" s="129"/>
      <c r="E59" s="129"/>
    </row>
    <row r="60" spans="1:7" ht="13.8" x14ac:dyDescent="0.25">
      <c r="D60" s="129"/>
      <c r="E60" s="129"/>
      <c r="F60" s="129"/>
    </row>
  </sheetData>
  <mergeCells count="3">
    <mergeCell ref="B2:G2"/>
    <mergeCell ref="B12:G12"/>
    <mergeCell ref="B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 Planning</vt:lpstr>
      <vt:lpstr>Sheet1</vt:lpstr>
    </vt:vector>
  </TitlesOfParts>
  <Company>Kellogg Graduate School of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Supply Chain Management - 6th Edition</dc:title>
  <dc:creator>Sunil Chopra/Jay Mabe</dc:creator>
  <cp:lastModifiedBy>ROHIT GHOSH</cp:lastModifiedBy>
  <cp:lastPrinted>2001-09-10T20:25:10Z</cp:lastPrinted>
  <dcterms:created xsi:type="dcterms:W3CDTF">1999-02-07T23:04:46Z</dcterms:created>
  <dcterms:modified xsi:type="dcterms:W3CDTF">2026-01-27T07:43:28Z</dcterms:modified>
</cp:coreProperties>
</file>