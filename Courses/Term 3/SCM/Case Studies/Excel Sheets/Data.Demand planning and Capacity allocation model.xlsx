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MBA\Courses\Term 3\SCM\Case Studies\Excel Sheets\"/>
    </mc:Choice>
  </mc:AlternateContent>
  <xr:revisionPtr revIDLastSave="0" documentId="13_ncr:1_{68B0ED7A-9376-4D8B-8C1A-486DE4B548B9}" xr6:coauthVersionLast="47" xr6:coauthVersionMax="47" xr10:uidLastSave="{00000000-0000-0000-0000-000000000000}"/>
  <bookViews>
    <workbookView xWindow="-108" yWindow="-108" windowWidth="23256" windowHeight="13176" xr2:uid="{9EF9EF12-4D8C-4CA3-BF8B-D777CEBF20D6}"/>
  </bookViews>
  <sheets>
    <sheet name="Demand Allocation Data" sheetId="2" r:id="rId1"/>
  </sheets>
  <definedNames>
    <definedName name="solver_adj" localSheetId="0" hidden="1">'Demand Allocation Data'!#REF!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100</definedName>
    <definedName name="solver_lhs1" localSheetId="0" hidden="1">'Demand Allocation Data'!#REF!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1</definedName>
    <definedName name="solver_nwt" localSheetId="0" hidden="1">1</definedName>
    <definedName name="solver_opt" localSheetId="0" hidden="1">'Demand Allocation Data'!#REF!</definedName>
    <definedName name="solver_pre" localSheetId="0" hidden="1">0.000001</definedName>
    <definedName name="solver_rbv" localSheetId="0" hidden="1">2</definedName>
    <definedName name="solver_rel1" localSheetId="0" hidden="1">2</definedName>
    <definedName name="solver_rhs1" localSheetId="0" hidden="1">1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100</definedName>
    <definedName name="solver_tol" localSheetId="0" hidden="1">0.05</definedName>
    <definedName name="solver_typ" localSheetId="0" hidden="1">2</definedName>
    <definedName name="solver_val" localSheetId="0" hidden="1">0</definedName>
    <definedName name="solver_ver" localSheetId="0" hidden="1">3</definedName>
    <definedName name="WBBIN" localSheetId="0">'Demand Allocation Data'!#REF!</definedName>
    <definedName name="WBBIN">#REF!</definedName>
    <definedName name="WBMIN" localSheetId="0">'Demand Allocation Data'!#REF!</definedName>
    <definedName name="WBMI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2" l="1"/>
  <c r="I1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Bhavin Shah</author>
  </authors>
  <commentList>
    <comment ref="C9" authorId="0" shapeId="0" xr:uid="{25912779-1091-4C0D-9FA6-F00D58349BDB}">
      <text>
        <r>
          <rPr>
            <b/>
            <sz val="9"/>
            <color indexed="81"/>
            <rFont val="Tahoma"/>
            <family val="2"/>
          </rPr>
          <t>Bhavin Shah:
Cij</t>
        </r>
      </text>
    </comment>
  </commentList>
</comments>
</file>

<file path=xl/sharedStrings.xml><?xml version="1.0" encoding="utf-8"?>
<sst xmlns="http://schemas.openxmlformats.org/spreadsheetml/2006/main" count="34" uniqueCount="24">
  <si>
    <t>Proposed</t>
  </si>
  <si>
    <t>Supply</t>
  </si>
  <si>
    <t>Capacity</t>
  </si>
  <si>
    <r>
      <t>Baltimore/</t>
    </r>
    <r>
      <rPr>
        <b/>
        <sz val="12"/>
        <color indexed="10"/>
        <rFont val="Times New Roman"/>
        <family val="1"/>
      </rPr>
      <t>P1</t>
    </r>
  </si>
  <si>
    <r>
      <t>Cheyenne/</t>
    </r>
    <r>
      <rPr>
        <b/>
        <sz val="12"/>
        <color indexed="10"/>
        <rFont val="Times New Roman"/>
        <family val="1"/>
      </rPr>
      <t>P2</t>
    </r>
  </si>
  <si>
    <r>
      <t>Salt Lake City/</t>
    </r>
    <r>
      <rPr>
        <b/>
        <sz val="12"/>
        <color indexed="10"/>
        <rFont val="Times New Roman"/>
        <family val="1"/>
      </rPr>
      <t>P3</t>
    </r>
  </si>
  <si>
    <r>
      <t>Memphis/</t>
    </r>
    <r>
      <rPr>
        <b/>
        <sz val="12"/>
        <color indexed="10"/>
        <rFont val="Times New Roman"/>
        <family val="1"/>
      </rPr>
      <t>P4</t>
    </r>
  </si>
  <si>
    <r>
      <t>Wichita/</t>
    </r>
    <r>
      <rPr>
        <b/>
        <sz val="12"/>
        <color indexed="10"/>
        <rFont val="Times New Roman"/>
        <family val="1"/>
      </rPr>
      <t>P5</t>
    </r>
  </si>
  <si>
    <r>
      <t xml:space="preserve">City/Warehouse: </t>
    </r>
    <r>
      <rPr>
        <b/>
        <sz val="12"/>
        <color indexed="10"/>
        <rFont val="Times New Roman"/>
        <family val="1"/>
      </rPr>
      <t>i/j</t>
    </r>
  </si>
  <si>
    <r>
      <t>Shipping Costs Per Ton / Month</t>
    </r>
    <r>
      <rPr>
        <b/>
        <u/>
        <sz val="12"/>
        <color indexed="10"/>
        <rFont val="Times New Roman"/>
        <family val="1"/>
      </rPr>
      <t xml:space="preserve"> (COST)/Cij</t>
    </r>
  </si>
  <si>
    <r>
      <t xml:space="preserve">Demand: </t>
    </r>
    <r>
      <rPr>
        <b/>
        <sz val="12"/>
        <color indexed="10"/>
        <rFont val="Times New Roman"/>
        <family val="1"/>
      </rPr>
      <t>(DEM)/Dj</t>
    </r>
  </si>
  <si>
    <r>
      <t xml:space="preserve">Demand City </t>
    </r>
    <r>
      <rPr>
        <b/>
        <sz val="12"/>
        <color indexed="10"/>
        <rFont val="Times New Roman"/>
        <family val="1"/>
      </rPr>
      <t>(CUSTOMER)/ C1..C6</t>
    </r>
  </si>
  <si>
    <t>(PLANT)/i…n</t>
  </si>
  <si>
    <t>(CUSTOMER)/j…m</t>
  </si>
  <si>
    <t>Demand Allocation Model</t>
  </si>
  <si>
    <t>Fixed Cost</t>
  </si>
  <si>
    <t>fi</t>
  </si>
  <si>
    <r>
      <t>Atlanta/</t>
    </r>
    <r>
      <rPr>
        <b/>
        <sz val="12"/>
        <color indexed="10"/>
        <rFont val="Times New Roman"/>
        <family val="1"/>
      </rPr>
      <t>C1</t>
    </r>
  </si>
  <si>
    <r>
      <t>Boston/</t>
    </r>
    <r>
      <rPr>
        <b/>
        <sz val="12"/>
        <color indexed="10"/>
        <rFont val="Times New Roman"/>
        <family val="1"/>
      </rPr>
      <t>C2</t>
    </r>
  </si>
  <si>
    <r>
      <t>Chicago/</t>
    </r>
    <r>
      <rPr>
        <b/>
        <sz val="12"/>
        <color indexed="10"/>
        <rFont val="Times New Roman"/>
        <family val="1"/>
      </rPr>
      <t>C3</t>
    </r>
  </si>
  <si>
    <r>
      <t>Denver/</t>
    </r>
    <r>
      <rPr>
        <b/>
        <sz val="12"/>
        <color indexed="10"/>
        <rFont val="Times New Roman"/>
        <family val="1"/>
      </rPr>
      <t>C4</t>
    </r>
  </si>
  <si>
    <r>
      <t>Omaha/</t>
    </r>
    <r>
      <rPr>
        <b/>
        <sz val="12"/>
        <color indexed="10"/>
        <rFont val="Times New Roman"/>
        <family val="1"/>
      </rPr>
      <t>C5</t>
    </r>
  </si>
  <si>
    <r>
      <t>Portland/</t>
    </r>
    <r>
      <rPr>
        <b/>
        <sz val="12"/>
        <color indexed="10"/>
        <rFont val="Times New Roman"/>
        <family val="1"/>
      </rPr>
      <t>C6</t>
    </r>
  </si>
  <si>
    <t>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</si>
</sst>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_)"/>
    <numFmt numFmtId="165" formatCode="0_)"/>
  </numFmts>
  <fonts count="8">
    <font>
      <sz val="10"/>
      <name val="Geneva"/>
    </font>
    <font>
      <sz val="10"/>
      <name val="Geneva"/>
    </font>
    <font>
      <sz val="12"/>
      <name val="Times New Roman"/>
      <family val="1"/>
    </font>
    <font>
      <u/>
      <sz val="12"/>
      <name val="Times New Roman"/>
      <family val="1"/>
    </font>
    <font>
      <b/>
      <sz val="12"/>
      <color indexed="10"/>
      <name val="Times New Roman"/>
      <family val="1"/>
    </font>
    <font>
      <b/>
      <u/>
      <sz val="12"/>
      <color indexed="10"/>
      <name val="Times New Roman"/>
      <family val="1"/>
    </font>
    <font>
      <b/>
      <sz val="9"/>
      <color indexed="81"/>
      <name val="Tahoma"/>
      <family val="2"/>
    </font>
    <font>
      <b/>
      <sz val="12"/>
      <color rgb="FFC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 applyNumberFormat="0" applyFont="0" applyFill="0" applyBorder="0" applyAlignment="0">
      <protection locked="0"/>
    </xf>
    <xf numFmtId="0" fontId="1" fillId="2" borderId="0" applyNumberFormat="0" applyBorder="0" applyAlignment="0">
      <protection locked="0"/>
    </xf>
  </cellStyleXfs>
  <cellXfs count="18">
    <xf numFmtId="0" fontId="0" fillId="0" borderId="0" xfId="0"/>
    <xf numFmtId="0" fontId="2" fillId="0" borderId="0" xfId="0" applyFont="1"/>
    <xf numFmtId="164" fontId="3" fillId="0" borderId="0" xfId="0" applyNumberFormat="1" applyFont="1" applyAlignment="1">
      <alignment horizontal="left"/>
    </xf>
    <xf numFmtId="0" fontId="2" fillId="0" borderId="1" xfId="0" applyFont="1" applyBorder="1"/>
    <xf numFmtId="164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165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164" fontId="2" fillId="0" borderId="2" xfId="0" applyNumberFormat="1" applyFont="1" applyBorder="1" applyAlignment="1">
      <alignment horizontal="fill"/>
    </xf>
    <xf numFmtId="164" fontId="2" fillId="0" borderId="2" xfId="0" applyNumberFormat="1" applyFont="1" applyBorder="1"/>
    <xf numFmtId="0" fontId="2" fillId="0" borderId="2" xfId="0" applyFont="1" applyBorder="1"/>
    <xf numFmtId="165" fontId="2" fillId="0" borderId="0" xfId="0" applyNumberFormat="1" applyFont="1"/>
    <xf numFmtId="164" fontId="7" fillId="3" borderId="0" xfId="0" applyNumberFormat="1" applyFont="1" applyFill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</cellXfs>
  <cellStyles count="3">
    <cellStyle name="Adjustable" xfId="1" xr:uid="{1A96ECC1-C5F0-4DB3-BDD4-EB3899E28E1F}"/>
    <cellStyle name="Best" xfId="2" xr:uid="{1F261FAE-98F2-4793-8085-2722F3FDDB63}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892C0-C38D-476B-B8CA-6C4D89151587}">
  <dimension ref="A1:J16"/>
  <sheetViews>
    <sheetView showGridLines="0" tabSelected="1" topLeftCell="B1" workbookViewId="0">
      <selection activeCell="J6" sqref="J6:J14"/>
    </sheetView>
  </sheetViews>
  <sheetFormatPr defaultColWidth="9.21875" defaultRowHeight="12" customHeight="1"/>
  <cols>
    <col min="1" max="2" width="19.21875" style="1" bestFit="1" customWidth="1"/>
    <col min="3" max="3" width="41.5546875" style="1" bestFit="1" customWidth="1"/>
    <col min="4" max="4" width="10.44140625" style="1" customWidth="1"/>
    <col min="5" max="5" width="11.5546875" style="1" bestFit="1" customWidth="1"/>
    <col min="6" max="6" width="10.77734375" style="1" customWidth="1"/>
    <col min="7" max="7" width="10.44140625" style="1" bestFit="1" customWidth="1"/>
    <col min="8" max="8" width="11.77734375" style="1" bestFit="1" customWidth="1"/>
    <col min="9" max="9" width="8.77734375" style="1" bestFit="1" customWidth="1"/>
    <col min="10" max="10" width="10.5546875" style="1" bestFit="1" customWidth="1"/>
    <col min="11" max="16384" width="9.21875" style="1"/>
  </cols>
  <sheetData>
    <row r="1" spans="1:10" ht="12" customHeight="1">
      <c r="A1" s="15" t="s">
        <v>14</v>
      </c>
      <c r="B1" s="15"/>
      <c r="C1" s="15"/>
      <c r="D1" s="15"/>
      <c r="E1" s="15"/>
      <c r="F1" s="15"/>
      <c r="G1" s="15"/>
      <c r="H1" s="15"/>
      <c r="I1" s="15"/>
    </row>
    <row r="3" spans="1:10" ht="12" customHeight="1">
      <c r="C3" s="2" t="s">
        <v>9</v>
      </c>
    </row>
    <row r="5" spans="1:10" ht="12" customHeight="1">
      <c r="A5" s="3" t="s">
        <v>0</v>
      </c>
      <c r="B5" s="3" t="s">
        <v>0</v>
      </c>
      <c r="C5" s="16" t="s">
        <v>11</v>
      </c>
      <c r="D5" s="16"/>
      <c r="E5" s="16"/>
      <c r="F5" s="16"/>
      <c r="G5" s="16"/>
      <c r="H5" s="16"/>
      <c r="I5" s="3"/>
      <c r="J5" s="3"/>
    </row>
    <row r="6" spans="1:10" ht="12" customHeight="1">
      <c r="A6" s="5" t="s">
        <v>1</v>
      </c>
      <c r="B6" s="5" t="s">
        <v>1</v>
      </c>
      <c r="C6" s="17" t="s">
        <v>13</v>
      </c>
      <c r="D6" s="17"/>
      <c r="E6" s="17"/>
      <c r="F6" s="17"/>
      <c r="G6" s="17"/>
      <c r="H6" s="17"/>
      <c r="I6" s="6" t="s">
        <v>2</v>
      </c>
      <c r="J6" s="3" t="s">
        <v>15</v>
      </c>
    </row>
    <row r="7" spans="1:10" ht="12" customHeight="1">
      <c r="A7" s="5" t="s">
        <v>8</v>
      </c>
      <c r="B7" s="5" t="s">
        <v>8</v>
      </c>
      <c r="C7" s="4" t="s">
        <v>17</v>
      </c>
      <c r="D7" s="4" t="s">
        <v>18</v>
      </c>
      <c r="E7" s="4" t="s">
        <v>19</v>
      </c>
      <c r="F7" s="4" t="s">
        <v>20</v>
      </c>
      <c r="G7" s="4" t="s">
        <v>21</v>
      </c>
      <c r="H7" s="4" t="s">
        <v>22</v>
      </c>
      <c r="I7" s="7" t="s">
        <v>23</v>
      </c>
      <c r="J7" s="7" t="s">
        <v>16</v>
      </c>
    </row>
    <row r="8" spans="1:10" ht="12" customHeight="1">
      <c r="A8" s="7" t="s">
        <v>12</v>
      </c>
      <c r="B8" s="7" t="s">
        <v>12</v>
      </c>
      <c r="C8" s="11"/>
      <c r="D8" s="12"/>
      <c r="E8" s="12"/>
      <c r="F8" s="12"/>
      <c r="G8" s="12"/>
      <c r="H8" s="12"/>
      <c r="I8" s="13"/>
      <c r="J8" s="3"/>
    </row>
    <row r="9" spans="1:10" ht="12" customHeight="1">
      <c r="A9" s="5" t="s">
        <v>3</v>
      </c>
      <c r="B9" s="5" t="s">
        <v>3</v>
      </c>
      <c r="C9" s="9">
        <v>1675</v>
      </c>
      <c r="D9" s="9">
        <v>400</v>
      </c>
      <c r="E9" s="9">
        <v>685</v>
      </c>
      <c r="F9" s="9">
        <v>1630</v>
      </c>
      <c r="G9" s="9">
        <v>1160</v>
      </c>
      <c r="H9" s="9">
        <v>2800</v>
      </c>
      <c r="I9" s="10">
        <v>18</v>
      </c>
      <c r="J9" s="9">
        <v>7650</v>
      </c>
    </row>
    <row r="10" spans="1:10" ht="12" customHeight="1">
      <c r="A10" s="5" t="s">
        <v>4</v>
      </c>
      <c r="B10" s="5" t="s">
        <v>4</v>
      </c>
      <c r="C10" s="9">
        <v>1460</v>
      </c>
      <c r="D10" s="9">
        <v>1940</v>
      </c>
      <c r="E10" s="9">
        <v>970</v>
      </c>
      <c r="F10" s="9">
        <v>100</v>
      </c>
      <c r="G10" s="9">
        <v>495</v>
      </c>
      <c r="H10" s="9">
        <v>1200</v>
      </c>
      <c r="I10" s="10">
        <v>24</v>
      </c>
      <c r="J10" s="9">
        <v>3500</v>
      </c>
    </row>
    <row r="11" spans="1:10" ht="12" customHeight="1">
      <c r="A11" s="5" t="s">
        <v>5</v>
      </c>
      <c r="B11" s="5" t="s">
        <v>5</v>
      </c>
      <c r="C11" s="9">
        <v>1925</v>
      </c>
      <c r="D11" s="9">
        <v>2400</v>
      </c>
      <c r="E11" s="9">
        <v>1425</v>
      </c>
      <c r="F11" s="9">
        <v>500</v>
      </c>
      <c r="G11" s="9">
        <v>950</v>
      </c>
      <c r="H11" s="9">
        <v>800</v>
      </c>
      <c r="I11" s="10">
        <v>27</v>
      </c>
      <c r="J11" s="9">
        <v>5000</v>
      </c>
    </row>
    <row r="12" spans="1:10" ht="12" customHeight="1">
      <c r="A12" s="5" t="s">
        <v>6</v>
      </c>
      <c r="B12" s="5" t="s">
        <v>6</v>
      </c>
      <c r="C12" s="9">
        <v>380</v>
      </c>
      <c r="D12" s="9">
        <v>1355</v>
      </c>
      <c r="E12" s="9">
        <v>543</v>
      </c>
      <c r="F12" s="9">
        <v>1045</v>
      </c>
      <c r="G12" s="9">
        <v>665</v>
      </c>
      <c r="H12" s="9">
        <v>2321</v>
      </c>
      <c r="I12" s="10">
        <v>22</v>
      </c>
      <c r="J12" s="9">
        <v>4100</v>
      </c>
    </row>
    <row r="13" spans="1:10" ht="12" customHeight="1">
      <c r="A13" s="5" t="s">
        <v>7</v>
      </c>
      <c r="B13" s="5" t="s">
        <v>7</v>
      </c>
      <c r="C13" s="9">
        <v>922</v>
      </c>
      <c r="D13" s="9">
        <v>1646</v>
      </c>
      <c r="E13" s="9">
        <v>700</v>
      </c>
      <c r="F13" s="9">
        <v>508</v>
      </c>
      <c r="G13" s="9">
        <v>311</v>
      </c>
      <c r="H13" s="9">
        <v>1797</v>
      </c>
      <c r="I13" s="10">
        <v>31</v>
      </c>
      <c r="J13" s="9">
        <v>2200</v>
      </c>
    </row>
    <row r="14" spans="1:10" ht="12" customHeight="1">
      <c r="A14" s="8" t="s">
        <v>10</v>
      </c>
      <c r="B14" s="8" t="s">
        <v>10</v>
      </c>
      <c r="C14" s="9">
        <v>10</v>
      </c>
      <c r="D14" s="9">
        <v>8</v>
      </c>
      <c r="E14" s="9">
        <v>14</v>
      </c>
      <c r="F14" s="9">
        <v>6</v>
      </c>
      <c r="G14" s="9">
        <v>7</v>
      </c>
      <c r="H14" s="9">
        <v>11</v>
      </c>
      <c r="I14" s="10">
        <f>SUM(I9:I13)</f>
        <v>122</v>
      </c>
      <c r="J14" s="9">
        <f>SUM(J9:J13)</f>
        <v>22450</v>
      </c>
    </row>
    <row r="16" spans="1:10" ht="12" customHeight="1">
      <c r="C16" s="14"/>
    </row>
  </sheetData>
  <mergeCells count="3">
    <mergeCell ref="A1:I1"/>
    <mergeCell ref="C5:H5"/>
    <mergeCell ref="C6:H6"/>
  </mergeCells>
  <pageMargins left="0.75" right="0.75" top="1" bottom="1" header="0.5" footer="0.5"/>
  <pageSetup orientation="portrait" r:id="rId1"/>
  <headerFooter alignWithMargins="0">
    <oddHeader>&amp;A</oddHeader>
    <oddFooter>Page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 Allocation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GHOSH_MBA25084</dc:creator>
  <cp:lastModifiedBy>ROHIT GHOSH</cp:lastModifiedBy>
  <dcterms:created xsi:type="dcterms:W3CDTF">2026-01-22T05:58:23Z</dcterms:created>
  <dcterms:modified xsi:type="dcterms:W3CDTF">2026-01-23T04:27:24Z</dcterms:modified>
</cp:coreProperties>
</file>