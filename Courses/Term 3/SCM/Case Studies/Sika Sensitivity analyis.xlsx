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MBA\Courses\Term 3\SCM\Case Studies\"/>
    </mc:Choice>
  </mc:AlternateContent>
  <xr:revisionPtr revIDLastSave="0" documentId="13_ncr:1_{42437C3B-9D5C-44F3-81BD-131F697489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solver_adj" localSheetId="0" hidden="1">Sheet1!$A$14:$A$19,Sheet1!$E$14:$H$17,Sheet1!$I$15,Sheet1!$I$16,Sheet1!$I$18,Sheet1!$J$15,Sheet1!$J$16,Sheet1!$J$17,Sheet1!$J$19,Sheet1!$K$14,Sheet1!$K$15,Sheet1!$K$16,Sheet1!$K$17,Sheet1!$L$15,Sheet1!$L$18,Sheet1!$O$25:$V$30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Sheet1!$A$14:$A$19</definedName>
    <definedName name="solver_lhs2" localSheetId="0" hidden="1">Sheet1!$E$14:$L$19</definedName>
    <definedName name="solver_lhs3" localSheetId="0" hidden="1">Sheet1!$E$20:$L$20</definedName>
    <definedName name="solver_lhs4" localSheetId="0" hidden="1">Sheet1!$N$14:$N$19</definedName>
    <definedName name="solver_lhs5" localSheetId="0" hidden="1">Sheet1!$N$20</definedName>
    <definedName name="solver_lhs6" localSheetId="0" hidden="1">Sheet1!$O$25:$V$30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Sheet1!$D$33</definedName>
    <definedName name="solver_pre" localSheetId="0" hidden="1">0.000001</definedName>
    <definedName name="solver_rbv" localSheetId="0" hidden="1">1</definedName>
    <definedName name="solver_rel1" localSheetId="0" hidden="1">5</definedName>
    <definedName name="solver_rel2" localSheetId="0" hidden="1">3</definedName>
    <definedName name="solver_rel3" localSheetId="0" hidden="1">2</definedName>
    <definedName name="solver_rel4" localSheetId="0" hidden="1">3</definedName>
    <definedName name="solver_rel5" localSheetId="0" hidden="1">3</definedName>
    <definedName name="solver_rel6" localSheetId="0" hidden="1">5</definedName>
    <definedName name="solver_rhs1" localSheetId="0" hidden="1">"binary"</definedName>
    <definedName name="solver_rhs2" localSheetId="0" hidden="1">0</definedName>
    <definedName name="solver_rhs3" localSheetId="0" hidden="1">Sheet1!$E$21:$L$21</definedName>
    <definedName name="solver_rhs4" localSheetId="0" hidden="1">0</definedName>
    <definedName name="solver_rhs5" localSheetId="0" hidden="1">700</definedName>
    <definedName name="solver_rhs6" localSheetId="0" hidden="1">"binary"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B22" i="1"/>
  <c r="L20" i="1"/>
  <c r="K20" i="1"/>
  <c r="J20" i="1"/>
  <c r="I20" i="1"/>
  <c r="H20" i="1"/>
  <c r="G20" i="1"/>
  <c r="F20" i="1"/>
  <c r="E20" i="1"/>
  <c r="M19" i="1"/>
  <c r="N19" i="1" s="1"/>
  <c r="C19" i="1"/>
  <c r="B19" i="1"/>
  <c r="M18" i="1"/>
  <c r="N18" i="1" s="1"/>
  <c r="C18" i="1"/>
  <c r="B18" i="1"/>
  <c r="M17" i="1"/>
  <c r="N17" i="1" s="1"/>
  <c r="C17" i="1"/>
  <c r="B17" i="1"/>
  <c r="M16" i="1"/>
  <c r="N16" i="1" s="1"/>
  <c r="C16" i="1"/>
  <c r="B16" i="1"/>
  <c r="M15" i="1"/>
  <c r="N15" i="1" s="1"/>
  <c r="C15" i="1"/>
  <c r="B15" i="1"/>
  <c r="M14" i="1"/>
  <c r="N14" i="1" s="1"/>
  <c r="C14" i="1"/>
  <c r="B14" i="1"/>
  <c r="N20" i="1" l="1"/>
</calcChain>
</file>

<file path=xl/sharedStrings.xml><?xml version="1.0" encoding="utf-8"?>
<sst xmlns="http://schemas.openxmlformats.org/spreadsheetml/2006/main" count="58" uniqueCount="30">
  <si>
    <t>Sika: Optimizing the APAC Epoxy Flooring Supply Chain</t>
  </si>
  <si>
    <t>Landed Cost (=Production + Transport + Import Tax) per Ton</t>
  </si>
  <si>
    <t>Production/Market</t>
  </si>
  <si>
    <t>Country1</t>
  </si>
  <si>
    <t>Country2</t>
  </si>
  <si>
    <t>Country3</t>
  </si>
  <si>
    <t>Country4</t>
  </si>
  <si>
    <t>Country5</t>
  </si>
  <si>
    <t>Country6</t>
  </si>
  <si>
    <t>Country7</t>
  </si>
  <si>
    <t>Country8</t>
  </si>
  <si>
    <t>Country 1</t>
  </si>
  <si>
    <t>Country 2</t>
  </si>
  <si>
    <t>Country 3</t>
  </si>
  <si>
    <t>Country 4</t>
  </si>
  <si>
    <t>Country 5</t>
  </si>
  <si>
    <t>Country 6</t>
  </si>
  <si>
    <t>Quarterly Production Parameters</t>
  </si>
  <si>
    <t>Supply Chain Matrix (tons)</t>
  </si>
  <si>
    <t>Operating?</t>
  </si>
  <si>
    <t>Capacity</t>
  </si>
  <si>
    <t>Fixed Op. Cost</t>
  </si>
  <si>
    <t>Country 7</t>
  </si>
  <si>
    <t>Country 8</t>
  </si>
  <si>
    <t>Production Total</t>
  </si>
  <si>
    <t>Supply to Market</t>
  </si>
  <si>
    <t>Demand in Tons</t>
  </si>
  <si>
    <t>Lead Time Matrix (Order Processing and Transportation) Days</t>
  </si>
  <si>
    <t>Max Lead Time</t>
  </si>
  <si>
    <t>Objective Function (Minimize Total 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</si>
</sst>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&quot;$&quot;#,##0"/>
    <numFmt numFmtId="166" formatCode="_(* #,##0_);_(* \(#,##0\);_(* &quot;-&quot;??_);_(@_)"/>
    <numFmt numFmtId="167" formatCode="#,##0.0"/>
  </numFmts>
  <fonts count="7">
    <font>
      <sz val="11"/>
      <color theme="1"/>
      <name val="calibiri"/>
      <family val="2"/>
    </font>
    <font>
      <sz val="11"/>
      <color theme="1"/>
      <name val="calibiri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rgb="FF1F497D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4" fontId="1" fillId="0" borderId="0"/>
    <xf numFmtId="9" fontId="1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165" fontId="4" fillId="0" borderId="1" xfId="1" applyNumberFormat="1" applyFont="1" applyBorder="1"/>
    <xf numFmtId="0" fontId="5" fillId="0" borderId="0" xfId="0" applyFont="1"/>
    <xf numFmtId="0" fontId="2" fillId="0" borderId="1" xfId="0" applyFont="1" applyBorder="1"/>
    <xf numFmtId="0" fontId="6" fillId="0" borderId="1" xfId="0" applyFont="1" applyBorder="1"/>
    <xf numFmtId="0" fontId="4" fillId="0" borderId="2" xfId="0" applyFont="1" applyBorder="1"/>
    <xf numFmtId="2" fontId="2" fillId="0" borderId="1" xfId="0" applyNumberFormat="1" applyFont="1" applyBorder="1"/>
    <xf numFmtId="166" fontId="6" fillId="0" borderId="1" xfId="0" applyNumberFormat="1" applyFont="1" applyBorder="1"/>
    <xf numFmtId="165" fontId="4" fillId="0" borderId="1" xfId="0" applyNumberFormat="1" applyFont="1" applyBorder="1"/>
    <xf numFmtId="166" fontId="4" fillId="0" borderId="1" xfId="1" applyNumberFormat="1" applyFont="1" applyBorder="1"/>
    <xf numFmtId="164" fontId="2" fillId="0" borderId="1" xfId="1" applyFont="1" applyBorder="1" applyAlignment="1">
      <alignment horizontal="right"/>
    </xf>
    <xf numFmtId="166" fontId="4" fillId="0" borderId="1" xfId="0" applyNumberFormat="1" applyFont="1" applyBorder="1"/>
    <xf numFmtId="0" fontId="3" fillId="0" borderId="1" xfId="0" applyFont="1" applyBorder="1"/>
    <xf numFmtId="166" fontId="3" fillId="0" borderId="1" xfId="0" applyNumberFormat="1" applyFont="1" applyBorder="1"/>
    <xf numFmtId="164" fontId="4" fillId="0" borderId="3" xfId="0" applyNumberFormat="1" applyFont="1" applyBorder="1"/>
    <xf numFmtId="166" fontId="6" fillId="0" borderId="0" xfId="0" applyNumberFormat="1" applyFont="1"/>
    <xf numFmtId="3" fontId="6" fillId="0" borderId="1" xfId="1" applyNumberFormat="1" applyFont="1" applyBorder="1"/>
    <xf numFmtId="0" fontId="6" fillId="0" borderId="0" xfId="0" applyFont="1"/>
    <xf numFmtId="3" fontId="6" fillId="0" borderId="0" xfId="1" applyNumberFormat="1" applyFont="1"/>
    <xf numFmtId="2" fontId="3" fillId="0" borderId="0" xfId="2" applyNumberFormat="1" applyFont="1"/>
    <xf numFmtId="167" fontId="0" fillId="0" borderId="0" xfId="0" applyNumberFormat="1"/>
    <xf numFmtId="0" fontId="4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abSelected="1" topLeftCell="A6" zoomScale="72" workbookViewId="0">
      <selection activeCell="L30" sqref="L30"/>
    </sheetView>
  </sheetViews>
  <sheetFormatPr defaultColWidth="7.8984375" defaultRowHeight="13.8"/>
  <cols>
    <col min="1" max="1" width="15.09765625" bestFit="1" customWidth="1"/>
    <col min="2" max="2" width="12.69921875" bestFit="1" customWidth="1"/>
    <col min="3" max="3" width="15" bestFit="1" customWidth="1"/>
    <col min="4" max="4" width="17.69921875" bestFit="1" customWidth="1"/>
    <col min="5" max="5" width="10.296875" bestFit="1" customWidth="1"/>
    <col min="6" max="6" width="9.09765625" bestFit="1" customWidth="1"/>
    <col min="7" max="7" width="10.296875" bestFit="1" customWidth="1"/>
    <col min="8" max="9" width="9.09765625" bestFit="1" customWidth="1"/>
    <col min="10" max="10" width="10.19921875" customWidth="1"/>
    <col min="11" max="12" width="9.09765625" bestFit="1" customWidth="1"/>
    <col min="13" max="13" width="15.296875" bestFit="1" customWidth="1"/>
    <col min="14" max="14" width="9.296875" bestFit="1" customWidth="1"/>
  </cols>
  <sheetData>
    <row r="1" spans="1:14" s="2" customFormat="1" ht="15.6" customHeight="1">
      <c r="A1" s="1" t="s">
        <v>0</v>
      </c>
    </row>
    <row r="2" spans="1:14" s="2" customFormat="1" ht="15" customHeight="1"/>
    <row r="3" spans="1:14" s="2" customFormat="1" ht="15.6" customHeight="1">
      <c r="D3" s="1" t="s">
        <v>1</v>
      </c>
      <c r="E3" s="3"/>
      <c r="F3" s="3"/>
      <c r="G3" s="3"/>
      <c r="H3" s="3"/>
      <c r="I3" s="3"/>
      <c r="J3" s="3"/>
      <c r="K3" s="3"/>
      <c r="L3" s="3"/>
    </row>
    <row r="4" spans="1:14" s="2" customFormat="1" ht="15" customHeight="1"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</row>
    <row r="5" spans="1:14" s="2" customFormat="1" ht="15" customHeight="1">
      <c r="D5" s="4" t="s">
        <v>11</v>
      </c>
      <c r="E5" s="5">
        <v>4840</v>
      </c>
      <c r="F5" s="5">
        <v>4900</v>
      </c>
      <c r="G5" s="5">
        <v>5484</v>
      </c>
      <c r="H5" s="5">
        <v>5500.8</v>
      </c>
      <c r="I5" s="5">
        <v>5182</v>
      </c>
      <c r="J5" s="5">
        <v>5050</v>
      </c>
      <c r="K5" s="5">
        <v>5152</v>
      </c>
      <c r="L5" s="5">
        <v>5172</v>
      </c>
    </row>
    <row r="6" spans="1:14" s="2" customFormat="1" ht="15" customHeight="1">
      <c r="D6" s="4" t="s">
        <v>12</v>
      </c>
      <c r="E6" s="5">
        <v>5250</v>
      </c>
      <c r="F6" s="5">
        <v>5180</v>
      </c>
      <c r="G6" s="5">
        <v>5838.0000000000009</v>
      </c>
      <c r="H6" s="5">
        <v>5871.6</v>
      </c>
      <c r="I6" s="5">
        <v>5415.4000000000005</v>
      </c>
      <c r="J6" s="5">
        <v>5350</v>
      </c>
      <c r="K6" s="5">
        <v>5509</v>
      </c>
      <c r="L6" s="5">
        <v>5519</v>
      </c>
    </row>
    <row r="7" spans="1:14" s="2" customFormat="1" ht="15" customHeight="1">
      <c r="D7" s="4" t="s">
        <v>13</v>
      </c>
      <c r="E7" s="5">
        <v>5030</v>
      </c>
      <c r="F7" s="5">
        <v>5508</v>
      </c>
      <c r="G7" s="5">
        <v>4880</v>
      </c>
      <c r="H7" s="5">
        <v>5625.6</v>
      </c>
      <c r="I7" s="5">
        <v>5236.4000000000005</v>
      </c>
      <c r="J7" s="5">
        <v>5080</v>
      </c>
      <c r="K7" s="5">
        <v>5030</v>
      </c>
      <c r="L7" s="5">
        <v>5314</v>
      </c>
    </row>
    <row r="8" spans="1:14" s="2" customFormat="1" ht="15" customHeight="1">
      <c r="D8" s="4" t="s">
        <v>14</v>
      </c>
      <c r="E8" s="5">
        <v>5020</v>
      </c>
      <c r="F8" s="5">
        <v>5504</v>
      </c>
      <c r="G8" s="5">
        <v>5594</v>
      </c>
      <c r="H8" s="5">
        <v>4940</v>
      </c>
      <c r="I8" s="5">
        <v>5198.2</v>
      </c>
      <c r="J8" s="5">
        <v>5140</v>
      </c>
      <c r="K8" s="5">
        <v>5020</v>
      </c>
      <c r="L8" s="5">
        <v>5297</v>
      </c>
    </row>
    <row r="9" spans="1:14" s="2" customFormat="1" ht="15" customHeight="1">
      <c r="D9" s="4" t="s">
        <v>15</v>
      </c>
      <c r="E9" s="5">
        <v>5191</v>
      </c>
      <c r="F9" s="5">
        <v>5708.1</v>
      </c>
      <c r="G9" s="5">
        <v>5788.1</v>
      </c>
      <c r="H9" s="5">
        <v>5829.52</v>
      </c>
      <c r="I9" s="5">
        <v>5071</v>
      </c>
      <c r="J9" s="5">
        <v>5311</v>
      </c>
      <c r="K9" s="5">
        <v>5211</v>
      </c>
      <c r="L9" s="5">
        <v>5424.55</v>
      </c>
    </row>
    <row r="10" spans="1:14" s="2" customFormat="1" ht="15" customHeight="1">
      <c r="D10" s="4" t="s">
        <v>16</v>
      </c>
      <c r="E10" s="5">
        <v>5422.5</v>
      </c>
      <c r="F10" s="5">
        <v>5655</v>
      </c>
      <c r="G10" s="5">
        <v>5775</v>
      </c>
      <c r="H10" s="5">
        <v>5776.0000000000009</v>
      </c>
      <c r="I10" s="5">
        <v>5462.5</v>
      </c>
      <c r="J10" s="5">
        <v>5050</v>
      </c>
      <c r="K10" s="5">
        <v>5170</v>
      </c>
      <c r="L10" s="5">
        <v>5492.5</v>
      </c>
    </row>
    <row r="11" spans="1:14" s="2" customFormat="1" ht="15" customHeight="1"/>
    <row r="12" spans="1:14" s="2" customFormat="1" ht="15.6" customHeight="1">
      <c r="A12" s="1" t="s">
        <v>17</v>
      </c>
      <c r="D12" s="6" t="s">
        <v>18</v>
      </c>
      <c r="E12" s="3"/>
      <c r="F12" s="3"/>
      <c r="G12" s="3"/>
      <c r="H12" s="3"/>
      <c r="I12" s="3"/>
      <c r="J12" s="3"/>
      <c r="K12" s="3"/>
      <c r="L12" s="3"/>
    </row>
    <row r="13" spans="1:14" s="2" customFormat="1" ht="15.6" customHeight="1">
      <c r="A13" s="7" t="s">
        <v>19</v>
      </c>
      <c r="B13" s="8" t="s">
        <v>20</v>
      </c>
      <c r="C13" s="4" t="s">
        <v>21</v>
      </c>
      <c r="D13" s="4" t="s">
        <v>2</v>
      </c>
      <c r="E13" s="4" t="s">
        <v>11</v>
      </c>
      <c r="F13" s="4" t="s">
        <v>12</v>
      </c>
      <c r="G13" s="4" t="s">
        <v>13</v>
      </c>
      <c r="H13" s="4" t="s">
        <v>14</v>
      </c>
      <c r="I13" s="4" t="s">
        <v>15</v>
      </c>
      <c r="J13" s="4" t="s">
        <v>16</v>
      </c>
      <c r="K13" s="4" t="s">
        <v>22</v>
      </c>
      <c r="L13" s="9" t="s">
        <v>23</v>
      </c>
      <c r="M13" s="4" t="s">
        <v>24</v>
      </c>
    </row>
    <row r="14" spans="1:14" s="2" customFormat="1" ht="15.6" customHeight="1">
      <c r="A14" s="10">
        <v>1</v>
      </c>
      <c r="B14" s="11">
        <f>1725</f>
        <v>1725</v>
      </c>
      <c r="C14" s="12">
        <f>1380000</f>
        <v>1380000</v>
      </c>
      <c r="D14" s="4" t="s">
        <v>11</v>
      </c>
      <c r="E14" s="13">
        <v>1120.0000000000002</v>
      </c>
      <c r="F14" s="13">
        <v>425</v>
      </c>
      <c r="G14" s="13">
        <v>0</v>
      </c>
      <c r="H14" s="13">
        <v>180.0000000000002</v>
      </c>
      <c r="I14" s="13">
        <v>0</v>
      </c>
      <c r="J14" s="13">
        <v>0</v>
      </c>
      <c r="K14" s="13">
        <v>0</v>
      </c>
      <c r="L14" s="13">
        <v>0</v>
      </c>
      <c r="M14" s="15">
        <f t="shared" ref="M14:M19" si="0">SUM(E14:L14)</f>
        <v>1725.0000000000005</v>
      </c>
      <c r="N14" s="23">
        <f>A14*B14-M14</f>
        <v>0</v>
      </c>
    </row>
    <row r="15" spans="1:14" s="2" customFormat="1" ht="15.6" customHeight="1">
      <c r="A15" s="10">
        <v>1</v>
      </c>
      <c r="B15" s="11">
        <f>800</f>
        <v>800</v>
      </c>
      <c r="C15" s="12">
        <f>1050000</f>
        <v>1050000</v>
      </c>
      <c r="D15" s="4" t="s">
        <v>12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180</v>
      </c>
      <c r="M15" s="15">
        <f t="shared" si="0"/>
        <v>180</v>
      </c>
      <c r="N15" s="23">
        <f t="shared" ref="N15:N19" si="1">A15*B15-M15</f>
        <v>620</v>
      </c>
    </row>
    <row r="16" spans="1:14" s="2" customFormat="1" ht="15.6" customHeight="1">
      <c r="A16" s="10">
        <v>1</v>
      </c>
      <c r="B16" s="11">
        <f>5286</f>
        <v>5286</v>
      </c>
      <c r="C16" s="12">
        <f>3171600</f>
        <v>3171600</v>
      </c>
      <c r="D16" s="4" t="s">
        <v>13</v>
      </c>
      <c r="E16" s="14">
        <v>0</v>
      </c>
      <c r="F16" s="14">
        <v>0</v>
      </c>
      <c r="G16" s="14">
        <v>3225</v>
      </c>
      <c r="H16" s="14">
        <v>112</v>
      </c>
      <c r="I16" s="14">
        <v>684</v>
      </c>
      <c r="J16" s="14">
        <v>0</v>
      </c>
      <c r="K16" s="14">
        <v>247</v>
      </c>
      <c r="L16" s="14">
        <v>0</v>
      </c>
      <c r="M16" s="15">
        <f t="shared" si="0"/>
        <v>4268</v>
      </c>
      <c r="N16" s="23">
        <f t="shared" si="1"/>
        <v>1018</v>
      </c>
    </row>
    <row r="17" spans="1:22" s="2" customFormat="1" ht="15.6" customHeight="1">
      <c r="A17" s="10">
        <v>0</v>
      </c>
      <c r="B17" s="11">
        <f>483</f>
        <v>483</v>
      </c>
      <c r="C17" s="12">
        <f>618240</f>
        <v>618240</v>
      </c>
      <c r="D17" s="4" t="s">
        <v>14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5">
        <f t="shared" si="0"/>
        <v>0</v>
      </c>
      <c r="N17" s="23">
        <f t="shared" si="1"/>
        <v>0</v>
      </c>
    </row>
    <row r="18" spans="1:22" s="2" customFormat="1" ht="15.6" customHeight="1">
      <c r="A18" s="10">
        <v>0</v>
      </c>
      <c r="B18" s="11">
        <f>1050</f>
        <v>1050</v>
      </c>
      <c r="C18" s="12">
        <f>1785000</f>
        <v>1785000</v>
      </c>
      <c r="D18" s="4" t="s">
        <v>15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5">
        <f t="shared" si="0"/>
        <v>0</v>
      </c>
      <c r="N18" s="23">
        <f t="shared" si="1"/>
        <v>0</v>
      </c>
    </row>
    <row r="19" spans="1:22" s="2" customFormat="1" ht="15.6" customHeight="1">
      <c r="A19" s="10">
        <v>1</v>
      </c>
      <c r="B19" s="11">
        <f>2334</f>
        <v>2334</v>
      </c>
      <c r="C19" s="12">
        <f>1633800</f>
        <v>1633800</v>
      </c>
      <c r="D19" s="4" t="s">
        <v>16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2065.0000000000005</v>
      </c>
      <c r="K19" s="14">
        <v>0</v>
      </c>
      <c r="L19" s="14">
        <v>0</v>
      </c>
      <c r="M19" s="15">
        <f t="shared" si="0"/>
        <v>2065.0000000000005</v>
      </c>
      <c r="N19" s="23">
        <f t="shared" si="1"/>
        <v>268.99999999999955</v>
      </c>
    </row>
    <row r="20" spans="1:22" s="2" customFormat="1" ht="15" customHeight="1">
      <c r="D20" s="16" t="s">
        <v>25</v>
      </c>
      <c r="E20" s="17">
        <f t="shared" ref="E20:L20" si="2">SUM(E14:E19)</f>
        <v>1120.0000000000002</v>
      </c>
      <c r="F20" s="17">
        <f t="shared" si="2"/>
        <v>425</v>
      </c>
      <c r="G20" s="17">
        <f t="shared" si="2"/>
        <v>3225</v>
      </c>
      <c r="H20" s="17">
        <f t="shared" si="2"/>
        <v>292.00000000000023</v>
      </c>
      <c r="I20" s="17">
        <f t="shared" si="2"/>
        <v>684</v>
      </c>
      <c r="J20" s="17">
        <f t="shared" si="2"/>
        <v>2065.0000000000005</v>
      </c>
      <c r="K20" s="17">
        <f t="shared" si="2"/>
        <v>247</v>
      </c>
      <c r="L20" s="17">
        <f t="shared" si="2"/>
        <v>180</v>
      </c>
      <c r="M20" s="18"/>
      <c r="N20" s="19">
        <f>SUM(N14:N19)</f>
        <v>1906.9999999999995</v>
      </c>
    </row>
    <row r="21" spans="1:22" s="2" customFormat="1" ht="15" customHeight="1">
      <c r="D21" s="8" t="s">
        <v>26</v>
      </c>
      <c r="E21" s="20">
        <v>1120</v>
      </c>
      <c r="F21" s="20">
        <v>425</v>
      </c>
      <c r="G21" s="20">
        <v>3225</v>
      </c>
      <c r="H21" s="20">
        <v>292</v>
      </c>
      <c r="I21" s="20">
        <v>684</v>
      </c>
      <c r="J21" s="20">
        <v>2065</v>
      </c>
      <c r="K21" s="20">
        <v>247</v>
      </c>
      <c r="L21" s="20">
        <v>180</v>
      </c>
    </row>
    <row r="22" spans="1:22" s="2" customFormat="1" ht="15" customHeight="1">
      <c r="A22" s="21"/>
      <c r="B22" s="22">
        <f>SUM(B14:B16)</f>
        <v>7811</v>
      </c>
      <c r="C22" s="22"/>
      <c r="D22" s="22"/>
      <c r="E22" s="22"/>
      <c r="F22" s="22"/>
      <c r="G22" s="22"/>
      <c r="H22" s="22"/>
      <c r="I22" s="22"/>
    </row>
    <row r="23" spans="1:22" s="2" customFormat="1" ht="15.6" customHeight="1">
      <c r="D23" s="1" t="s">
        <v>27</v>
      </c>
      <c r="E23" s="3"/>
      <c r="F23" s="3"/>
      <c r="G23" s="3"/>
      <c r="H23" s="3"/>
      <c r="I23" s="3"/>
      <c r="J23" s="3"/>
      <c r="K23" s="3"/>
      <c r="L23" s="3"/>
    </row>
    <row r="24" spans="1:22" s="2" customFormat="1" ht="15" customHeight="1">
      <c r="D24" s="4" t="s">
        <v>2</v>
      </c>
      <c r="E24" s="4" t="s">
        <v>11</v>
      </c>
      <c r="F24" s="4" t="s">
        <v>12</v>
      </c>
      <c r="G24" s="4" t="s">
        <v>13</v>
      </c>
      <c r="H24" s="4" t="s">
        <v>14</v>
      </c>
      <c r="I24" s="4" t="s">
        <v>15</v>
      </c>
      <c r="J24" s="4" t="s">
        <v>16</v>
      </c>
      <c r="K24" s="4" t="s">
        <v>22</v>
      </c>
      <c r="L24" s="4" t="s">
        <v>23</v>
      </c>
    </row>
    <row r="25" spans="1:22" s="2" customFormat="1" ht="15" customHeight="1">
      <c r="D25" s="4" t="s">
        <v>11</v>
      </c>
      <c r="E25" s="25">
        <v>7</v>
      </c>
      <c r="F25" s="25">
        <v>18</v>
      </c>
      <c r="G25" s="25">
        <v>24</v>
      </c>
      <c r="H25" s="25">
        <v>14</v>
      </c>
      <c r="I25" s="25">
        <v>31</v>
      </c>
      <c r="J25" s="25">
        <v>31</v>
      </c>
      <c r="K25" s="25">
        <v>14</v>
      </c>
      <c r="L25" s="25">
        <v>39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1:22" s="2" customFormat="1" ht="15" customHeight="1">
      <c r="D26" s="4" t="s">
        <v>12</v>
      </c>
      <c r="E26" s="25">
        <v>12</v>
      </c>
      <c r="F26" s="25">
        <v>7</v>
      </c>
      <c r="G26" s="25">
        <v>15</v>
      </c>
      <c r="H26" s="25">
        <v>12</v>
      </c>
      <c r="I26" s="25">
        <v>25</v>
      </c>
      <c r="J26" s="25">
        <v>20</v>
      </c>
      <c r="K26" s="25">
        <v>12</v>
      </c>
      <c r="L26" s="25">
        <v>25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</row>
    <row r="27" spans="1:22" s="2" customFormat="1" ht="15" customHeight="1">
      <c r="D27" s="4" t="s">
        <v>13</v>
      </c>
      <c r="E27" s="25">
        <v>16</v>
      </c>
      <c r="F27" s="25">
        <v>15</v>
      </c>
      <c r="G27" s="25">
        <v>7</v>
      </c>
      <c r="H27" s="25">
        <v>16</v>
      </c>
      <c r="I27" s="25">
        <v>27</v>
      </c>
      <c r="J27" s="25">
        <v>25</v>
      </c>
      <c r="K27" s="25">
        <v>16</v>
      </c>
      <c r="L27" s="25">
        <v>29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</row>
    <row r="28" spans="1:22" s="2" customFormat="1" ht="15" customHeight="1">
      <c r="D28" s="4" t="s">
        <v>14</v>
      </c>
      <c r="E28" s="25">
        <v>18</v>
      </c>
      <c r="F28" s="25">
        <v>20</v>
      </c>
      <c r="G28" s="25">
        <v>27</v>
      </c>
      <c r="H28" s="25">
        <v>7</v>
      </c>
      <c r="I28" s="25">
        <v>31</v>
      </c>
      <c r="J28" s="25">
        <v>21</v>
      </c>
      <c r="K28" s="25">
        <v>21</v>
      </c>
      <c r="L28" s="25">
        <v>33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1:22" s="2" customFormat="1" ht="15" customHeight="1">
      <c r="D29" s="4" t="s">
        <v>15</v>
      </c>
      <c r="E29" s="25">
        <v>31</v>
      </c>
      <c r="F29" s="25">
        <v>38</v>
      </c>
      <c r="G29" s="25">
        <v>38</v>
      </c>
      <c r="H29" s="25">
        <v>38</v>
      </c>
      <c r="I29" s="25">
        <v>7</v>
      </c>
      <c r="J29" s="25">
        <v>38</v>
      </c>
      <c r="K29" s="25">
        <v>38</v>
      </c>
      <c r="L29" s="25">
        <v>24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1:22" s="2" customFormat="1" ht="15" customHeight="1">
      <c r="D30" s="4" t="s">
        <v>16</v>
      </c>
      <c r="E30" s="25">
        <v>36</v>
      </c>
      <c r="F30" s="25">
        <v>40</v>
      </c>
      <c r="G30" s="25">
        <v>33</v>
      </c>
      <c r="H30" s="25">
        <v>32</v>
      </c>
      <c r="I30" s="25">
        <v>44</v>
      </c>
      <c r="J30" s="25">
        <v>7</v>
      </c>
      <c r="K30" s="25">
        <v>40</v>
      </c>
      <c r="L30" s="25">
        <v>49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1:22" s="2" customFormat="1" ht="15" customHeight="1">
      <c r="D31" s="3" t="s">
        <v>28</v>
      </c>
      <c r="E31" s="3">
        <v>30</v>
      </c>
    </row>
    <row r="32" spans="1:22" s="2" customFormat="1" ht="15" customHeight="1"/>
    <row r="33" spans="3:4">
      <c r="C33" t="s">
        <v>29</v>
      </c>
      <c r="D33" s="24">
        <f>SUMPRODUCT(E5:L10,E14:L19)+SUMPRODUCT(C14:C19,A14:A19)</f>
        <v>48342688.800000004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Joshi</dc:creator>
  <cp:lastModifiedBy>ROHIT GHOSH</cp:lastModifiedBy>
  <dcterms:created xsi:type="dcterms:W3CDTF">2026-01-28T16:22:28Z</dcterms:created>
  <dcterms:modified xsi:type="dcterms:W3CDTF">2026-01-29T05:42:49Z</dcterms:modified>
</cp:coreProperties>
</file>