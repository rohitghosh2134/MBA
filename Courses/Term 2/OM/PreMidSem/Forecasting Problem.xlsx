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filterPrivacy="1" defaultThemeVersion="124226"/>
  <xr:revisionPtr revIDLastSave="0" documentId="13_ncr:1_{13E460FF-6E22-44F8-9A2B-070A45AD3F69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Product 1" sheetId="4" r:id="rId1"/>
    <sheet name="movining average" sheetId="5" r:id="rId2"/>
    <sheet name="exponential " sheetId="6" r:id="rId3"/>
  </sheets>
  <definedNames>
    <definedName name="_xlnm._FilterDatabase" localSheetId="2" hidden="1">'exponential '!$B$2:$D$2</definedName>
    <definedName name="_xlnm._FilterDatabase" localSheetId="1" hidden="1">'movining average'!$A$3:$D$3</definedName>
    <definedName name="_xlnm._FilterDatabase" localSheetId="0" hidden="1">'Product 1'!$E$4:$H$4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3" i="5" l="1"/>
  <c r="N11" i="5"/>
  <c r="N10" i="5"/>
  <c r="N22" i="4"/>
  <c r="N21" i="4"/>
  <c r="M22" i="4"/>
  <c r="M21" i="4"/>
  <c r="M9" i="4"/>
  <c r="M8" i="4"/>
  <c r="M11" i="4" s="1"/>
  <c r="J8" i="4"/>
  <c r="J9" i="4"/>
  <c r="J10" i="4"/>
  <c r="J11" i="4"/>
  <c r="J12" i="4"/>
  <c r="J13" i="4"/>
  <c r="J14" i="4"/>
  <c r="J7" i="4"/>
  <c r="J6" i="4"/>
  <c r="J5" i="4"/>
  <c r="H5" i="4"/>
  <c r="H11" i="4"/>
  <c r="H7" i="4"/>
  <c r="H13" i="4"/>
  <c r="H6" i="4"/>
  <c r="H14" i="4"/>
  <c r="H10" i="4"/>
  <c r="H9" i="4"/>
  <c r="H8" i="4"/>
  <c r="H12" i="4"/>
</calcChain>
</file>

<file path=xl/sharedStrings.xml><?xml version="1.0" encoding="utf-8"?>
<sst xmlns="http://schemas.openxmlformats.org/spreadsheetml/2006/main" count="129" uniqueCount="32">
  <si>
    <t>Actual</t>
  </si>
  <si>
    <t>Forecasted</t>
  </si>
  <si>
    <t>Sep -Week 1</t>
  </si>
  <si>
    <t>Sep -Week 2</t>
  </si>
  <si>
    <t>Sep - Week 3</t>
  </si>
  <si>
    <t>Sep - Week 4</t>
  </si>
  <si>
    <t>Oct - Week 5</t>
  </si>
  <si>
    <t>Oct - Week 6</t>
  </si>
  <si>
    <t>Oct - Week 7</t>
  </si>
  <si>
    <t>Oct - Week 8</t>
  </si>
  <si>
    <t>Nov - Week 9</t>
  </si>
  <si>
    <t>Nov - Week 10</t>
  </si>
  <si>
    <t>Sep week 1</t>
  </si>
  <si>
    <t>Sales Price</t>
  </si>
  <si>
    <t>Cost</t>
  </si>
  <si>
    <t>Forecast error (A/F)</t>
  </si>
  <si>
    <t>Frozen forecast</t>
  </si>
  <si>
    <t>Salvage/Liq</t>
  </si>
  <si>
    <t>Rank</t>
  </si>
  <si>
    <t xml:space="preserve">Quantity </t>
  </si>
  <si>
    <t>Min</t>
  </si>
  <si>
    <t>Max</t>
  </si>
  <si>
    <t>Revenue</t>
  </si>
  <si>
    <t>Moving Average</t>
  </si>
  <si>
    <t>Exponential Smoothing</t>
  </si>
  <si>
    <t>Expert 60% prob in freq distributuion</t>
  </si>
  <si>
    <t>Expert (60%)</t>
  </si>
  <si>
    <t>Frequency Distribution</t>
  </si>
  <si>
    <t>Gain</t>
  </si>
  <si>
    <t>Loss</t>
  </si>
  <si>
    <t>Critical fractile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</si>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</sst>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2" tint="-0.49998474074526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0" fontId="0" fillId="0" borderId="1" xfId="0" applyBorder="1"/>
    <xf numFmtId="0" fontId="0" fillId="3" borderId="1" xfId="0" applyFill="1" applyBorder="1"/>
    <xf numFmtId="0" fontId="0" fillId="4" borderId="0" xfId="0" applyFill="1"/>
    <xf numFmtId="0" fontId="0" fillId="3" borderId="2" xfId="0" applyFill="1" applyBorder="1"/>
    <xf numFmtId="0" fontId="0" fillId="0" borderId="2" xfId="0" applyBorder="1"/>
    <xf numFmtId="0" fontId="0" fillId="0" borderId="3" xfId="0" applyBorder="1"/>
    <xf numFmtId="0" fontId="0" fillId="5" borderId="0" xfId="0" applyFill="1"/>
    <xf numFmtId="0" fontId="0" fillId="6" borderId="0" xfId="0" applyFill="1"/>
    <xf numFmtId="0" fontId="0" fillId="6" borderId="1" xfId="0" applyFill="1" applyBorder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C33B170-DFE4-4D51-A944-BDEA02E06497}">
  <we:reference id="wa200000019" version="25.0.2.0" store="en-US" storeType="OMEX"/>
  <we:alternateReferences>
    <we:reference id="WA200000019" version="25.0.2.0" store="WA200000019" storeType="OMEX"/>
  </we:alternateReferences>
  <we:properties/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PSIFORECAST</we:customFunctionIds>
        <we:customFunctionIds>PSIPREDICT</we:customFunctionIds>
        <we:customFunctionIds>PSIPOSTERIORS</we:customFunctionIds>
        <we:customFunctionIds>PSITRANSFORM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A39"/>
  <sheetViews>
    <sheetView topLeftCell="A13" zoomScaleNormal="100" workbookViewId="0">
      <selection activeCell="M35" sqref="M35"/>
    </sheetView>
  </sheetViews>
  <sheetFormatPr defaultRowHeight="14.4" x14ac:dyDescent="0.3"/>
  <cols>
    <col min="2" max="2" width="26.77734375" bestFit="1" customWidth="1"/>
    <col min="5" max="5" width="13.109375" bestFit="1" customWidth="1"/>
    <col min="6" max="6" width="8.33203125" bestFit="1" customWidth="1"/>
    <col min="7" max="7" width="12.21875" bestFit="1" customWidth="1"/>
    <col min="8" max="8" width="20.77734375" bestFit="1" customWidth="1"/>
    <col min="9" max="9" width="11.21875" bestFit="1" customWidth="1"/>
    <col min="10" max="10" width="21.77734375" bestFit="1" customWidth="1"/>
    <col min="12" max="12" width="14.77734375" bestFit="1" customWidth="1"/>
    <col min="13" max="13" width="13.77734375" bestFit="1" customWidth="1"/>
    <col min="14" max="14" width="11.21875" bestFit="1" customWidth="1"/>
  </cols>
  <sheetData>
    <row r="1" spans="5:27" x14ac:dyDescent="0.3">
      <c r="L1" s="1" t="s">
        <v>16</v>
      </c>
      <c r="M1" s="1">
        <v>1000</v>
      </c>
    </row>
    <row r="2" spans="5:27" x14ac:dyDescent="0.3">
      <c r="L2" t="s">
        <v>25</v>
      </c>
    </row>
    <row r="4" spans="5:27" x14ac:dyDescent="0.3">
      <c r="F4" t="s">
        <v>0</v>
      </c>
      <c r="G4" t="s">
        <v>1</v>
      </c>
      <c r="H4" t="s">
        <v>15</v>
      </c>
      <c r="I4" t="s">
        <v>18</v>
      </c>
      <c r="J4" t="s">
        <v>27</v>
      </c>
      <c r="L4" s="1" t="s">
        <v>13</v>
      </c>
      <c r="M4" s="1">
        <v>35</v>
      </c>
    </row>
    <row r="5" spans="5:27" x14ac:dyDescent="0.3">
      <c r="E5" t="s">
        <v>4</v>
      </c>
      <c r="F5">
        <v>6</v>
      </c>
      <c r="G5">
        <v>10</v>
      </c>
      <c r="H5">
        <f t="shared" ref="H5:H14" si="0">F5/G5</f>
        <v>0.6</v>
      </c>
      <c r="I5">
        <v>1</v>
      </c>
      <c r="J5">
        <f>I5/10</f>
        <v>0.1</v>
      </c>
      <c r="L5" s="1" t="s">
        <v>14</v>
      </c>
      <c r="M5" s="1">
        <v>15</v>
      </c>
      <c r="Q5" s="2"/>
      <c r="R5" s="2" t="s">
        <v>12</v>
      </c>
      <c r="S5" s="2" t="s">
        <v>3</v>
      </c>
      <c r="T5" s="2" t="s">
        <v>4</v>
      </c>
      <c r="U5" s="2" t="s">
        <v>5</v>
      </c>
      <c r="V5" s="2" t="s">
        <v>6</v>
      </c>
      <c r="W5" s="2" t="s">
        <v>7</v>
      </c>
      <c r="X5" s="2" t="s">
        <v>8</v>
      </c>
      <c r="Y5" s="2" t="s">
        <v>9</v>
      </c>
      <c r="Z5" s="2" t="s">
        <v>10</v>
      </c>
      <c r="AA5" s="2" t="s">
        <v>11</v>
      </c>
    </row>
    <row r="6" spans="5:27" x14ac:dyDescent="0.3">
      <c r="E6" t="s">
        <v>8</v>
      </c>
      <c r="F6">
        <v>120</v>
      </c>
      <c r="G6">
        <v>136</v>
      </c>
      <c r="H6">
        <f t="shared" si="0"/>
        <v>0.88235294117647056</v>
      </c>
      <c r="I6">
        <v>2</v>
      </c>
      <c r="J6">
        <f>I6/10</f>
        <v>0.2</v>
      </c>
      <c r="L6" s="1" t="s">
        <v>17</v>
      </c>
      <c r="M6" s="1">
        <v>10</v>
      </c>
      <c r="Q6" s="2">
        <v>1981</v>
      </c>
      <c r="R6" s="2">
        <v>600</v>
      </c>
      <c r="S6" s="2">
        <v>60</v>
      </c>
      <c r="T6" s="2">
        <v>11</v>
      </c>
      <c r="U6" s="2">
        <v>722</v>
      </c>
      <c r="V6" s="2">
        <v>908</v>
      </c>
      <c r="W6" s="2">
        <v>14</v>
      </c>
      <c r="X6" s="2">
        <v>143</v>
      </c>
      <c r="Y6" s="2">
        <v>16</v>
      </c>
      <c r="Z6" s="2">
        <v>110</v>
      </c>
      <c r="AA6" s="2">
        <v>1499</v>
      </c>
    </row>
    <row r="7" spans="5:27" x14ac:dyDescent="0.3">
      <c r="E7" t="s">
        <v>6</v>
      </c>
      <c r="F7">
        <v>900</v>
      </c>
      <c r="G7">
        <v>1000</v>
      </c>
      <c r="H7">
        <f t="shared" si="0"/>
        <v>0.9</v>
      </c>
      <c r="I7">
        <v>3</v>
      </c>
      <c r="J7">
        <f>I7/10</f>
        <v>0.3</v>
      </c>
      <c r="Q7" s="2">
        <v>1982</v>
      </c>
      <c r="R7" s="2">
        <v>650</v>
      </c>
      <c r="S7" s="2">
        <v>65</v>
      </c>
      <c r="T7" s="2">
        <v>6</v>
      </c>
      <c r="U7" s="2">
        <v>699</v>
      </c>
      <c r="V7" s="2">
        <v>880</v>
      </c>
      <c r="W7" s="2">
        <v>12</v>
      </c>
      <c r="X7" s="2">
        <v>143</v>
      </c>
      <c r="Y7" s="2">
        <v>14</v>
      </c>
      <c r="Z7" s="2">
        <v>111</v>
      </c>
      <c r="AA7" s="2">
        <v>1531</v>
      </c>
    </row>
    <row r="8" spans="5:27" x14ac:dyDescent="0.3">
      <c r="E8" t="s">
        <v>3</v>
      </c>
      <c r="F8">
        <v>60</v>
      </c>
      <c r="G8">
        <v>61</v>
      </c>
      <c r="H8">
        <f t="shared" si="0"/>
        <v>0.98360655737704916</v>
      </c>
      <c r="I8">
        <v>4</v>
      </c>
      <c r="J8">
        <f t="shared" ref="J8:J14" si="1">I8/10</f>
        <v>0.4</v>
      </c>
      <c r="L8" s="1" t="s">
        <v>28</v>
      </c>
      <c r="M8">
        <f>M4-M5</f>
        <v>20</v>
      </c>
      <c r="Q8" s="2">
        <v>1983</v>
      </c>
      <c r="R8" s="2">
        <v>629</v>
      </c>
      <c r="S8" s="2">
        <v>62</v>
      </c>
      <c r="T8" s="2">
        <v>8</v>
      </c>
      <c r="U8" s="2">
        <v>703</v>
      </c>
      <c r="V8" s="2">
        <v>925</v>
      </c>
      <c r="W8" s="2">
        <v>11</v>
      </c>
      <c r="X8" s="2">
        <v>154</v>
      </c>
      <c r="Y8" s="2">
        <v>15</v>
      </c>
      <c r="Z8" s="2">
        <v>114</v>
      </c>
      <c r="AA8" s="2">
        <v>1466</v>
      </c>
    </row>
    <row r="9" spans="5:27" x14ac:dyDescent="0.3">
      <c r="E9" t="s">
        <v>11</v>
      </c>
      <c r="F9">
        <v>1500</v>
      </c>
      <c r="G9">
        <v>1489</v>
      </c>
      <c r="H9">
        <f t="shared" si="0"/>
        <v>1.007387508394896</v>
      </c>
      <c r="I9">
        <v>5</v>
      </c>
      <c r="J9">
        <f t="shared" si="1"/>
        <v>0.5</v>
      </c>
      <c r="L9" s="1" t="s">
        <v>29</v>
      </c>
      <c r="M9">
        <f>M5-M6</f>
        <v>5</v>
      </c>
      <c r="Q9" s="2">
        <v>1984</v>
      </c>
      <c r="R9" s="2">
        <v>200</v>
      </c>
      <c r="S9" s="2">
        <v>20</v>
      </c>
      <c r="T9" s="2">
        <v>8</v>
      </c>
      <c r="U9" s="2">
        <v>672</v>
      </c>
      <c r="V9" s="2">
        <v>891</v>
      </c>
      <c r="W9" s="2">
        <v>11</v>
      </c>
      <c r="X9" s="2">
        <v>157</v>
      </c>
      <c r="Y9" s="2">
        <v>15</v>
      </c>
      <c r="Z9" s="2">
        <v>117</v>
      </c>
      <c r="AA9" s="2">
        <v>1452</v>
      </c>
    </row>
    <row r="10" spans="5:27" x14ac:dyDescent="0.3">
      <c r="E10" t="s">
        <v>10</v>
      </c>
      <c r="F10">
        <v>100</v>
      </c>
      <c r="G10">
        <v>99</v>
      </c>
      <c r="H10" s="1">
        <f t="shared" si="0"/>
        <v>1.0101010101010102</v>
      </c>
      <c r="I10">
        <v>6</v>
      </c>
      <c r="J10" s="1">
        <f t="shared" si="1"/>
        <v>0.6</v>
      </c>
      <c r="Q10" s="2">
        <v>1985</v>
      </c>
      <c r="R10" s="2">
        <v>599</v>
      </c>
      <c r="S10" s="2">
        <v>60</v>
      </c>
      <c r="T10" s="2">
        <v>7</v>
      </c>
      <c r="U10" s="2">
        <v>688</v>
      </c>
      <c r="V10" s="2">
        <v>929</v>
      </c>
      <c r="W10" s="2">
        <v>7</v>
      </c>
      <c r="X10" s="2">
        <v>144</v>
      </c>
      <c r="Y10" s="2">
        <v>12</v>
      </c>
      <c r="Z10" s="2">
        <v>118</v>
      </c>
      <c r="AA10" s="2">
        <v>1414</v>
      </c>
    </row>
    <row r="11" spans="5:27" x14ac:dyDescent="0.3">
      <c r="E11" t="s">
        <v>5</v>
      </c>
      <c r="F11">
        <v>700</v>
      </c>
      <c r="G11">
        <v>688</v>
      </c>
      <c r="H11">
        <f t="shared" si="0"/>
        <v>1.0174418604651163</v>
      </c>
      <c r="I11">
        <v>7</v>
      </c>
      <c r="J11">
        <f t="shared" si="1"/>
        <v>0.7</v>
      </c>
      <c r="L11" s="1" t="s">
        <v>30</v>
      </c>
      <c r="M11">
        <f>M8/(M8+M9)</f>
        <v>0.8</v>
      </c>
      <c r="Q11" s="2">
        <v>1986</v>
      </c>
      <c r="R11" s="2">
        <v>602</v>
      </c>
      <c r="S11" s="2">
        <v>61</v>
      </c>
      <c r="T11" s="2">
        <v>11</v>
      </c>
      <c r="U11" s="2">
        <v>685</v>
      </c>
      <c r="V11" s="2">
        <v>887</v>
      </c>
      <c r="W11" s="2">
        <v>13</v>
      </c>
      <c r="X11" s="2">
        <v>159</v>
      </c>
      <c r="Y11" s="2">
        <v>12</v>
      </c>
      <c r="Z11" s="2">
        <v>117</v>
      </c>
      <c r="AA11" s="2">
        <v>1540</v>
      </c>
    </row>
    <row r="12" spans="5:27" x14ac:dyDescent="0.3">
      <c r="E12" t="s">
        <v>2</v>
      </c>
      <c r="F12">
        <v>600</v>
      </c>
      <c r="G12">
        <v>510</v>
      </c>
      <c r="H12" s="8">
        <f t="shared" si="0"/>
        <v>1.1764705882352942</v>
      </c>
      <c r="I12">
        <v>8</v>
      </c>
      <c r="J12" s="8">
        <f t="shared" si="1"/>
        <v>0.8</v>
      </c>
      <c r="Q12" s="2">
        <v>1987</v>
      </c>
      <c r="R12" s="2">
        <v>575</v>
      </c>
      <c r="S12" s="2">
        <v>55</v>
      </c>
      <c r="T12" s="2">
        <v>2</v>
      </c>
      <c r="U12" s="2">
        <v>671</v>
      </c>
      <c r="V12" s="2">
        <v>931</v>
      </c>
      <c r="W12" s="2">
        <v>6</v>
      </c>
      <c r="X12" s="2">
        <v>144</v>
      </c>
      <c r="Y12" s="2">
        <v>16</v>
      </c>
      <c r="Z12" s="2">
        <v>117</v>
      </c>
      <c r="AA12" s="2">
        <v>1400</v>
      </c>
    </row>
    <row r="13" spans="5:27" x14ac:dyDescent="0.3">
      <c r="E13" t="s">
        <v>7</v>
      </c>
      <c r="F13">
        <v>12</v>
      </c>
      <c r="G13">
        <v>10</v>
      </c>
      <c r="H13">
        <f t="shared" si="0"/>
        <v>1.2</v>
      </c>
      <c r="I13">
        <v>9</v>
      </c>
      <c r="J13">
        <f t="shared" si="1"/>
        <v>0.9</v>
      </c>
      <c r="Q13" s="2">
        <v>1988</v>
      </c>
      <c r="R13" s="2">
        <v>600</v>
      </c>
      <c r="S13" s="2">
        <v>50</v>
      </c>
      <c r="T13" s="2">
        <v>12</v>
      </c>
      <c r="U13" s="2">
        <v>697</v>
      </c>
      <c r="V13" s="2">
        <v>923</v>
      </c>
      <c r="W13" s="2">
        <v>16</v>
      </c>
      <c r="X13" s="2">
        <v>153</v>
      </c>
      <c r="Y13" s="2">
        <v>13</v>
      </c>
      <c r="Z13" s="2">
        <v>115</v>
      </c>
      <c r="AA13" s="2">
        <v>1404</v>
      </c>
    </row>
    <row r="14" spans="5:27" x14ac:dyDescent="0.3">
      <c r="E14" t="s">
        <v>9</v>
      </c>
      <c r="F14">
        <v>15</v>
      </c>
      <c r="G14">
        <v>12</v>
      </c>
      <c r="H14">
        <f t="shared" si="0"/>
        <v>1.25</v>
      </c>
      <c r="I14">
        <v>10</v>
      </c>
      <c r="J14">
        <f t="shared" si="1"/>
        <v>1</v>
      </c>
      <c r="Q14" s="2">
        <v>1989</v>
      </c>
      <c r="R14" s="2">
        <v>660</v>
      </c>
      <c r="S14" s="2">
        <v>66</v>
      </c>
      <c r="T14" s="2">
        <v>10</v>
      </c>
      <c r="U14" s="2">
        <v>678</v>
      </c>
      <c r="V14" s="2">
        <v>896</v>
      </c>
      <c r="W14" s="2">
        <v>9</v>
      </c>
      <c r="X14" s="2">
        <v>164</v>
      </c>
      <c r="Y14" s="2">
        <v>16</v>
      </c>
      <c r="Z14" s="2">
        <v>111</v>
      </c>
      <c r="AA14" s="2">
        <v>1546</v>
      </c>
    </row>
    <row r="15" spans="5:27" x14ac:dyDescent="0.3">
      <c r="Q15" s="2">
        <v>1900</v>
      </c>
      <c r="R15" s="2">
        <v>601</v>
      </c>
      <c r="S15" s="2">
        <v>40</v>
      </c>
      <c r="T15" s="2">
        <v>9</v>
      </c>
      <c r="U15" s="2">
        <v>686</v>
      </c>
      <c r="V15" s="2">
        <v>930</v>
      </c>
      <c r="W15" s="2">
        <v>6</v>
      </c>
      <c r="X15" s="2">
        <v>146</v>
      </c>
      <c r="Y15" s="2">
        <v>12</v>
      </c>
      <c r="Z15" s="2">
        <v>121</v>
      </c>
      <c r="AA15" s="2">
        <v>1420</v>
      </c>
    </row>
    <row r="20" spans="12:16" x14ac:dyDescent="0.3">
      <c r="L20" s="3" t="s">
        <v>19</v>
      </c>
      <c r="M20" s="3" t="s">
        <v>20</v>
      </c>
      <c r="N20" s="3" t="s">
        <v>21</v>
      </c>
    </row>
    <row r="21" spans="12:16" x14ac:dyDescent="0.3">
      <c r="L21" s="3" t="s">
        <v>26</v>
      </c>
      <c r="M21" s="2">
        <f>M1*H5</f>
        <v>600</v>
      </c>
      <c r="N21" s="2">
        <f>M1*H10</f>
        <v>1010.1010101010102</v>
      </c>
    </row>
    <row r="22" spans="12:16" x14ac:dyDescent="0.3">
      <c r="L22" s="3" t="s">
        <v>22</v>
      </c>
      <c r="M22" s="2">
        <f>M1*H5</f>
        <v>600</v>
      </c>
      <c r="N22" s="10">
        <f>M1*H12</f>
        <v>1176.4705882352941</v>
      </c>
    </row>
    <row r="25" spans="12:16" x14ac:dyDescent="0.3">
      <c r="L25" t="s">
        <v>23</v>
      </c>
    </row>
    <row r="26" spans="12:16" x14ac:dyDescent="0.3">
      <c r="L26" t="s">
        <v>19</v>
      </c>
      <c r="M26" t="s">
        <v>20</v>
      </c>
      <c r="N26" t="s">
        <v>21</v>
      </c>
    </row>
    <row r="27" spans="12:16" x14ac:dyDescent="0.3">
      <c r="L27" t="s">
        <v>26</v>
      </c>
      <c r="M27">
        <v>348.38709677419348</v>
      </c>
      <c r="N27">
        <v>611.35371179039305</v>
      </c>
    </row>
    <row r="28" spans="12:16" x14ac:dyDescent="0.3">
      <c r="L28" t="s">
        <v>22</v>
      </c>
      <c r="M28">
        <v>348.38709677419348</v>
      </c>
      <c r="N28" s="9">
        <v>658.53658536585374</v>
      </c>
    </row>
    <row r="31" spans="12:16" x14ac:dyDescent="0.3">
      <c r="P31" t="s">
        <v>31</v>
      </c>
    </row>
    <row r="32" spans="12:16" x14ac:dyDescent="0.3">
      <c r="L32" t="s">
        <v>24</v>
      </c>
    </row>
    <row r="33" spans="2:14" x14ac:dyDescent="0.3">
      <c r="L33" t="s">
        <v>19</v>
      </c>
      <c r="M33" t="s">
        <v>20</v>
      </c>
      <c r="N33" t="s">
        <v>21</v>
      </c>
    </row>
    <row r="34" spans="2:14" x14ac:dyDescent="0.3">
      <c r="L34" t="s">
        <v>26</v>
      </c>
      <c r="M34">
        <v>390.74450269374051</v>
      </c>
      <c r="N34">
        <v>613.16130208384845</v>
      </c>
    </row>
    <row r="35" spans="2:14" x14ac:dyDescent="0.3">
      <c r="L35" t="s">
        <v>22</v>
      </c>
      <c r="M35">
        <v>390.74450269374051</v>
      </c>
      <c r="N35" s="9">
        <v>708.78473113225868</v>
      </c>
    </row>
    <row r="39" spans="2:14" ht="23.4" x14ac:dyDescent="0.45">
      <c r="B39" s="11"/>
      <c r="I39" s="12"/>
    </row>
  </sheetData>
  <autoFilter ref="E4:H4" xr:uid="{00000000-0009-0000-0000-000000000000}"/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9"/>
  <sheetViews>
    <sheetView tabSelected="1" topLeftCell="I1" zoomScaleNormal="100" workbookViewId="0">
      <selection activeCell="S19" sqref="S19"/>
    </sheetView>
  </sheetViews>
  <sheetFormatPr defaultRowHeight="14.4" x14ac:dyDescent="0.3"/>
  <cols>
    <col min="1" max="1" width="14.77734375" customWidth="1"/>
    <col min="3" max="3" width="10" bestFit="1" customWidth="1"/>
    <col min="4" max="4" width="18.5546875" bestFit="1" customWidth="1"/>
    <col min="5" max="5" width="5.21875" bestFit="1" customWidth="1"/>
    <col min="9" max="9" width="15.44140625" bestFit="1" customWidth="1"/>
    <col min="13" max="13" width="12.88671875" bestFit="1" customWidth="1"/>
    <col min="17" max="17" width="11" bestFit="1" customWidth="1"/>
    <col min="18" max="18" width="12" bestFit="1" customWidth="1"/>
    <col min="19" max="20" width="12.44140625" bestFit="1" customWidth="1"/>
    <col min="21" max="24" width="12.21875" bestFit="1" customWidth="1"/>
    <col min="25" max="25" width="12.77734375" bestFit="1" customWidth="1"/>
    <col min="26" max="26" width="13.77734375" bestFit="1" customWidth="1"/>
  </cols>
  <sheetData>
    <row r="1" spans="1:26" x14ac:dyDescent="0.3">
      <c r="K1" s="1" t="s">
        <v>16</v>
      </c>
      <c r="L1" s="1">
        <v>1000</v>
      </c>
    </row>
    <row r="2" spans="1:26" x14ac:dyDescent="0.3">
      <c r="K2" t="s">
        <v>25</v>
      </c>
    </row>
    <row r="3" spans="1:26" x14ac:dyDescent="0.3">
      <c r="B3" t="s">
        <v>0</v>
      </c>
      <c r="C3" t="s">
        <v>1</v>
      </c>
      <c r="D3" t="s">
        <v>15</v>
      </c>
      <c r="E3" t="s">
        <v>18</v>
      </c>
      <c r="F3" t="s">
        <v>27</v>
      </c>
    </row>
    <row r="4" spans="1:26" x14ac:dyDescent="0.3">
      <c r="A4" t="s">
        <v>4</v>
      </c>
      <c r="B4">
        <v>6</v>
      </c>
    </row>
    <row r="5" spans="1:26" x14ac:dyDescent="0.3">
      <c r="A5" t="s">
        <v>8</v>
      </c>
      <c r="B5">
        <v>120</v>
      </c>
      <c r="M5" s="1" t="s">
        <v>13</v>
      </c>
      <c r="N5" s="1">
        <v>35</v>
      </c>
      <c r="P5" s="2"/>
      <c r="Q5" s="2" t="s">
        <v>12</v>
      </c>
      <c r="R5" s="2" t="s">
        <v>3</v>
      </c>
      <c r="S5" s="2" t="s">
        <v>4</v>
      </c>
      <c r="T5" s="2" t="s">
        <v>5</v>
      </c>
      <c r="U5" s="2" t="s">
        <v>6</v>
      </c>
      <c r="V5" s="2" t="s">
        <v>7</v>
      </c>
      <c r="W5" s="2" t="s">
        <v>8</v>
      </c>
      <c r="X5" s="2" t="s">
        <v>9</v>
      </c>
      <c r="Y5" s="2" t="s">
        <v>10</v>
      </c>
      <c r="Z5" s="2" t="s">
        <v>11</v>
      </c>
    </row>
    <row r="6" spans="1:26" x14ac:dyDescent="0.3">
      <c r="A6" t="s">
        <v>10</v>
      </c>
      <c r="B6">
        <v>100</v>
      </c>
      <c r="M6" s="1" t="s">
        <v>14</v>
      </c>
      <c r="N6" s="1">
        <v>15</v>
      </c>
      <c r="P6" s="2">
        <v>1981</v>
      </c>
      <c r="Q6" s="2">
        <v>600</v>
      </c>
      <c r="R6" s="2">
        <v>60</v>
      </c>
      <c r="S6" s="2">
        <v>11</v>
      </c>
      <c r="T6" s="2">
        <v>722</v>
      </c>
      <c r="U6" s="2">
        <v>908</v>
      </c>
      <c r="V6" s="2">
        <v>14</v>
      </c>
      <c r="W6" s="2">
        <v>143</v>
      </c>
      <c r="X6" s="2">
        <v>16</v>
      </c>
      <c r="Y6" s="2">
        <v>110</v>
      </c>
      <c r="Z6" s="2">
        <v>1499</v>
      </c>
    </row>
    <row r="7" spans="1:26" x14ac:dyDescent="0.3">
      <c r="A7" t="s">
        <v>2</v>
      </c>
      <c r="B7">
        <v>600</v>
      </c>
      <c r="M7" s="1" t="s">
        <v>17</v>
      </c>
      <c r="N7" s="1">
        <v>10</v>
      </c>
      <c r="P7" s="2">
        <v>1982</v>
      </c>
      <c r="Q7" s="2">
        <v>650</v>
      </c>
      <c r="R7" s="2">
        <v>65</v>
      </c>
      <c r="S7" s="2">
        <v>6</v>
      </c>
      <c r="T7" s="2">
        <v>699</v>
      </c>
      <c r="U7" s="2">
        <v>880</v>
      </c>
      <c r="V7" s="2">
        <v>12</v>
      </c>
      <c r="W7" s="2">
        <v>143</v>
      </c>
      <c r="X7" s="2">
        <v>14</v>
      </c>
      <c r="Y7" s="2">
        <v>111</v>
      </c>
      <c r="Z7" s="2">
        <v>1531</v>
      </c>
    </row>
    <row r="8" spans="1:26" x14ac:dyDescent="0.3">
      <c r="A8" t="s">
        <v>6</v>
      </c>
      <c r="B8">
        <v>900</v>
      </c>
      <c r="P8" s="2">
        <v>1983</v>
      </c>
      <c r="Q8" s="2">
        <v>629</v>
      </c>
      <c r="R8" s="2">
        <v>62</v>
      </c>
      <c r="S8" s="2">
        <v>8</v>
      </c>
      <c r="T8" s="2">
        <v>703</v>
      </c>
      <c r="U8" s="2">
        <v>925</v>
      </c>
      <c r="V8" s="2">
        <v>11</v>
      </c>
      <c r="W8" s="2">
        <v>154</v>
      </c>
      <c r="X8" s="2">
        <v>15</v>
      </c>
      <c r="Y8" s="2">
        <v>114</v>
      </c>
      <c r="Z8" s="2">
        <v>1466</v>
      </c>
    </row>
    <row r="9" spans="1:26" x14ac:dyDescent="0.3">
      <c r="A9" t="s">
        <v>5</v>
      </c>
      <c r="B9">
        <v>700</v>
      </c>
      <c r="P9" s="2">
        <v>1984</v>
      </c>
      <c r="Q9" s="2">
        <v>200</v>
      </c>
      <c r="R9" s="2">
        <v>20</v>
      </c>
      <c r="S9" s="2">
        <v>8</v>
      </c>
      <c r="T9" s="2">
        <v>672</v>
      </c>
      <c r="U9" s="2">
        <v>891</v>
      </c>
      <c r="V9" s="2">
        <v>11</v>
      </c>
      <c r="W9" s="2">
        <v>157</v>
      </c>
      <c r="X9" s="2">
        <v>15</v>
      </c>
      <c r="Y9" s="2">
        <v>117</v>
      </c>
      <c r="Z9" s="2">
        <v>1452</v>
      </c>
    </row>
    <row r="10" spans="1:26" x14ac:dyDescent="0.3">
      <c r="A10" t="s">
        <v>11</v>
      </c>
      <c r="B10">
        <v>1500</v>
      </c>
      <c r="M10" t="s">
        <v>28</v>
      </c>
      <c r="N10">
        <f>N5-N6</f>
        <v>20</v>
      </c>
      <c r="P10" s="2">
        <v>1985</v>
      </c>
      <c r="Q10" s="2">
        <v>599</v>
      </c>
      <c r="R10" s="2">
        <v>60</v>
      </c>
      <c r="S10" s="2">
        <v>7</v>
      </c>
      <c r="T10" s="2">
        <v>688</v>
      </c>
      <c r="U10" s="2">
        <v>929</v>
      </c>
      <c r="V10" s="2">
        <v>7</v>
      </c>
      <c r="W10" s="2">
        <v>144</v>
      </c>
      <c r="X10" s="2">
        <v>12</v>
      </c>
      <c r="Y10" s="2">
        <v>118</v>
      </c>
      <c r="Z10" s="2">
        <v>1414</v>
      </c>
    </row>
    <row r="11" spans="1:26" x14ac:dyDescent="0.3">
      <c r="A11" t="s">
        <v>9</v>
      </c>
      <c r="B11">
        <v>15</v>
      </c>
      <c r="M11" t="s">
        <v>29</v>
      </c>
      <c r="N11">
        <f>N6-N7</f>
        <v>5</v>
      </c>
      <c r="P11" s="2">
        <v>1986</v>
      </c>
      <c r="Q11" s="2">
        <v>602</v>
      </c>
      <c r="R11" s="2">
        <v>61</v>
      </c>
      <c r="S11" s="2">
        <v>11</v>
      </c>
      <c r="T11" s="2">
        <v>685</v>
      </c>
      <c r="U11" s="2">
        <v>887</v>
      </c>
      <c r="V11" s="2">
        <v>13</v>
      </c>
      <c r="W11" s="2">
        <v>159</v>
      </c>
      <c r="X11" s="2">
        <v>12</v>
      </c>
      <c r="Y11" s="2">
        <v>117</v>
      </c>
      <c r="Z11" s="2">
        <v>1540</v>
      </c>
    </row>
    <row r="12" spans="1:26" x14ac:dyDescent="0.3">
      <c r="A12" t="s">
        <v>3</v>
      </c>
      <c r="B12">
        <v>60</v>
      </c>
      <c r="P12" s="2">
        <v>1987</v>
      </c>
      <c r="Q12" s="2">
        <v>575</v>
      </c>
      <c r="R12" s="2">
        <v>55</v>
      </c>
      <c r="S12" s="2">
        <v>2</v>
      </c>
      <c r="T12" s="2">
        <v>671</v>
      </c>
      <c r="U12" s="2">
        <v>931</v>
      </c>
      <c r="V12" s="2">
        <v>6</v>
      </c>
      <c r="W12" s="2">
        <v>144</v>
      </c>
      <c r="X12" s="2">
        <v>16</v>
      </c>
      <c r="Y12" s="2">
        <v>117</v>
      </c>
      <c r="Z12" s="2">
        <v>1400</v>
      </c>
    </row>
    <row r="13" spans="1:26" x14ac:dyDescent="0.3">
      <c r="A13" t="s">
        <v>7</v>
      </c>
      <c r="B13">
        <v>12</v>
      </c>
      <c r="M13" t="s">
        <v>30</v>
      </c>
      <c r="N13">
        <f>N10/SUM(N10:N11)</f>
        <v>0.8</v>
      </c>
      <c r="P13" s="2">
        <v>1988</v>
      </c>
      <c r="Q13" s="2">
        <v>600</v>
      </c>
      <c r="R13" s="2">
        <v>50</v>
      </c>
      <c r="S13" s="2">
        <v>12</v>
      </c>
      <c r="T13" s="2">
        <v>697</v>
      </c>
      <c r="U13" s="2">
        <v>923</v>
      </c>
      <c r="V13" s="2">
        <v>16</v>
      </c>
      <c r="W13" s="2">
        <v>153</v>
      </c>
      <c r="X13" s="2">
        <v>13</v>
      </c>
      <c r="Y13" s="2">
        <v>115</v>
      </c>
      <c r="Z13" s="2">
        <v>1404</v>
      </c>
    </row>
    <row r="14" spans="1:26" x14ac:dyDescent="0.3">
      <c r="P14" s="2">
        <v>1989</v>
      </c>
      <c r="Q14" s="2">
        <v>660</v>
      </c>
      <c r="R14" s="2">
        <v>66</v>
      </c>
      <c r="S14" s="2">
        <v>10</v>
      </c>
      <c r="T14" s="2">
        <v>678</v>
      </c>
      <c r="U14" s="2">
        <v>896</v>
      </c>
      <c r="V14" s="2">
        <v>9</v>
      </c>
      <c r="W14" s="2">
        <v>164</v>
      </c>
      <c r="X14" s="2">
        <v>16</v>
      </c>
      <c r="Y14" s="2">
        <v>111</v>
      </c>
      <c r="Z14" s="2">
        <v>1546</v>
      </c>
    </row>
    <row r="15" spans="1:26" x14ac:dyDescent="0.3">
      <c r="P15" s="2">
        <v>1990</v>
      </c>
      <c r="Q15" s="2">
        <v>601</v>
      </c>
      <c r="R15" s="2">
        <v>40</v>
      </c>
      <c r="S15" s="2">
        <v>9</v>
      </c>
      <c r="T15" s="2">
        <v>686</v>
      </c>
      <c r="U15" s="2">
        <v>930</v>
      </c>
      <c r="V15" s="2">
        <v>6</v>
      </c>
      <c r="W15" s="2">
        <v>146</v>
      </c>
      <c r="X15" s="2">
        <v>12</v>
      </c>
      <c r="Y15" s="2">
        <v>121</v>
      </c>
      <c r="Z15" s="2">
        <v>1420</v>
      </c>
    </row>
    <row r="16" spans="1:26" x14ac:dyDescent="0.3">
      <c r="I16" s="4" t="s">
        <v>23</v>
      </c>
      <c r="P16" s="7"/>
    </row>
    <row r="17" spans="9:11" x14ac:dyDescent="0.3">
      <c r="I17" s="3" t="s">
        <v>19</v>
      </c>
      <c r="J17" s="3" t="s">
        <v>20</v>
      </c>
      <c r="K17" s="5" t="s">
        <v>21</v>
      </c>
    </row>
    <row r="18" spans="9:11" x14ac:dyDescent="0.3">
      <c r="I18" s="3" t="s">
        <v>26</v>
      </c>
      <c r="J18" s="2"/>
      <c r="K18" s="6"/>
    </row>
    <row r="19" spans="9:11" x14ac:dyDescent="0.3">
      <c r="I19" s="3" t="s">
        <v>22</v>
      </c>
      <c r="J19" s="2"/>
      <c r="K19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23"/>
  <sheetViews>
    <sheetView zoomScale="58" zoomScaleNormal="115" workbookViewId="0">
      <selection activeCell="G24" sqref="G24"/>
    </sheetView>
  </sheetViews>
  <sheetFormatPr defaultRowHeight="14.4" x14ac:dyDescent="0.3"/>
  <cols>
    <col min="1" max="1" width="15.77734375" customWidth="1"/>
    <col min="4" max="4" width="18.5546875" bestFit="1" customWidth="1"/>
    <col min="9" max="9" width="22" bestFit="1" customWidth="1"/>
  </cols>
  <sheetData>
    <row r="1" spans="1:32" x14ac:dyDescent="0.3">
      <c r="M1" s="1" t="s">
        <v>16</v>
      </c>
      <c r="N1" s="1">
        <v>1000</v>
      </c>
    </row>
    <row r="2" spans="1:32" x14ac:dyDescent="0.3">
      <c r="B2" t="s">
        <v>0</v>
      </c>
      <c r="C2" t="s">
        <v>1</v>
      </c>
      <c r="D2" t="s">
        <v>15</v>
      </c>
      <c r="E2" t="s">
        <v>18</v>
      </c>
      <c r="F2" t="s">
        <v>27</v>
      </c>
    </row>
    <row r="3" spans="1:32" x14ac:dyDescent="0.3">
      <c r="A3" t="s">
        <v>2</v>
      </c>
      <c r="B3">
        <v>6</v>
      </c>
    </row>
    <row r="4" spans="1:32" x14ac:dyDescent="0.3">
      <c r="A4" t="s">
        <v>3</v>
      </c>
      <c r="B4">
        <v>120</v>
      </c>
    </row>
    <row r="5" spans="1:32" x14ac:dyDescent="0.3">
      <c r="A5" t="s">
        <v>4</v>
      </c>
      <c r="B5">
        <v>100</v>
      </c>
      <c r="L5" t="s">
        <v>25</v>
      </c>
      <c r="Q5" s="1" t="s">
        <v>13</v>
      </c>
      <c r="R5" s="1">
        <v>35</v>
      </c>
    </row>
    <row r="6" spans="1:32" x14ac:dyDescent="0.3">
      <c r="A6" t="s">
        <v>5</v>
      </c>
      <c r="B6">
        <v>900</v>
      </c>
      <c r="Q6" s="1" t="s">
        <v>14</v>
      </c>
      <c r="R6" s="1">
        <v>15</v>
      </c>
    </row>
    <row r="7" spans="1:32" x14ac:dyDescent="0.3">
      <c r="A7" t="s">
        <v>6</v>
      </c>
      <c r="B7">
        <v>600</v>
      </c>
      <c r="Q7" s="1" t="s">
        <v>17</v>
      </c>
      <c r="R7" s="1">
        <v>10</v>
      </c>
    </row>
    <row r="8" spans="1:32" x14ac:dyDescent="0.3">
      <c r="A8" t="s">
        <v>7</v>
      </c>
      <c r="B8">
        <v>700</v>
      </c>
    </row>
    <row r="9" spans="1:32" x14ac:dyDescent="0.3">
      <c r="A9" t="s">
        <v>8</v>
      </c>
      <c r="B9">
        <v>1500</v>
      </c>
      <c r="Q9" t="s">
        <v>28</v>
      </c>
    </row>
    <row r="10" spans="1:32" x14ac:dyDescent="0.3">
      <c r="A10" t="s">
        <v>9</v>
      </c>
      <c r="B10">
        <v>15</v>
      </c>
      <c r="Q10" t="s">
        <v>29</v>
      </c>
    </row>
    <row r="11" spans="1:32" x14ac:dyDescent="0.3">
      <c r="A11" t="s">
        <v>10</v>
      </c>
      <c r="B11">
        <v>60</v>
      </c>
      <c r="I11" s="4" t="s">
        <v>24</v>
      </c>
    </row>
    <row r="12" spans="1:32" x14ac:dyDescent="0.3">
      <c r="A12" t="s">
        <v>11</v>
      </c>
      <c r="B12">
        <v>12</v>
      </c>
      <c r="I12" s="3" t="s">
        <v>19</v>
      </c>
      <c r="J12" s="3" t="s">
        <v>20</v>
      </c>
      <c r="K12" s="5" t="s">
        <v>21</v>
      </c>
      <c r="Q12" t="s">
        <v>30</v>
      </c>
    </row>
    <row r="13" spans="1:32" x14ac:dyDescent="0.3">
      <c r="I13" s="3" t="s">
        <v>26</v>
      </c>
      <c r="J13" s="2"/>
      <c r="K13" s="6"/>
      <c r="V13" s="2"/>
      <c r="W13" s="2" t="s">
        <v>12</v>
      </c>
      <c r="X13" s="2" t="s">
        <v>3</v>
      </c>
      <c r="Y13" s="2" t="s">
        <v>4</v>
      </c>
      <c r="Z13" s="2" t="s">
        <v>5</v>
      </c>
      <c r="AA13" s="2" t="s">
        <v>6</v>
      </c>
      <c r="AB13" s="2" t="s">
        <v>7</v>
      </c>
      <c r="AC13" s="2" t="s">
        <v>8</v>
      </c>
      <c r="AD13" s="2" t="s">
        <v>9</v>
      </c>
      <c r="AE13" s="2" t="s">
        <v>10</v>
      </c>
      <c r="AF13" s="2" t="s">
        <v>11</v>
      </c>
    </row>
    <row r="14" spans="1:32" x14ac:dyDescent="0.3">
      <c r="I14" s="3" t="s">
        <v>22</v>
      </c>
      <c r="J14" s="2"/>
      <c r="K14" s="6"/>
      <c r="V14" s="2">
        <v>1981</v>
      </c>
      <c r="W14" s="2">
        <v>600</v>
      </c>
      <c r="X14" s="2">
        <v>60</v>
      </c>
      <c r="Y14" s="2">
        <v>11</v>
      </c>
      <c r="Z14" s="2">
        <v>722</v>
      </c>
      <c r="AA14" s="2">
        <v>908</v>
      </c>
      <c r="AB14" s="2">
        <v>14</v>
      </c>
      <c r="AC14" s="2">
        <v>143</v>
      </c>
      <c r="AD14" s="2">
        <v>16</v>
      </c>
      <c r="AE14" s="2">
        <v>110</v>
      </c>
      <c r="AF14" s="2">
        <v>1499</v>
      </c>
    </row>
    <row r="15" spans="1:32" x14ac:dyDescent="0.3">
      <c r="V15" s="2">
        <v>1982</v>
      </c>
      <c r="W15" s="2">
        <v>650</v>
      </c>
      <c r="X15" s="2">
        <v>65</v>
      </c>
      <c r="Y15" s="2">
        <v>6</v>
      </c>
      <c r="Z15" s="2">
        <v>699</v>
      </c>
      <c r="AA15" s="2">
        <v>880</v>
      </c>
      <c r="AB15" s="2">
        <v>12</v>
      </c>
      <c r="AC15" s="2">
        <v>143</v>
      </c>
      <c r="AD15" s="2">
        <v>14</v>
      </c>
      <c r="AE15" s="2">
        <v>111</v>
      </c>
      <c r="AF15" s="2">
        <v>1531</v>
      </c>
    </row>
    <row r="16" spans="1:32" x14ac:dyDescent="0.3">
      <c r="V16" s="2">
        <v>1983</v>
      </c>
      <c r="W16" s="2">
        <v>629</v>
      </c>
      <c r="X16" s="2">
        <v>62</v>
      </c>
      <c r="Y16" s="2">
        <v>8</v>
      </c>
      <c r="Z16" s="2">
        <v>703</v>
      </c>
      <c r="AA16" s="2">
        <v>925</v>
      </c>
      <c r="AB16" s="2">
        <v>11</v>
      </c>
      <c r="AC16" s="2">
        <v>154</v>
      </c>
      <c r="AD16" s="2">
        <v>15</v>
      </c>
      <c r="AE16" s="2">
        <v>114</v>
      </c>
      <c r="AF16" s="2">
        <v>1466</v>
      </c>
    </row>
    <row r="17" spans="22:32" x14ac:dyDescent="0.3">
      <c r="V17" s="2">
        <v>1984</v>
      </c>
      <c r="W17" s="2">
        <v>200</v>
      </c>
      <c r="X17" s="2">
        <v>20</v>
      </c>
      <c r="Y17" s="2">
        <v>8</v>
      </c>
      <c r="Z17" s="2">
        <v>672</v>
      </c>
      <c r="AA17" s="2">
        <v>891</v>
      </c>
      <c r="AB17" s="2">
        <v>11</v>
      </c>
      <c r="AC17" s="2">
        <v>157</v>
      </c>
      <c r="AD17" s="2">
        <v>15</v>
      </c>
      <c r="AE17" s="2">
        <v>117</v>
      </c>
      <c r="AF17" s="2">
        <v>1452</v>
      </c>
    </row>
    <row r="18" spans="22:32" x14ac:dyDescent="0.3">
      <c r="V18" s="2">
        <v>1985</v>
      </c>
      <c r="W18" s="2">
        <v>599</v>
      </c>
      <c r="X18" s="2">
        <v>60</v>
      </c>
      <c r="Y18" s="2">
        <v>7</v>
      </c>
      <c r="Z18" s="2">
        <v>688</v>
      </c>
      <c r="AA18" s="2">
        <v>929</v>
      </c>
      <c r="AB18" s="2">
        <v>7</v>
      </c>
      <c r="AC18" s="2">
        <v>144</v>
      </c>
      <c r="AD18" s="2">
        <v>12</v>
      </c>
      <c r="AE18" s="2">
        <v>118</v>
      </c>
      <c r="AF18" s="2">
        <v>1414</v>
      </c>
    </row>
    <row r="19" spans="22:32" x14ac:dyDescent="0.3">
      <c r="V19" s="2">
        <v>1986</v>
      </c>
      <c r="W19" s="2">
        <v>602</v>
      </c>
      <c r="X19" s="2">
        <v>61</v>
      </c>
      <c r="Y19" s="2">
        <v>11</v>
      </c>
      <c r="Z19" s="2">
        <v>685</v>
      </c>
      <c r="AA19" s="2">
        <v>887</v>
      </c>
      <c r="AB19" s="2">
        <v>13</v>
      </c>
      <c r="AC19" s="2">
        <v>159</v>
      </c>
      <c r="AD19" s="2">
        <v>12</v>
      </c>
      <c r="AE19" s="2">
        <v>117</v>
      </c>
      <c r="AF19" s="2">
        <v>1540</v>
      </c>
    </row>
    <row r="20" spans="22:32" x14ac:dyDescent="0.3">
      <c r="V20" s="2">
        <v>1987</v>
      </c>
      <c r="W20" s="2">
        <v>575</v>
      </c>
      <c r="X20" s="2">
        <v>55</v>
      </c>
      <c r="Y20" s="2">
        <v>2</v>
      </c>
      <c r="Z20" s="2">
        <v>671</v>
      </c>
      <c r="AA20" s="2">
        <v>931</v>
      </c>
      <c r="AB20" s="2">
        <v>6</v>
      </c>
      <c r="AC20" s="2">
        <v>144</v>
      </c>
      <c r="AD20" s="2">
        <v>16</v>
      </c>
      <c r="AE20" s="2">
        <v>117</v>
      </c>
      <c r="AF20" s="2">
        <v>1400</v>
      </c>
    </row>
    <row r="21" spans="22:32" x14ac:dyDescent="0.3">
      <c r="V21" s="2">
        <v>1988</v>
      </c>
      <c r="W21" s="2">
        <v>600</v>
      </c>
      <c r="X21" s="2">
        <v>50</v>
      </c>
      <c r="Y21" s="2">
        <v>12</v>
      </c>
      <c r="Z21" s="2">
        <v>697</v>
      </c>
      <c r="AA21" s="2">
        <v>923</v>
      </c>
      <c r="AB21" s="2">
        <v>16</v>
      </c>
      <c r="AC21" s="2">
        <v>153</v>
      </c>
      <c r="AD21" s="2">
        <v>13</v>
      </c>
      <c r="AE21" s="2">
        <v>115</v>
      </c>
      <c r="AF21" s="2">
        <v>1404</v>
      </c>
    </row>
    <row r="22" spans="22:32" x14ac:dyDescent="0.3">
      <c r="V22" s="2">
        <v>1989</v>
      </c>
      <c r="W22" s="2">
        <v>660</v>
      </c>
      <c r="X22" s="2">
        <v>66</v>
      </c>
      <c r="Y22" s="2">
        <v>10</v>
      </c>
      <c r="Z22" s="2">
        <v>678</v>
      </c>
      <c r="AA22" s="2">
        <v>896</v>
      </c>
      <c r="AB22" s="2">
        <v>9</v>
      </c>
      <c r="AC22" s="2">
        <v>164</v>
      </c>
      <c r="AD22" s="2">
        <v>16</v>
      </c>
      <c r="AE22" s="2">
        <v>111</v>
      </c>
      <c r="AF22" s="2">
        <v>1546</v>
      </c>
    </row>
    <row r="23" spans="22:32" x14ac:dyDescent="0.3">
      <c r="V23" s="2">
        <v>1990</v>
      </c>
      <c r="W23" s="2">
        <v>601</v>
      </c>
      <c r="X23" s="2">
        <v>40</v>
      </c>
      <c r="Y23" s="2">
        <v>9</v>
      </c>
      <c r="Z23" s="2">
        <v>686</v>
      </c>
      <c r="AA23" s="2">
        <v>930</v>
      </c>
      <c r="AB23" s="2">
        <v>6</v>
      </c>
      <c r="AC23" s="2">
        <v>146</v>
      </c>
      <c r="AD23" s="2">
        <v>12</v>
      </c>
      <c r="AE23" s="2">
        <v>121</v>
      </c>
      <c r="AF23" s="2">
        <v>1420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D97CDCE-3519-4092-BD88-D90108F3861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 1</vt:lpstr>
      <vt:lpstr>movining average</vt:lpstr>
      <vt:lpstr>exponential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2025-11-08T12:33:08Z</dcterms:modified>
</cp:coreProperties>
</file>