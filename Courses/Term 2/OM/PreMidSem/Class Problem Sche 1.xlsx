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23ADCBF6-0E13-4726-B250-096ED95B09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dgson Algorithm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3" i="4" l="1"/>
  <c r="N81" i="4"/>
  <c r="N82" i="4"/>
  <c r="I85" i="4"/>
  <c r="H85" i="4"/>
  <c r="G85" i="4"/>
  <c r="F85" i="4"/>
  <c r="E85" i="4"/>
  <c r="D85" i="4"/>
  <c r="J83" i="4"/>
  <c r="N84" i="4" s="1"/>
  <c r="H69" i="4"/>
  <c r="G69" i="4"/>
  <c r="F69" i="4"/>
  <c r="E69" i="4"/>
  <c r="H51" i="4"/>
  <c r="I51" i="4"/>
  <c r="G51" i="4"/>
  <c r="F51" i="4"/>
  <c r="E51" i="4"/>
  <c r="H34" i="4"/>
  <c r="G34" i="4"/>
  <c r="J34" i="4"/>
  <c r="F34" i="4"/>
  <c r="I32" i="4"/>
  <c r="I34" i="4" s="1"/>
  <c r="E32" i="4"/>
  <c r="E34" i="4" s="1"/>
  <c r="K19" i="4"/>
  <c r="I19" i="4"/>
  <c r="H19" i="4"/>
  <c r="G19" i="4"/>
  <c r="F19" i="4"/>
  <c r="E19" i="4"/>
  <c r="J17" i="4"/>
  <c r="J19" i="4" s="1"/>
  <c r="J85" i="4" l="1"/>
  <c r="N85" i="4" l="1"/>
</calcChain>
</file>

<file path=xl/sharedStrings.xml><?xml version="1.0" encoding="utf-8"?>
<sst xmlns="http://schemas.openxmlformats.org/spreadsheetml/2006/main" count="84" uniqueCount="47">
  <si>
    <t>Duration / Processing time</t>
  </si>
  <si>
    <t>EDD Rule</t>
  </si>
  <si>
    <t>Step 2</t>
  </si>
  <si>
    <t>Completion Time</t>
  </si>
  <si>
    <t>Due Date</t>
  </si>
  <si>
    <t>Step 3</t>
  </si>
  <si>
    <t>Now merge E and L to get the complete sequence</t>
  </si>
  <si>
    <t>Step 1</t>
  </si>
  <si>
    <t>Job</t>
  </si>
  <si>
    <t xml:space="preserve">Project ID/Job </t>
  </si>
  <si>
    <t>Dude Date</t>
  </si>
  <si>
    <t>SPT</t>
  </si>
  <si>
    <t>Lateness/Tardiness</t>
  </si>
  <si>
    <t>Makespan</t>
  </si>
  <si>
    <t>Max Tardiness</t>
  </si>
  <si>
    <t>Number of Late Jobs</t>
  </si>
  <si>
    <t>Total Tardiness</t>
  </si>
  <si>
    <t>LPT</t>
  </si>
  <si>
    <t>Proce Time</t>
  </si>
  <si>
    <t>EDD</t>
  </si>
  <si>
    <t>EDD Sequence</t>
  </si>
  <si>
    <t>Define two sets (Early and Late Job)</t>
  </si>
  <si>
    <t>1-4-7-6-3-5-2</t>
  </si>
  <si>
    <t>(empty)</t>
  </si>
  <si>
    <t>Tardy(1) &amp; No Tardy (0)</t>
  </si>
  <si>
    <t>Find out the Tardy Job using EDD Rule</t>
  </si>
  <si>
    <t xml:space="preserve">There are five tardy jobs. The first tardy job is 7, which is in the third position of the SetEarlie sequence </t>
  </si>
  <si>
    <t>Set Early - E</t>
  </si>
  <si>
    <t>Set Late - L</t>
  </si>
  <si>
    <t>The job with the longest processing time among the first three jobs is 7. Now remove job 7 from the set E and append it to the set Late L</t>
  </si>
  <si>
    <t>(1-4-7-6-3-5-2)</t>
  </si>
  <si>
    <t>(1-4-6-3-5-2)</t>
  </si>
  <si>
    <t>Now Revice the completion Time of the Jobs remaining in E</t>
  </si>
  <si>
    <t xml:space="preserve">There are three tardy jobs. The first tardy job is 3, which is in the fourth position of the SetEarlie sequence </t>
  </si>
  <si>
    <t>The job with the longest processing time among the first four jobs is 6. Now remove job 6 from the set E and append it to the set Late L</t>
  </si>
  <si>
    <t>(1-4-3-5-2)</t>
  </si>
  <si>
    <t>(7-6)</t>
  </si>
  <si>
    <t xml:space="preserve">There are two tardy jobs. The first tardy job is 5, which is in the fourth position of the SetEarlie sequence </t>
  </si>
  <si>
    <t>The job with the longest processing time among the first four jobs is 5. Now remove job 5 from the set E and append it to the set Late L</t>
  </si>
  <si>
    <t>(1-4-3-2)</t>
  </si>
  <si>
    <t>(7-6-5)</t>
  </si>
  <si>
    <t>From the table all the jobs are non-tardy. Hence we reached the optimal sequence in SetEarly</t>
  </si>
  <si>
    <t>Final Sequecne</t>
  </si>
  <si>
    <t>(1-4-3-2-7-6-5)</t>
  </si>
  <si>
    <t>FCFS</t>
  </si>
  <si>
    <t>Hodgson Algo</t>
  </si>
  <si>
    <t>Mean Flow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</si>
</sst>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'Hodgson Algorithm'!$D$95</c:f>
              <c:strCache>
                <c:ptCount val="1"/>
                <c:pt idx="0">
                  <c:v>SPT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'Hodgson Algorithm'!$E$94:$I$94</c:f>
              <c:strCache>
                <c:ptCount val="5"/>
                <c:pt idx="0">
                  <c:v>Makespan</c:v>
                </c:pt>
                <c:pt idx="1">
                  <c:v>Max Tardiness</c:v>
                </c:pt>
                <c:pt idx="2">
                  <c:v>Number of Late Jobs</c:v>
                </c:pt>
                <c:pt idx="3">
                  <c:v>Mean Flow Time</c:v>
                </c:pt>
                <c:pt idx="4">
                  <c:v>Total Tardiness</c:v>
                </c:pt>
              </c:strCache>
            </c:strRef>
          </c:cat>
          <c:val>
            <c:numRef>
              <c:f>'Hodgson Algorithm'!$E$95:$I$95</c:f>
              <c:numCache>
                <c:formatCode>General</c:formatCode>
                <c:ptCount val="5"/>
                <c:pt idx="0">
                  <c:v>56</c:v>
                </c:pt>
                <c:pt idx="1">
                  <c:v>32</c:v>
                </c:pt>
                <c:pt idx="2">
                  <c:v>4</c:v>
                </c:pt>
                <c:pt idx="3">
                  <c:v>24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B-468C-89C7-9009D55F8D45}"/>
            </c:ext>
          </c:extLst>
        </c:ser>
        <c:ser>
          <c:idx val="1"/>
          <c:order val="1"/>
          <c:tx>
            <c:strRef>
              <c:f>'Hodgson Algorithm'!$D$96</c:f>
              <c:strCache>
                <c:ptCount val="1"/>
                <c:pt idx="0">
                  <c:v>LPT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'Hodgson Algorithm'!$E$94:$I$94</c:f>
              <c:strCache>
                <c:ptCount val="5"/>
                <c:pt idx="0">
                  <c:v>Makespan</c:v>
                </c:pt>
                <c:pt idx="1">
                  <c:v>Max Tardiness</c:v>
                </c:pt>
                <c:pt idx="2">
                  <c:v>Number of Late Jobs</c:v>
                </c:pt>
                <c:pt idx="3">
                  <c:v>Mean Flow Time</c:v>
                </c:pt>
                <c:pt idx="4">
                  <c:v>Total Tardiness</c:v>
                </c:pt>
              </c:strCache>
            </c:strRef>
          </c:cat>
          <c:val>
            <c:numRef>
              <c:f>'Hodgson Algorithm'!$E$96:$I$96</c:f>
              <c:numCache>
                <c:formatCode>General</c:formatCode>
                <c:ptCount val="5"/>
                <c:pt idx="0">
                  <c:v>56</c:v>
                </c:pt>
                <c:pt idx="1">
                  <c:v>50</c:v>
                </c:pt>
                <c:pt idx="2">
                  <c:v>6</c:v>
                </c:pt>
                <c:pt idx="3">
                  <c:v>40</c:v>
                </c:pt>
                <c:pt idx="4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B-468C-89C7-9009D55F8D45}"/>
            </c:ext>
          </c:extLst>
        </c:ser>
        <c:ser>
          <c:idx val="2"/>
          <c:order val="2"/>
          <c:tx>
            <c:strRef>
              <c:f>'Hodgson Algorithm'!$D$97</c:f>
              <c:strCache>
                <c:ptCount val="1"/>
                <c:pt idx="0">
                  <c:v>EDD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'Hodgson Algorithm'!$E$94:$I$94</c:f>
              <c:strCache>
                <c:ptCount val="5"/>
                <c:pt idx="0">
                  <c:v>Makespan</c:v>
                </c:pt>
                <c:pt idx="1">
                  <c:v>Max Tardiness</c:v>
                </c:pt>
                <c:pt idx="2">
                  <c:v>Number of Late Jobs</c:v>
                </c:pt>
                <c:pt idx="3">
                  <c:v>Mean Flow Time</c:v>
                </c:pt>
                <c:pt idx="4">
                  <c:v>Total Tardiness</c:v>
                </c:pt>
              </c:strCache>
            </c:strRef>
          </c:cat>
          <c:val>
            <c:numRef>
              <c:f>'Hodgson Algorithm'!$E$97:$I$97</c:f>
              <c:numCache>
                <c:formatCode>General</c:formatCode>
                <c:ptCount val="5"/>
                <c:pt idx="0">
                  <c:v>56</c:v>
                </c:pt>
                <c:pt idx="1">
                  <c:v>26</c:v>
                </c:pt>
                <c:pt idx="2">
                  <c:v>5</c:v>
                </c:pt>
                <c:pt idx="3">
                  <c:v>27.714285714285715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2B-468C-89C7-9009D55F8D45}"/>
            </c:ext>
          </c:extLst>
        </c:ser>
        <c:ser>
          <c:idx val="3"/>
          <c:order val="3"/>
          <c:tx>
            <c:strRef>
              <c:f>'Hodgson Algorithm'!$D$98</c:f>
              <c:strCache>
                <c:ptCount val="1"/>
                <c:pt idx="0">
                  <c:v>FCFS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50000"/>
                    <a:satMod val="300000"/>
                  </a:schemeClr>
                </a:gs>
                <a:gs pos="35000">
                  <a:schemeClr val="accent4">
                    <a:tint val="37000"/>
                    <a:satMod val="300000"/>
                  </a:schemeClr>
                </a:gs>
                <a:gs pos="100000">
                  <a:schemeClr val="accent4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'Hodgson Algorithm'!$E$94:$I$94</c:f>
              <c:strCache>
                <c:ptCount val="5"/>
                <c:pt idx="0">
                  <c:v>Makespan</c:v>
                </c:pt>
                <c:pt idx="1">
                  <c:v>Max Tardiness</c:v>
                </c:pt>
                <c:pt idx="2">
                  <c:v>Number of Late Jobs</c:v>
                </c:pt>
                <c:pt idx="3">
                  <c:v>Mean Flow Time</c:v>
                </c:pt>
                <c:pt idx="4">
                  <c:v>Total Tardiness</c:v>
                </c:pt>
              </c:strCache>
            </c:strRef>
          </c:cat>
          <c:val>
            <c:numRef>
              <c:f>'Hodgson Algorithm'!$E$98:$I$98</c:f>
              <c:numCache>
                <c:formatCode>General</c:formatCode>
                <c:ptCount val="5"/>
                <c:pt idx="0">
                  <c:v>56</c:v>
                </c:pt>
                <c:pt idx="1">
                  <c:v>44</c:v>
                </c:pt>
                <c:pt idx="2">
                  <c:v>4</c:v>
                </c:pt>
                <c:pt idx="3">
                  <c:v>26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2B-468C-89C7-9009D55F8D45}"/>
            </c:ext>
          </c:extLst>
        </c:ser>
        <c:ser>
          <c:idx val="4"/>
          <c:order val="4"/>
          <c:tx>
            <c:strRef>
              <c:f>'Hodgson Algorithm'!$D$99</c:f>
              <c:strCache>
                <c:ptCount val="1"/>
                <c:pt idx="0">
                  <c:v>Hodgson Algo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'Hodgson Algorithm'!$E$94:$I$94</c:f>
              <c:strCache>
                <c:ptCount val="5"/>
                <c:pt idx="0">
                  <c:v>Makespan</c:v>
                </c:pt>
                <c:pt idx="1">
                  <c:v>Max Tardiness</c:v>
                </c:pt>
                <c:pt idx="2">
                  <c:v>Number of Late Jobs</c:v>
                </c:pt>
                <c:pt idx="3">
                  <c:v>Mean Flow Time</c:v>
                </c:pt>
                <c:pt idx="4">
                  <c:v>Total Tardiness</c:v>
                </c:pt>
              </c:strCache>
            </c:strRef>
          </c:cat>
          <c:val>
            <c:numRef>
              <c:f>'Hodgson Algorithm'!$E$99:$I$99</c:f>
              <c:numCache>
                <c:formatCode>General</c:formatCode>
                <c:ptCount val="5"/>
                <c:pt idx="0">
                  <c:v>56</c:v>
                </c:pt>
                <c:pt idx="1">
                  <c:v>32</c:v>
                </c:pt>
                <c:pt idx="2">
                  <c:v>3</c:v>
                </c:pt>
                <c:pt idx="3">
                  <c:v>24.285714285714285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2B-468C-89C7-9009D55F8D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60812632"/>
        <c:axId val="360813024"/>
      </c:barChart>
      <c:catAx>
        <c:axId val="36081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13024"/>
        <c:crosses val="autoZero"/>
        <c:auto val="1"/>
        <c:lblAlgn val="ctr"/>
        <c:lblOffset val="100"/>
        <c:noMultiLvlLbl val="0"/>
      </c:catAx>
      <c:valAx>
        <c:axId val="36081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1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1447799</xdr:colOff>
      <xdr:row>102</xdr:row>
      <xdr:rowOff>80962</xdr:rowOff>
    </xdr:from>
    <xdr:to>
      <xdr:col>14</xdr:col>
      <xdr:colOff>266699</xdr:colOff>
      <xdr:row>120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"/>
  <sheetViews>
    <sheetView tabSelected="1" topLeftCell="B1" zoomScale="115" zoomScaleNormal="115" workbookViewId="0">
      <selection activeCell="N85" sqref="N85"/>
    </sheetView>
  </sheetViews>
  <sheetFormatPr defaultRowHeight="14.4" x14ac:dyDescent="0.3"/>
  <cols>
    <col min="3" max="3" width="34.88671875" bestFit="1" customWidth="1"/>
    <col min="4" max="4" width="21.6640625" bestFit="1" customWidth="1"/>
    <col min="13" max="13" width="19.33203125" bestFit="1" customWidth="1"/>
  </cols>
  <sheetData>
    <row r="1" spans="1:11" x14ac:dyDescent="0.3">
      <c r="D1" s="1" t="s">
        <v>9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</row>
    <row r="2" spans="1:11" x14ac:dyDescent="0.3">
      <c r="D2" s="2" t="s">
        <v>0</v>
      </c>
      <c r="E2">
        <v>2</v>
      </c>
      <c r="F2">
        <v>6</v>
      </c>
      <c r="G2">
        <v>8</v>
      </c>
      <c r="H2">
        <v>4</v>
      </c>
      <c r="I2">
        <v>14</v>
      </c>
      <c r="J2">
        <v>12</v>
      </c>
      <c r="K2">
        <v>10</v>
      </c>
    </row>
    <row r="3" spans="1:11" x14ac:dyDescent="0.3">
      <c r="D3" s="1" t="s">
        <v>10</v>
      </c>
      <c r="E3">
        <v>6</v>
      </c>
      <c r="F3">
        <v>30</v>
      </c>
      <c r="G3">
        <v>19</v>
      </c>
      <c r="H3">
        <v>12</v>
      </c>
      <c r="I3">
        <v>24</v>
      </c>
      <c r="J3">
        <v>18</v>
      </c>
      <c r="K3">
        <v>12</v>
      </c>
    </row>
    <row r="5" spans="1:11" x14ac:dyDescent="0.3">
      <c r="A5" s="3" t="s">
        <v>7</v>
      </c>
      <c r="C5" t="s">
        <v>1</v>
      </c>
    </row>
    <row r="7" spans="1:11" x14ac:dyDescent="0.3">
      <c r="C7" t="s">
        <v>20</v>
      </c>
      <c r="D7" t="s">
        <v>22</v>
      </c>
    </row>
    <row r="9" spans="1:11" x14ac:dyDescent="0.3">
      <c r="C9" t="s">
        <v>21</v>
      </c>
    </row>
    <row r="11" spans="1:11" x14ac:dyDescent="0.3">
      <c r="D11" t="s">
        <v>27</v>
      </c>
      <c r="E11" t="s">
        <v>30</v>
      </c>
    </row>
    <row r="12" spans="1:11" x14ac:dyDescent="0.3">
      <c r="D12" t="s">
        <v>28</v>
      </c>
      <c r="E12" t="s">
        <v>23</v>
      </c>
    </row>
    <row r="14" spans="1:11" x14ac:dyDescent="0.3">
      <c r="A14" s="3" t="s">
        <v>2</v>
      </c>
      <c r="C14" t="s">
        <v>25</v>
      </c>
    </row>
    <row r="15" spans="1:11" x14ac:dyDescent="0.3">
      <c r="D15" t="s">
        <v>8</v>
      </c>
      <c r="E15">
        <v>1</v>
      </c>
      <c r="F15">
        <v>4</v>
      </c>
      <c r="G15">
        <v>7</v>
      </c>
      <c r="H15">
        <v>6</v>
      </c>
      <c r="I15">
        <v>3</v>
      </c>
      <c r="J15">
        <v>5</v>
      </c>
      <c r="K15">
        <v>2</v>
      </c>
    </row>
    <row r="16" spans="1:11" x14ac:dyDescent="0.3">
      <c r="D16" t="s">
        <v>18</v>
      </c>
      <c r="E16">
        <v>2</v>
      </c>
      <c r="F16">
        <v>4</v>
      </c>
      <c r="G16">
        <v>10</v>
      </c>
      <c r="H16">
        <v>12</v>
      </c>
      <c r="I16">
        <v>8</v>
      </c>
      <c r="J16">
        <v>14</v>
      </c>
      <c r="K16">
        <v>6</v>
      </c>
    </row>
    <row r="17" spans="1:11" x14ac:dyDescent="0.3">
      <c r="D17" t="s">
        <v>3</v>
      </c>
      <c r="E17">
        <v>2</v>
      </c>
      <c r="F17">
        <v>6</v>
      </c>
      <c r="G17">
        <v>16</v>
      </c>
      <c r="H17">
        <v>28</v>
      </c>
      <c r="I17">
        <v>36</v>
      </c>
      <c r="J17">
        <f>I17+J16</f>
        <v>50</v>
      </c>
      <c r="K17">
        <v>56</v>
      </c>
    </row>
    <row r="18" spans="1:11" x14ac:dyDescent="0.3">
      <c r="D18" t="s">
        <v>4</v>
      </c>
      <c r="E18">
        <v>6</v>
      </c>
      <c r="F18">
        <v>12</v>
      </c>
      <c r="G18">
        <v>12</v>
      </c>
      <c r="H18">
        <v>18</v>
      </c>
      <c r="I18">
        <v>19</v>
      </c>
      <c r="J18">
        <v>24</v>
      </c>
      <c r="K18">
        <v>30</v>
      </c>
    </row>
    <row r="19" spans="1:11" x14ac:dyDescent="0.3">
      <c r="D19" t="s">
        <v>12</v>
      </c>
      <c r="E19">
        <f>E17-E18</f>
        <v>-4</v>
      </c>
      <c r="F19">
        <f t="shared" ref="F19:I19" si="0">F17-F18</f>
        <v>-6</v>
      </c>
      <c r="G19">
        <f t="shared" si="0"/>
        <v>4</v>
      </c>
      <c r="H19">
        <f t="shared" si="0"/>
        <v>10</v>
      </c>
      <c r="I19">
        <f t="shared" si="0"/>
        <v>17</v>
      </c>
      <c r="J19">
        <f>J17-J18</f>
        <v>26</v>
      </c>
      <c r="K19">
        <f>K17-K18</f>
        <v>26</v>
      </c>
    </row>
    <row r="20" spans="1:11" x14ac:dyDescent="0.3">
      <c r="D20" t="s">
        <v>24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</row>
    <row r="22" spans="1:11" x14ac:dyDescent="0.3">
      <c r="A22" s="3" t="s">
        <v>5</v>
      </c>
      <c r="D22" t="s">
        <v>26</v>
      </c>
    </row>
    <row r="23" spans="1:11" x14ac:dyDescent="0.3">
      <c r="D23" t="s">
        <v>29</v>
      </c>
    </row>
    <row r="25" spans="1:11" x14ac:dyDescent="0.3">
      <c r="D25" t="s">
        <v>27</v>
      </c>
      <c r="E25" t="s">
        <v>31</v>
      </c>
    </row>
    <row r="26" spans="1:11" x14ac:dyDescent="0.3">
      <c r="D26" t="s">
        <v>28</v>
      </c>
      <c r="E26">
        <v>7</v>
      </c>
    </row>
    <row r="28" spans="1:11" x14ac:dyDescent="0.3">
      <c r="C28" t="s">
        <v>32</v>
      </c>
    </row>
    <row r="30" spans="1:11" x14ac:dyDescent="0.3">
      <c r="D30" t="s">
        <v>8</v>
      </c>
      <c r="E30">
        <v>1</v>
      </c>
      <c r="F30">
        <v>4</v>
      </c>
      <c r="G30">
        <v>6</v>
      </c>
      <c r="H30">
        <v>3</v>
      </c>
      <c r="I30">
        <v>5</v>
      </c>
      <c r="J30">
        <v>2</v>
      </c>
    </row>
    <row r="31" spans="1:11" x14ac:dyDescent="0.3">
      <c r="D31" t="s">
        <v>18</v>
      </c>
      <c r="E31">
        <v>2</v>
      </c>
      <c r="F31">
        <v>4</v>
      </c>
      <c r="G31">
        <v>12</v>
      </c>
      <c r="H31">
        <v>8</v>
      </c>
      <c r="I31">
        <v>14</v>
      </c>
      <c r="J31">
        <v>6</v>
      </c>
    </row>
    <row r="32" spans="1:11" x14ac:dyDescent="0.3">
      <c r="D32" t="s">
        <v>3</v>
      </c>
      <c r="E32">
        <f>E31</f>
        <v>2</v>
      </c>
      <c r="F32">
        <v>6</v>
      </c>
      <c r="G32">
        <v>18</v>
      </c>
      <c r="H32">
        <v>26</v>
      </c>
      <c r="I32">
        <f>H32+I31</f>
        <v>40</v>
      </c>
      <c r="J32">
        <v>46</v>
      </c>
    </row>
    <row r="33" spans="3:10" x14ac:dyDescent="0.3">
      <c r="D33" t="s">
        <v>4</v>
      </c>
      <c r="E33">
        <v>6</v>
      </c>
      <c r="F33">
        <v>12</v>
      </c>
      <c r="G33">
        <v>18</v>
      </c>
      <c r="H33">
        <v>19</v>
      </c>
      <c r="I33">
        <v>24</v>
      </c>
      <c r="J33">
        <v>30</v>
      </c>
    </row>
    <row r="34" spans="3:10" x14ac:dyDescent="0.3">
      <c r="D34" t="s">
        <v>12</v>
      </c>
      <c r="E34">
        <f>E32-E33</f>
        <v>-4</v>
      </c>
      <c r="F34">
        <f>F32-F33</f>
        <v>-6</v>
      </c>
      <c r="G34">
        <f t="shared" ref="G34:J34" si="1">G32-G33</f>
        <v>0</v>
      </c>
      <c r="H34">
        <f>H32-H33</f>
        <v>7</v>
      </c>
      <c r="I34">
        <f>I32-I33</f>
        <v>16</v>
      </c>
      <c r="J34">
        <f t="shared" si="1"/>
        <v>16</v>
      </c>
    </row>
    <row r="35" spans="3:10" x14ac:dyDescent="0.3">
      <c r="D35" t="s">
        <v>24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</row>
    <row r="38" spans="3:10" x14ac:dyDescent="0.3">
      <c r="D38" t="s">
        <v>33</v>
      </c>
    </row>
    <row r="39" spans="3:10" x14ac:dyDescent="0.3">
      <c r="D39" t="s">
        <v>34</v>
      </c>
    </row>
    <row r="41" spans="3:10" x14ac:dyDescent="0.3">
      <c r="D41" t="s">
        <v>27</v>
      </c>
      <c r="E41" t="s">
        <v>35</v>
      </c>
    </row>
    <row r="42" spans="3:10" x14ac:dyDescent="0.3">
      <c r="D42" t="s">
        <v>28</v>
      </c>
      <c r="E42" t="s">
        <v>36</v>
      </c>
    </row>
    <row r="45" spans="3:10" x14ac:dyDescent="0.3">
      <c r="C45" t="s">
        <v>32</v>
      </c>
    </row>
    <row r="47" spans="3:10" x14ac:dyDescent="0.3">
      <c r="D47" t="s">
        <v>8</v>
      </c>
      <c r="E47">
        <v>1</v>
      </c>
      <c r="F47">
        <v>4</v>
      </c>
      <c r="G47">
        <v>3</v>
      </c>
      <c r="H47">
        <v>5</v>
      </c>
      <c r="I47">
        <v>2</v>
      </c>
    </row>
    <row r="48" spans="3:10" x14ac:dyDescent="0.3">
      <c r="D48" t="s">
        <v>18</v>
      </c>
      <c r="E48">
        <v>2</v>
      </c>
      <c r="F48">
        <v>4</v>
      </c>
      <c r="G48">
        <v>8</v>
      </c>
      <c r="H48">
        <v>14</v>
      </c>
      <c r="I48">
        <v>6</v>
      </c>
    </row>
    <row r="49" spans="3:9" x14ac:dyDescent="0.3">
      <c r="D49" t="s">
        <v>3</v>
      </c>
      <c r="E49">
        <v>2</v>
      </c>
      <c r="F49">
        <v>6</v>
      </c>
      <c r="G49">
        <v>14</v>
      </c>
      <c r="H49">
        <v>28</v>
      </c>
      <c r="I49">
        <v>34</v>
      </c>
    </row>
    <row r="50" spans="3:9" x14ac:dyDescent="0.3">
      <c r="D50" t="s">
        <v>4</v>
      </c>
      <c r="E50">
        <v>6</v>
      </c>
      <c r="F50">
        <v>12</v>
      </c>
      <c r="G50">
        <v>19</v>
      </c>
      <c r="H50">
        <v>24</v>
      </c>
      <c r="I50">
        <v>30</v>
      </c>
    </row>
    <row r="51" spans="3:9" x14ac:dyDescent="0.3">
      <c r="D51" t="s">
        <v>12</v>
      </c>
      <c r="E51">
        <f>E49-E50</f>
        <v>-4</v>
      </c>
      <c r="F51">
        <f>F49-F50</f>
        <v>-6</v>
      </c>
      <c r="G51">
        <f>G49-G50</f>
        <v>-5</v>
      </c>
      <c r="H51">
        <f>H49-H50</f>
        <v>4</v>
      </c>
      <c r="I51">
        <f>I49-I50</f>
        <v>4</v>
      </c>
    </row>
    <row r="52" spans="3:9" x14ac:dyDescent="0.3">
      <c r="D52" t="s">
        <v>24</v>
      </c>
      <c r="E52">
        <v>0</v>
      </c>
      <c r="F52">
        <v>0</v>
      </c>
      <c r="G52">
        <v>0</v>
      </c>
      <c r="H52">
        <v>1</v>
      </c>
      <c r="I52">
        <v>1</v>
      </c>
    </row>
    <row r="55" spans="3:9" x14ac:dyDescent="0.3">
      <c r="D55" t="s">
        <v>37</v>
      </c>
    </row>
    <row r="56" spans="3:9" x14ac:dyDescent="0.3">
      <c r="D56" t="s">
        <v>38</v>
      </c>
    </row>
    <row r="58" spans="3:9" x14ac:dyDescent="0.3">
      <c r="D58" t="s">
        <v>27</v>
      </c>
      <c r="E58" t="s">
        <v>39</v>
      </c>
    </row>
    <row r="59" spans="3:9" x14ac:dyDescent="0.3">
      <c r="D59" t="s">
        <v>28</v>
      </c>
      <c r="E59" t="s">
        <v>40</v>
      </c>
    </row>
    <row r="63" spans="3:9" x14ac:dyDescent="0.3">
      <c r="C63" t="s">
        <v>32</v>
      </c>
    </row>
    <row r="65" spans="4:8" x14ac:dyDescent="0.3">
      <c r="D65" t="s">
        <v>8</v>
      </c>
      <c r="E65">
        <v>1</v>
      </c>
      <c r="F65">
        <v>4</v>
      </c>
      <c r="G65">
        <v>3</v>
      </c>
      <c r="H65">
        <v>2</v>
      </c>
    </row>
    <row r="66" spans="4:8" x14ac:dyDescent="0.3">
      <c r="D66" t="s">
        <v>18</v>
      </c>
      <c r="E66">
        <v>2</v>
      </c>
      <c r="F66">
        <v>4</v>
      </c>
      <c r="G66">
        <v>8</v>
      </c>
      <c r="H66">
        <v>6</v>
      </c>
    </row>
    <row r="67" spans="4:8" x14ac:dyDescent="0.3">
      <c r="D67" t="s">
        <v>3</v>
      </c>
      <c r="E67">
        <v>2</v>
      </c>
      <c r="F67">
        <v>6</v>
      </c>
      <c r="G67">
        <v>14</v>
      </c>
      <c r="H67">
        <v>20</v>
      </c>
    </row>
    <row r="68" spans="4:8" x14ac:dyDescent="0.3">
      <c r="D68" t="s">
        <v>4</v>
      </c>
      <c r="E68">
        <v>6</v>
      </c>
      <c r="F68">
        <v>12</v>
      </c>
      <c r="G68">
        <v>19</v>
      </c>
      <c r="H68">
        <v>30</v>
      </c>
    </row>
    <row r="69" spans="4:8" x14ac:dyDescent="0.3">
      <c r="D69" t="s">
        <v>12</v>
      </c>
      <c r="E69">
        <f>E67-6</f>
        <v>-4</v>
      </c>
      <c r="F69">
        <f>F67-F68</f>
        <v>-6</v>
      </c>
      <c r="G69">
        <f>G67-G68</f>
        <v>-5</v>
      </c>
      <c r="H69">
        <f>H67-H68</f>
        <v>-10</v>
      </c>
    </row>
    <row r="70" spans="4:8" x14ac:dyDescent="0.3">
      <c r="D70" t="s">
        <v>24</v>
      </c>
      <c r="E70">
        <v>0</v>
      </c>
      <c r="F70">
        <v>0</v>
      </c>
      <c r="G70">
        <v>0</v>
      </c>
      <c r="H70">
        <v>0</v>
      </c>
    </row>
    <row r="72" spans="4:8" x14ac:dyDescent="0.3">
      <c r="D72" t="s">
        <v>41</v>
      </c>
    </row>
    <row r="74" spans="4:8" x14ac:dyDescent="0.3">
      <c r="D74" t="s">
        <v>6</v>
      </c>
    </row>
    <row r="76" spans="4:8" x14ac:dyDescent="0.3">
      <c r="D76" t="s">
        <v>42</v>
      </c>
      <c r="E76" t="s">
        <v>43</v>
      </c>
    </row>
    <row r="81" spans="3:14" x14ac:dyDescent="0.3">
      <c r="C81" t="s">
        <v>8</v>
      </c>
      <c r="D81">
        <v>1</v>
      </c>
      <c r="E81">
        <v>4</v>
      </c>
      <c r="F81">
        <v>3</v>
      </c>
      <c r="G81">
        <v>2</v>
      </c>
      <c r="H81">
        <v>7</v>
      </c>
      <c r="I81">
        <v>6</v>
      </c>
      <c r="J81">
        <v>5</v>
      </c>
      <c r="M81" t="s">
        <v>13</v>
      </c>
      <c r="N81">
        <f>MAX(D83:J83)</f>
        <v>56</v>
      </c>
    </row>
    <row r="82" spans="3:14" x14ac:dyDescent="0.3">
      <c r="C82" t="s">
        <v>18</v>
      </c>
      <c r="D82">
        <v>2</v>
      </c>
      <c r="E82">
        <v>4</v>
      </c>
      <c r="F82">
        <v>8</v>
      </c>
      <c r="G82">
        <v>6</v>
      </c>
      <c r="H82">
        <v>10</v>
      </c>
      <c r="I82">
        <v>12</v>
      </c>
      <c r="J82">
        <v>14</v>
      </c>
      <c r="M82" t="s">
        <v>14</v>
      </c>
      <c r="N82">
        <f>MAX(D85:J85)</f>
        <v>32</v>
      </c>
    </row>
    <row r="83" spans="3:14" x14ac:dyDescent="0.3">
      <c r="C83" t="s">
        <v>3</v>
      </c>
      <c r="D83">
        <v>2</v>
      </c>
      <c r="E83">
        <v>6</v>
      </c>
      <c r="F83">
        <v>14</v>
      </c>
      <c r="G83">
        <v>20</v>
      </c>
      <c r="H83">
        <v>30</v>
      </c>
      <c r="I83">
        <v>42</v>
      </c>
      <c r="J83">
        <f>I83+J82</f>
        <v>56</v>
      </c>
      <c r="M83" t="s">
        <v>15</v>
      </c>
      <c r="N83">
        <f>COUNTIF(D86:J86,1)</f>
        <v>3</v>
      </c>
    </row>
    <row r="84" spans="3:14" x14ac:dyDescent="0.3">
      <c r="C84" t="s">
        <v>4</v>
      </c>
      <c r="D84">
        <v>6</v>
      </c>
      <c r="E84">
        <v>12</v>
      </c>
      <c r="F84">
        <v>19</v>
      </c>
      <c r="G84">
        <v>30</v>
      </c>
      <c r="H84">
        <v>12</v>
      </c>
      <c r="I84">
        <v>18</v>
      </c>
      <c r="J84">
        <v>24</v>
      </c>
      <c r="M84" t="s">
        <v>46</v>
      </c>
      <c r="N84">
        <f>SUM(D83:J83)/7</f>
        <v>24.285714285714285</v>
      </c>
    </row>
    <row r="85" spans="3:14" x14ac:dyDescent="0.3">
      <c r="C85" t="s">
        <v>12</v>
      </c>
      <c r="D85">
        <f t="shared" ref="D85:J85" si="2">D83-D84</f>
        <v>-4</v>
      </c>
      <c r="E85">
        <f t="shared" si="2"/>
        <v>-6</v>
      </c>
      <c r="F85">
        <f t="shared" si="2"/>
        <v>-5</v>
      </c>
      <c r="G85">
        <f t="shared" si="2"/>
        <v>-10</v>
      </c>
      <c r="H85">
        <f t="shared" si="2"/>
        <v>18</v>
      </c>
      <c r="I85">
        <f t="shared" si="2"/>
        <v>24</v>
      </c>
      <c r="J85">
        <f t="shared" si="2"/>
        <v>32</v>
      </c>
      <c r="M85" t="s">
        <v>16</v>
      </c>
      <c r="N85">
        <f>SUM(H85:J85)</f>
        <v>74</v>
      </c>
    </row>
    <row r="86" spans="3:14" x14ac:dyDescent="0.3">
      <c r="C86" t="s">
        <v>24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  <c r="J86">
        <v>1</v>
      </c>
    </row>
    <row r="94" spans="3:14" x14ac:dyDescent="0.3">
      <c r="E94" t="s">
        <v>13</v>
      </c>
      <c r="F94" t="s">
        <v>14</v>
      </c>
      <c r="G94" t="s">
        <v>15</v>
      </c>
      <c r="H94" t="s">
        <v>46</v>
      </c>
      <c r="I94" t="s">
        <v>16</v>
      </c>
    </row>
    <row r="95" spans="3:14" x14ac:dyDescent="0.3">
      <c r="D95" t="s">
        <v>11</v>
      </c>
      <c r="E95">
        <v>56</v>
      </c>
      <c r="F95">
        <v>32</v>
      </c>
      <c r="G95">
        <v>4</v>
      </c>
      <c r="H95">
        <v>24</v>
      </c>
      <c r="I95">
        <v>75</v>
      </c>
    </row>
    <row r="96" spans="3:14" x14ac:dyDescent="0.3">
      <c r="D96" t="s">
        <v>17</v>
      </c>
      <c r="E96">
        <v>56</v>
      </c>
      <c r="F96">
        <v>50</v>
      </c>
      <c r="G96">
        <v>6</v>
      </c>
      <c r="H96">
        <v>40</v>
      </c>
      <c r="I96">
        <v>169</v>
      </c>
    </row>
    <row r="97" spans="4:9" x14ac:dyDescent="0.3">
      <c r="D97" t="s">
        <v>19</v>
      </c>
      <c r="E97">
        <v>56</v>
      </c>
      <c r="F97">
        <v>26</v>
      </c>
      <c r="G97">
        <v>5</v>
      </c>
      <c r="H97">
        <v>27.714285714285715</v>
      </c>
      <c r="I97">
        <v>83</v>
      </c>
    </row>
    <row r="98" spans="4:9" x14ac:dyDescent="0.3">
      <c r="D98" t="s">
        <v>44</v>
      </c>
      <c r="E98">
        <v>56</v>
      </c>
      <c r="F98">
        <v>44</v>
      </c>
      <c r="G98">
        <v>4</v>
      </c>
      <c r="H98">
        <v>26</v>
      </c>
      <c r="I98">
        <v>90</v>
      </c>
    </row>
    <row r="99" spans="4:9" x14ac:dyDescent="0.3">
      <c r="D99" t="s">
        <v>45</v>
      </c>
      <c r="E99">
        <v>56</v>
      </c>
      <c r="F99">
        <v>32</v>
      </c>
      <c r="G99">
        <v>3</v>
      </c>
      <c r="H99">
        <v>24.285714285714285</v>
      </c>
      <c r="I99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Hodgson Algorithm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2025-11-09T04:24:04Z</dcterms:modified>
</cp:coreProperties>
</file>