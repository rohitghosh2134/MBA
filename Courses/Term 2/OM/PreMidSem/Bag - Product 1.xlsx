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E15F8833-3770-4EF4-8706-13A9E4C835A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LLB Method" sheetId="5" r:id="rId1"/>
    <sheet name="Expo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5" l="1"/>
  <c r="P19" i="5"/>
  <c r="Q18" i="5"/>
  <c r="P18" i="5"/>
  <c r="F19" i="5"/>
  <c r="F18" i="5"/>
  <c r="G17" i="5"/>
  <c r="F17" i="5"/>
  <c r="I7" i="5"/>
  <c r="I8" i="5"/>
  <c r="I9" i="5"/>
  <c r="I10" i="5"/>
  <c r="I11" i="5"/>
  <c r="I12" i="5"/>
  <c r="I13" i="5"/>
  <c r="I14" i="5"/>
  <c r="I15" i="5"/>
  <c r="I6" i="5"/>
  <c r="H7" i="5"/>
  <c r="H8" i="5"/>
  <c r="H9" i="5"/>
  <c r="H10" i="5"/>
  <c r="H11" i="5"/>
  <c r="H12" i="5"/>
  <c r="H13" i="5"/>
  <c r="H14" i="5"/>
  <c r="H15" i="5"/>
  <c r="H6" i="5"/>
</calcChain>
</file>

<file path=xl/sharedStrings.xml><?xml version="1.0" encoding="utf-8"?>
<sst xmlns="http://schemas.openxmlformats.org/spreadsheetml/2006/main" count="68" uniqueCount="30">
  <si>
    <t>Actual</t>
  </si>
  <si>
    <t>Forecasted</t>
  </si>
  <si>
    <t>Sep -Week 1</t>
  </si>
  <si>
    <t>Sep -Week 2</t>
  </si>
  <si>
    <t>Sep - Week 3</t>
  </si>
  <si>
    <t>Sep - Week 4</t>
  </si>
  <si>
    <t>Oct - Week 5</t>
  </si>
  <si>
    <t>Oct - Week 6</t>
  </si>
  <si>
    <t>Oct - Week 7</t>
  </si>
  <si>
    <t>Oct - Week 8</t>
  </si>
  <si>
    <t>Nov - Week 9</t>
  </si>
  <si>
    <t>Nov - Week 10</t>
  </si>
  <si>
    <t>Sep week 1</t>
  </si>
  <si>
    <t>Sales Price</t>
  </si>
  <si>
    <t>Cost</t>
  </si>
  <si>
    <t>Forecast error (A/F)</t>
  </si>
  <si>
    <t>Frozen forecast</t>
  </si>
  <si>
    <t>Salvage/Liq</t>
  </si>
  <si>
    <t>Bag</t>
  </si>
  <si>
    <t xml:space="preserve">Quantity </t>
  </si>
  <si>
    <t>Min</t>
  </si>
  <si>
    <t>Max</t>
  </si>
  <si>
    <t>Revenue</t>
  </si>
  <si>
    <t>Exponential Smoothing</t>
  </si>
  <si>
    <t>Expert (70%)</t>
  </si>
  <si>
    <t>Expert</t>
  </si>
  <si>
    <t>Rank</t>
  </si>
  <si>
    <t>Freq Distribution</t>
  </si>
  <si>
    <t>Week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</si>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</sst>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161925</xdr:colOff>
      <xdr:row>12</xdr:row>
      <xdr:rowOff>17318</xdr:rowOff>
    </xdr:to>
    <xdr:pic>
      <xdr:nvPicPr>
        <xdr:cNvPr id="2049" name="Picture 1" descr="Image result for ll bean product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990725" cy="2295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Q25"/>
  <sheetViews>
    <sheetView topLeftCell="B6" zoomScale="117" zoomScaleNormal="70" workbookViewId="0">
      <selection activeCell="Q20" sqref="Q20"/>
    </sheetView>
  </sheetViews>
  <sheetFormatPr defaultRowHeight="14.4" x14ac:dyDescent="0.3"/>
  <cols>
    <col min="5" max="5" width="13.109375" bestFit="1" customWidth="1"/>
    <col min="6" max="6" width="6.21875" bestFit="1" customWidth="1"/>
    <col min="7" max="7" width="10.109375" bestFit="1" customWidth="1"/>
    <col min="8" max="8" width="17.21875" bestFit="1" customWidth="1"/>
    <col min="9" max="9" width="10.5546875" bestFit="1" customWidth="1"/>
    <col min="10" max="10" width="15.21875" bestFit="1" customWidth="1"/>
    <col min="12" max="12" width="13.77734375" bestFit="1" customWidth="1"/>
    <col min="13" max="13" width="4" bestFit="1" customWidth="1"/>
    <col min="15" max="15" width="20.77734375" bestFit="1" customWidth="1"/>
    <col min="16" max="16" width="6.109375" bestFit="1" customWidth="1"/>
    <col min="17" max="17" width="8.21875" bestFit="1" customWidth="1"/>
  </cols>
  <sheetData>
    <row r="2" spans="5:13" x14ac:dyDescent="0.3">
      <c r="I2" s="1" t="s">
        <v>13</v>
      </c>
      <c r="J2" s="1">
        <v>3134</v>
      </c>
      <c r="L2" s="1" t="s">
        <v>16</v>
      </c>
      <c r="M2" s="1">
        <v>900</v>
      </c>
    </row>
    <row r="3" spans="5:13" x14ac:dyDescent="0.3">
      <c r="E3" t="s">
        <v>18</v>
      </c>
      <c r="I3" s="1" t="s">
        <v>14</v>
      </c>
      <c r="J3" s="1">
        <v>2000</v>
      </c>
      <c r="L3" t="s">
        <v>25</v>
      </c>
      <c r="M3">
        <v>70</v>
      </c>
    </row>
    <row r="4" spans="5:13" x14ac:dyDescent="0.3">
      <c r="I4" s="1" t="s">
        <v>17</v>
      </c>
      <c r="J4" s="1">
        <v>1200</v>
      </c>
    </row>
    <row r="5" spans="5:13" x14ac:dyDescent="0.3">
      <c r="E5" t="s">
        <v>28</v>
      </c>
      <c r="F5" t="s">
        <v>0</v>
      </c>
      <c r="G5" t="s">
        <v>1</v>
      </c>
      <c r="H5" t="s">
        <v>15</v>
      </c>
      <c r="I5" t="s">
        <v>26</v>
      </c>
      <c r="J5" t="s">
        <v>27</v>
      </c>
    </row>
    <row r="6" spans="5:13" x14ac:dyDescent="0.3">
      <c r="E6" t="s">
        <v>2</v>
      </c>
      <c r="F6">
        <v>555</v>
      </c>
      <c r="G6">
        <v>800</v>
      </c>
      <c r="H6">
        <f>F6/G6</f>
        <v>0.69374999999999998</v>
      </c>
      <c r="I6">
        <f>RANK(H6,H6:H15)</f>
        <v>8</v>
      </c>
    </row>
    <row r="7" spans="5:13" x14ac:dyDescent="0.3">
      <c r="E7" t="s">
        <v>3</v>
      </c>
      <c r="F7">
        <v>55</v>
      </c>
      <c r="G7">
        <v>80</v>
      </c>
      <c r="H7">
        <f t="shared" ref="H7:H15" si="0">F7/G7</f>
        <v>0.6875</v>
      </c>
      <c r="I7">
        <f t="shared" ref="I7:I15" si="1">RANK(H7,H7:H16)</f>
        <v>9</v>
      </c>
    </row>
    <row r="8" spans="5:13" x14ac:dyDescent="0.3">
      <c r="E8" t="s">
        <v>4</v>
      </c>
      <c r="F8">
        <v>7</v>
      </c>
      <c r="G8">
        <v>10</v>
      </c>
      <c r="H8">
        <f t="shared" si="0"/>
        <v>0.7</v>
      </c>
      <c r="I8">
        <f t="shared" si="1"/>
        <v>7</v>
      </c>
    </row>
    <row r="9" spans="5:13" x14ac:dyDescent="0.3">
      <c r="E9" t="s">
        <v>5</v>
      </c>
      <c r="F9">
        <v>120</v>
      </c>
      <c r="G9">
        <v>100</v>
      </c>
      <c r="H9">
        <f t="shared" si="0"/>
        <v>1.2</v>
      </c>
      <c r="I9">
        <f t="shared" si="1"/>
        <v>3</v>
      </c>
    </row>
    <row r="10" spans="5:13" x14ac:dyDescent="0.3">
      <c r="E10" t="s">
        <v>6</v>
      </c>
      <c r="F10">
        <v>77</v>
      </c>
      <c r="G10">
        <v>111</v>
      </c>
      <c r="H10">
        <f t="shared" si="0"/>
        <v>0.69369369369369371</v>
      </c>
      <c r="I10">
        <f t="shared" si="1"/>
        <v>6</v>
      </c>
    </row>
    <row r="11" spans="5:13" x14ac:dyDescent="0.3">
      <c r="E11" t="s">
        <v>7</v>
      </c>
      <c r="F11">
        <v>12</v>
      </c>
      <c r="G11">
        <v>10</v>
      </c>
      <c r="H11">
        <f t="shared" si="0"/>
        <v>1.2</v>
      </c>
      <c r="I11">
        <f t="shared" si="1"/>
        <v>3</v>
      </c>
    </row>
    <row r="12" spans="5:13" x14ac:dyDescent="0.3">
      <c r="E12" t="s">
        <v>8</v>
      </c>
      <c r="F12">
        <v>1200</v>
      </c>
      <c r="G12">
        <v>1000</v>
      </c>
      <c r="H12">
        <f t="shared" si="0"/>
        <v>1.2</v>
      </c>
      <c r="I12">
        <f t="shared" si="1"/>
        <v>3</v>
      </c>
    </row>
    <row r="13" spans="5:13" x14ac:dyDescent="0.3">
      <c r="E13" t="s">
        <v>9</v>
      </c>
      <c r="F13">
        <v>1000</v>
      </c>
      <c r="G13">
        <v>750</v>
      </c>
      <c r="H13">
        <f t="shared" si="0"/>
        <v>1.3333333333333333</v>
      </c>
      <c r="I13">
        <f t="shared" si="1"/>
        <v>1</v>
      </c>
    </row>
    <row r="14" spans="5:13" x14ac:dyDescent="0.3">
      <c r="E14" t="s">
        <v>10</v>
      </c>
      <c r="F14">
        <v>75</v>
      </c>
      <c r="G14">
        <v>100</v>
      </c>
      <c r="H14">
        <f t="shared" si="0"/>
        <v>0.75</v>
      </c>
      <c r="I14">
        <f t="shared" si="1"/>
        <v>2</v>
      </c>
    </row>
    <row r="15" spans="5:13" x14ac:dyDescent="0.3">
      <c r="E15" t="s">
        <v>11</v>
      </c>
      <c r="F15">
        <v>100</v>
      </c>
      <c r="G15">
        <v>75</v>
      </c>
      <c r="H15">
        <f t="shared" si="0"/>
        <v>1.3333333333333333</v>
      </c>
      <c r="I15">
        <f t="shared" si="1"/>
        <v>1</v>
      </c>
    </row>
    <row r="17" spans="5:17" x14ac:dyDescent="0.3">
      <c r="E17" t="s">
        <v>29</v>
      </c>
      <c r="F17">
        <f>SUM(F6:F15)</f>
        <v>3201</v>
      </c>
      <c r="G17">
        <f>SUM(G6:G15)</f>
        <v>3036</v>
      </c>
      <c r="O17" s="2" t="s">
        <v>19</v>
      </c>
      <c r="P17" s="2" t="s">
        <v>20</v>
      </c>
      <c r="Q17" s="2" t="s">
        <v>21</v>
      </c>
    </row>
    <row r="18" spans="5:17" x14ac:dyDescent="0.3">
      <c r="E18" t="s">
        <v>20</v>
      </c>
      <c r="F18">
        <f>MIN(F6:F15)</f>
        <v>7</v>
      </c>
      <c r="O18" s="2" t="s">
        <v>24</v>
      </c>
      <c r="P18" s="3">
        <f>F18*M3/100</f>
        <v>4.9000000000000004</v>
      </c>
      <c r="Q18" s="3">
        <f>F19*M3/100</f>
        <v>840</v>
      </c>
    </row>
    <row r="19" spans="5:17" x14ac:dyDescent="0.3">
      <c r="E19" t="s">
        <v>21</v>
      </c>
      <c r="F19">
        <f>MAX(F6:F15)</f>
        <v>1200</v>
      </c>
      <c r="O19" s="2" t="s">
        <v>22</v>
      </c>
      <c r="P19" s="3">
        <f>F18*J2</f>
        <v>21938</v>
      </c>
      <c r="Q19" s="3">
        <f>F19*J2</f>
        <v>3760800</v>
      </c>
    </row>
    <row r="22" spans="5:17" x14ac:dyDescent="0.3">
      <c r="O22" s="4" t="s">
        <v>23</v>
      </c>
    </row>
    <row r="23" spans="5:17" x14ac:dyDescent="0.3">
      <c r="O23" s="2" t="s">
        <v>19</v>
      </c>
      <c r="P23" s="2" t="s">
        <v>20</v>
      </c>
      <c r="Q23" s="2" t="s">
        <v>21</v>
      </c>
    </row>
    <row r="24" spans="5:17" x14ac:dyDescent="0.3">
      <c r="O24" s="2" t="s">
        <v>24</v>
      </c>
      <c r="P24" s="3"/>
      <c r="Q24" s="3"/>
    </row>
    <row r="25" spans="5:17" x14ac:dyDescent="0.3">
      <c r="O25" s="2" t="s">
        <v>22</v>
      </c>
      <c r="P25" s="3"/>
      <c r="Q25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15"/>
  <sheetViews>
    <sheetView tabSelected="1" topLeftCell="D1" zoomScale="81" workbookViewId="0">
      <selection activeCell="N2" sqref="N2"/>
    </sheetView>
  </sheetViews>
  <sheetFormatPr defaultRowHeight="14.4" x14ac:dyDescent="0.3"/>
  <cols>
    <col min="1" max="1" width="13.33203125" bestFit="1" customWidth="1"/>
    <col min="2" max="2" width="6.33203125" bestFit="1" customWidth="1"/>
    <col min="3" max="3" width="10.21875" bestFit="1" customWidth="1"/>
    <col min="4" max="4" width="17.77734375" bestFit="1" customWidth="1"/>
    <col min="5" max="5" width="10.6640625" bestFit="1" customWidth="1"/>
    <col min="6" max="6" width="15.44140625" bestFit="1" customWidth="1"/>
    <col min="8" max="8" width="14.109375" bestFit="1" customWidth="1"/>
    <col min="9" max="9" width="4" bestFit="1" customWidth="1"/>
    <col min="14" max="14" width="5" bestFit="1" customWidth="1"/>
    <col min="15" max="15" width="10.5546875" bestFit="1" customWidth="1"/>
    <col min="16" max="16" width="11.44140625" bestFit="1" customWidth="1"/>
    <col min="17" max="18" width="11.88671875" bestFit="1" customWidth="1"/>
    <col min="19" max="22" width="11.6640625" bestFit="1" customWidth="1"/>
    <col min="23" max="23" width="12.21875" bestFit="1" customWidth="1"/>
    <col min="24" max="24" width="13.33203125" bestFit="1" customWidth="1"/>
  </cols>
  <sheetData>
    <row r="2" spans="1:24" x14ac:dyDescent="0.3">
      <c r="E2" s="1" t="s">
        <v>13</v>
      </c>
      <c r="F2" s="1">
        <v>3134</v>
      </c>
      <c r="H2" s="1" t="s">
        <v>16</v>
      </c>
      <c r="I2" s="1">
        <v>900</v>
      </c>
      <c r="O2" t="s">
        <v>12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</row>
    <row r="3" spans="1:24" x14ac:dyDescent="0.3">
      <c r="A3" t="s">
        <v>18</v>
      </c>
      <c r="E3" s="1" t="s">
        <v>14</v>
      </c>
      <c r="F3" s="1">
        <v>2000</v>
      </c>
      <c r="H3" t="s">
        <v>25</v>
      </c>
      <c r="I3">
        <v>70</v>
      </c>
      <c r="N3">
        <v>1981</v>
      </c>
      <c r="O3">
        <v>535</v>
      </c>
      <c r="P3">
        <v>54</v>
      </c>
      <c r="Q3">
        <v>6</v>
      </c>
      <c r="R3">
        <v>116</v>
      </c>
      <c r="S3">
        <v>77</v>
      </c>
      <c r="T3">
        <v>6</v>
      </c>
      <c r="U3">
        <v>1290</v>
      </c>
      <c r="V3">
        <v>1000</v>
      </c>
      <c r="W3">
        <v>71</v>
      </c>
      <c r="X3">
        <v>101</v>
      </c>
    </row>
    <row r="4" spans="1:24" x14ac:dyDescent="0.3">
      <c r="E4" s="1" t="s">
        <v>17</v>
      </c>
      <c r="F4" s="1">
        <v>1200</v>
      </c>
      <c r="N4">
        <v>1982</v>
      </c>
      <c r="O4">
        <v>579</v>
      </c>
      <c r="P4">
        <v>54</v>
      </c>
      <c r="Q4">
        <v>9</v>
      </c>
      <c r="R4">
        <v>123</v>
      </c>
      <c r="S4">
        <v>80</v>
      </c>
      <c r="T4">
        <v>6</v>
      </c>
      <c r="U4">
        <v>1124</v>
      </c>
      <c r="V4">
        <v>1008</v>
      </c>
      <c r="W4">
        <v>61</v>
      </c>
      <c r="X4">
        <v>107</v>
      </c>
    </row>
    <row r="5" spans="1:24" x14ac:dyDescent="0.3">
      <c r="A5" t="s">
        <v>28</v>
      </c>
      <c r="B5" t="s">
        <v>0</v>
      </c>
      <c r="C5" t="s">
        <v>1</v>
      </c>
      <c r="D5" t="s">
        <v>15</v>
      </c>
      <c r="E5" t="s">
        <v>26</v>
      </c>
      <c r="F5" t="s">
        <v>27</v>
      </c>
      <c r="N5">
        <v>1983</v>
      </c>
      <c r="O5">
        <v>561</v>
      </c>
      <c r="P5">
        <v>63</v>
      </c>
      <c r="Q5">
        <v>6</v>
      </c>
      <c r="R5">
        <v>122</v>
      </c>
      <c r="S5">
        <v>74</v>
      </c>
      <c r="T5">
        <v>14</v>
      </c>
      <c r="U5">
        <v>1127</v>
      </c>
      <c r="V5">
        <v>994</v>
      </c>
      <c r="W5">
        <v>89</v>
      </c>
      <c r="X5">
        <v>107</v>
      </c>
    </row>
    <row r="6" spans="1:24" x14ac:dyDescent="0.3">
      <c r="A6" t="s">
        <v>2</v>
      </c>
      <c r="B6">
        <v>555</v>
      </c>
      <c r="N6">
        <v>1984</v>
      </c>
      <c r="O6">
        <v>556</v>
      </c>
      <c r="P6">
        <v>61</v>
      </c>
      <c r="Q6">
        <v>9</v>
      </c>
      <c r="R6">
        <v>130</v>
      </c>
      <c r="S6">
        <v>75</v>
      </c>
      <c r="T6">
        <v>7</v>
      </c>
      <c r="U6">
        <v>1252</v>
      </c>
      <c r="V6">
        <v>991</v>
      </c>
      <c r="W6">
        <v>71</v>
      </c>
      <c r="X6">
        <v>112</v>
      </c>
    </row>
    <row r="7" spans="1:24" x14ac:dyDescent="0.3">
      <c r="A7" t="s">
        <v>3</v>
      </c>
      <c r="B7">
        <v>55</v>
      </c>
      <c r="N7">
        <v>1985</v>
      </c>
      <c r="O7">
        <v>562</v>
      </c>
      <c r="P7">
        <v>57</v>
      </c>
      <c r="Q7">
        <v>7</v>
      </c>
      <c r="R7">
        <v>116</v>
      </c>
      <c r="S7">
        <v>64</v>
      </c>
      <c r="T7">
        <v>13</v>
      </c>
      <c r="U7">
        <v>1235</v>
      </c>
      <c r="V7">
        <v>1003</v>
      </c>
      <c r="W7">
        <v>80</v>
      </c>
      <c r="X7">
        <v>101</v>
      </c>
    </row>
    <row r="8" spans="1:24" x14ac:dyDescent="0.3">
      <c r="A8" t="s">
        <v>4</v>
      </c>
      <c r="B8">
        <v>7</v>
      </c>
      <c r="N8">
        <v>1986</v>
      </c>
      <c r="O8">
        <v>559</v>
      </c>
      <c r="P8">
        <v>52</v>
      </c>
      <c r="Q8">
        <v>9</v>
      </c>
      <c r="R8">
        <v>111</v>
      </c>
      <c r="S8">
        <v>60</v>
      </c>
      <c r="T8">
        <v>16</v>
      </c>
      <c r="U8">
        <v>1177</v>
      </c>
      <c r="V8">
        <v>1000</v>
      </c>
      <c r="W8">
        <v>80</v>
      </c>
      <c r="X8">
        <v>96</v>
      </c>
    </row>
    <row r="9" spans="1:24" x14ac:dyDescent="0.3">
      <c r="A9" t="s">
        <v>5</v>
      </c>
      <c r="B9">
        <v>120</v>
      </c>
      <c r="N9">
        <v>1987</v>
      </c>
      <c r="O9">
        <v>544</v>
      </c>
      <c r="P9">
        <v>74</v>
      </c>
      <c r="Q9">
        <v>7</v>
      </c>
      <c r="R9">
        <v>132</v>
      </c>
      <c r="S9">
        <v>66</v>
      </c>
      <c r="T9">
        <v>14</v>
      </c>
      <c r="U9">
        <v>1283</v>
      </c>
      <c r="V9">
        <v>993</v>
      </c>
      <c r="W9">
        <v>64</v>
      </c>
      <c r="X9">
        <v>103</v>
      </c>
    </row>
    <row r="10" spans="1:24" x14ac:dyDescent="0.3">
      <c r="A10" t="s">
        <v>6</v>
      </c>
      <c r="B10">
        <v>77</v>
      </c>
      <c r="N10">
        <v>1988</v>
      </c>
      <c r="O10">
        <v>590</v>
      </c>
      <c r="P10">
        <v>57</v>
      </c>
      <c r="Q10">
        <v>9</v>
      </c>
      <c r="R10">
        <v>112</v>
      </c>
      <c r="S10">
        <v>67</v>
      </c>
      <c r="T10">
        <v>13</v>
      </c>
      <c r="U10">
        <v>1255</v>
      </c>
      <c r="V10">
        <v>1006</v>
      </c>
      <c r="W10">
        <v>75</v>
      </c>
      <c r="X10">
        <v>116</v>
      </c>
    </row>
    <row r="11" spans="1:24" x14ac:dyDescent="0.3">
      <c r="A11" t="s">
        <v>7</v>
      </c>
      <c r="B11">
        <v>12</v>
      </c>
      <c r="N11">
        <v>1989</v>
      </c>
      <c r="O11">
        <v>584</v>
      </c>
      <c r="P11">
        <v>74</v>
      </c>
      <c r="Q11">
        <v>6</v>
      </c>
      <c r="R11">
        <v>133</v>
      </c>
      <c r="S11">
        <v>64</v>
      </c>
      <c r="T11">
        <v>5</v>
      </c>
      <c r="U11">
        <v>1205</v>
      </c>
      <c r="V11">
        <v>1010</v>
      </c>
      <c r="W11">
        <v>81</v>
      </c>
      <c r="X11">
        <v>107</v>
      </c>
    </row>
    <row r="12" spans="1:24" x14ac:dyDescent="0.3">
      <c r="A12" t="s">
        <v>8</v>
      </c>
      <c r="B12">
        <v>1200</v>
      </c>
      <c r="N12">
        <v>1990</v>
      </c>
      <c r="O12">
        <v>575</v>
      </c>
      <c r="P12">
        <v>55</v>
      </c>
      <c r="Q12">
        <v>9</v>
      </c>
      <c r="R12">
        <v>123</v>
      </c>
      <c r="S12">
        <v>71</v>
      </c>
      <c r="T12">
        <v>7</v>
      </c>
      <c r="U12">
        <v>1236</v>
      </c>
      <c r="V12">
        <v>991</v>
      </c>
      <c r="W12">
        <v>67</v>
      </c>
      <c r="X12">
        <v>104</v>
      </c>
    </row>
    <row r="13" spans="1:24" x14ac:dyDescent="0.3">
      <c r="A13" t="s">
        <v>9</v>
      </c>
      <c r="B13">
        <v>1000</v>
      </c>
    </row>
    <row r="14" spans="1:24" x14ac:dyDescent="0.3">
      <c r="A14" t="s">
        <v>10</v>
      </c>
      <c r="B14">
        <v>75</v>
      </c>
    </row>
    <row r="15" spans="1:24" x14ac:dyDescent="0.3">
      <c r="A15" t="s">
        <v>11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LLB Method</vt:lpstr>
      <vt:lpstr>Expo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2025-10-23T08:02:52Z</dcterms:modified>
</cp:coreProperties>
</file>