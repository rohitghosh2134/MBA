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BA\Courses\Term 2\MEE\Assignment\"/>
    </mc:Choice>
  </mc:AlternateContent>
  <xr:revisionPtr revIDLastSave="0" documentId="13_ncr:1_{08597801-645E-4702-ACDF-170BEA7DF47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II Monthly (New Format)" sheetId="1" r:id="rId1"/>
    <sheet name="NET FP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  <c r="E2" i="2" a="1"/>
  <c r="E2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<sst xmlns="http://schemas.openxmlformats.org/spreadsheetml/2006/main" count="383" uniqueCount="205">
  <si>
    <t>Month</t>
  </si>
  <si>
    <t>A. Net Foreign Direct Investment (A.I-A.II)</t>
  </si>
  <si>
    <t>A.I. Direct Investment to India (A.I.a - A.I.b)</t>
  </si>
  <si>
    <t>A.I.a. Gross Inflows/Gross Investments (A.I.a.i+A.I.a.ii+A.I.a.iii)</t>
  </si>
  <si>
    <t>A.I.a.i. Equity (a+b+c+d+e)</t>
  </si>
  <si>
    <t>A.I.a.i.a. Government (SIA/FIPB)</t>
  </si>
  <si>
    <t>A.I.a.i.b. RBI</t>
  </si>
  <si>
    <t>A.I.a.i.d. Acquisition of shares *</t>
  </si>
  <si>
    <t>A.I.a.i.e. Equity capital of unincorporated bodies #</t>
  </si>
  <si>
    <t>A.I.a.ii. Reinvested earnings +</t>
  </si>
  <si>
    <t>A.I.a.iii. Other capital ++</t>
  </si>
  <si>
    <t>A.I.b. Repatriation/Disinvestment (A.I.b.i+A.I.b.ii)</t>
  </si>
  <si>
    <t>A.I.b.i. Equity</t>
  </si>
  <si>
    <t>A.I.b.ii. Other capital</t>
  </si>
  <si>
    <t>A.II. Foreign Direct Investment by India (A.II.a+A.II.b+A.II.c-A.II.d)</t>
  </si>
  <si>
    <t>A.II.a. Equity capital</t>
  </si>
  <si>
    <t>A.II.b. Reinvested Earnings</t>
  </si>
  <si>
    <t>A.II.c. Other Capital</t>
  </si>
  <si>
    <t>A.II.d. Repatriation/Disinvestment</t>
  </si>
  <si>
    <t>B. Net Portfolio Investment (B.I.a+B.I.b+B.I.c-B.I.d)</t>
  </si>
  <si>
    <t>B.I.a. GDRs/ADRs ##</t>
  </si>
  <si>
    <t>B.I.b. FIIs **</t>
  </si>
  <si>
    <t>B.I.c. Offshore funds and others</t>
  </si>
  <si>
    <t>B.I.d. Portfolio investment by India</t>
  </si>
  <si>
    <t>C) Total Investment Inflows (A+B)</t>
  </si>
  <si>
    <t>2025:09(SEP)</t>
  </si>
  <si>
    <t>2025:08(AUG)</t>
  </si>
  <si>
    <t>2025:07(JUL)</t>
  </si>
  <si>
    <t>2025:06(JUN)</t>
  </si>
  <si>
    <t>2025:05(MAY)</t>
  </si>
  <si>
    <t>2025:04(APR)</t>
  </si>
  <si>
    <t>2025:03(MAR)</t>
  </si>
  <si>
    <t>2025:02(FEB)</t>
  </si>
  <si>
    <t>2025:01(JAN)</t>
  </si>
  <si>
    <t>2024:12(DEC)</t>
  </si>
  <si>
    <t>2024:11(NOV)</t>
  </si>
  <si>
    <t>2024:10(OCT)</t>
  </si>
  <si>
    <t>2024:09(SEP)</t>
  </si>
  <si>
    <t>2024:08(AUG)</t>
  </si>
  <si>
    <t>2024:07(JUL)</t>
  </si>
  <si>
    <t>2024:06(JUN)</t>
  </si>
  <si>
    <t>2024:05(MAY)</t>
  </si>
  <si>
    <t>2024:04(APR)</t>
  </si>
  <si>
    <t>2024:03(MAR)</t>
  </si>
  <si>
    <t>2024:02(FEB)</t>
  </si>
  <si>
    <t>2024:01(JAN)</t>
  </si>
  <si>
    <t>2023:12(DEC)</t>
  </si>
  <si>
    <t>2023:11(NOV)</t>
  </si>
  <si>
    <t>2023:10(OCT)</t>
  </si>
  <si>
    <t>2023:09(SEP)</t>
  </si>
  <si>
    <t>2023:08(AUG)</t>
  </si>
  <si>
    <t>2023:07(JUL)</t>
  </si>
  <si>
    <t>2023:06(JUN)</t>
  </si>
  <si>
    <t>2023:05(MAY)</t>
  </si>
  <si>
    <t>2023:04(APR)</t>
  </si>
  <si>
    <t>2023:03(MAR)</t>
  </si>
  <si>
    <t>2023:02(FEB)</t>
  </si>
  <si>
    <t>2023:01(JAN)</t>
  </si>
  <si>
    <t>2022:12(DEC)</t>
  </si>
  <si>
    <t>2022:11(NOV)</t>
  </si>
  <si>
    <t>2022:10(OCT)</t>
  </si>
  <si>
    <t>2022:09(SEP)</t>
  </si>
  <si>
    <t>2022:08(AUG)</t>
  </si>
  <si>
    <t>2022:07(JUL)</t>
  </si>
  <si>
    <t>2022:06(JUN)</t>
  </si>
  <si>
    <t>2022:05(MAY)</t>
  </si>
  <si>
    <t>2022:04(APR)</t>
  </si>
  <si>
    <t>2022:03(MAR)</t>
  </si>
  <si>
    <t>2022:02(FEB)</t>
  </si>
  <si>
    <t>2022:01(JAN)</t>
  </si>
  <si>
    <t>2021:12(DEC)</t>
  </si>
  <si>
    <t>2021:11(NOV)</t>
  </si>
  <si>
    <t>2021:10(OCT)</t>
  </si>
  <si>
    <t>2021:09(SEP)</t>
  </si>
  <si>
    <t>2021:08(AUG)</t>
  </si>
  <si>
    <t>2021:07(JUL)</t>
  </si>
  <si>
    <t>2021:06(JUN)</t>
  </si>
  <si>
    <t>2021:05(MAY)</t>
  </si>
  <si>
    <t>2021:04(APR)</t>
  </si>
  <si>
    <t>2021:03(MAR)</t>
  </si>
  <si>
    <t>2021:02(FEB)</t>
  </si>
  <si>
    <t>2021:01(JAN)</t>
  </si>
  <si>
    <t>2020:12(DEC)</t>
  </si>
  <si>
    <t>2020:11(NOV)</t>
  </si>
  <si>
    <t>2020:10(OCT)</t>
  </si>
  <si>
    <t>2020:09(SEP)</t>
  </si>
  <si>
    <t>2020:08(AUG)</t>
  </si>
  <si>
    <t>2020:07(JUL)</t>
  </si>
  <si>
    <t>2020:06(JUN)</t>
  </si>
  <si>
    <t>2020:05(MAY)</t>
  </si>
  <si>
    <t>2020:04(APR)</t>
  </si>
  <si>
    <t>2020:03(MAR)</t>
  </si>
  <si>
    <t>2020:02(FEB)</t>
  </si>
  <si>
    <t>2020:01(JAN)</t>
  </si>
  <si>
    <t>2019:12(DEC)</t>
  </si>
  <si>
    <t>2019:11(NOV)</t>
  </si>
  <si>
    <t>2019:10(OCT)</t>
  </si>
  <si>
    <t>2019:09(SEP)</t>
  </si>
  <si>
    <t>2019:08(AUG)</t>
  </si>
  <si>
    <t>2019:07(JUL)</t>
  </si>
  <si>
    <t>2019:06(JUN)</t>
  </si>
  <si>
    <t>2019:05(MAY)</t>
  </si>
  <si>
    <t>2019:04(APR)</t>
  </si>
  <si>
    <t>2019:03(MAR)</t>
  </si>
  <si>
    <t>2019:02(FEB)</t>
  </si>
  <si>
    <t>2019:01(JAN)</t>
  </si>
  <si>
    <t>2018:12(DEC)</t>
  </si>
  <si>
    <t>2018:11(NOV)</t>
  </si>
  <si>
    <t>2018:10(OCT)</t>
  </si>
  <si>
    <t>2018:09(SEP)</t>
  </si>
  <si>
    <t>2018:08(AUG)</t>
  </si>
  <si>
    <t>2018:07(JUL)</t>
  </si>
  <si>
    <t>2018:06(JUN)</t>
  </si>
  <si>
    <t>2018:05(MAY)</t>
  </si>
  <si>
    <t>2018:04(APR)</t>
  </si>
  <si>
    <t>2018:03(MAR)</t>
  </si>
  <si>
    <t>2018:02(FEB)</t>
  </si>
  <si>
    <t>2018:01(JAN)</t>
  </si>
  <si>
    <t>2017:12(DEC)</t>
  </si>
  <si>
    <t>2017:11(NOV)</t>
  </si>
  <si>
    <t>2017:10(OCT)</t>
  </si>
  <si>
    <t>2017:09(SEP)</t>
  </si>
  <si>
    <t>2017:08(AUG)</t>
  </si>
  <si>
    <t>2017:07(JUL)</t>
  </si>
  <si>
    <t>2017:06(JUN)</t>
  </si>
  <si>
    <t>2017:05(MAY)</t>
  </si>
  <si>
    <t>2017:04(APR)</t>
  </si>
  <si>
    <t>2017:03(MAR)</t>
  </si>
  <si>
    <t>2017:02(FEB)</t>
  </si>
  <si>
    <t>2017:01(JAN)</t>
  </si>
  <si>
    <t>2016:12(DEC)</t>
  </si>
  <si>
    <t>2016:11(NOV)</t>
  </si>
  <si>
    <t>2016:10(OCT)</t>
  </si>
  <si>
    <t>2016:09(SEP)</t>
  </si>
  <si>
    <t>2016:08(AUG)</t>
  </si>
  <si>
    <t>2016:07(JUL)</t>
  </si>
  <si>
    <t>2016:06(JUN)</t>
  </si>
  <si>
    <t>2016:05(MAY)</t>
  </si>
  <si>
    <t>2016:04(APR)</t>
  </si>
  <si>
    <t>2016:03(MAR)</t>
  </si>
  <si>
    <t>2016:02(FEB)</t>
  </si>
  <si>
    <t>2016:01(JAN)</t>
  </si>
  <si>
    <t>2015:12(DEC)</t>
  </si>
  <si>
    <t>2015:11(NOV)</t>
  </si>
  <si>
    <t>2015:10(OCT)</t>
  </si>
  <si>
    <t>2015:09(SEP)</t>
  </si>
  <si>
    <t>2015:08(AUG)</t>
  </si>
  <si>
    <t>2015:07(JUL)</t>
  </si>
  <si>
    <t>2015:06(JUN)</t>
  </si>
  <si>
    <t>2015:05(MAY)</t>
  </si>
  <si>
    <t>2015:04(APR)</t>
  </si>
  <si>
    <t>2015:03(MAR)</t>
  </si>
  <si>
    <t>2015:02(FEB)</t>
  </si>
  <si>
    <t>2015:01(JAN)</t>
  </si>
  <si>
    <t>2014:12(DEC)</t>
  </si>
  <si>
    <t>2014:11(NOV)</t>
  </si>
  <si>
    <t>2014:10(OCT)</t>
  </si>
  <si>
    <t>2014:09(SEP)</t>
  </si>
  <si>
    <t>2014:08(AUG)</t>
  </si>
  <si>
    <t>2014:07(JUL)</t>
  </si>
  <si>
    <t>2014:06(JUN)</t>
  </si>
  <si>
    <t>2014:05(MAY)</t>
  </si>
  <si>
    <t>2014:04(APR)</t>
  </si>
  <si>
    <t>2014:03(MAR)</t>
  </si>
  <si>
    <t>2014:02(FEB)</t>
  </si>
  <si>
    <t>2014:01(JAN)</t>
  </si>
  <si>
    <t>2013:12(DEC)</t>
  </si>
  <si>
    <t>2013:11(NOV)</t>
  </si>
  <si>
    <t>2013:10(OCT)</t>
  </si>
  <si>
    <t>2013:09(SEP)</t>
  </si>
  <si>
    <t>2013:08(AUG)</t>
  </si>
  <si>
    <t>2013:07(JUL)</t>
  </si>
  <si>
    <t>2013:06(JUN)</t>
  </si>
  <si>
    <t>2013:05(MAY)</t>
  </si>
  <si>
    <t>2013:04(APR)</t>
  </si>
  <si>
    <t>2013:03(MAR)</t>
  </si>
  <si>
    <t>2013:02(FEB)</t>
  </si>
  <si>
    <t>2013:01(JAN)</t>
  </si>
  <si>
    <t>2012:12(DEC)</t>
  </si>
  <si>
    <t>2012:11(NOV)</t>
  </si>
  <si>
    <t>2012:10(OCT)</t>
  </si>
  <si>
    <t>2012:09(SEP)</t>
  </si>
  <si>
    <t>2012:08(AUG)</t>
  </si>
  <si>
    <t>2012:07(JUL)</t>
  </si>
  <si>
    <t>2012:06(JUN)</t>
  </si>
  <si>
    <t>2012:05(MAY)</t>
  </si>
  <si>
    <t>2012:04(APR)</t>
  </si>
  <si>
    <t>2012:03(MAR)</t>
  </si>
  <si>
    <t>2012:02(FEB)</t>
  </si>
  <si>
    <t>2012:01(JAN)</t>
  </si>
  <si>
    <t>2011:12(DEC)</t>
  </si>
  <si>
    <t>2011:11(NOV)</t>
  </si>
  <si>
    <t>2011:10(OCT)</t>
  </si>
  <si>
    <t>2011:09(SEP)</t>
  </si>
  <si>
    <t>2011:08(AUG)</t>
  </si>
  <si>
    <t>2011:07(JUL)</t>
  </si>
  <si>
    <t>2011:06(JUN)</t>
  </si>
  <si>
    <t>2011:05(MAY)</t>
  </si>
  <si>
    <t>2011:04(APR)</t>
  </si>
  <si>
    <t>2011:03(MAR)</t>
  </si>
  <si>
    <t>Foreign Investment Inflows - Monthly</t>
  </si>
  <si>
    <t>Amount in US $ Millions</t>
  </si>
  <si>
    <t>Source: Reserve Bank of India</t>
  </si>
  <si>
    <t>YEAR</t>
  </si>
  <si>
    <t>ANNUAL FPI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</si>
</sst>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#,###;\-##,###,###;0"/>
  </numFmts>
  <fonts count="9" x14ac:knownFonts="1">
    <font>
      <sz val="10"/>
      <color rgb="FF000000"/>
      <name val="Arial"/>
    </font>
    <font>
      <sz val="6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333333"/>
      <name val="Arial"/>
      <family val="2"/>
    </font>
    <font>
      <sz val="9"/>
      <color rgb="FF000000"/>
      <name val="Arial"/>
      <family val="2"/>
    </font>
    <font>
      <b/>
      <sz val="12"/>
      <color rgb="FF488AC7"/>
      <name val="Arial"/>
      <family val="2"/>
    </font>
    <font>
      <b/>
      <sz val="8"/>
      <color rgb="FF333333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/>
    </xf>
    <xf numFmtId="164" fontId="4" fillId="4" borderId="3" xfId="0" applyNumberFormat="1" applyFont="1" applyFill="1" applyBorder="1" applyAlignment="1">
      <alignment horizontal="right" vertical="center"/>
    </xf>
    <xf numFmtId="164" fontId="4" fillId="4" borderId="4" xfId="0" applyNumberFormat="1" applyFont="1" applyFill="1" applyBorder="1" applyAlignment="1">
      <alignment horizontal="right" vertical="center"/>
    </xf>
    <xf numFmtId="164" fontId="4" fillId="2" borderId="3" xfId="0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horizontal="right" vertical="center"/>
    </xf>
    <xf numFmtId="49" fontId="3" fillId="4" borderId="5" xfId="0" applyNumberFormat="1" applyFont="1" applyFill="1" applyBorder="1" applyAlignment="1">
      <alignment horizontal="left" vertical="center"/>
    </xf>
    <xf numFmtId="164" fontId="4" fillId="4" borderId="5" xfId="0" applyNumberFormat="1" applyFont="1" applyFill="1" applyBorder="1" applyAlignment="1">
      <alignment horizontal="right" vertical="center"/>
    </xf>
    <xf numFmtId="164" fontId="4" fillId="4" borderId="6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49" fontId="3" fillId="4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4" fillId="4" borderId="3" xfId="0" applyNumberFormat="1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6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183"/>
  <sheetViews>
    <sheetView tabSelected="1" topLeftCell="Q6" workbookViewId="0">
      <selection activeCell="U6" sqref="U6"/>
    </sheetView>
  </sheetViews>
  <sheetFormatPr defaultRowHeight="13.2" x14ac:dyDescent="0.25"/>
  <cols>
    <col min="1" max="1" width="4.6640625" customWidth="1"/>
    <col min="2" max="2" width="12.77734375" customWidth="1"/>
    <col min="3" max="3" width="17.44140625" bestFit="1" customWidth="1"/>
    <col min="4" max="26" width="20.88671875" customWidth="1"/>
  </cols>
  <sheetData>
    <row r="1" spans="2:26" s="1" customFormat="1" ht="28.8" customHeight="1" x14ac:dyDescent="0.15"/>
    <row r="2" spans="2:26" s="1" customFormat="1" ht="17.100000000000001" customHeight="1" x14ac:dyDescent="0.15">
      <c r="B2" s="24" t="s">
        <v>200</v>
      </c>
      <c r="C2" s="24"/>
    </row>
    <row r="3" spans="2:26" s="1" customFormat="1" ht="14.4" customHeight="1" x14ac:dyDescent="0.15"/>
    <row r="4" spans="2:26" s="1" customFormat="1" ht="12.75" customHeight="1" x14ac:dyDescent="0.15">
      <c r="B4" s="13" t="s">
        <v>201</v>
      </c>
    </row>
    <row r="5" spans="2:26" s="1" customFormat="1" ht="6.9" customHeight="1" x14ac:dyDescent="0.15"/>
    <row r="6" spans="2:26" s="1" customFormat="1" ht="67.2" customHeight="1" x14ac:dyDescent="0.15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Y6" s="3" t="s">
        <v>23</v>
      </c>
      <c r="Z6" s="4" t="s">
        <v>24</v>
      </c>
    </row>
    <row r="7" spans="2:26" s="1" customFormat="1" ht="14.85" customHeight="1" x14ac:dyDescent="0.15">
      <c r="B7" s="5" t="s">
        <v>25</v>
      </c>
      <c r="C7" s="6">
        <v>-1663.8969485780001</v>
      </c>
      <c r="D7" s="6">
        <v>2389.8609558879998</v>
      </c>
      <c r="E7" s="6">
        <v>7002.6975940439997</v>
      </c>
      <c r="F7" s="6">
        <v>4408.4983869939997</v>
      </c>
      <c r="G7" s="6">
        <v>32.373710787</v>
      </c>
      <c r="H7" s="6">
        <v>3520.2692575440001</v>
      </c>
      <c r="I7" s="6">
        <v>582.31081904099995</v>
      </c>
      <c r="J7" s="6">
        <v>273.54459962300001</v>
      </c>
      <c r="K7" s="6">
        <v>2024.4158737160001</v>
      </c>
      <c r="L7" s="6">
        <v>569.78333333299997</v>
      </c>
      <c r="M7" s="6">
        <v>4612.8366381559999</v>
      </c>
      <c r="N7" s="6">
        <v>4421.8166381560004</v>
      </c>
      <c r="O7" s="6">
        <v>191.02</v>
      </c>
      <c r="P7" s="6">
        <v>4053.7579044650001</v>
      </c>
      <c r="Q7" s="6">
        <v>2745.8786111109998</v>
      </c>
      <c r="R7" s="6">
        <v>634.15595833299994</v>
      </c>
      <c r="S7" s="6">
        <v>935.42</v>
      </c>
      <c r="T7" s="6">
        <v>261.69666497899999</v>
      </c>
      <c r="U7" s="6">
        <v>-621.30569135799999</v>
      </c>
      <c r="V7" s="6">
        <v>0</v>
      </c>
      <c r="W7" s="6">
        <v>-528.45569096300005</v>
      </c>
      <c r="X7" s="6">
        <v>0</v>
      </c>
      <c r="Y7" s="6">
        <v>92.850000394999995</v>
      </c>
      <c r="Z7" s="7">
        <v>-2285.2026399360002</v>
      </c>
    </row>
    <row r="8" spans="2:26" s="1" customFormat="1" ht="14.85" customHeight="1" x14ac:dyDescent="0.15">
      <c r="B8" s="5" t="s">
        <v>26</v>
      </c>
      <c r="C8" s="8">
        <v>214.899443319</v>
      </c>
      <c r="D8" s="8">
        <v>1989.357347784</v>
      </c>
      <c r="E8" s="8">
        <v>6602.1939859410004</v>
      </c>
      <c r="F8" s="8">
        <v>4007.9947788909999</v>
      </c>
      <c r="G8" s="8">
        <v>141.334448667</v>
      </c>
      <c r="H8" s="8">
        <v>2794.9903747650001</v>
      </c>
      <c r="I8" s="8">
        <v>798.12535583600004</v>
      </c>
      <c r="J8" s="8">
        <v>273.54459962300001</v>
      </c>
      <c r="K8" s="8">
        <v>2024.4158737160001</v>
      </c>
      <c r="L8" s="8">
        <v>569.78333333299997</v>
      </c>
      <c r="M8" s="8">
        <v>4612.8366381559999</v>
      </c>
      <c r="N8" s="8">
        <v>4421.8166381560004</v>
      </c>
      <c r="O8" s="8">
        <v>191.02</v>
      </c>
      <c r="P8" s="8">
        <v>1774.457904465</v>
      </c>
      <c r="Q8" s="8">
        <v>1044.968611111</v>
      </c>
      <c r="R8" s="8">
        <v>634.15595833299994</v>
      </c>
      <c r="S8" s="8">
        <v>357.03</v>
      </c>
      <c r="T8" s="8">
        <v>261.69666497899999</v>
      </c>
      <c r="U8" s="8">
        <v>-2596.0969450309999</v>
      </c>
      <c r="V8" s="8">
        <v>0</v>
      </c>
      <c r="W8" s="8">
        <v>-2503.2469446360001</v>
      </c>
      <c r="X8" s="8">
        <v>0</v>
      </c>
      <c r="Y8" s="8">
        <v>92.850000394999995</v>
      </c>
      <c r="Z8" s="9">
        <v>-2381.1975017119998</v>
      </c>
    </row>
    <row r="9" spans="2:26" s="1" customFormat="1" ht="14.85" customHeight="1" x14ac:dyDescent="0.15">
      <c r="B9" s="5" t="s">
        <v>27</v>
      </c>
      <c r="C9" s="6">
        <v>4324.8514861949998</v>
      </c>
      <c r="D9" s="6">
        <v>6937.5493906600004</v>
      </c>
      <c r="E9" s="6">
        <v>11550.386028817</v>
      </c>
      <c r="F9" s="6">
        <v>8956.1868217669999</v>
      </c>
      <c r="G9" s="6">
        <v>10.889142495</v>
      </c>
      <c r="H9" s="6">
        <v>6366.1876272259997</v>
      </c>
      <c r="I9" s="6">
        <v>2305.5654524239999</v>
      </c>
      <c r="J9" s="6">
        <v>273.54459962300001</v>
      </c>
      <c r="K9" s="6">
        <v>2024.4158737160001</v>
      </c>
      <c r="L9" s="6">
        <v>569.78333333299997</v>
      </c>
      <c r="M9" s="6">
        <v>4612.8366381559999</v>
      </c>
      <c r="N9" s="6">
        <v>4421.8166381560004</v>
      </c>
      <c r="O9" s="6">
        <v>191.02</v>
      </c>
      <c r="P9" s="6">
        <v>2612.6979044650002</v>
      </c>
      <c r="Q9" s="6">
        <v>1582.0386111109999</v>
      </c>
      <c r="R9" s="6">
        <v>634.15595833299994</v>
      </c>
      <c r="S9" s="6">
        <v>658.2</v>
      </c>
      <c r="T9" s="6">
        <v>261.69666497899999</v>
      </c>
      <c r="U9" s="6">
        <v>-2529.5268692489999</v>
      </c>
      <c r="V9" s="6">
        <v>0</v>
      </c>
      <c r="W9" s="6">
        <v>-2436.6768688530001</v>
      </c>
      <c r="X9" s="6">
        <v>0</v>
      </c>
      <c r="Y9" s="6">
        <v>92.850000394999995</v>
      </c>
      <c r="Z9" s="7">
        <v>1795.3246169470001</v>
      </c>
    </row>
    <row r="10" spans="2:26" s="1" customFormat="1" ht="14.85" customHeight="1" x14ac:dyDescent="0.15">
      <c r="B10" s="5" t="s">
        <v>28</v>
      </c>
      <c r="C10" s="8">
        <v>2338.7295023769998</v>
      </c>
      <c r="D10" s="8">
        <v>5304.8974331119998</v>
      </c>
      <c r="E10" s="8">
        <v>9579.2568841049997</v>
      </c>
      <c r="F10" s="8">
        <v>7175.1149147859996</v>
      </c>
      <c r="G10" s="8">
        <v>1003.873429643</v>
      </c>
      <c r="H10" s="8">
        <v>5336.6792674589997</v>
      </c>
      <c r="I10" s="8">
        <v>571.33656771000005</v>
      </c>
      <c r="J10" s="8">
        <v>263.22564997400002</v>
      </c>
      <c r="K10" s="8">
        <v>1948.0486359859999</v>
      </c>
      <c r="L10" s="8">
        <v>456.09333333299998</v>
      </c>
      <c r="M10" s="8">
        <v>4274.3594509929999</v>
      </c>
      <c r="N10" s="8">
        <v>4025.8561176600001</v>
      </c>
      <c r="O10" s="8">
        <v>248.503333333</v>
      </c>
      <c r="P10" s="8">
        <v>2966.167930735</v>
      </c>
      <c r="Q10" s="8">
        <v>2051.9586111110002</v>
      </c>
      <c r="R10" s="8">
        <v>634.15595833299994</v>
      </c>
      <c r="S10" s="8">
        <v>485.06</v>
      </c>
      <c r="T10" s="8">
        <v>205.00663871</v>
      </c>
      <c r="U10" s="8">
        <v>2435.1689792880002</v>
      </c>
      <c r="V10" s="8">
        <v>0</v>
      </c>
      <c r="W10" s="8">
        <v>2725.986953269</v>
      </c>
      <c r="X10" s="8">
        <v>0</v>
      </c>
      <c r="Y10" s="8">
        <v>290.81797398100002</v>
      </c>
      <c r="Z10" s="9">
        <v>4773.898481665</v>
      </c>
    </row>
    <row r="11" spans="2:26" s="1" customFormat="1" ht="14.85" customHeight="1" x14ac:dyDescent="0.15">
      <c r="B11" s="5" t="s">
        <v>29</v>
      </c>
      <c r="C11" s="6">
        <v>919.17600392700001</v>
      </c>
      <c r="D11" s="6">
        <v>3550.0739346609998</v>
      </c>
      <c r="E11" s="6">
        <v>7824.4333856550002</v>
      </c>
      <c r="F11" s="6">
        <v>5420.2914163360001</v>
      </c>
      <c r="G11" s="6">
        <v>59.871250484000001</v>
      </c>
      <c r="H11" s="6">
        <v>3494.2156766100002</v>
      </c>
      <c r="I11" s="6">
        <v>1602.978839267</v>
      </c>
      <c r="J11" s="6">
        <v>263.22564997400002</v>
      </c>
      <c r="K11" s="6">
        <v>1948.0486359859999</v>
      </c>
      <c r="L11" s="6">
        <v>456.09333333299998</v>
      </c>
      <c r="M11" s="6">
        <v>4274.3594509929999</v>
      </c>
      <c r="N11" s="6">
        <v>4025.8561176600001</v>
      </c>
      <c r="O11" s="6">
        <v>248.503333333</v>
      </c>
      <c r="P11" s="6">
        <v>2630.897930735</v>
      </c>
      <c r="Q11" s="6">
        <v>794.688611111</v>
      </c>
      <c r="R11" s="6">
        <v>634.15595833299994</v>
      </c>
      <c r="S11" s="6">
        <v>1407.06</v>
      </c>
      <c r="T11" s="6">
        <v>205.00663871</v>
      </c>
      <c r="U11" s="6">
        <v>1301.7567979380001</v>
      </c>
      <c r="V11" s="6">
        <v>0</v>
      </c>
      <c r="W11" s="6">
        <v>1592.5747719190001</v>
      </c>
      <c r="X11" s="6">
        <v>0</v>
      </c>
      <c r="Y11" s="6">
        <v>290.81797398100002</v>
      </c>
      <c r="Z11" s="7">
        <v>2220.9328018639999</v>
      </c>
    </row>
    <row r="12" spans="2:26" s="1" customFormat="1" ht="14.85" customHeight="1" x14ac:dyDescent="0.15">
      <c r="B12" s="5" t="s">
        <v>30</v>
      </c>
      <c r="C12" s="8">
        <v>1609.300338607</v>
      </c>
      <c r="D12" s="8">
        <v>4951.9982693419997</v>
      </c>
      <c r="E12" s="8">
        <v>9226.3577203349996</v>
      </c>
      <c r="F12" s="8">
        <v>6822.2157510159996</v>
      </c>
      <c r="G12" s="8">
        <v>296.71836386500001</v>
      </c>
      <c r="H12" s="8">
        <v>4696.4874646910002</v>
      </c>
      <c r="I12" s="8">
        <v>1565.784272486</v>
      </c>
      <c r="J12" s="8">
        <v>263.22564997400002</v>
      </c>
      <c r="K12" s="8">
        <v>1948.0486359859999</v>
      </c>
      <c r="L12" s="8">
        <v>456.09333333299998</v>
      </c>
      <c r="M12" s="8">
        <v>4274.3594509929999</v>
      </c>
      <c r="N12" s="8">
        <v>4025.8561176600001</v>
      </c>
      <c r="O12" s="8">
        <v>248.503333333</v>
      </c>
      <c r="P12" s="8">
        <v>3342.6979307350002</v>
      </c>
      <c r="Q12" s="8">
        <v>1959.168611111</v>
      </c>
      <c r="R12" s="8">
        <v>634.15595833299994</v>
      </c>
      <c r="S12" s="8">
        <v>954.38</v>
      </c>
      <c r="T12" s="8">
        <v>205.00663871</v>
      </c>
      <c r="U12" s="8">
        <v>-2128.6787872489999</v>
      </c>
      <c r="V12" s="8">
        <v>0</v>
      </c>
      <c r="W12" s="8">
        <v>-1837.8608132679999</v>
      </c>
      <c r="X12" s="8">
        <v>0</v>
      </c>
      <c r="Y12" s="8">
        <v>290.81797398100002</v>
      </c>
      <c r="Z12" s="9">
        <v>-519.37844864199997</v>
      </c>
    </row>
    <row r="13" spans="2:26" s="1" customFormat="1" ht="14.85" customHeight="1" x14ac:dyDescent="0.15">
      <c r="B13" s="5" t="s">
        <v>31</v>
      </c>
      <c r="C13" s="6">
        <v>-501.87034969699999</v>
      </c>
      <c r="D13" s="6">
        <v>3387.5669703550002</v>
      </c>
      <c r="E13" s="6">
        <v>5879.0130525490003</v>
      </c>
      <c r="F13" s="6">
        <v>3240.2244520270001</v>
      </c>
      <c r="G13" s="6">
        <v>306.89431653899999</v>
      </c>
      <c r="H13" s="6">
        <v>2440.3921455220002</v>
      </c>
      <c r="I13" s="6">
        <v>404.86546473200002</v>
      </c>
      <c r="J13" s="6">
        <v>88.072525233999997</v>
      </c>
      <c r="K13" s="6">
        <v>2055.0119338549998</v>
      </c>
      <c r="L13" s="6">
        <v>583.77666666699997</v>
      </c>
      <c r="M13" s="6">
        <v>2491.4460821940002</v>
      </c>
      <c r="N13" s="6">
        <v>2399.7394370410002</v>
      </c>
      <c r="O13" s="6">
        <v>91.706645152999997</v>
      </c>
      <c r="P13" s="6">
        <v>3889.4373200529999</v>
      </c>
      <c r="Q13" s="6">
        <v>2408.2986111109999</v>
      </c>
      <c r="R13" s="6">
        <v>570.51530000000002</v>
      </c>
      <c r="S13" s="6">
        <v>1232.92</v>
      </c>
      <c r="T13" s="6">
        <v>322.29659105899998</v>
      </c>
      <c r="U13" s="6">
        <v>4042.5282356709999</v>
      </c>
      <c r="V13" s="6">
        <v>0</v>
      </c>
      <c r="W13" s="6">
        <v>3997.195132026</v>
      </c>
      <c r="X13" s="6">
        <v>0</v>
      </c>
      <c r="Y13" s="6">
        <v>-45.333103645000001</v>
      </c>
      <c r="Z13" s="7">
        <v>3540.6578859739998</v>
      </c>
    </row>
    <row r="14" spans="2:26" s="1" customFormat="1" ht="14.85" customHeight="1" x14ac:dyDescent="0.15">
      <c r="B14" s="5" t="s">
        <v>32</v>
      </c>
      <c r="C14" s="8">
        <v>-703.12821799300002</v>
      </c>
      <c r="D14" s="8">
        <v>3066.4291020589999</v>
      </c>
      <c r="E14" s="8">
        <v>5557.8751842539996</v>
      </c>
      <c r="F14" s="8">
        <v>2919.0865837319998</v>
      </c>
      <c r="G14" s="8">
        <v>37.078740473000003</v>
      </c>
      <c r="H14" s="8">
        <v>2291.4389289989999</v>
      </c>
      <c r="I14" s="8">
        <v>502.49638902499998</v>
      </c>
      <c r="J14" s="8">
        <v>88.072525233999997</v>
      </c>
      <c r="K14" s="8">
        <v>2055.0119338549998</v>
      </c>
      <c r="L14" s="8">
        <v>583.77666666699997</v>
      </c>
      <c r="M14" s="8">
        <v>2491.4460821940002</v>
      </c>
      <c r="N14" s="8">
        <v>2399.7394370410002</v>
      </c>
      <c r="O14" s="8">
        <v>91.706645152999997</v>
      </c>
      <c r="P14" s="8">
        <v>3769.5573200529998</v>
      </c>
      <c r="Q14" s="8">
        <v>2700.6286111109998</v>
      </c>
      <c r="R14" s="8">
        <v>570.51530000000002</v>
      </c>
      <c r="S14" s="8">
        <v>820.71</v>
      </c>
      <c r="T14" s="8">
        <v>322.29659105899998</v>
      </c>
      <c r="U14" s="8">
        <v>-3971.6775755190001</v>
      </c>
      <c r="V14" s="8">
        <v>0</v>
      </c>
      <c r="W14" s="8">
        <v>-4017.0106791640001</v>
      </c>
      <c r="X14" s="8">
        <v>0</v>
      </c>
      <c r="Y14" s="8">
        <v>-45.333103645000001</v>
      </c>
      <c r="Z14" s="9">
        <v>-4674.8057935119996</v>
      </c>
    </row>
    <row r="15" spans="2:26" s="1" customFormat="1" ht="14.85" customHeight="1" x14ac:dyDescent="0.15">
      <c r="B15" s="5" t="s">
        <v>33</v>
      </c>
      <c r="C15" s="6">
        <v>1571.3770729089999</v>
      </c>
      <c r="D15" s="6">
        <v>3598.5043929610001</v>
      </c>
      <c r="E15" s="6">
        <v>6089.9504751559998</v>
      </c>
      <c r="F15" s="6">
        <v>3451.161874634</v>
      </c>
      <c r="G15" s="6">
        <v>16.089452904000002</v>
      </c>
      <c r="H15" s="6">
        <v>2587.784688185</v>
      </c>
      <c r="I15" s="6">
        <v>759.21520830999998</v>
      </c>
      <c r="J15" s="6">
        <v>88.072525233999997</v>
      </c>
      <c r="K15" s="6">
        <v>2055.0119338549998</v>
      </c>
      <c r="L15" s="6">
        <v>583.77666666699997</v>
      </c>
      <c r="M15" s="6">
        <v>2491.4460821940002</v>
      </c>
      <c r="N15" s="6">
        <v>2399.7394370410002</v>
      </c>
      <c r="O15" s="6">
        <v>91.706645152999997</v>
      </c>
      <c r="P15" s="6">
        <v>2027.1273200529999</v>
      </c>
      <c r="Q15" s="6">
        <v>1212.168611111</v>
      </c>
      <c r="R15" s="6">
        <v>570.51530000000002</v>
      </c>
      <c r="S15" s="6">
        <v>566.74</v>
      </c>
      <c r="T15" s="6">
        <v>322.29659105899998</v>
      </c>
      <c r="U15" s="6">
        <v>-5929.4822964630002</v>
      </c>
      <c r="V15" s="6">
        <v>0</v>
      </c>
      <c r="W15" s="6">
        <v>-5974.8154001080002</v>
      </c>
      <c r="X15" s="6">
        <v>0</v>
      </c>
      <c r="Y15" s="6">
        <v>-45.333103645000001</v>
      </c>
      <c r="Z15" s="7">
        <v>-4358.1052235540001</v>
      </c>
    </row>
    <row r="16" spans="2:26" s="1" customFormat="1" ht="14.85" customHeight="1" x14ac:dyDescent="0.15">
      <c r="B16" s="5" t="s">
        <v>34</v>
      </c>
      <c r="C16" s="8">
        <v>-188.931934794</v>
      </c>
      <c r="D16" s="8">
        <v>1914.6519803040001</v>
      </c>
      <c r="E16" s="8">
        <v>7320.5185761610001</v>
      </c>
      <c r="F16" s="8">
        <v>4458.3454456330001</v>
      </c>
      <c r="G16" s="8">
        <v>1247.502116309</v>
      </c>
      <c r="H16" s="8">
        <v>1542.830395751</v>
      </c>
      <c r="I16" s="8">
        <v>1583.243950433</v>
      </c>
      <c r="J16" s="8">
        <v>84.768983141000007</v>
      </c>
      <c r="K16" s="8">
        <v>1977.929797195</v>
      </c>
      <c r="L16" s="8">
        <v>884.24333333300001</v>
      </c>
      <c r="M16" s="8">
        <v>5405.8665958580004</v>
      </c>
      <c r="N16" s="8">
        <v>5212.2665983939996</v>
      </c>
      <c r="O16" s="8">
        <v>193.59999746400001</v>
      </c>
      <c r="P16" s="8">
        <v>2103.583915098</v>
      </c>
      <c r="Q16" s="8">
        <v>1240.7686111109999</v>
      </c>
      <c r="R16" s="8">
        <v>570.51530000000002</v>
      </c>
      <c r="S16" s="8">
        <v>596.66</v>
      </c>
      <c r="T16" s="8">
        <v>304.359996013</v>
      </c>
      <c r="U16" s="8">
        <v>1811.7786821</v>
      </c>
      <c r="V16" s="8">
        <v>0</v>
      </c>
      <c r="W16" s="8">
        <v>1790.9086762960001</v>
      </c>
      <c r="X16" s="8">
        <v>0</v>
      </c>
      <c r="Y16" s="8">
        <v>-20.870005805000002</v>
      </c>
      <c r="Z16" s="9">
        <v>1622.846747306</v>
      </c>
    </row>
    <row r="17" spans="2:26" s="1" customFormat="1" ht="14.85" customHeight="1" x14ac:dyDescent="0.15">
      <c r="B17" s="5" t="s">
        <v>35</v>
      </c>
      <c r="C17" s="6">
        <v>-2492.75990804</v>
      </c>
      <c r="D17" s="6">
        <v>-173.79599294299999</v>
      </c>
      <c r="E17" s="6">
        <v>5232.0706029149997</v>
      </c>
      <c r="F17" s="6">
        <v>2369.8974723870001</v>
      </c>
      <c r="G17" s="6">
        <v>71.880626355000004</v>
      </c>
      <c r="H17" s="6">
        <v>1675.991686456</v>
      </c>
      <c r="I17" s="6">
        <v>537.25617643500004</v>
      </c>
      <c r="J17" s="6">
        <v>84.768983141000007</v>
      </c>
      <c r="K17" s="6">
        <v>1977.929797195</v>
      </c>
      <c r="L17" s="6">
        <v>884.24333333300001</v>
      </c>
      <c r="M17" s="6">
        <v>5405.8665958580004</v>
      </c>
      <c r="N17" s="6">
        <v>5212.2665983939996</v>
      </c>
      <c r="O17" s="6">
        <v>193.59999746400001</v>
      </c>
      <c r="P17" s="6">
        <v>2318.9639150980001</v>
      </c>
      <c r="Q17" s="6">
        <v>1086.708611111</v>
      </c>
      <c r="R17" s="6">
        <v>570.51530000000002</v>
      </c>
      <c r="S17" s="6">
        <v>966.1</v>
      </c>
      <c r="T17" s="6">
        <v>304.359996013</v>
      </c>
      <c r="U17" s="6">
        <v>-2256.9439343509998</v>
      </c>
      <c r="V17" s="6">
        <v>0</v>
      </c>
      <c r="W17" s="6">
        <v>-2277.8139401550002</v>
      </c>
      <c r="X17" s="6">
        <v>0</v>
      </c>
      <c r="Y17" s="6">
        <v>-20.870005805000002</v>
      </c>
      <c r="Z17" s="7">
        <v>-4749.7038423909999</v>
      </c>
    </row>
    <row r="18" spans="2:26" s="1" customFormat="1" ht="14.85" customHeight="1" x14ac:dyDescent="0.15">
      <c r="B18" s="5" t="s">
        <v>36</v>
      </c>
      <c r="C18" s="8">
        <v>-128.506508634</v>
      </c>
      <c r="D18" s="8">
        <v>1763.6674064639999</v>
      </c>
      <c r="E18" s="8">
        <v>7169.5340023219997</v>
      </c>
      <c r="F18" s="8">
        <v>4307.3608717939996</v>
      </c>
      <c r="G18" s="8">
        <v>148.55298813799999</v>
      </c>
      <c r="H18" s="8">
        <v>3524.2031189180002</v>
      </c>
      <c r="I18" s="8">
        <v>549.83578159700005</v>
      </c>
      <c r="J18" s="8">
        <v>84.768983141000007</v>
      </c>
      <c r="K18" s="8">
        <v>1977.929797195</v>
      </c>
      <c r="L18" s="8">
        <v>884.24333333300001</v>
      </c>
      <c r="M18" s="8">
        <v>5405.8665958580004</v>
      </c>
      <c r="N18" s="8">
        <v>5212.2665983939996</v>
      </c>
      <c r="O18" s="8">
        <v>193.59999746400001</v>
      </c>
      <c r="P18" s="8">
        <v>1892.173915098</v>
      </c>
      <c r="Q18" s="8">
        <v>985.32861111099999</v>
      </c>
      <c r="R18" s="8">
        <v>570.51530000000002</v>
      </c>
      <c r="S18" s="8">
        <v>640.69000000000005</v>
      </c>
      <c r="T18" s="8">
        <v>304.359996013</v>
      </c>
      <c r="U18" s="8">
        <v>-10926.871234484001</v>
      </c>
      <c r="V18" s="8">
        <v>0</v>
      </c>
      <c r="W18" s="8">
        <v>-10947.741240289</v>
      </c>
      <c r="X18" s="8">
        <v>0</v>
      </c>
      <c r="Y18" s="8">
        <v>-20.870005805000002</v>
      </c>
      <c r="Z18" s="9">
        <v>-11055.377743118001</v>
      </c>
    </row>
    <row r="19" spans="2:26" s="1" customFormat="1" ht="14.85" customHeight="1" x14ac:dyDescent="0.15">
      <c r="B19" s="5" t="s">
        <v>37</v>
      </c>
      <c r="C19" s="6">
        <v>-1175.36628799</v>
      </c>
      <c r="D19" s="6">
        <v>1124.4475940570001</v>
      </c>
      <c r="E19" s="6">
        <v>6331.8684224890003</v>
      </c>
      <c r="F19" s="6">
        <v>4084.0943564849999</v>
      </c>
      <c r="G19" s="6">
        <v>3.3058274399999998</v>
      </c>
      <c r="H19" s="6">
        <v>2487.2018553309999</v>
      </c>
      <c r="I19" s="6">
        <v>1515.9703903730001</v>
      </c>
      <c r="J19" s="6">
        <v>77.616283339999995</v>
      </c>
      <c r="K19" s="6">
        <v>1811.5907326710001</v>
      </c>
      <c r="L19" s="6">
        <v>436.18333333300001</v>
      </c>
      <c r="M19" s="6">
        <v>5207.4208284309998</v>
      </c>
      <c r="N19" s="6">
        <v>5005.3674629540001</v>
      </c>
      <c r="O19" s="6">
        <v>202.053365477</v>
      </c>
      <c r="P19" s="6">
        <v>2299.8138820479999</v>
      </c>
      <c r="Q19" s="6">
        <v>881.48861111099995</v>
      </c>
      <c r="R19" s="6">
        <v>570.51530000000002</v>
      </c>
      <c r="S19" s="6">
        <v>1030.5</v>
      </c>
      <c r="T19" s="6">
        <v>182.69002906399999</v>
      </c>
      <c r="U19" s="6">
        <v>9712.4546855810004</v>
      </c>
      <c r="V19" s="6">
        <v>0</v>
      </c>
      <c r="W19" s="6">
        <v>9700.7913393990002</v>
      </c>
      <c r="X19" s="6">
        <v>0</v>
      </c>
      <c r="Y19" s="6">
        <v>-11.663346182</v>
      </c>
      <c r="Z19" s="7">
        <v>8537.0883975910001</v>
      </c>
    </row>
    <row r="20" spans="2:26" s="1" customFormat="1" ht="14.85" customHeight="1" x14ac:dyDescent="0.15">
      <c r="B20" s="5" t="s">
        <v>38</v>
      </c>
      <c r="C20" s="8">
        <v>1042.407940755</v>
      </c>
      <c r="D20" s="8">
        <v>3510.7818228030001</v>
      </c>
      <c r="E20" s="8">
        <v>8718.2026512339999</v>
      </c>
      <c r="F20" s="8">
        <v>6470.42858523</v>
      </c>
      <c r="G20" s="8">
        <v>55.686424010000003</v>
      </c>
      <c r="H20" s="8">
        <v>4273.4085855900003</v>
      </c>
      <c r="I20" s="8">
        <v>2063.7172922889999</v>
      </c>
      <c r="J20" s="8">
        <v>77.616283339999995</v>
      </c>
      <c r="K20" s="8">
        <v>1811.5907326710001</v>
      </c>
      <c r="L20" s="8">
        <v>436.18333333300001</v>
      </c>
      <c r="M20" s="8">
        <v>5207.4208284309998</v>
      </c>
      <c r="N20" s="8">
        <v>5005.3674629540001</v>
      </c>
      <c r="O20" s="8">
        <v>202.053365477</v>
      </c>
      <c r="P20" s="8">
        <v>2468.3738820479998</v>
      </c>
      <c r="Q20" s="8">
        <v>1329.888611111</v>
      </c>
      <c r="R20" s="8">
        <v>570.51530000000002</v>
      </c>
      <c r="S20" s="8">
        <v>750.66</v>
      </c>
      <c r="T20" s="8">
        <v>182.69002906399999</v>
      </c>
      <c r="U20" s="8">
        <v>4297.8040773330004</v>
      </c>
      <c r="V20" s="8">
        <v>0</v>
      </c>
      <c r="W20" s="8">
        <v>4286.1407311510002</v>
      </c>
      <c r="X20" s="8">
        <v>0</v>
      </c>
      <c r="Y20" s="8">
        <v>-11.663346182</v>
      </c>
      <c r="Z20" s="9">
        <v>5340.2120180889997</v>
      </c>
    </row>
    <row r="21" spans="2:26" s="1" customFormat="1" ht="14.85" customHeight="1" x14ac:dyDescent="0.15">
      <c r="B21" s="5" t="s">
        <v>39</v>
      </c>
      <c r="C21" s="6">
        <v>-2687.9896341970002</v>
      </c>
      <c r="D21" s="6">
        <v>331.41424784999998</v>
      </c>
      <c r="E21" s="6">
        <v>5538.835076282</v>
      </c>
      <c r="F21" s="6">
        <v>3291.0610102770002</v>
      </c>
      <c r="G21" s="6">
        <v>111.800788555</v>
      </c>
      <c r="H21" s="6">
        <v>2099.2505513390001</v>
      </c>
      <c r="I21" s="6">
        <v>1002.393387042</v>
      </c>
      <c r="J21" s="6">
        <v>77.616283339999995</v>
      </c>
      <c r="K21" s="6">
        <v>1811.5907326710001</v>
      </c>
      <c r="L21" s="6">
        <v>436.18333333300001</v>
      </c>
      <c r="M21" s="6">
        <v>5207.4208284309998</v>
      </c>
      <c r="N21" s="6">
        <v>5005.3674629540001</v>
      </c>
      <c r="O21" s="6">
        <v>202.053365477</v>
      </c>
      <c r="P21" s="6">
        <v>3019.403882048</v>
      </c>
      <c r="Q21" s="6">
        <v>2371.9186111109998</v>
      </c>
      <c r="R21" s="6">
        <v>570.51530000000002</v>
      </c>
      <c r="S21" s="6">
        <v>259.66000000000003</v>
      </c>
      <c r="T21" s="6">
        <v>182.69002906399999</v>
      </c>
      <c r="U21" s="6">
        <v>5839.8023076139998</v>
      </c>
      <c r="V21" s="6">
        <v>0</v>
      </c>
      <c r="W21" s="6">
        <v>5828.1389614319996</v>
      </c>
      <c r="X21" s="6">
        <v>0</v>
      </c>
      <c r="Y21" s="6">
        <v>-11.663346182</v>
      </c>
      <c r="Z21" s="7">
        <v>3151.812673417</v>
      </c>
    </row>
    <row r="22" spans="2:26" s="1" customFormat="1" ht="14.85" customHeight="1" x14ac:dyDescent="0.15">
      <c r="B22" s="5" t="s">
        <v>40</v>
      </c>
      <c r="C22" s="8">
        <v>2241.649171343</v>
      </c>
      <c r="D22" s="8">
        <v>3557.3665180100002</v>
      </c>
      <c r="E22" s="8">
        <v>7614.5054334799997</v>
      </c>
      <c r="F22" s="8">
        <v>5489.2556007040002</v>
      </c>
      <c r="G22" s="8">
        <v>118.150853008</v>
      </c>
      <c r="H22" s="8">
        <v>3244.4722423180001</v>
      </c>
      <c r="I22" s="8">
        <v>2051.9894451390001</v>
      </c>
      <c r="J22" s="8">
        <v>74.643060239999997</v>
      </c>
      <c r="K22" s="8">
        <v>1741.659832777</v>
      </c>
      <c r="L22" s="8">
        <v>383.59</v>
      </c>
      <c r="M22" s="8">
        <v>4057.138915471</v>
      </c>
      <c r="N22" s="8">
        <v>3891.0822931930002</v>
      </c>
      <c r="O22" s="8">
        <v>166.056622277</v>
      </c>
      <c r="P22" s="8">
        <v>1315.7173466669999</v>
      </c>
      <c r="Q22" s="8">
        <v>844.33861111099998</v>
      </c>
      <c r="R22" s="8">
        <v>570.51530000000002</v>
      </c>
      <c r="S22" s="8">
        <v>283.27</v>
      </c>
      <c r="T22" s="8">
        <v>382.40656444400003</v>
      </c>
      <c r="U22" s="8">
        <v>5448.7688182490001</v>
      </c>
      <c r="V22" s="8">
        <v>0</v>
      </c>
      <c r="W22" s="8">
        <v>5432.9321418890004</v>
      </c>
      <c r="X22" s="8">
        <v>0</v>
      </c>
      <c r="Y22" s="8">
        <v>-15.83667636</v>
      </c>
      <c r="Z22" s="9">
        <v>7690.4179895919997</v>
      </c>
    </row>
    <row r="23" spans="2:26" s="1" customFormat="1" ht="14.85" customHeight="1" x14ac:dyDescent="0.15">
      <c r="B23" s="5" t="s">
        <v>41</v>
      </c>
      <c r="C23" s="6">
        <v>2203.1124084359999</v>
      </c>
      <c r="D23" s="6">
        <v>3996.0197551030001</v>
      </c>
      <c r="E23" s="6">
        <v>8053.1586705740001</v>
      </c>
      <c r="F23" s="6">
        <v>5927.9088377970002</v>
      </c>
      <c r="G23" s="6">
        <v>79.582078936000002</v>
      </c>
      <c r="H23" s="6">
        <v>3787.4937714429998</v>
      </c>
      <c r="I23" s="6">
        <v>1986.1899271790001</v>
      </c>
      <c r="J23" s="6">
        <v>74.643060239999997</v>
      </c>
      <c r="K23" s="6">
        <v>1741.659832777</v>
      </c>
      <c r="L23" s="6">
        <v>383.59</v>
      </c>
      <c r="M23" s="6">
        <v>4057.138915471</v>
      </c>
      <c r="N23" s="6">
        <v>3891.0822931930002</v>
      </c>
      <c r="O23" s="6">
        <v>166.056622277</v>
      </c>
      <c r="P23" s="6">
        <v>1792.907346667</v>
      </c>
      <c r="Q23" s="6">
        <v>1168.1186111110001</v>
      </c>
      <c r="R23" s="6">
        <v>570.51530000000002</v>
      </c>
      <c r="S23" s="6">
        <v>436.68</v>
      </c>
      <c r="T23" s="6">
        <v>382.40656444400003</v>
      </c>
      <c r="U23" s="6">
        <v>-1820.650242125</v>
      </c>
      <c r="V23" s="6">
        <v>0</v>
      </c>
      <c r="W23" s="6">
        <v>-1836.4869184849999</v>
      </c>
      <c r="X23" s="6">
        <v>0</v>
      </c>
      <c r="Y23" s="6">
        <v>-15.83667636</v>
      </c>
      <c r="Z23" s="7">
        <v>382.46216631099998</v>
      </c>
    </row>
    <row r="24" spans="2:26" s="1" customFormat="1" ht="14.85" customHeight="1" x14ac:dyDescent="0.15">
      <c r="B24" s="5" t="s">
        <v>42</v>
      </c>
      <c r="C24" s="8">
        <v>1778.9026864069999</v>
      </c>
      <c r="D24" s="8">
        <v>3052.4900330740002</v>
      </c>
      <c r="E24" s="8">
        <v>7109.6289485440002</v>
      </c>
      <c r="F24" s="8">
        <v>4984.3791157679998</v>
      </c>
      <c r="G24" s="8">
        <v>11.434427654</v>
      </c>
      <c r="H24" s="8">
        <v>4731.8196223799996</v>
      </c>
      <c r="I24" s="8">
        <v>166.48200549399999</v>
      </c>
      <c r="J24" s="8">
        <v>74.643060239999997</v>
      </c>
      <c r="K24" s="8">
        <v>1741.659832777</v>
      </c>
      <c r="L24" s="8">
        <v>383.59</v>
      </c>
      <c r="M24" s="8">
        <v>4057.138915471</v>
      </c>
      <c r="N24" s="8">
        <v>3891.0822931930002</v>
      </c>
      <c r="O24" s="8">
        <v>166.056622277</v>
      </c>
      <c r="P24" s="8">
        <v>1273.587346667</v>
      </c>
      <c r="Q24" s="8">
        <v>715.188611111</v>
      </c>
      <c r="R24" s="8">
        <v>570.51530000000002</v>
      </c>
      <c r="S24" s="8">
        <v>370.29</v>
      </c>
      <c r="T24" s="8">
        <v>382.40656444400003</v>
      </c>
      <c r="U24" s="8">
        <v>-2683.378347884</v>
      </c>
      <c r="V24" s="8">
        <v>0</v>
      </c>
      <c r="W24" s="8">
        <v>-2699.2150242450002</v>
      </c>
      <c r="X24" s="8">
        <v>0</v>
      </c>
      <c r="Y24" s="8">
        <v>-15.83667636</v>
      </c>
      <c r="Z24" s="9">
        <v>-904.47566147800001</v>
      </c>
    </row>
    <row r="25" spans="2:26" s="1" customFormat="1" ht="14.85" customHeight="1" x14ac:dyDescent="0.15">
      <c r="B25" s="5" t="s">
        <v>43</v>
      </c>
      <c r="C25" s="6">
        <v>-1360.6105880729999</v>
      </c>
      <c r="D25" s="6">
        <v>2301.5029996200001</v>
      </c>
      <c r="E25" s="6">
        <v>6105.0955888219996</v>
      </c>
      <c r="F25" s="6">
        <v>3868.0321505699999</v>
      </c>
      <c r="G25" s="6">
        <v>64.303909822999998</v>
      </c>
      <c r="H25" s="6">
        <v>3107.393402483</v>
      </c>
      <c r="I25" s="6">
        <v>570.99528907199999</v>
      </c>
      <c r="J25" s="6">
        <v>125.339549193</v>
      </c>
      <c r="K25" s="6">
        <v>1777.493438252</v>
      </c>
      <c r="L25" s="6">
        <v>459.57</v>
      </c>
      <c r="M25" s="6">
        <v>3803.592589203</v>
      </c>
      <c r="N25" s="6">
        <v>3644.5926203089998</v>
      </c>
      <c r="O25" s="6">
        <v>158.99996889299999</v>
      </c>
      <c r="P25" s="6">
        <v>3662.1135876930002</v>
      </c>
      <c r="Q25" s="6">
        <v>2109.7864583330002</v>
      </c>
      <c r="R25" s="6">
        <v>482.12708333299997</v>
      </c>
      <c r="S25" s="6">
        <v>1305.46</v>
      </c>
      <c r="T25" s="6">
        <v>235.25995397400001</v>
      </c>
      <c r="U25" s="6">
        <v>7785.3032646789998</v>
      </c>
      <c r="V25" s="6">
        <v>0</v>
      </c>
      <c r="W25" s="6">
        <v>7847.7499419899996</v>
      </c>
      <c r="X25" s="6">
        <v>0</v>
      </c>
      <c r="Y25" s="6">
        <v>62.446677311000002</v>
      </c>
      <c r="Z25" s="7">
        <v>6424.6926766059996</v>
      </c>
    </row>
    <row r="26" spans="2:26" s="1" customFormat="1" ht="14.85" customHeight="1" x14ac:dyDescent="0.15">
      <c r="B26" s="5" t="s">
        <v>44</v>
      </c>
      <c r="C26" s="8">
        <v>-22.939274167000001</v>
      </c>
      <c r="D26" s="8">
        <v>1207.7343135260001</v>
      </c>
      <c r="E26" s="8">
        <v>5011.3269027289998</v>
      </c>
      <c r="F26" s="8">
        <v>2774.2634644760001</v>
      </c>
      <c r="G26" s="8">
        <v>46.820397706000001</v>
      </c>
      <c r="H26" s="8">
        <v>2135.9266211099998</v>
      </c>
      <c r="I26" s="8">
        <v>466.176896468</v>
      </c>
      <c r="J26" s="8">
        <v>125.339549193</v>
      </c>
      <c r="K26" s="8">
        <v>1777.493438252</v>
      </c>
      <c r="L26" s="8">
        <v>459.57</v>
      </c>
      <c r="M26" s="8">
        <v>3803.592589203</v>
      </c>
      <c r="N26" s="8">
        <v>3644.5926203089998</v>
      </c>
      <c r="O26" s="8">
        <v>158.99996889299999</v>
      </c>
      <c r="P26" s="8">
        <v>1230.6735876929999</v>
      </c>
      <c r="Q26" s="8">
        <v>684.05645833300002</v>
      </c>
      <c r="R26" s="8">
        <v>482.12708333299997</v>
      </c>
      <c r="S26" s="8">
        <v>299.75</v>
      </c>
      <c r="T26" s="8">
        <v>235.25995397400001</v>
      </c>
      <c r="U26" s="8">
        <v>3745.605090735</v>
      </c>
      <c r="V26" s="8">
        <v>0</v>
      </c>
      <c r="W26" s="8">
        <v>3808.0517680449998</v>
      </c>
      <c r="X26" s="8">
        <v>0</v>
      </c>
      <c r="Y26" s="8">
        <v>62.446677311000002</v>
      </c>
      <c r="Z26" s="9">
        <v>3722.6658165680001</v>
      </c>
    </row>
    <row r="27" spans="2:26" s="1" customFormat="1" ht="14.85" customHeight="1" x14ac:dyDescent="0.15">
      <c r="B27" s="5" t="s">
        <v>45</v>
      </c>
      <c r="C27" s="6">
        <v>3682.2791125799999</v>
      </c>
      <c r="D27" s="6">
        <v>4553.572700273</v>
      </c>
      <c r="E27" s="6">
        <v>8357.1652894760009</v>
      </c>
      <c r="F27" s="6">
        <v>6120.1018512230003</v>
      </c>
      <c r="G27" s="6">
        <v>146.78615561300001</v>
      </c>
      <c r="H27" s="6">
        <v>5515.6631584529996</v>
      </c>
      <c r="I27" s="6">
        <v>332.31298796499999</v>
      </c>
      <c r="J27" s="6">
        <v>125.339549193</v>
      </c>
      <c r="K27" s="6">
        <v>1777.493438252</v>
      </c>
      <c r="L27" s="6">
        <v>459.57</v>
      </c>
      <c r="M27" s="6">
        <v>3803.592589203</v>
      </c>
      <c r="N27" s="6">
        <v>3644.5926203089998</v>
      </c>
      <c r="O27" s="6">
        <v>158.99996889299999</v>
      </c>
      <c r="P27" s="6">
        <v>871.29358769299995</v>
      </c>
      <c r="Q27" s="6">
        <v>414.44645833300001</v>
      </c>
      <c r="R27" s="6">
        <v>482.12708333299997</v>
      </c>
      <c r="S27" s="6">
        <v>209.98</v>
      </c>
      <c r="T27" s="6">
        <v>235.25995397400001</v>
      </c>
      <c r="U27" s="6">
        <v>-139.102165402</v>
      </c>
      <c r="V27" s="6">
        <v>0</v>
      </c>
      <c r="W27" s="6">
        <v>-76.655488090999995</v>
      </c>
      <c r="X27" s="6">
        <v>0</v>
      </c>
      <c r="Y27" s="6">
        <v>62.446677311000002</v>
      </c>
      <c r="Z27" s="7">
        <v>3543.1769471779999</v>
      </c>
    </row>
    <row r="28" spans="2:26" s="1" customFormat="1" ht="14.85" customHeight="1" x14ac:dyDescent="0.15">
      <c r="B28" s="5" t="s">
        <v>46</v>
      </c>
      <c r="C28" s="8">
        <v>-654.77417863000005</v>
      </c>
      <c r="D28" s="8">
        <v>1313.2227416769999</v>
      </c>
      <c r="E28" s="8">
        <v>4629.0086120890001</v>
      </c>
      <c r="F28" s="8">
        <v>2495.3016553689999</v>
      </c>
      <c r="G28" s="8">
        <v>103.123583071</v>
      </c>
      <c r="H28" s="8">
        <v>1278.4766624660001</v>
      </c>
      <c r="I28" s="8">
        <v>992.53326660200003</v>
      </c>
      <c r="J28" s="8">
        <v>121.16814323</v>
      </c>
      <c r="K28" s="8">
        <v>1718.33695672</v>
      </c>
      <c r="L28" s="8">
        <v>415.37</v>
      </c>
      <c r="M28" s="8">
        <v>3315.7858704119999</v>
      </c>
      <c r="N28" s="8">
        <v>2924.185964451</v>
      </c>
      <c r="O28" s="8">
        <v>391.59990596099999</v>
      </c>
      <c r="P28" s="8">
        <v>1967.996920307</v>
      </c>
      <c r="Q28" s="8">
        <v>901.53645833300004</v>
      </c>
      <c r="R28" s="8">
        <v>482.12708333299997</v>
      </c>
      <c r="S28" s="8">
        <v>773</v>
      </c>
      <c r="T28" s="8">
        <v>188.66662135999999</v>
      </c>
      <c r="U28" s="8">
        <v>9555.334910304</v>
      </c>
      <c r="V28" s="8">
        <v>0</v>
      </c>
      <c r="W28" s="8">
        <v>9441.7216202849995</v>
      </c>
      <c r="X28" s="8">
        <v>0</v>
      </c>
      <c r="Y28" s="8">
        <v>-113.613290018</v>
      </c>
      <c r="Z28" s="9">
        <v>8900.5607316740006</v>
      </c>
    </row>
    <row r="29" spans="2:26" s="1" customFormat="1" ht="14.85" customHeight="1" x14ac:dyDescent="0.15">
      <c r="B29" s="5" t="s">
        <v>47</v>
      </c>
      <c r="C29" s="6">
        <v>804.33204460499996</v>
      </c>
      <c r="D29" s="6">
        <v>1775.6589649120001</v>
      </c>
      <c r="E29" s="6">
        <v>5091.4448353240005</v>
      </c>
      <c r="F29" s="6">
        <v>2957.7378786039999</v>
      </c>
      <c r="G29" s="6">
        <v>30.791853898999999</v>
      </c>
      <c r="H29" s="6">
        <v>1853.8259109569999</v>
      </c>
      <c r="I29" s="6">
        <v>951.95197051800005</v>
      </c>
      <c r="J29" s="6">
        <v>121.16814323</v>
      </c>
      <c r="K29" s="6">
        <v>1718.33695672</v>
      </c>
      <c r="L29" s="6">
        <v>415.37</v>
      </c>
      <c r="M29" s="6">
        <v>3315.7858704119999</v>
      </c>
      <c r="N29" s="6">
        <v>2924.185964451</v>
      </c>
      <c r="O29" s="6">
        <v>391.59990596099999</v>
      </c>
      <c r="P29" s="6">
        <v>971.32692030700002</v>
      </c>
      <c r="Q29" s="6">
        <v>497.086458333</v>
      </c>
      <c r="R29" s="6">
        <v>482.12708333299997</v>
      </c>
      <c r="S29" s="6">
        <v>180.78</v>
      </c>
      <c r="T29" s="6">
        <v>188.66662135999999</v>
      </c>
      <c r="U29" s="6">
        <v>4197.9620208819997</v>
      </c>
      <c r="V29" s="6">
        <v>0</v>
      </c>
      <c r="W29" s="6">
        <v>4084.3487308630001</v>
      </c>
      <c r="X29" s="6">
        <v>0</v>
      </c>
      <c r="Y29" s="6">
        <v>-113.613290018</v>
      </c>
      <c r="Z29" s="7">
        <v>5002.2940654869999</v>
      </c>
    </row>
    <row r="30" spans="2:26" s="1" customFormat="1" ht="14.85" customHeight="1" x14ac:dyDescent="0.15">
      <c r="B30" s="5" t="s">
        <v>48</v>
      </c>
      <c r="C30" s="8">
        <v>3806.9096909119999</v>
      </c>
      <c r="D30" s="8">
        <v>5277.1066112190001</v>
      </c>
      <c r="E30" s="8">
        <v>8592.8924816309991</v>
      </c>
      <c r="F30" s="8">
        <v>6459.1855249110004</v>
      </c>
      <c r="G30" s="8">
        <v>2.161341695</v>
      </c>
      <c r="H30" s="8">
        <v>2757.4623205399998</v>
      </c>
      <c r="I30" s="8">
        <v>3578.393719446</v>
      </c>
      <c r="J30" s="8">
        <v>121.16814323</v>
      </c>
      <c r="K30" s="8">
        <v>1718.33695672</v>
      </c>
      <c r="L30" s="8">
        <v>415.37</v>
      </c>
      <c r="M30" s="8">
        <v>3315.7858704119999</v>
      </c>
      <c r="N30" s="8">
        <v>2924.185964451</v>
      </c>
      <c r="O30" s="8">
        <v>391.59990596099999</v>
      </c>
      <c r="P30" s="8">
        <v>1470.196920307</v>
      </c>
      <c r="Q30" s="8">
        <v>956.336458333</v>
      </c>
      <c r="R30" s="8">
        <v>482.12708333299997</v>
      </c>
      <c r="S30" s="8">
        <v>220.4</v>
      </c>
      <c r="T30" s="8">
        <v>188.66662135999999</v>
      </c>
      <c r="U30" s="8">
        <v>-1741.1329472739999</v>
      </c>
      <c r="V30" s="8">
        <v>0</v>
      </c>
      <c r="W30" s="8">
        <v>-1854.7462372919999</v>
      </c>
      <c r="X30" s="8">
        <v>0</v>
      </c>
      <c r="Y30" s="8">
        <v>-113.613290018</v>
      </c>
      <c r="Z30" s="9">
        <v>2065.776743638</v>
      </c>
    </row>
    <row r="31" spans="2:26" s="1" customFormat="1" ht="14.85" customHeight="1" x14ac:dyDescent="0.15">
      <c r="B31" s="5" t="s">
        <v>49</v>
      </c>
      <c r="C31" s="6">
        <v>630.95476753699995</v>
      </c>
      <c r="D31" s="6">
        <v>1920.241629271</v>
      </c>
      <c r="E31" s="6">
        <v>6148.9684908219997</v>
      </c>
      <c r="F31" s="6">
        <v>4200.2868151660005</v>
      </c>
      <c r="G31" s="6">
        <v>15.453813999999999</v>
      </c>
      <c r="H31" s="6">
        <v>2586.97376175</v>
      </c>
      <c r="I31" s="6">
        <v>1486.448832993</v>
      </c>
      <c r="J31" s="6">
        <v>111.410406423</v>
      </c>
      <c r="K31" s="6">
        <v>1579.9583423219999</v>
      </c>
      <c r="L31" s="6">
        <v>368.72333333300003</v>
      </c>
      <c r="M31" s="6">
        <v>4228.7268615510002</v>
      </c>
      <c r="N31" s="6">
        <v>4092.5168552730001</v>
      </c>
      <c r="O31" s="6">
        <v>136.21000627699999</v>
      </c>
      <c r="P31" s="6">
        <v>1289.286861734</v>
      </c>
      <c r="Q31" s="6">
        <v>607.24645833299996</v>
      </c>
      <c r="R31" s="6">
        <v>482.12708333299997</v>
      </c>
      <c r="S31" s="6">
        <v>487.76</v>
      </c>
      <c r="T31" s="6">
        <v>287.84667993199997</v>
      </c>
      <c r="U31" s="6">
        <v>-2226.1865656109999</v>
      </c>
      <c r="V31" s="6">
        <v>0</v>
      </c>
      <c r="W31" s="6">
        <v>-2113.0398815950002</v>
      </c>
      <c r="X31" s="6">
        <v>0</v>
      </c>
      <c r="Y31" s="6">
        <v>113.14668401500001</v>
      </c>
      <c r="Z31" s="7">
        <v>-1595.2317980739999</v>
      </c>
    </row>
    <row r="32" spans="2:26" s="1" customFormat="1" ht="14.85" customHeight="1" x14ac:dyDescent="0.15">
      <c r="B32" s="5" t="s">
        <v>50</v>
      </c>
      <c r="C32" s="8">
        <v>-539.58847866199994</v>
      </c>
      <c r="D32" s="8">
        <v>739.05838307199997</v>
      </c>
      <c r="E32" s="8">
        <v>4967.7852446229999</v>
      </c>
      <c r="F32" s="8">
        <v>3019.1035689669998</v>
      </c>
      <c r="G32" s="8">
        <v>78.065711046000004</v>
      </c>
      <c r="H32" s="8">
        <v>1604.7313043690001</v>
      </c>
      <c r="I32" s="8">
        <v>1224.8961471289999</v>
      </c>
      <c r="J32" s="8">
        <v>111.410406423</v>
      </c>
      <c r="K32" s="8">
        <v>1579.9583423219999</v>
      </c>
      <c r="L32" s="8">
        <v>368.72333333300003</v>
      </c>
      <c r="M32" s="8">
        <v>4228.7268615510002</v>
      </c>
      <c r="N32" s="8">
        <v>4092.5168552730001</v>
      </c>
      <c r="O32" s="8">
        <v>136.21000627699999</v>
      </c>
      <c r="P32" s="8">
        <v>1278.6468617339999</v>
      </c>
      <c r="Q32" s="8">
        <v>616.27645833300005</v>
      </c>
      <c r="R32" s="8">
        <v>482.12708333299997</v>
      </c>
      <c r="S32" s="8">
        <v>468.09</v>
      </c>
      <c r="T32" s="8">
        <v>287.84667993199997</v>
      </c>
      <c r="U32" s="8">
        <v>2880.2205372449998</v>
      </c>
      <c r="V32" s="8">
        <v>0</v>
      </c>
      <c r="W32" s="8">
        <v>2993.36722126</v>
      </c>
      <c r="X32" s="8">
        <v>0</v>
      </c>
      <c r="Y32" s="8">
        <v>113.14668401500001</v>
      </c>
      <c r="Z32" s="9">
        <v>2340.6320585829999</v>
      </c>
    </row>
    <row r="33" spans="2:26" s="1" customFormat="1" ht="14.85" customHeight="1" x14ac:dyDescent="0.15">
      <c r="B33" s="5" t="s">
        <v>51</v>
      </c>
      <c r="C33" s="6">
        <v>-924.85236318</v>
      </c>
      <c r="D33" s="6">
        <v>377.47449855500003</v>
      </c>
      <c r="E33" s="6">
        <v>4606.2013601050003</v>
      </c>
      <c r="F33" s="6">
        <v>2657.5196844500001</v>
      </c>
      <c r="G33" s="6">
        <v>53.161837773999999</v>
      </c>
      <c r="H33" s="6">
        <v>1720.734096187</v>
      </c>
      <c r="I33" s="6">
        <v>772.21334406599999</v>
      </c>
      <c r="J33" s="6">
        <v>111.410406423</v>
      </c>
      <c r="K33" s="6">
        <v>1579.9583423219999</v>
      </c>
      <c r="L33" s="6">
        <v>368.72333333300003</v>
      </c>
      <c r="M33" s="6">
        <v>4228.7268615510002</v>
      </c>
      <c r="N33" s="6">
        <v>4092.5168552730001</v>
      </c>
      <c r="O33" s="6">
        <v>136.21000627699999</v>
      </c>
      <c r="P33" s="6">
        <v>1302.326861734</v>
      </c>
      <c r="Q33" s="6">
        <v>459.97645833299998</v>
      </c>
      <c r="R33" s="6">
        <v>482.12708333299997</v>
      </c>
      <c r="S33" s="6">
        <v>648.07000000000005</v>
      </c>
      <c r="T33" s="6">
        <v>287.84667993199997</v>
      </c>
      <c r="U33" s="6">
        <v>4292.4935748939997</v>
      </c>
      <c r="V33" s="6">
        <v>0</v>
      </c>
      <c r="W33" s="6">
        <v>4405.6402589099998</v>
      </c>
      <c r="X33" s="6">
        <v>0</v>
      </c>
      <c r="Y33" s="6">
        <v>113.14668401500001</v>
      </c>
      <c r="Z33" s="7">
        <v>3367.6412117149998</v>
      </c>
    </row>
    <row r="34" spans="2:26" s="1" customFormat="1" ht="14.85" customHeight="1" x14ac:dyDescent="0.15">
      <c r="B34" s="5" t="s">
        <v>52</v>
      </c>
      <c r="C34" s="8">
        <v>1305.482211281</v>
      </c>
      <c r="D34" s="8">
        <v>1967.8156791060001</v>
      </c>
      <c r="E34" s="8">
        <v>5443.6428629880002</v>
      </c>
      <c r="F34" s="8">
        <v>3268.3172293299999</v>
      </c>
      <c r="G34" s="8">
        <v>4.859273333</v>
      </c>
      <c r="H34" s="8">
        <v>2518.8103147209999</v>
      </c>
      <c r="I34" s="8">
        <v>637.921252235</v>
      </c>
      <c r="J34" s="8">
        <v>106.726389043</v>
      </c>
      <c r="K34" s="8">
        <v>1513.5323003250001</v>
      </c>
      <c r="L34" s="8">
        <v>661.79333333299996</v>
      </c>
      <c r="M34" s="8">
        <v>3475.8271838830001</v>
      </c>
      <c r="N34" s="8">
        <v>3116.837130464</v>
      </c>
      <c r="O34" s="8">
        <v>358.99005341899999</v>
      </c>
      <c r="P34" s="8">
        <v>662.33346782399997</v>
      </c>
      <c r="Q34" s="8">
        <v>478.90645833299999</v>
      </c>
      <c r="R34" s="8">
        <v>482.12708333299997</v>
      </c>
      <c r="S34" s="8">
        <v>197.54</v>
      </c>
      <c r="T34" s="8">
        <v>496.24007384200002</v>
      </c>
      <c r="U34" s="8">
        <v>7649.7391989930002</v>
      </c>
      <c r="V34" s="8">
        <v>0</v>
      </c>
      <c r="W34" s="8">
        <v>7769.2078187249999</v>
      </c>
      <c r="X34" s="8">
        <v>0</v>
      </c>
      <c r="Y34" s="8">
        <v>119.46861973199999</v>
      </c>
      <c r="Z34" s="9">
        <v>8955.2214102739999</v>
      </c>
    </row>
    <row r="35" spans="2:26" s="1" customFormat="1" ht="14.85" customHeight="1" x14ac:dyDescent="0.15">
      <c r="B35" s="5" t="s">
        <v>53</v>
      </c>
      <c r="C35" s="6">
        <v>665.607203196</v>
      </c>
      <c r="D35" s="6">
        <v>1484.6006710199999</v>
      </c>
      <c r="E35" s="6">
        <v>4960.4278549029996</v>
      </c>
      <c r="F35" s="6">
        <v>2785.1022212449998</v>
      </c>
      <c r="G35" s="6">
        <v>14.634188956999999</v>
      </c>
      <c r="H35" s="6">
        <v>2120.2492650049999</v>
      </c>
      <c r="I35" s="6">
        <v>543.49237824099998</v>
      </c>
      <c r="J35" s="6">
        <v>106.726389043</v>
      </c>
      <c r="K35" s="6">
        <v>1513.5323003250001</v>
      </c>
      <c r="L35" s="6">
        <v>661.79333333299996</v>
      </c>
      <c r="M35" s="6">
        <v>3475.8271838830001</v>
      </c>
      <c r="N35" s="6">
        <v>3116.837130464</v>
      </c>
      <c r="O35" s="6">
        <v>358.99005341899999</v>
      </c>
      <c r="P35" s="6">
        <v>818.99346782400005</v>
      </c>
      <c r="Q35" s="6">
        <v>612.02645833300005</v>
      </c>
      <c r="R35" s="6">
        <v>482.12708333299997</v>
      </c>
      <c r="S35" s="6">
        <v>221.08</v>
      </c>
      <c r="T35" s="6">
        <v>496.24007384200002</v>
      </c>
      <c r="U35" s="6">
        <v>5986.0440497939999</v>
      </c>
      <c r="V35" s="6">
        <v>0</v>
      </c>
      <c r="W35" s="6">
        <v>6105.5126695259996</v>
      </c>
      <c r="X35" s="6">
        <v>0</v>
      </c>
      <c r="Y35" s="6">
        <v>119.46861973199999</v>
      </c>
      <c r="Z35" s="7">
        <v>6651.6512529900001</v>
      </c>
    </row>
    <row r="36" spans="2:26" s="1" customFormat="1" ht="14.85" customHeight="1" x14ac:dyDescent="0.15">
      <c r="B36" s="5" t="s">
        <v>54</v>
      </c>
      <c r="C36" s="8">
        <v>2758.7793266899998</v>
      </c>
      <c r="D36" s="8">
        <v>3911.8327945139999</v>
      </c>
      <c r="E36" s="8">
        <v>7387.6599783969996</v>
      </c>
      <c r="F36" s="8">
        <v>5212.3343447389998</v>
      </c>
      <c r="G36" s="8">
        <v>25.131883617</v>
      </c>
      <c r="H36" s="8">
        <v>4625.2680740489996</v>
      </c>
      <c r="I36" s="8">
        <v>455.20799803</v>
      </c>
      <c r="J36" s="8">
        <v>106.726389043</v>
      </c>
      <c r="K36" s="8">
        <v>1513.5323003250001</v>
      </c>
      <c r="L36" s="8">
        <v>661.79333333299996</v>
      </c>
      <c r="M36" s="8">
        <v>3475.8271838830001</v>
      </c>
      <c r="N36" s="8">
        <v>3116.837130464</v>
      </c>
      <c r="O36" s="8">
        <v>358.99005341899999</v>
      </c>
      <c r="P36" s="8">
        <v>1153.0534678240001</v>
      </c>
      <c r="Q36" s="8">
        <v>773.05645833300002</v>
      </c>
      <c r="R36" s="8">
        <v>482.12708333299997</v>
      </c>
      <c r="S36" s="8">
        <v>394.11</v>
      </c>
      <c r="T36" s="8">
        <v>496.24007384200002</v>
      </c>
      <c r="U36" s="8">
        <v>2095.0386742860001</v>
      </c>
      <c r="V36" s="8">
        <v>0</v>
      </c>
      <c r="W36" s="8">
        <v>2214.5072940179998</v>
      </c>
      <c r="X36" s="8">
        <v>0</v>
      </c>
      <c r="Y36" s="8">
        <v>119.46861973199999</v>
      </c>
      <c r="Z36" s="9">
        <v>4853.8180009750004</v>
      </c>
    </row>
    <row r="37" spans="2:26" s="1" customFormat="1" ht="14.85" customHeight="1" x14ac:dyDescent="0.15">
      <c r="B37" s="5" t="s">
        <v>55</v>
      </c>
      <c r="C37" s="6">
        <v>1274.04379529311</v>
      </c>
      <c r="D37" s="6">
        <v>2392.47213770089</v>
      </c>
      <c r="E37" s="6">
        <v>4571.91208934113</v>
      </c>
      <c r="F37" s="6">
        <v>2522.0789887923202</v>
      </c>
      <c r="G37" s="6">
        <v>9.4419989191694498</v>
      </c>
      <c r="H37" s="6">
        <v>1901.3402504333999</v>
      </c>
      <c r="I37" s="6">
        <v>471.23285118806899</v>
      </c>
      <c r="J37" s="6">
        <v>140.06388825168199</v>
      </c>
      <c r="K37" s="6">
        <v>1658.7364338821501</v>
      </c>
      <c r="L37" s="6">
        <v>391.09666666666698</v>
      </c>
      <c r="M37" s="6">
        <v>2179.43995164024</v>
      </c>
      <c r="N37" s="6">
        <v>2084.72328707525</v>
      </c>
      <c r="O37" s="6">
        <v>94.716664564991504</v>
      </c>
      <c r="P37" s="6">
        <v>1118.4283424077801</v>
      </c>
      <c r="Q37" s="6">
        <v>720.13874999999996</v>
      </c>
      <c r="R37" s="6">
        <v>367.649583333333</v>
      </c>
      <c r="S37" s="6">
        <v>439.6</v>
      </c>
      <c r="T37" s="6">
        <v>408.95999092555599</v>
      </c>
      <c r="U37" s="6">
        <v>1559.64315704724</v>
      </c>
      <c r="V37" s="6">
        <v>0</v>
      </c>
      <c r="W37" s="6">
        <v>1585.1998206256301</v>
      </c>
      <c r="X37" s="6">
        <v>0</v>
      </c>
      <c r="Y37" s="6">
        <v>25.556663578399402</v>
      </c>
      <c r="Z37" s="7">
        <v>2833.6869523403402</v>
      </c>
    </row>
    <row r="38" spans="2:26" s="1" customFormat="1" ht="14.85" customHeight="1" x14ac:dyDescent="0.15">
      <c r="B38" s="5" t="s">
        <v>56</v>
      </c>
      <c r="C38" s="8">
        <v>1716.4834971267001</v>
      </c>
      <c r="D38" s="8">
        <v>2860.3718395344699</v>
      </c>
      <c r="E38" s="8">
        <v>5039.8117911747204</v>
      </c>
      <c r="F38" s="8">
        <v>2989.9786906259001</v>
      </c>
      <c r="G38" s="8">
        <v>0.64063064565536199</v>
      </c>
      <c r="H38" s="8">
        <v>2112.8329373483698</v>
      </c>
      <c r="I38" s="8">
        <v>736.44123438019597</v>
      </c>
      <c r="J38" s="8">
        <v>140.06388825168199</v>
      </c>
      <c r="K38" s="8">
        <v>1658.7364338821501</v>
      </c>
      <c r="L38" s="8">
        <v>391.09666666666698</v>
      </c>
      <c r="M38" s="8">
        <v>2179.43995164024</v>
      </c>
      <c r="N38" s="8">
        <v>2084.72328707525</v>
      </c>
      <c r="O38" s="8">
        <v>94.716664564991504</v>
      </c>
      <c r="P38" s="8">
        <v>1143.8883424077801</v>
      </c>
      <c r="Q38" s="8">
        <v>810.97874999999999</v>
      </c>
      <c r="R38" s="8">
        <v>367.649583333333</v>
      </c>
      <c r="S38" s="8">
        <v>374.22</v>
      </c>
      <c r="T38" s="8">
        <v>408.95999092555599</v>
      </c>
      <c r="U38" s="8">
        <v>-331.50685715546899</v>
      </c>
      <c r="V38" s="8">
        <v>0</v>
      </c>
      <c r="W38" s="8">
        <v>-305.950193577069</v>
      </c>
      <c r="X38" s="8">
        <v>0</v>
      </c>
      <c r="Y38" s="8">
        <v>25.556663578399402</v>
      </c>
      <c r="Z38" s="9">
        <v>1384.97663997123</v>
      </c>
    </row>
    <row r="39" spans="2:26" s="1" customFormat="1" ht="14.85" customHeight="1" x14ac:dyDescent="0.15">
      <c r="B39" s="5" t="s">
        <v>57</v>
      </c>
      <c r="C39" s="6">
        <v>3364.2492374096801</v>
      </c>
      <c r="D39" s="6">
        <v>4066.3375798174502</v>
      </c>
      <c r="E39" s="6">
        <v>6245.7775314577002</v>
      </c>
      <c r="F39" s="6">
        <v>4195.9444309088803</v>
      </c>
      <c r="G39" s="6">
        <v>29.220005210107999</v>
      </c>
      <c r="H39" s="6">
        <v>3434.3954384878698</v>
      </c>
      <c r="I39" s="6">
        <v>592.26509895922595</v>
      </c>
      <c r="J39" s="6">
        <v>140.06388825168199</v>
      </c>
      <c r="K39" s="6">
        <v>1658.7364338821501</v>
      </c>
      <c r="L39" s="6">
        <v>391.09666666666698</v>
      </c>
      <c r="M39" s="6">
        <v>2179.43995164024</v>
      </c>
      <c r="N39" s="6">
        <v>2084.72328707525</v>
      </c>
      <c r="O39" s="6">
        <v>94.716664564991504</v>
      </c>
      <c r="P39" s="6">
        <v>702.08834240777696</v>
      </c>
      <c r="Q39" s="6">
        <v>591.92875000000004</v>
      </c>
      <c r="R39" s="6">
        <v>367.649583333333</v>
      </c>
      <c r="S39" s="6">
        <v>151.47</v>
      </c>
      <c r="T39" s="6">
        <v>408.95999092555599</v>
      </c>
      <c r="U39" s="6">
        <v>-2892.3249809561598</v>
      </c>
      <c r="V39" s="6">
        <v>0</v>
      </c>
      <c r="W39" s="6">
        <v>-2866.76831737776</v>
      </c>
      <c r="X39" s="6">
        <v>0</v>
      </c>
      <c r="Y39" s="6">
        <v>25.556663578399402</v>
      </c>
      <c r="Z39" s="7">
        <v>471.92425645351699</v>
      </c>
    </row>
    <row r="40" spans="2:26" s="1" customFormat="1" ht="14.85" customHeight="1" x14ac:dyDescent="0.15">
      <c r="B40" s="5" t="s">
        <v>58</v>
      </c>
      <c r="C40" s="8">
        <v>1870.29903560359</v>
      </c>
      <c r="D40" s="8">
        <v>3575.1427708165602</v>
      </c>
      <c r="E40" s="8">
        <v>6507.2468946720401</v>
      </c>
      <c r="F40" s="8">
        <v>4547.9510316665901</v>
      </c>
      <c r="G40" s="8">
        <v>90.2304548371864</v>
      </c>
      <c r="H40" s="8">
        <v>3988.0883027971299</v>
      </c>
      <c r="I40" s="8">
        <v>333.09278349794999</v>
      </c>
      <c r="J40" s="8">
        <v>136.53949053432899</v>
      </c>
      <c r="K40" s="8">
        <v>1688.80252967211</v>
      </c>
      <c r="L40" s="8">
        <v>270.493333333333</v>
      </c>
      <c r="M40" s="8">
        <v>2932.1041238554799</v>
      </c>
      <c r="N40" s="8">
        <v>2643.9365932370902</v>
      </c>
      <c r="O40" s="8">
        <v>288.16753061839103</v>
      </c>
      <c r="P40" s="8">
        <v>1704.8437352129699</v>
      </c>
      <c r="Q40" s="8">
        <v>1282.5487499999999</v>
      </c>
      <c r="R40" s="8">
        <v>367.649583333333</v>
      </c>
      <c r="S40" s="8">
        <v>352.82</v>
      </c>
      <c r="T40" s="8">
        <v>298.17459812036702</v>
      </c>
      <c r="U40" s="8">
        <v>-688.02453705095604</v>
      </c>
      <c r="V40" s="8">
        <v>0</v>
      </c>
      <c r="W40" s="8">
        <v>-719.16028854446904</v>
      </c>
      <c r="X40" s="8">
        <v>0</v>
      </c>
      <c r="Y40" s="8">
        <v>-31.135751493512998</v>
      </c>
      <c r="Z40" s="9">
        <v>1182.2744985526299</v>
      </c>
    </row>
    <row r="41" spans="2:26" s="1" customFormat="1" ht="14.85" customHeight="1" x14ac:dyDescent="0.15">
      <c r="B41" s="5" t="s">
        <v>59</v>
      </c>
      <c r="C41" s="6">
        <v>-1007.85326468145</v>
      </c>
      <c r="D41" s="6">
        <v>1575.1604705315101</v>
      </c>
      <c r="E41" s="6">
        <v>4507.2645943869902</v>
      </c>
      <c r="F41" s="6">
        <v>2547.9687313815498</v>
      </c>
      <c r="G41" s="6">
        <v>3.7444813590742698</v>
      </c>
      <c r="H41" s="6">
        <v>2088.9757733040501</v>
      </c>
      <c r="I41" s="6">
        <v>318.708986184092</v>
      </c>
      <c r="J41" s="6">
        <v>136.53949053432899</v>
      </c>
      <c r="K41" s="6">
        <v>1688.80252967211</v>
      </c>
      <c r="L41" s="6">
        <v>270.493333333333</v>
      </c>
      <c r="M41" s="6">
        <v>2932.1041238554799</v>
      </c>
      <c r="N41" s="6">
        <v>2643.9365932370902</v>
      </c>
      <c r="O41" s="6">
        <v>288.16753061839103</v>
      </c>
      <c r="P41" s="6">
        <v>2583.01373521297</v>
      </c>
      <c r="Q41" s="6">
        <v>1487.8087499999999</v>
      </c>
      <c r="R41" s="6">
        <v>367.649583333333</v>
      </c>
      <c r="S41" s="6">
        <v>1025.73</v>
      </c>
      <c r="T41" s="6">
        <v>298.17459812036702</v>
      </c>
      <c r="U41" s="6">
        <v>4736.1140024959795</v>
      </c>
      <c r="V41" s="6">
        <v>0</v>
      </c>
      <c r="W41" s="6">
        <v>4704.9782510024697</v>
      </c>
      <c r="X41" s="6">
        <v>0</v>
      </c>
      <c r="Y41" s="6">
        <v>-31.135751493512998</v>
      </c>
      <c r="Z41" s="7">
        <v>3728.2607378145199</v>
      </c>
    </row>
    <row r="42" spans="2:26" s="1" customFormat="1" ht="14.85" customHeight="1" x14ac:dyDescent="0.15">
      <c r="B42" s="5" t="s">
        <v>60</v>
      </c>
      <c r="C42" s="8">
        <v>1167.65674073788</v>
      </c>
      <c r="D42" s="8">
        <v>2176.93047595085</v>
      </c>
      <c r="E42" s="8">
        <v>5109.0345998063303</v>
      </c>
      <c r="F42" s="8">
        <v>3149.7387368008799</v>
      </c>
      <c r="G42" s="8">
        <v>2.6775036145807398</v>
      </c>
      <c r="H42" s="8">
        <v>2493.22318413938</v>
      </c>
      <c r="I42" s="8">
        <v>517.29855851258799</v>
      </c>
      <c r="J42" s="8">
        <v>136.53949053432899</v>
      </c>
      <c r="K42" s="8">
        <v>1688.80252967211</v>
      </c>
      <c r="L42" s="8">
        <v>270.493333333333</v>
      </c>
      <c r="M42" s="8">
        <v>2932.1041238554799</v>
      </c>
      <c r="N42" s="8">
        <v>2643.9365932370902</v>
      </c>
      <c r="O42" s="8">
        <v>288.16753061839103</v>
      </c>
      <c r="P42" s="8">
        <v>1009.27373521297</v>
      </c>
      <c r="Q42" s="8">
        <v>841.43875000000003</v>
      </c>
      <c r="R42" s="8">
        <v>367.649583333333</v>
      </c>
      <c r="S42" s="8">
        <v>98.36</v>
      </c>
      <c r="T42" s="8">
        <v>298.17459812036702</v>
      </c>
      <c r="U42" s="8">
        <v>562.46153765651502</v>
      </c>
      <c r="V42" s="8">
        <v>0</v>
      </c>
      <c r="W42" s="8">
        <v>531.32578616300202</v>
      </c>
      <c r="X42" s="8">
        <v>0</v>
      </c>
      <c r="Y42" s="8">
        <v>-31.135751493512998</v>
      </c>
      <c r="Z42" s="9">
        <v>1730.1182783944</v>
      </c>
    </row>
    <row r="43" spans="2:26" s="1" customFormat="1" ht="14.85" customHeight="1" x14ac:dyDescent="0.15">
      <c r="B43" s="5" t="s">
        <v>61</v>
      </c>
      <c r="C43" s="6">
        <v>1567.3713306402999</v>
      </c>
      <c r="D43" s="6">
        <v>2565.6615144318298</v>
      </c>
      <c r="E43" s="6">
        <v>5166.7294239288503</v>
      </c>
      <c r="F43" s="6">
        <v>3099.5805856593302</v>
      </c>
      <c r="G43" s="6">
        <v>90.378071185070993</v>
      </c>
      <c r="H43" s="6">
        <v>2543.8089094826701</v>
      </c>
      <c r="I43" s="6">
        <v>339.46648381988803</v>
      </c>
      <c r="J43" s="6">
        <v>125.927121171707</v>
      </c>
      <c r="K43" s="6">
        <v>1557.44550493619</v>
      </c>
      <c r="L43" s="6">
        <v>509.70333333333298</v>
      </c>
      <c r="M43" s="6">
        <v>2601.0679094970301</v>
      </c>
      <c r="N43" s="6">
        <v>2370.3371990627302</v>
      </c>
      <c r="O43" s="6">
        <v>230.730710434294</v>
      </c>
      <c r="P43" s="6">
        <v>998.29018379152899</v>
      </c>
      <c r="Q43" s="6">
        <v>631.59875</v>
      </c>
      <c r="R43" s="6">
        <v>367.649583333333</v>
      </c>
      <c r="S43" s="6">
        <v>400.4</v>
      </c>
      <c r="T43" s="6">
        <v>401.35814954180398</v>
      </c>
      <c r="U43" s="6">
        <v>-1175.0429006915499</v>
      </c>
      <c r="V43" s="6">
        <v>0</v>
      </c>
      <c r="W43" s="6">
        <v>-1051.85711297795</v>
      </c>
      <c r="X43" s="6">
        <v>0</v>
      </c>
      <c r="Y43" s="6">
        <v>123.185787713598</v>
      </c>
      <c r="Z43" s="7">
        <v>392.32842994875102</v>
      </c>
    </row>
    <row r="44" spans="2:26" s="1" customFormat="1" ht="14.85" customHeight="1" x14ac:dyDescent="0.15">
      <c r="B44" s="5" t="s">
        <v>62</v>
      </c>
      <c r="C44" s="8">
        <v>748.30955254629396</v>
      </c>
      <c r="D44" s="8">
        <v>1968.48973633782</v>
      </c>
      <c r="E44" s="8">
        <v>4569.5576458348496</v>
      </c>
      <c r="F44" s="8">
        <v>2502.4088075653299</v>
      </c>
      <c r="G44" s="8">
        <v>26.755240307290698</v>
      </c>
      <c r="H44" s="8">
        <v>1974.0887784981001</v>
      </c>
      <c r="I44" s="8">
        <v>375.63766758823198</v>
      </c>
      <c r="J44" s="8">
        <v>125.927121171707</v>
      </c>
      <c r="K44" s="8">
        <v>1557.44550493619</v>
      </c>
      <c r="L44" s="8">
        <v>509.70333333333298</v>
      </c>
      <c r="M44" s="8">
        <v>2601.0679094970301</v>
      </c>
      <c r="N44" s="8">
        <v>2370.3371990627302</v>
      </c>
      <c r="O44" s="8">
        <v>230.730710434294</v>
      </c>
      <c r="P44" s="8">
        <v>1220.18018379153</v>
      </c>
      <c r="Q44" s="8">
        <v>616.92875000000004</v>
      </c>
      <c r="R44" s="8">
        <v>367.649583333333</v>
      </c>
      <c r="S44" s="8">
        <v>636.96</v>
      </c>
      <c r="T44" s="8">
        <v>401.35814954180398</v>
      </c>
      <c r="U44" s="8">
        <v>7336.8515594687797</v>
      </c>
      <c r="V44" s="8">
        <v>0</v>
      </c>
      <c r="W44" s="8">
        <v>7460.0373471823796</v>
      </c>
      <c r="X44" s="8">
        <v>0</v>
      </c>
      <c r="Y44" s="8">
        <v>123.185787713598</v>
      </c>
      <c r="Z44" s="9">
        <v>8085.1611120150801</v>
      </c>
    </row>
    <row r="45" spans="2:26" s="1" customFormat="1" ht="14.85" customHeight="1" x14ac:dyDescent="0.15">
      <c r="B45" s="5" t="s">
        <v>63</v>
      </c>
      <c r="C45" s="6">
        <v>3893.2755409946399</v>
      </c>
      <c r="D45" s="6">
        <v>4562.8857247861697</v>
      </c>
      <c r="E45" s="6">
        <v>7163.9536342831998</v>
      </c>
      <c r="F45" s="6">
        <v>5096.8047960136801</v>
      </c>
      <c r="G45" s="6">
        <v>59.9228127885278</v>
      </c>
      <c r="H45" s="6">
        <v>4155.1322090889998</v>
      </c>
      <c r="I45" s="6">
        <v>755.82265296444905</v>
      </c>
      <c r="J45" s="6">
        <v>125.927121171707</v>
      </c>
      <c r="K45" s="6">
        <v>1557.44550493619</v>
      </c>
      <c r="L45" s="6">
        <v>509.70333333333298</v>
      </c>
      <c r="M45" s="6">
        <v>2601.0679094970301</v>
      </c>
      <c r="N45" s="6">
        <v>2370.3371990627302</v>
      </c>
      <c r="O45" s="6">
        <v>230.730710434294</v>
      </c>
      <c r="P45" s="6">
        <v>669.61018379152904</v>
      </c>
      <c r="Q45" s="6">
        <v>533.89874999999995</v>
      </c>
      <c r="R45" s="6">
        <v>367.649583333333</v>
      </c>
      <c r="S45" s="6">
        <v>169.42</v>
      </c>
      <c r="T45" s="6">
        <v>401.35814954180398</v>
      </c>
      <c r="U45" s="6">
        <v>370.06364774991198</v>
      </c>
      <c r="V45" s="6">
        <v>0</v>
      </c>
      <c r="W45" s="6">
        <v>493.24943546350897</v>
      </c>
      <c r="X45" s="6">
        <v>0</v>
      </c>
      <c r="Y45" s="6">
        <v>123.185787713598</v>
      </c>
      <c r="Z45" s="7">
        <v>4263.3391887445496</v>
      </c>
    </row>
    <row r="46" spans="2:26" s="1" customFormat="1" ht="14.85" customHeight="1" x14ac:dyDescent="0.15">
      <c r="B46" s="5" t="s">
        <v>64</v>
      </c>
      <c r="C46" s="8">
        <v>2755.2053203696501</v>
      </c>
      <c r="D46" s="8">
        <v>3869.3894312284001</v>
      </c>
      <c r="E46" s="8">
        <v>5939.7939605235197</v>
      </c>
      <c r="F46" s="8">
        <v>4097.7272869032504</v>
      </c>
      <c r="G46" s="8">
        <v>113.18492986918601</v>
      </c>
      <c r="H46" s="8">
        <v>2284.9672439183</v>
      </c>
      <c r="I46" s="8">
        <v>1580.1295135832199</v>
      </c>
      <c r="J46" s="8">
        <v>119.445599532541</v>
      </c>
      <c r="K46" s="8">
        <v>1463.2500069536</v>
      </c>
      <c r="L46" s="8">
        <v>378.816666666667</v>
      </c>
      <c r="M46" s="8">
        <v>2070.40452929512</v>
      </c>
      <c r="N46" s="8">
        <v>1932.2178963629401</v>
      </c>
      <c r="O46" s="8">
        <v>138.18663293217301</v>
      </c>
      <c r="P46" s="8">
        <v>1114.18411085874</v>
      </c>
      <c r="Q46" s="8">
        <v>443.36874999999998</v>
      </c>
      <c r="R46" s="8">
        <v>367.649583333333</v>
      </c>
      <c r="S46" s="8">
        <v>487.09</v>
      </c>
      <c r="T46" s="8">
        <v>183.92422247458899</v>
      </c>
      <c r="U46" s="8">
        <v>-6062.4875194670003</v>
      </c>
      <c r="V46" s="8">
        <v>0</v>
      </c>
      <c r="W46" s="8">
        <v>-6072.0803412457599</v>
      </c>
      <c r="X46" s="8">
        <v>0</v>
      </c>
      <c r="Y46" s="8">
        <v>-9.5928217787592001</v>
      </c>
      <c r="Z46" s="9">
        <v>-3307.2821990973398</v>
      </c>
    </row>
    <row r="47" spans="2:26" s="1" customFormat="1" ht="14.85" customHeight="1" x14ac:dyDescent="0.15">
      <c r="B47" s="5" t="s">
        <v>65</v>
      </c>
      <c r="C47" s="6">
        <v>5311.3954254659602</v>
      </c>
      <c r="D47" s="6">
        <v>6042.6495363247104</v>
      </c>
      <c r="E47" s="6">
        <v>8113.05406561983</v>
      </c>
      <c r="F47" s="6">
        <v>6270.9873919995598</v>
      </c>
      <c r="G47" s="6">
        <v>203.09207598959</v>
      </c>
      <c r="H47" s="6">
        <v>4281.2430496325796</v>
      </c>
      <c r="I47" s="6">
        <v>1667.2066668448499</v>
      </c>
      <c r="J47" s="6">
        <v>119.445599532541</v>
      </c>
      <c r="K47" s="6">
        <v>1463.2500069536</v>
      </c>
      <c r="L47" s="6">
        <v>378.816666666667</v>
      </c>
      <c r="M47" s="6">
        <v>2070.40452929512</v>
      </c>
      <c r="N47" s="6">
        <v>1932.2178963629401</v>
      </c>
      <c r="O47" s="6">
        <v>138.18663293217301</v>
      </c>
      <c r="P47" s="6">
        <v>731.25411085874396</v>
      </c>
      <c r="Q47" s="6">
        <v>333.30874999999997</v>
      </c>
      <c r="R47" s="6">
        <v>367.649583333333</v>
      </c>
      <c r="S47" s="6">
        <v>214.22</v>
      </c>
      <c r="T47" s="6">
        <v>183.92422247458899</v>
      </c>
      <c r="U47" s="6">
        <v>-4682.8419825227502</v>
      </c>
      <c r="V47" s="6">
        <v>0</v>
      </c>
      <c r="W47" s="6">
        <v>-4692.4348043015098</v>
      </c>
      <c r="X47" s="6">
        <v>0</v>
      </c>
      <c r="Y47" s="6">
        <v>-9.5928217787592001</v>
      </c>
      <c r="Z47" s="7">
        <v>628.55344294320901</v>
      </c>
    </row>
    <row r="48" spans="2:26" s="1" customFormat="1" ht="14.85" customHeight="1" x14ac:dyDescent="0.15">
      <c r="B48" s="5" t="s">
        <v>66</v>
      </c>
      <c r="C48" s="8">
        <v>5325.8475013248199</v>
      </c>
      <c r="D48" s="8">
        <v>6350.47161218356</v>
      </c>
      <c r="E48" s="8">
        <v>8420.8761414786804</v>
      </c>
      <c r="F48" s="8">
        <v>6578.8094678584102</v>
      </c>
      <c r="G48" s="8">
        <v>62.6887942329111</v>
      </c>
      <c r="H48" s="8">
        <v>5839.1659906697296</v>
      </c>
      <c r="I48" s="8">
        <v>557.50908342322998</v>
      </c>
      <c r="J48" s="8">
        <v>119.445599532541</v>
      </c>
      <c r="K48" s="8">
        <v>1463.2500069536</v>
      </c>
      <c r="L48" s="8">
        <v>378.816666666667</v>
      </c>
      <c r="M48" s="8">
        <v>2070.40452929512</v>
      </c>
      <c r="N48" s="8">
        <v>1932.2178963629401</v>
      </c>
      <c r="O48" s="8">
        <v>138.18663293217301</v>
      </c>
      <c r="P48" s="8">
        <v>1024.6241108587401</v>
      </c>
      <c r="Q48" s="8">
        <v>476.94875000000002</v>
      </c>
      <c r="R48" s="8">
        <v>367.649583333333</v>
      </c>
      <c r="S48" s="8">
        <v>363.95</v>
      </c>
      <c r="T48" s="8">
        <v>183.92422247458899</v>
      </c>
      <c r="U48" s="8">
        <v>-3884.7625209109201</v>
      </c>
      <c r="V48" s="8">
        <v>0</v>
      </c>
      <c r="W48" s="8">
        <v>-3894.3553426896701</v>
      </c>
      <c r="X48" s="8">
        <v>0</v>
      </c>
      <c r="Y48" s="8">
        <v>-9.5928217787592001</v>
      </c>
      <c r="Z48" s="9">
        <v>1441.0849804139</v>
      </c>
    </row>
    <row r="49" spans="2:26" s="1" customFormat="1" ht="14.85" customHeight="1" x14ac:dyDescent="0.15">
      <c r="B49" s="5" t="s">
        <v>67</v>
      </c>
      <c r="C49" s="6">
        <v>3051.984434</v>
      </c>
      <c r="D49" s="6">
        <v>5145.2729769999996</v>
      </c>
      <c r="E49" s="6">
        <v>7154.5026520000001</v>
      </c>
      <c r="F49" s="6">
        <v>4675.9144859999997</v>
      </c>
      <c r="G49" s="6">
        <v>60.293343370000002</v>
      </c>
      <c r="H49" s="6">
        <v>4226.3403200000002</v>
      </c>
      <c r="I49" s="6">
        <v>307.25195769999999</v>
      </c>
      <c r="J49" s="6">
        <v>82.028865479999993</v>
      </c>
      <c r="K49" s="6">
        <v>1742.8514990000001</v>
      </c>
      <c r="L49" s="6">
        <v>735.7366667</v>
      </c>
      <c r="M49" s="6">
        <v>2009.2296739999999</v>
      </c>
      <c r="N49" s="6">
        <v>1725.589686</v>
      </c>
      <c r="O49" s="6">
        <v>283.63998850000002</v>
      </c>
      <c r="P49" s="6">
        <v>2093.2885430000001</v>
      </c>
      <c r="Q49" s="6">
        <v>1053.905833</v>
      </c>
      <c r="R49" s="6">
        <v>281.56666669999998</v>
      </c>
      <c r="S49" s="6">
        <v>1129.57</v>
      </c>
      <c r="T49" s="6">
        <v>371.75395709999998</v>
      </c>
      <c r="U49" s="6">
        <v>-4992.8882789999998</v>
      </c>
      <c r="V49" s="6">
        <v>0</v>
      </c>
      <c r="W49" s="6">
        <v>-4684.1556010000004</v>
      </c>
      <c r="X49" s="6">
        <v>0</v>
      </c>
      <c r="Y49" s="6">
        <v>308.73267820000001</v>
      </c>
      <c r="Z49" s="7">
        <v>-1940.903845</v>
      </c>
    </row>
    <row r="50" spans="2:26" s="1" customFormat="1" ht="14.85" customHeight="1" x14ac:dyDescent="0.15">
      <c r="B50" s="5" t="s">
        <v>68</v>
      </c>
      <c r="C50" s="8">
        <v>4657.3170870000004</v>
      </c>
      <c r="D50" s="8">
        <v>5168.9156300000004</v>
      </c>
      <c r="E50" s="8">
        <v>7178.1453039999997</v>
      </c>
      <c r="F50" s="8">
        <v>4699.5571389999996</v>
      </c>
      <c r="G50" s="8">
        <v>18.171016399999999</v>
      </c>
      <c r="H50" s="8">
        <v>3365.6444729999998</v>
      </c>
      <c r="I50" s="8">
        <v>1233.7127840000001</v>
      </c>
      <c r="J50" s="8">
        <v>82.028865479999993</v>
      </c>
      <c r="K50" s="8">
        <v>1742.8514990000001</v>
      </c>
      <c r="L50" s="8">
        <v>735.7366667</v>
      </c>
      <c r="M50" s="8">
        <v>2009.2296739999999</v>
      </c>
      <c r="N50" s="8">
        <v>1725.589686</v>
      </c>
      <c r="O50" s="8">
        <v>283.63998850000002</v>
      </c>
      <c r="P50" s="8">
        <v>511.59854289999998</v>
      </c>
      <c r="Q50" s="8">
        <v>266.50583330000001</v>
      </c>
      <c r="R50" s="8">
        <v>281.56666669999998</v>
      </c>
      <c r="S50" s="8">
        <v>335.28</v>
      </c>
      <c r="T50" s="8">
        <v>371.75395709999998</v>
      </c>
      <c r="U50" s="8">
        <v>-5788.364587</v>
      </c>
      <c r="V50" s="8">
        <v>0</v>
      </c>
      <c r="W50" s="8">
        <v>-5479.6319089999997</v>
      </c>
      <c r="X50" s="8">
        <v>0</v>
      </c>
      <c r="Y50" s="8">
        <v>308.73267820000001</v>
      </c>
      <c r="Z50" s="9">
        <v>-1131.0474999999999</v>
      </c>
    </row>
    <row r="51" spans="2:26" s="1" customFormat="1" ht="14.85" customHeight="1" x14ac:dyDescent="0.15">
      <c r="B51" s="5" t="s">
        <v>69</v>
      </c>
      <c r="C51" s="6">
        <v>6067.1999809999998</v>
      </c>
      <c r="D51" s="6">
        <v>6939.2885239999996</v>
      </c>
      <c r="E51" s="6">
        <v>8948.5181990000001</v>
      </c>
      <c r="F51" s="6">
        <v>6469.9300329999996</v>
      </c>
      <c r="G51" s="6">
        <v>45.050873340000003</v>
      </c>
      <c r="H51" s="6">
        <v>4693.7488979999998</v>
      </c>
      <c r="I51" s="6">
        <v>1649.101396</v>
      </c>
      <c r="J51" s="6">
        <v>82.028865479999993</v>
      </c>
      <c r="K51" s="6">
        <v>1742.8514990000001</v>
      </c>
      <c r="L51" s="6">
        <v>735.7366667</v>
      </c>
      <c r="M51" s="6">
        <v>2009.2296739999999</v>
      </c>
      <c r="N51" s="6">
        <v>1725.589686</v>
      </c>
      <c r="O51" s="6">
        <v>283.63998850000002</v>
      </c>
      <c r="P51" s="6">
        <v>872.08854289999999</v>
      </c>
      <c r="Q51" s="6">
        <v>811.71583329999999</v>
      </c>
      <c r="R51" s="6">
        <v>281.56666669999998</v>
      </c>
      <c r="S51" s="6">
        <v>150.56</v>
      </c>
      <c r="T51" s="6">
        <v>371.75395709999998</v>
      </c>
      <c r="U51" s="6">
        <v>-4433.914788</v>
      </c>
      <c r="V51" s="6">
        <v>0</v>
      </c>
      <c r="W51" s="6">
        <v>-4125.1821099999997</v>
      </c>
      <c r="X51" s="6">
        <v>0</v>
      </c>
      <c r="Y51" s="6">
        <v>308.73267820000001</v>
      </c>
      <c r="Z51" s="7">
        <v>1633.2851929999999</v>
      </c>
    </row>
    <row r="52" spans="2:26" s="1" customFormat="1" ht="14.85" customHeight="1" x14ac:dyDescent="0.15">
      <c r="B52" s="5" t="s">
        <v>70</v>
      </c>
      <c r="C52" s="8">
        <v>1350.5164990000001</v>
      </c>
      <c r="D52" s="8">
        <v>2851.022555</v>
      </c>
      <c r="E52" s="8">
        <v>6248.5172579999999</v>
      </c>
      <c r="F52" s="8">
        <v>3990.8248319999998</v>
      </c>
      <c r="G52" s="8">
        <v>25.151182680000002</v>
      </c>
      <c r="H52" s="8">
        <v>3044.3974589999998</v>
      </c>
      <c r="I52" s="8">
        <v>841.71620470000005</v>
      </c>
      <c r="J52" s="8">
        <v>79.55998511</v>
      </c>
      <c r="K52" s="8">
        <v>1690.689093</v>
      </c>
      <c r="L52" s="8">
        <v>567.00333330000001</v>
      </c>
      <c r="M52" s="8">
        <v>3397.4947029999998</v>
      </c>
      <c r="N52" s="8">
        <v>3311.8696540000001</v>
      </c>
      <c r="O52" s="8">
        <v>85.625048629999995</v>
      </c>
      <c r="P52" s="8">
        <v>1500.5060570000001</v>
      </c>
      <c r="Q52" s="8">
        <v>1021.565833</v>
      </c>
      <c r="R52" s="8">
        <v>281.56666669999998</v>
      </c>
      <c r="S52" s="8">
        <v>389.34</v>
      </c>
      <c r="T52" s="8">
        <v>191.9664434</v>
      </c>
      <c r="U52" s="8">
        <v>-3735.7226850000002</v>
      </c>
      <c r="V52" s="8">
        <v>0</v>
      </c>
      <c r="W52" s="8">
        <v>-3356.4486790000001</v>
      </c>
      <c r="X52" s="8">
        <v>0</v>
      </c>
      <c r="Y52" s="8">
        <v>379.2740058</v>
      </c>
      <c r="Z52" s="9">
        <v>-2385.2061859999999</v>
      </c>
    </row>
    <row r="53" spans="2:26" s="1" customFormat="1" ht="14.85" customHeight="1" x14ac:dyDescent="0.15">
      <c r="B53" s="5" t="s">
        <v>71</v>
      </c>
      <c r="C53" s="6">
        <v>2192.248321</v>
      </c>
      <c r="D53" s="6">
        <v>3329.6143769999999</v>
      </c>
      <c r="E53" s="6">
        <v>6727.1090800000002</v>
      </c>
      <c r="F53" s="6">
        <v>4469.4166539999997</v>
      </c>
      <c r="G53" s="6">
        <v>112.0227362</v>
      </c>
      <c r="H53" s="6">
        <v>3894.0888100000002</v>
      </c>
      <c r="I53" s="6">
        <v>383.74512229999999</v>
      </c>
      <c r="J53" s="6">
        <v>79.55998511</v>
      </c>
      <c r="K53" s="6">
        <v>1690.689093</v>
      </c>
      <c r="L53" s="6">
        <v>567.00333330000001</v>
      </c>
      <c r="M53" s="6">
        <v>3397.4947029999998</v>
      </c>
      <c r="N53" s="6">
        <v>3311.8696540000001</v>
      </c>
      <c r="O53" s="6">
        <v>85.625048629999995</v>
      </c>
      <c r="P53" s="6">
        <v>1137.366057</v>
      </c>
      <c r="Q53" s="6">
        <v>821.78583330000004</v>
      </c>
      <c r="R53" s="6">
        <v>281.56666669999998</v>
      </c>
      <c r="S53" s="6">
        <v>225.98</v>
      </c>
      <c r="T53" s="6">
        <v>191.9664434</v>
      </c>
      <c r="U53" s="6">
        <v>-152.46674229999999</v>
      </c>
      <c r="V53" s="6">
        <v>0</v>
      </c>
      <c r="W53" s="6">
        <v>226.80726340000001</v>
      </c>
      <c r="X53" s="6">
        <v>0</v>
      </c>
      <c r="Y53" s="6">
        <v>379.2740058</v>
      </c>
      <c r="Z53" s="7">
        <v>2039.7815780000001</v>
      </c>
    </row>
    <row r="54" spans="2:26" s="1" customFormat="1" ht="14.85" customHeight="1" x14ac:dyDescent="0.15">
      <c r="B54" s="5" t="s">
        <v>72</v>
      </c>
      <c r="C54" s="8">
        <v>1015.8798430000001</v>
      </c>
      <c r="D54" s="8">
        <v>2659.2058999999999</v>
      </c>
      <c r="E54" s="8">
        <v>6056.7006019999999</v>
      </c>
      <c r="F54" s="8">
        <v>3799.0081759999998</v>
      </c>
      <c r="G54" s="8">
        <v>1104.6421580000001</v>
      </c>
      <c r="H54" s="8">
        <v>2076.2452119999998</v>
      </c>
      <c r="I54" s="8">
        <v>538.56082179999999</v>
      </c>
      <c r="J54" s="8">
        <v>79.55998511</v>
      </c>
      <c r="K54" s="8">
        <v>1690.689093</v>
      </c>
      <c r="L54" s="8">
        <v>567.00333330000001</v>
      </c>
      <c r="M54" s="8">
        <v>3397.4947029999998</v>
      </c>
      <c r="N54" s="8">
        <v>3311.8696540000001</v>
      </c>
      <c r="O54" s="8">
        <v>85.625048629999995</v>
      </c>
      <c r="P54" s="8">
        <v>1643.326057</v>
      </c>
      <c r="Q54" s="8">
        <v>729.59583329999998</v>
      </c>
      <c r="R54" s="8">
        <v>281.56666669999998</v>
      </c>
      <c r="S54" s="8">
        <v>824.13</v>
      </c>
      <c r="T54" s="8">
        <v>191.9664434</v>
      </c>
      <c r="U54" s="8">
        <v>-1953.390905</v>
      </c>
      <c r="V54" s="8">
        <v>0</v>
      </c>
      <c r="W54" s="8">
        <v>-1574.1169</v>
      </c>
      <c r="X54" s="8">
        <v>0</v>
      </c>
      <c r="Y54" s="8">
        <v>379.2740058</v>
      </c>
      <c r="Z54" s="9">
        <v>-937.51106249999998</v>
      </c>
    </row>
    <row r="55" spans="2:26" s="1" customFormat="1" ht="14.85" customHeight="1" x14ac:dyDescent="0.15">
      <c r="B55" s="5" t="s">
        <v>73</v>
      </c>
      <c r="C55" s="6">
        <v>2030.5811309999999</v>
      </c>
      <c r="D55" s="6">
        <v>4276.3755639999999</v>
      </c>
      <c r="E55" s="6">
        <v>6434.6619870000004</v>
      </c>
      <c r="F55" s="6">
        <v>4578.5585309999997</v>
      </c>
      <c r="G55" s="6">
        <v>46.425989119999997</v>
      </c>
      <c r="H55" s="6">
        <v>4061.5047650000001</v>
      </c>
      <c r="I55" s="6">
        <v>397.39345509999998</v>
      </c>
      <c r="J55" s="6">
        <v>73.234321190000003</v>
      </c>
      <c r="K55" s="6">
        <v>1556.133456</v>
      </c>
      <c r="L55" s="6">
        <v>299.97000000000003</v>
      </c>
      <c r="M55" s="6">
        <v>2158.286423</v>
      </c>
      <c r="N55" s="6">
        <v>2086.2128849999999</v>
      </c>
      <c r="O55" s="6">
        <v>72.073537630000004</v>
      </c>
      <c r="P55" s="6">
        <v>2245.794433</v>
      </c>
      <c r="Q55" s="6">
        <v>1438.8758330000001</v>
      </c>
      <c r="R55" s="6">
        <v>281.56666669999998</v>
      </c>
      <c r="S55" s="6">
        <v>914.28</v>
      </c>
      <c r="T55" s="6">
        <v>388.92806669999999</v>
      </c>
      <c r="U55" s="6">
        <v>2588.8535670000001</v>
      </c>
      <c r="V55" s="6">
        <v>0</v>
      </c>
      <c r="W55" s="6">
        <v>2810.9179589999999</v>
      </c>
      <c r="X55" s="6">
        <v>0</v>
      </c>
      <c r="Y55" s="6">
        <v>222.0643919</v>
      </c>
      <c r="Z55" s="7">
        <v>4619.434698</v>
      </c>
    </row>
    <row r="56" spans="2:26" s="1" customFormat="1" ht="14.85" customHeight="1" x14ac:dyDescent="0.15">
      <c r="B56" s="5" t="s">
        <v>74</v>
      </c>
      <c r="C56" s="8">
        <v>5114.579189</v>
      </c>
      <c r="D56" s="8">
        <v>6003.5536229999998</v>
      </c>
      <c r="E56" s="8">
        <v>8161.8400460000003</v>
      </c>
      <c r="F56" s="8">
        <v>6305.7365900000004</v>
      </c>
      <c r="G56" s="8">
        <v>173.75192920000001</v>
      </c>
      <c r="H56" s="8">
        <v>4587.2899470000002</v>
      </c>
      <c r="I56" s="8">
        <v>1471.4603930000001</v>
      </c>
      <c r="J56" s="8">
        <v>73.234321190000003</v>
      </c>
      <c r="K56" s="8">
        <v>1556.133456</v>
      </c>
      <c r="L56" s="8">
        <v>299.97000000000003</v>
      </c>
      <c r="M56" s="8">
        <v>2158.286423</v>
      </c>
      <c r="N56" s="8">
        <v>2086.2128849999999</v>
      </c>
      <c r="O56" s="8">
        <v>72.073537630000004</v>
      </c>
      <c r="P56" s="8">
        <v>888.97443329999999</v>
      </c>
      <c r="Q56" s="8">
        <v>567.22583329999998</v>
      </c>
      <c r="R56" s="8">
        <v>281.56666669999998</v>
      </c>
      <c r="S56" s="8">
        <v>429.11</v>
      </c>
      <c r="T56" s="8">
        <v>388.92806669999999</v>
      </c>
      <c r="U56" s="8">
        <v>2906.3683489999999</v>
      </c>
      <c r="V56" s="8">
        <v>0</v>
      </c>
      <c r="W56" s="8">
        <v>3128.4327410000001</v>
      </c>
      <c r="X56" s="8">
        <v>0</v>
      </c>
      <c r="Y56" s="8">
        <v>222.0643919</v>
      </c>
      <c r="Z56" s="9">
        <v>8020.9475380000003</v>
      </c>
    </row>
    <row r="57" spans="2:26" s="1" customFormat="1" ht="14.85" customHeight="1" x14ac:dyDescent="0.15">
      <c r="B57" s="5" t="s">
        <v>75</v>
      </c>
      <c r="C57" s="6">
        <v>1552.104036</v>
      </c>
      <c r="D57" s="6">
        <v>2619.8384689999998</v>
      </c>
      <c r="E57" s="6">
        <v>4778.1248919999998</v>
      </c>
      <c r="F57" s="6">
        <v>2922.021436</v>
      </c>
      <c r="G57" s="6">
        <v>2.0701163469999999</v>
      </c>
      <c r="H57" s="6">
        <v>2373.2525179999998</v>
      </c>
      <c r="I57" s="6">
        <v>473.46448049999998</v>
      </c>
      <c r="J57" s="6">
        <v>73.234321190000003</v>
      </c>
      <c r="K57" s="6">
        <v>1556.133456</v>
      </c>
      <c r="L57" s="6">
        <v>299.97000000000003</v>
      </c>
      <c r="M57" s="6">
        <v>2158.286423</v>
      </c>
      <c r="N57" s="6">
        <v>2086.2128849999999</v>
      </c>
      <c r="O57" s="6">
        <v>72.073537630000004</v>
      </c>
      <c r="P57" s="6">
        <v>1067.7344330000001</v>
      </c>
      <c r="Q57" s="6">
        <v>818.38583329999994</v>
      </c>
      <c r="R57" s="6">
        <v>281.56666669999998</v>
      </c>
      <c r="S57" s="6">
        <v>356.71</v>
      </c>
      <c r="T57" s="6">
        <v>388.92806669999999</v>
      </c>
      <c r="U57" s="6">
        <v>-1617.791387</v>
      </c>
      <c r="V57" s="6">
        <v>0</v>
      </c>
      <c r="W57" s="6">
        <v>-1395.726995</v>
      </c>
      <c r="X57" s="6">
        <v>0</v>
      </c>
      <c r="Y57" s="6">
        <v>222.0643919</v>
      </c>
      <c r="Z57" s="7">
        <v>-65.687351169999999</v>
      </c>
    </row>
    <row r="58" spans="2:26" s="1" customFormat="1" ht="14.85" customHeight="1" x14ac:dyDescent="0.15">
      <c r="B58" s="5" t="s">
        <v>76</v>
      </c>
      <c r="C58" s="8">
        <v>354.14953750000001</v>
      </c>
      <c r="D58" s="8">
        <v>2555.2350200000001</v>
      </c>
      <c r="E58" s="8">
        <v>4525.1782860000003</v>
      </c>
      <c r="F58" s="8">
        <v>2733.6742100000001</v>
      </c>
      <c r="G58" s="8">
        <v>38.879031060000003</v>
      </c>
      <c r="H58" s="8">
        <v>2088.0267749999998</v>
      </c>
      <c r="I58" s="8">
        <v>538.09898769999995</v>
      </c>
      <c r="J58" s="8">
        <v>68.669416560000002</v>
      </c>
      <c r="K58" s="8">
        <v>1459.2074090000001</v>
      </c>
      <c r="L58" s="8">
        <v>332.2966667</v>
      </c>
      <c r="M58" s="8">
        <v>1969.943266</v>
      </c>
      <c r="N58" s="8">
        <v>1939.339999</v>
      </c>
      <c r="O58" s="8">
        <v>30.60326719</v>
      </c>
      <c r="P58" s="8">
        <v>2201.0854829999998</v>
      </c>
      <c r="Q58" s="8">
        <v>666.06583330000001</v>
      </c>
      <c r="R58" s="8">
        <v>281.56666669999998</v>
      </c>
      <c r="S58" s="8">
        <v>1434.16</v>
      </c>
      <c r="T58" s="8">
        <v>180.70701740000001</v>
      </c>
      <c r="U58" s="8">
        <v>1251.699224</v>
      </c>
      <c r="V58" s="8">
        <v>0</v>
      </c>
      <c r="W58" s="8">
        <v>1243.7163310000001</v>
      </c>
      <c r="X58" s="8">
        <v>0</v>
      </c>
      <c r="Y58" s="8">
        <v>-7.9828931460000003</v>
      </c>
      <c r="Z58" s="9">
        <v>1605.8487620000001</v>
      </c>
    </row>
    <row r="59" spans="2:26" s="1" customFormat="1" ht="14.85" customHeight="1" x14ac:dyDescent="0.15">
      <c r="B59" s="5" t="s">
        <v>77</v>
      </c>
      <c r="C59" s="6">
        <v>8801.5725719999991</v>
      </c>
      <c r="D59" s="6">
        <v>10352.17805</v>
      </c>
      <c r="E59" s="6">
        <v>12322.12132</v>
      </c>
      <c r="F59" s="6">
        <v>10530.61724</v>
      </c>
      <c r="G59" s="6">
        <v>68.785631019999997</v>
      </c>
      <c r="H59" s="6">
        <v>4317.5841339999997</v>
      </c>
      <c r="I59" s="6">
        <v>6075.5780629999999</v>
      </c>
      <c r="J59" s="6">
        <v>68.669416560000002</v>
      </c>
      <c r="K59" s="6">
        <v>1459.2074090000001</v>
      </c>
      <c r="L59" s="6">
        <v>332.2966667</v>
      </c>
      <c r="M59" s="6">
        <v>1969.943266</v>
      </c>
      <c r="N59" s="6">
        <v>1939.339999</v>
      </c>
      <c r="O59" s="6">
        <v>30.60326719</v>
      </c>
      <c r="P59" s="6">
        <v>1550.605483</v>
      </c>
      <c r="Q59" s="6">
        <v>1188.2658329999999</v>
      </c>
      <c r="R59" s="6">
        <v>281.56666669999998</v>
      </c>
      <c r="S59" s="6">
        <v>261.48</v>
      </c>
      <c r="T59" s="6">
        <v>180.70701740000001</v>
      </c>
      <c r="U59" s="6">
        <v>966.46161419999999</v>
      </c>
      <c r="V59" s="6">
        <v>0</v>
      </c>
      <c r="W59" s="6">
        <v>958.47872099999995</v>
      </c>
      <c r="X59" s="6">
        <v>0</v>
      </c>
      <c r="Y59" s="6">
        <v>-7.9828931460000003</v>
      </c>
      <c r="Z59" s="7">
        <v>9768.0341860000008</v>
      </c>
    </row>
    <row r="60" spans="2:26" s="1" customFormat="1" ht="14.85" customHeight="1" x14ac:dyDescent="0.15">
      <c r="B60" s="5" t="s">
        <v>78</v>
      </c>
      <c r="C60" s="8">
        <v>2398.3737179999998</v>
      </c>
      <c r="D60" s="8">
        <v>4330.0092000000004</v>
      </c>
      <c r="E60" s="8">
        <v>6299.9524670000001</v>
      </c>
      <c r="F60" s="8">
        <v>4508.4483899999996</v>
      </c>
      <c r="G60" s="8">
        <v>2.7435418149999999</v>
      </c>
      <c r="H60" s="8">
        <v>4203.8957270000001</v>
      </c>
      <c r="I60" s="8">
        <v>233.13970509999999</v>
      </c>
      <c r="J60" s="8">
        <v>68.669416560000002</v>
      </c>
      <c r="K60" s="8">
        <v>1459.2074090000001</v>
      </c>
      <c r="L60" s="8">
        <v>332.2966667</v>
      </c>
      <c r="M60" s="8">
        <v>1969.943266</v>
      </c>
      <c r="N60" s="8">
        <v>1939.339999</v>
      </c>
      <c r="O60" s="8">
        <v>30.60326719</v>
      </c>
      <c r="P60" s="8">
        <v>1931.635483</v>
      </c>
      <c r="Q60" s="8">
        <v>677.28583330000004</v>
      </c>
      <c r="R60" s="8">
        <v>281.56666669999998</v>
      </c>
      <c r="S60" s="8">
        <v>1153.49</v>
      </c>
      <c r="T60" s="8">
        <v>180.70701740000001</v>
      </c>
      <c r="U60" s="8">
        <v>-1816.090925</v>
      </c>
      <c r="V60" s="8">
        <v>0</v>
      </c>
      <c r="W60" s="8">
        <v>-1824.0738180000001</v>
      </c>
      <c r="X60" s="8">
        <v>0</v>
      </c>
      <c r="Y60" s="8">
        <v>-7.9828931460000003</v>
      </c>
      <c r="Z60" s="9">
        <v>582.28279280000004</v>
      </c>
    </row>
    <row r="61" spans="2:26" s="1" customFormat="1" ht="14.85" customHeight="1" x14ac:dyDescent="0.15">
      <c r="B61" s="5" t="s">
        <v>79</v>
      </c>
      <c r="C61" s="6">
        <v>755.26888399999996</v>
      </c>
      <c r="D61" s="6">
        <v>2066.5177250000002</v>
      </c>
      <c r="E61" s="6">
        <v>4709.3478930000001</v>
      </c>
      <c r="F61" s="6">
        <v>3000.683869</v>
      </c>
      <c r="G61" s="6">
        <v>6.4734990000000003</v>
      </c>
      <c r="H61" s="6">
        <v>2251.7282169999999</v>
      </c>
      <c r="I61" s="6">
        <v>613.34130700000003</v>
      </c>
      <c r="J61" s="6">
        <v>129.14084600000001</v>
      </c>
      <c r="K61" s="6">
        <v>1506.2073580000001</v>
      </c>
      <c r="L61" s="6">
        <v>202.45666700000001</v>
      </c>
      <c r="M61" s="6">
        <v>2642.830168</v>
      </c>
      <c r="N61" s="6">
        <v>2631.355474</v>
      </c>
      <c r="O61" s="6">
        <v>11.474694</v>
      </c>
      <c r="P61" s="6">
        <v>1311.2488410000001</v>
      </c>
      <c r="Q61" s="6">
        <v>570.22</v>
      </c>
      <c r="R61" s="6">
        <v>251.08750000000001</v>
      </c>
      <c r="S61" s="6">
        <v>1061.31</v>
      </c>
      <c r="T61" s="6">
        <v>571.36865899999998</v>
      </c>
      <c r="U61" s="6">
        <v>-791.602172</v>
      </c>
      <c r="V61" s="6">
        <v>0</v>
      </c>
      <c r="W61" s="6">
        <v>-488.502047</v>
      </c>
      <c r="X61" s="6">
        <v>0</v>
      </c>
      <c r="Y61" s="6">
        <v>303.10012499999999</v>
      </c>
      <c r="Z61" s="7">
        <v>-36.333288000000003</v>
      </c>
    </row>
    <row r="62" spans="2:26" s="1" customFormat="1" ht="14.85" customHeight="1" x14ac:dyDescent="0.15">
      <c r="B62" s="5" t="s">
        <v>80</v>
      </c>
      <c r="C62" s="8">
        <v>441.62370600000003</v>
      </c>
      <c r="D62" s="8">
        <v>1781.9025469999999</v>
      </c>
      <c r="E62" s="8">
        <v>4424.7327150000001</v>
      </c>
      <c r="F62" s="8">
        <v>2716.0686909999999</v>
      </c>
      <c r="G62" s="8">
        <v>36.301015999999997</v>
      </c>
      <c r="H62" s="8">
        <v>1917.440652</v>
      </c>
      <c r="I62" s="8">
        <v>633.18617700000004</v>
      </c>
      <c r="J62" s="8">
        <v>129.14084600000001</v>
      </c>
      <c r="K62" s="8">
        <v>1506.2073580000001</v>
      </c>
      <c r="L62" s="8">
        <v>202.45666700000001</v>
      </c>
      <c r="M62" s="8">
        <v>2642.830168</v>
      </c>
      <c r="N62" s="8">
        <v>2631.355474</v>
      </c>
      <c r="O62" s="8">
        <v>11.474694</v>
      </c>
      <c r="P62" s="8">
        <v>1340.2788410000001</v>
      </c>
      <c r="Q62" s="8">
        <v>358.51</v>
      </c>
      <c r="R62" s="8">
        <v>251.08750000000001</v>
      </c>
      <c r="S62" s="8">
        <v>1302.05</v>
      </c>
      <c r="T62" s="8">
        <v>571.36865899999998</v>
      </c>
      <c r="U62" s="8">
        <v>1853.3979440000001</v>
      </c>
      <c r="V62" s="8">
        <v>0</v>
      </c>
      <c r="W62" s="8">
        <v>2156.4980679999999</v>
      </c>
      <c r="X62" s="8">
        <v>0</v>
      </c>
      <c r="Y62" s="8">
        <v>303.10012499999999</v>
      </c>
      <c r="Z62" s="9">
        <v>2295.0216500000001</v>
      </c>
    </row>
    <row r="63" spans="2:26" s="1" customFormat="1" ht="14.85" customHeight="1" x14ac:dyDescent="0.15">
      <c r="B63" s="5" t="s">
        <v>81</v>
      </c>
      <c r="C63" s="6">
        <v>1481.6456880000001</v>
      </c>
      <c r="D63" s="6">
        <v>1901.824529</v>
      </c>
      <c r="E63" s="6">
        <v>4544.6546969999999</v>
      </c>
      <c r="F63" s="6">
        <v>2835.9906729999998</v>
      </c>
      <c r="G63" s="6">
        <v>585.22069399999998</v>
      </c>
      <c r="H63" s="6">
        <v>1789.4003949999999</v>
      </c>
      <c r="I63" s="6">
        <v>332.22873800000002</v>
      </c>
      <c r="J63" s="6">
        <v>129.14084600000001</v>
      </c>
      <c r="K63" s="6">
        <v>1506.2073580000001</v>
      </c>
      <c r="L63" s="6">
        <v>202.45666700000001</v>
      </c>
      <c r="M63" s="6">
        <v>2642.830168</v>
      </c>
      <c r="N63" s="6">
        <v>2631.355474</v>
      </c>
      <c r="O63" s="6">
        <v>11.474694</v>
      </c>
      <c r="P63" s="6">
        <v>420.17884099999998</v>
      </c>
      <c r="Q63" s="6">
        <v>268.48</v>
      </c>
      <c r="R63" s="6">
        <v>251.08750000000001</v>
      </c>
      <c r="S63" s="6">
        <v>471.98</v>
      </c>
      <c r="T63" s="6">
        <v>571.36865899999998</v>
      </c>
      <c r="U63" s="6">
        <v>6218.483483</v>
      </c>
      <c r="V63" s="6">
        <v>0</v>
      </c>
      <c r="W63" s="6">
        <v>6521.5836079999999</v>
      </c>
      <c r="X63" s="6">
        <v>0</v>
      </c>
      <c r="Y63" s="6">
        <v>303.10012499999999</v>
      </c>
      <c r="Z63" s="7">
        <v>7700.1291709999996</v>
      </c>
    </row>
    <row r="64" spans="2:26" s="1" customFormat="1" ht="14.85" customHeight="1" x14ac:dyDescent="0.15">
      <c r="B64" s="5" t="s">
        <v>82</v>
      </c>
      <c r="C64" s="8">
        <v>6239.3536240000003</v>
      </c>
      <c r="D64" s="8">
        <v>7130.1015539999999</v>
      </c>
      <c r="E64" s="8">
        <v>9440.9149300000008</v>
      </c>
      <c r="F64" s="8">
        <v>7746.5617609999999</v>
      </c>
      <c r="G64" s="8">
        <v>55.096648000000002</v>
      </c>
      <c r="H64" s="8">
        <v>7039.2442309999997</v>
      </c>
      <c r="I64" s="8">
        <v>526.70429999999999</v>
      </c>
      <c r="J64" s="8">
        <v>125.516581</v>
      </c>
      <c r="K64" s="8">
        <v>1463.936502</v>
      </c>
      <c r="L64" s="8">
        <v>230.41666699999999</v>
      </c>
      <c r="M64" s="8">
        <v>2310.8133760000001</v>
      </c>
      <c r="N64" s="8">
        <v>2306.4631279999999</v>
      </c>
      <c r="O64" s="8">
        <v>4.3502479999999997</v>
      </c>
      <c r="P64" s="8">
        <v>890.74793</v>
      </c>
      <c r="Q64" s="8">
        <v>642.26</v>
      </c>
      <c r="R64" s="8">
        <v>251.08750000000001</v>
      </c>
      <c r="S64" s="8">
        <v>490.82</v>
      </c>
      <c r="T64" s="8">
        <v>493.41957000000002</v>
      </c>
      <c r="U64" s="8">
        <v>8551.176324</v>
      </c>
      <c r="V64" s="8">
        <v>0</v>
      </c>
      <c r="W64" s="8">
        <v>8712.9581330000001</v>
      </c>
      <c r="X64" s="8">
        <v>0</v>
      </c>
      <c r="Y64" s="8">
        <v>161.78180900000001</v>
      </c>
      <c r="Z64" s="9">
        <v>14790.529947999999</v>
      </c>
    </row>
    <row r="65" spans="2:26" s="1" customFormat="1" ht="14.85" customHeight="1" x14ac:dyDescent="0.15">
      <c r="B65" s="5" t="s">
        <v>83</v>
      </c>
      <c r="C65" s="6">
        <v>7169.6357660000003</v>
      </c>
      <c r="D65" s="6">
        <v>8023.8236960000004</v>
      </c>
      <c r="E65" s="6">
        <v>10334.637072</v>
      </c>
      <c r="F65" s="6">
        <v>8640.2839029999996</v>
      </c>
      <c r="G65" s="6">
        <v>47.905889999999999</v>
      </c>
      <c r="H65" s="6">
        <v>7354.8359300000002</v>
      </c>
      <c r="I65" s="6">
        <v>1112.0255030000001</v>
      </c>
      <c r="J65" s="6">
        <v>125.516581</v>
      </c>
      <c r="K65" s="6">
        <v>1463.936502</v>
      </c>
      <c r="L65" s="6">
        <v>230.41666699999999</v>
      </c>
      <c r="M65" s="6">
        <v>2310.8133760000001</v>
      </c>
      <c r="N65" s="6">
        <v>2306.4631279999999</v>
      </c>
      <c r="O65" s="6">
        <v>4.3502479999999997</v>
      </c>
      <c r="P65" s="6">
        <v>854.18793000000005</v>
      </c>
      <c r="Q65" s="6">
        <v>689.28</v>
      </c>
      <c r="R65" s="6">
        <v>251.08750000000001</v>
      </c>
      <c r="S65" s="6">
        <v>407.24</v>
      </c>
      <c r="T65" s="6">
        <v>493.41957000000002</v>
      </c>
      <c r="U65" s="6">
        <v>10929.147993</v>
      </c>
      <c r="V65" s="6">
        <v>0</v>
      </c>
      <c r="W65" s="6">
        <v>11090.929802000001</v>
      </c>
      <c r="X65" s="6">
        <v>0</v>
      </c>
      <c r="Y65" s="6">
        <v>161.78180900000001</v>
      </c>
      <c r="Z65" s="7">
        <v>18098.783759000002</v>
      </c>
    </row>
    <row r="66" spans="2:26" s="1" customFormat="1" ht="14.85" customHeight="1" x14ac:dyDescent="0.15">
      <c r="B66" s="5" t="s">
        <v>84</v>
      </c>
      <c r="C66" s="8">
        <v>3971.0369620000001</v>
      </c>
      <c r="D66" s="8">
        <v>4839.9448920000004</v>
      </c>
      <c r="E66" s="8">
        <v>7150.7582679999996</v>
      </c>
      <c r="F66" s="8">
        <v>5456.4050989999996</v>
      </c>
      <c r="G66" s="8">
        <v>44.987608000000002</v>
      </c>
      <c r="H66" s="8">
        <v>4357.3291790000003</v>
      </c>
      <c r="I66" s="8">
        <v>928.57173</v>
      </c>
      <c r="J66" s="8">
        <v>125.516581</v>
      </c>
      <c r="K66" s="8">
        <v>1463.936502</v>
      </c>
      <c r="L66" s="8">
        <v>230.41666699999999</v>
      </c>
      <c r="M66" s="8">
        <v>2310.8133760000001</v>
      </c>
      <c r="N66" s="8">
        <v>2306.4631279999999</v>
      </c>
      <c r="O66" s="8">
        <v>4.3502479999999997</v>
      </c>
      <c r="P66" s="8">
        <v>868.90792999999996</v>
      </c>
      <c r="Q66" s="8">
        <v>617.65</v>
      </c>
      <c r="R66" s="8">
        <v>251.08750000000001</v>
      </c>
      <c r="S66" s="8">
        <v>493.59</v>
      </c>
      <c r="T66" s="8">
        <v>493.41957000000002</v>
      </c>
      <c r="U66" s="8">
        <v>1736.8901269999999</v>
      </c>
      <c r="V66" s="8">
        <v>0</v>
      </c>
      <c r="W66" s="8">
        <v>1898.671936</v>
      </c>
      <c r="X66" s="8">
        <v>0</v>
      </c>
      <c r="Y66" s="8">
        <v>161.78180900000001</v>
      </c>
      <c r="Z66" s="9">
        <v>5707.9270880000004</v>
      </c>
    </row>
    <row r="67" spans="2:26" s="1" customFormat="1" ht="14.85" customHeight="1" x14ac:dyDescent="0.15">
      <c r="B67" s="5" t="s">
        <v>85</v>
      </c>
      <c r="C67" s="6">
        <v>2593.5753159999999</v>
      </c>
      <c r="D67" s="6">
        <v>4117.6422650000004</v>
      </c>
      <c r="E67" s="6">
        <v>4934.2737550000002</v>
      </c>
      <c r="F67" s="6">
        <v>3023.1763919999999</v>
      </c>
      <c r="G67" s="6">
        <v>1.6764520000000001</v>
      </c>
      <c r="H67" s="6">
        <v>2372.879574</v>
      </c>
      <c r="I67" s="6">
        <v>530.96884299999999</v>
      </c>
      <c r="J67" s="6">
        <v>117.651523</v>
      </c>
      <c r="K67" s="6">
        <v>1372.2040300000001</v>
      </c>
      <c r="L67" s="6">
        <v>538.89333299999998</v>
      </c>
      <c r="M67" s="6">
        <v>816.63148899999999</v>
      </c>
      <c r="N67" s="6">
        <v>814.89927299999999</v>
      </c>
      <c r="O67" s="6">
        <v>1.732216</v>
      </c>
      <c r="P67" s="6">
        <v>1524.0669499999999</v>
      </c>
      <c r="Q67" s="6">
        <v>453.8</v>
      </c>
      <c r="R67" s="6">
        <v>251.08750000000001</v>
      </c>
      <c r="S67" s="6">
        <v>1143.8499999999999</v>
      </c>
      <c r="T67" s="6">
        <v>324.67054999999999</v>
      </c>
      <c r="U67" s="6">
        <v>1177.954483</v>
      </c>
      <c r="V67" s="6">
        <v>0</v>
      </c>
      <c r="W67" s="6">
        <v>1423.9597450000001</v>
      </c>
      <c r="X67" s="6">
        <v>0</v>
      </c>
      <c r="Y67" s="6">
        <v>246.00526099999999</v>
      </c>
      <c r="Z67" s="7">
        <v>3771.5297989999999</v>
      </c>
    </row>
    <row r="68" spans="2:26" s="1" customFormat="1" ht="14.85" customHeight="1" x14ac:dyDescent="0.15">
      <c r="B68" s="5" t="s">
        <v>86</v>
      </c>
      <c r="C68" s="8">
        <v>18247.368111</v>
      </c>
      <c r="D68" s="8">
        <v>18698.785060999999</v>
      </c>
      <c r="E68" s="8">
        <v>19515.416550000002</v>
      </c>
      <c r="F68" s="8">
        <v>17604.319187000001</v>
      </c>
      <c r="G68" s="8">
        <v>63.818496000000003</v>
      </c>
      <c r="H68" s="8">
        <v>17313.922697999998</v>
      </c>
      <c r="I68" s="8">
        <v>108.92646999999999</v>
      </c>
      <c r="J68" s="8">
        <v>117.651523</v>
      </c>
      <c r="K68" s="8">
        <v>1372.2040300000001</v>
      </c>
      <c r="L68" s="8">
        <v>538.89333299999998</v>
      </c>
      <c r="M68" s="8">
        <v>816.63148899999999</v>
      </c>
      <c r="N68" s="8">
        <v>814.89927299999999</v>
      </c>
      <c r="O68" s="8">
        <v>1.732216</v>
      </c>
      <c r="P68" s="8">
        <v>451.41694999999999</v>
      </c>
      <c r="Q68" s="8">
        <v>328.72</v>
      </c>
      <c r="R68" s="8">
        <v>251.08750000000001</v>
      </c>
      <c r="S68" s="8">
        <v>196.28</v>
      </c>
      <c r="T68" s="8">
        <v>324.67054999999999</v>
      </c>
      <c r="U68" s="8">
        <v>5347.2375920000004</v>
      </c>
      <c r="V68" s="8">
        <v>0</v>
      </c>
      <c r="W68" s="8">
        <v>5593.2428529999997</v>
      </c>
      <c r="X68" s="8">
        <v>0</v>
      </c>
      <c r="Y68" s="8">
        <v>246.00526099999999</v>
      </c>
      <c r="Z68" s="9">
        <v>23594.605703000001</v>
      </c>
    </row>
    <row r="69" spans="2:26" s="1" customFormat="1" ht="14.85" customHeight="1" x14ac:dyDescent="0.15">
      <c r="B69" s="5" t="s">
        <v>87</v>
      </c>
      <c r="C69" s="6">
        <v>3583.5262710000002</v>
      </c>
      <c r="D69" s="6">
        <v>4261.173221</v>
      </c>
      <c r="E69" s="6">
        <v>5077.8047109999998</v>
      </c>
      <c r="F69" s="6">
        <v>3166.7073479999999</v>
      </c>
      <c r="G69" s="6">
        <v>10.050466</v>
      </c>
      <c r="H69" s="6">
        <v>1538.711438</v>
      </c>
      <c r="I69" s="6">
        <v>1500.293921</v>
      </c>
      <c r="J69" s="6">
        <v>117.651523</v>
      </c>
      <c r="K69" s="6">
        <v>1372.2040300000001</v>
      </c>
      <c r="L69" s="6">
        <v>538.89333299999998</v>
      </c>
      <c r="M69" s="6">
        <v>816.63148899999999</v>
      </c>
      <c r="N69" s="6">
        <v>814.89927299999999</v>
      </c>
      <c r="O69" s="6">
        <v>1.732216</v>
      </c>
      <c r="P69" s="6">
        <v>677.64694999999995</v>
      </c>
      <c r="Q69" s="6">
        <v>419.39</v>
      </c>
      <c r="R69" s="6">
        <v>251.08750000000001</v>
      </c>
      <c r="S69" s="6">
        <v>331.84</v>
      </c>
      <c r="T69" s="6">
        <v>324.67054999999999</v>
      </c>
      <c r="U69" s="6">
        <v>472.46276899999998</v>
      </c>
      <c r="V69" s="6">
        <v>0</v>
      </c>
      <c r="W69" s="6">
        <v>718.46803</v>
      </c>
      <c r="X69" s="6">
        <v>0</v>
      </c>
      <c r="Y69" s="6">
        <v>246.00526099999999</v>
      </c>
      <c r="Z69" s="7">
        <v>4055.9890399999999</v>
      </c>
    </row>
    <row r="70" spans="2:26" s="1" customFormat="1" ht="14.85" customHeight="1" x14ac:dyDescent="0.15">
      <c r="B70" s="5" t="s">
        <v>88</v>
      </c>
      <c r="C70" s="8">
        <v>-914.402331</v>
      </c>
      <c r="D70" s="8">
        <v>64.175781999999998</v>
      </c>
      <c r="E70" s="8">
        <v>3309.1811309999998</v>
      </c>
      <c r="F70" s="8">
        <v>1661.4725559999999</v>
      </c>
      <c r="G70" s="8">
        <v>4.1379630000000001</v>
      </c>
      <c r="H70" s="8">
        <v>1408.115871</v>
      </c>
      <c r="I70" s="8">
        <v>137.526533</v>
      </c>
      <c r="J70" s="8">
        <v>111.692188</v>
      </c>
      <c r="K70" s="8">
        <v>1302.6985749999999</v>
      </c>
      <c r="L70" s="8">
        <v>345.01</v>
      </c>
      <c r="M70" s="8">
        <v>3245.005349</v>
      </c>
      <c r="N70" s="8">
        <v>3241.6148659999999</v>
      </c>
      <c r="O70" s="8">
        <v>3.3904830000000001</v>
      </c>
      <c r="P70" s="8">
        <v>978.57811300000003</v>
      </c>
      <c r="Q70" s="8">
        <v>529.16</v>
      </c>
      <c r="R70" s="8">
        <v>251.08750000000001</v>
      </c>
      <c r="S70" s="8">
        <v>246.38</v>
      </c>
      <c r="T70" s="8">
        <v>48.049387000000003</v>
      </c>
      <c r="U70" s="8">
        <v>3174.4517890000002</v>
      </c>
      <c r="V70" s="8">
        <v>0</v>
      </c>
      <c r="W70" s="8">
        <v>3326.4279839999999</v>
      </c>
      <c r="X70" s="8">
        <v>0</v>
      </c>
      <c r="Y70" s="8">
        <v>151.97619399999999</v>
      </c>
      <c r="Z70" s="9">
        <v>2260.049458</v>
      </c>
    </row>
    <row r="71" spans="2:26" s="1" customFormat="1" ht="14.85" customHeight="1" x14ac:dyDescent="0.15">
      <c r="B71" s="5" t="s">
        <v>89</v>
      </c>
      <c r="C71" s="6">
        <v>200.04821899999999</v>
      </c>
      <c r="D71" s="6">
        <v>754.81633199999999</v>
      </c>
      <c r="E71" s="6">
        <v>3999.8216809999999</v>
      </c>
      <c r="F71" s="6">
        <v>2352.1131059999998</v>
      </c>
      <c r="G71" s="6">
        <v>12.922217</v>
      </c>
      <c r="H71" s="6">
        <v>2084.3132930000002</v>
      </c>
      <c r="I71" s="6">
        <v>143.185408</v>
      </c>
      <c r="J71" s="6">
        <v>111.692188</v>
      </c>
      <c r="K71" s="6">
        <v>1302.6985749999999</v>
      </c>
      <c r="L71" s="6">
        <v>345.01</v>
      </c>
      <c r="M71" s="6">
        <v>3245.005349</v>
      </c>
      <c r="N71" s="6">
        <v>3241.6148659999999</v>
      </c>
      <c r="O71" s="6">
        <v>3.3904830000000001</v>
      </c>
      <c r="P71" s="6">
        <v>554.76811299999997</v>
      </c>
      <c r="Q71" s="6">
        <v>192.88</v>
      </c>
      <c r="R71" s="6">
        <v>251.08750000000001</v>
      </c>
      <c r="S71" s="6">
        <v>158.85</v>
      </c>
      <c r="T71" s="6">
        <v>48.049387000000003</v>
      </c>
      <c r="U71" s="6">
        <v>-560.87774400000001</v>
      </c>
      <c r="V71" s="6">
        <v>0</v>
      </c>
      <c r="W71" s="6">
        <v>-408.90154899999999</v>
      </c>
      <c r="X71" s="6">
        <v>0</v>
      </c>
      <c r="Y71" s="6">
        <v>151.97619399999999</v>
      </c>
      <c r="Z71" s="7">
        <v>-360.82952499999999</v>
      </c>
    </row>
    <row r="72" spans="2:26" s="1" customFormat="1" ht="14.85" customHeight="1" x14ac:dyDescent="0.15">
      <c r="B72" s="5" t="s">
        <v>90</v>
      </c>
      <c r="C72" s="8">
        <v>186.41574600000001</v>
      </c>
      <c r="D72" s="8">
        <v>1286.453859</v>
      </c>
      <c r="E72" s="8">
        <v>4531.4592080000002</v>
      </c>
      <c r="F72" s="8">
        <v>2883.7506330000001</v>
      </c>
      <c r="G72" s="8">
        <v>79.776736</v>
      </c>
      <c r="H72" s="8">
        <v>2168.6591349999999</v>
      </c>
      <c r="I72" s="8">
        <v>523.62257399999999</v>
      </c>
      <c r="J72" s="8">
        <v>111.692188</v>
      </c>
      <c r="K72" s="8">
        <v>1302.6985749999999</v>
      </c>
      <c r="L72" s="8">
        <v>345.01</v>
      </c>
      <c r="M72" s="8">
        <v>3245.005349</v>
      </c>
      <c r="N72" s="8">
        <v>3241.6148659999999</v>
      </c>
      <c r="O72" s="8">
        <v>3.3904830000000001</v>
      </c>
      <c r="P72" s="8">
        <v>1100.0381130000001</v>
      </c>
      <c r="Q72" s="8">
        <v>513.14</v>
      </c>
      <c r="R72" s="8">
        <v>251.08750000000001</v>
      </c>
      <c r="S72" s="8">
        <v>383.86</v>
      </c>
      <c r="T72" s="8">
        <v>48.049387000000003</v>
      </c>
      <c r="U72" s="8">
        <v>-1971.9091450000001</v>
      </c>
      <c r="V72" s="8">
        <v>0</v>
      </c>
      <c r="W72" s="8">
        <v>-1819.932951</v>
      </c>
      <c r="X72" s="8">
        <v>0</v>
      </c>
      <c r="Y72" s="8">
        <v>151.97619399999999</v>
      </c>
      <c r="Z72" s="9">
        <v>-1785.493399</v>
      </c>
    </row>
    <row r="73" spans="2:26" s="1" customFormat="1" ht="14.85" customHeight="1" x14ac:dyDescent="0.15">
      <c r="B73" s="5" t="s">
        <v>91</v>
      </c>
      <c r="C73" s="6">
        <v>3974.1650399999999</v>
      </c>
      <c r="D73" s="6">
        <v>4936.7179150000002</v>
      </c>
      <c r="E73" s="6">
        <v>6293.3237779999999</v>
      </c>
      <c r="F73" s="6">
        <v>4515.9181250000001</v>
      </c>
      <c r="G73" s="6">
        <v>187.976573</v>
      </c>
      <c r="H73" s="6">
        <v>3003.5707120000002</v>
      </c>
      <c r="I73" s="6">
        <v>1086.0196149999999</v>
      </c>
      <c r="J73" s="6">
        <v>238.351224</v>
      </c>
      <c r="K73" s="6">
        <v>1257.4123199999999</v>
      </c>
      <c r="L73" s="6">
        <v>519.99333300000001</v>
      </c>
      <c r="M73" s="6">
        <v>1356.6058619999999</v>
      </c>
      <c r="N73" s="6">
        <v>1353.937291</v>
      </c>
      <c r="O73" s="6">
        <v>2.668571</v>
      </c>
      <c r="P73" s="6">
        <v>962.55287499999997</v>
      </c>
      <c r="Q73" s="6">
        <v>614.08666700000003</v>
      </c>
      <c r="R73" s="6">
        <v>262.5675</v>
      </c>
      <c r="S73" s="6">
        <v>624.57000000000005</v>
      </c>
      <c r="T73" s="6">
        <v>538.67129199999999</v>
      </c>
      <c r="U73" s="6">
        <v>-14635.156069000001</v>
      </c>
      <c r="V73" s="6">
        <v>0</v>
      </c>
      <c r="W73" s="6">
        <v>-14967.787273</v>
      </c>
      <c r="X73" s="6">
        <v>0</v>
      </c>
      <c r="Y73" s="6">
        <v>-332.63120300000003</v>
      </c>
      <c r="Z73" s="7">
        <v>-10660.991029000001</v>
      </c>
    </row>
    <row r="74" spans="2:26" s="1" customFormat="1" ht="14.85" customHeight="1" x14ac:dyDescent="0.15">
      <c r="B74" s="5" t="s">
        <v>92</v>
      </c>
      <c r="C74" s="8">
        <v>2737.0995819999998</v>
      </c>
      <c r="D74" s="8">
        <v>4019.9024570000001</v>
      </c>
      <c r="E74" s="8">
        <v>5376.5083199999999</v>
      </c>
      <c r="F74" s="8">
        <v>3599.1026670000001</v>
      </c>
      <c r="G74" s="8">
        <v>25.855198999999999</v>
      </c>
      <c r="H74" s="8">
        <v>3149.1046070000002</v>
      </c>
      <c r="I74" s="8">
        <v>185.79163700000001</v>
      </c>
      <c r="J74" s="8">
        <v>238.351224</v>
      </c>
      <c r="K74" s="8">
        <v>1257.4123199999999</v>
      </c>
      <c r="L74" s="8">
        <v>519.99333300000001</v>
      </c>
      <c r="M74" s="8">
        <v>1356.6058619999999</v>
      </c>
      <c r="N74" s="8">
        <v>1353.937291</v>
      </c>
      <c r="O74" s="8">
        <v>2.668571</v>
      </c>
      <c r="P74" s="8">
        <v>1282.8028750000001</v>
      </c>
      <c r="Q74" s="8">
        <v>615.45666700000004</v>
      </c>
      <c r="R74" s="8">
        <v>262.5675</v>
      </c>
      <c r="S74" s="8">
        <v>943.45</v>
      </c>
      <c r="T74" s="8">
        <v>538.67129199999999</v>
      </c>
      <c r="U74" s="8">
        <v>-1148.255406</v>
      </c>
      <c r="V74" s="8">
        <v>0</v>
      </c>
      <c r="W74" s="8">
        <v>-1480.8866089999999</v>
      </c>
      <c r="X74" s="8">
        <v>0</v>
      </c>
      <c r="Y74" s="8">
        <v>-332.63120300000003</v>
      </c>
      <c r="Z74" s="9">
        <v>1588.8441760000001</v>
      </c>
    </row>
    <row r="75" spans="2:26" s="1" customFormat="1" ht="14.85" customHeight="1" x14ac:dyDescent="0.15">
      <c r="B75" s="5" t="s">
        <v>93</v>
      </c>
      <c r="C75" s="6">
        <v>5251.8750829999999</v>
      </c>
      <c r="D75" s="6">
        <v>6228.8279579999999</v>
      </c>
      <c r="E75" s="6">
        <v>7585.4338209999996</v>
      </c>
      <c r="F75" s="6">
        <v>5808.0281679999998</v>
      </c>
      <c r="G75" s="6">
        <v>23.841719000000001</v>
      </c>
      <c r="H75" s="6">
        <v>4751.1874150000003</v>
      </c>
      <c r="I75" s="6">
        <v>794.64781000000005</v>
      </c>
      <c r="J75" s="6">
        <v>238.351224</v>
      </c>
      <c r="K75" s="6">
        <v>1257.4123199999999</v>
      </c>
      <c r="L75" s="6">
        <v>519.99333300000001</v>
      </c>
      <c r="M75" s="6">
        <v>1356.6058619999999</v>
      </c>
      <c r="N75" s="6">
        <v>1353.937291</v>
      </c>
      <c r="O75" s="6">
        <v>2.668571</v>
      </c>
      <c r="P75" s="6">
        <v>976.95287499999995</v>
      </c>
      <c r="Q75" s="6">
        <v>877.69666700000005</v>
      </c>
      <c r="R75" s="6">
        <v>262.5675</v>
      </c>
      <c r="S75" s="6">
        <v>375.36</v>
      </c>
      <c r="T75" s="6">
        <v>538.67129199999999</v>
      </c>
      <c r="U75" s="6">
        <v>2038.584034</v>
      </c>
      <c r="V75" s="6">
        <v>0</v>
      </c>
      <c r="W75" s="6">
        <v>1705.9528310000001</v>
      </c>
      <c r="X75" s="6">
        <v>0</v>
      </c>
      <c r="Y75" s="6">
        <v>-332.63120300000003</v>
      </c>
      <c r="Z75" s="7">
        <v>7290.4591170000003</v>
      </c>
    </row>
    <row r="76" spans="2:26" s="1" customFormat="1" ht="14.85" customHeight="1" x14ac:dyDescent="0.15">
      <c r="B76" s="5" t="s">
        <v>94</v>
      </c>
      <c r="C76" s="8">
        <v>4326.4131950000001</v>
      </c>
      <c r="D76" s="8">
        <v>5511.9757460000001</v>
      </c>
      <c r="E76" s="8">
        <v>7463.9070840000004</v>
      </c>
      <c r="F76" s="8">
        <v>4778.4408869999997</v>
      </c>
      <c r="G76" s="8">
        <v>45.171875999999997</v>
      </c>
      <c r="H76" s="8">
        <v>3646.4937650000002</v>
      </c>
      <c r="I76" s="8">
        <v>966.93199900000002</v>
      </c>
      <c r="J76" s="8">
        <v>119.84324599999999</v>
      </c>
      <c r="K76" s="8">
        <v>1196.592864</v>
      </c>
      <c r="L76" s="8">
        <v>1488.873333</v>
      </c>
      <c r="M76" s="8">
        <v>1951.931337</v>
      </c>
      <c r="N76" s="8">
        <v>1915.7186839999999</v>
      </c>
      <c r="O76" s="8">
        <v>36.212653000000003</v>
      </c>
      <c r="P76" s="8">
        <v>1185.5625520000001</v>
      </c>
      <c r="Q76" s="8">
        <v>599.80666699999995</v>
      </c>
      <c r="R76" s="8">
        <v>262.5675</v>
      </c>
      <c r="S76" s="8">
        <v>532.45000000000005</v>
      </c>
      <c r="T76" s="8">
        <v>209.26161500000001</v>
      </c>
      <c r="U76" s="8">
        <v>-611.41759000000002</v>
      </c>
      <c r="V76" s="8">
        <v>0</v>
      </c>
      <c r="W76" s="8">
        <v>-509.97389299999998</v>
      </c>
      <c r="X76" s="8">
        <v>0</v>
      </c>
      <c r="Y76" s="8">
        <v>101.443697</v>
      </c>
      <c r="Z76" s="9">
        <v>3714.9956040000002</v>
      </c>
    </row>
    <row r="77" spans="2:26" s="1" customFormat="1" ht="14.85" customHeight="1" x14ac:dyDescent="0.15">
      <c r="B77" s="5" t="s">
        <v>95</v>
      </c>
      <c r="C77" s="6">
        <v>2770.4581050000002</v>
      </c>
      <c r="D77" s="6">
        <v>3657.4906569999998</v>
      </c>
      <c r="E77" s="6">
        <v>5609.4219940000003</v>
      </c>
      <c r="F77" s="6">
        <v>2923.9557970000001</v>
      </c>
      <c r="G77" s="6">
        <v>57.626441999999997</v>
      </c>
      <c r="H77" s="6">
        <v>2210.2412509999999</v>
      </c>
      <c r="I77" s="6">
        <v>536.24485700000002</v>
      </c>
      <c r="J77" s="6">
        <v>119.84324599999999</v>
      </c>
      <c r="K77" s="6">
        <v>1196.592864</v>
      </c>
      <c r="L77" s="6">
        <v>1488.873333</v>
      </c>
      <c r="M77" s="6">
        <v>1951.931337</v>
      </c>
      <c r="N77" s="6">
        <v>1915.7186839999999</v>
      </c>
      <c r="O77" s="6">
        <v>36.212653000000003</v>
      </c>
      <c r="P77" s="6">
        <v>887.03255200000001</v>
      </c>
      <c r="Q77" s="6">
        <v>491.83666699999998</v>
      </c>
      <c r="R77" s="6">
        <v>262.5675</v>
      </c>
      <c r="S77" s="6">
        <v>341.89</v>
      </c>
      <c r="T77" s="6">
        <v>209.26161500000001</v>
      </c>
      <c r="U77" s="6">
        <v>5860.4508850000002</v>
      </c>
      <c r="V77" s="6">
        <v>0</v>
      </c>
      <c r="W77" s="6">
        <v>5961.8945819999999</v>
      </c>
      <c r="X77" s="6">
        <v>0</v>
      </c>
      <c r="Y77" s="6">
        <v>101.443697</v>
      </c>
      <c r="Z77" s="7">
        <v>8630.9089899999999</v>
      </c>
    </row>
    <row r="78" spans="2:26" s="1" customFormat="1" ht="14.85" customHeight="1" x14ac:dyDescent="0.15">
      <c r="B78" s="5" t="s">
        <v>96</v>
      </c>
      <c r="C78" s="8">
        <v>2646.1962140000001</v>
      </c>
      <c r="D78" s="8">
        <v>4064.0087659999999</v>
      </c>
      <c r="E78" s="8">
        <v>6015.9401040000002</v>
      </c>
      <c r="F78" s="8">
        <v>3330.4739070000001</v>
      </c>
      <c r="G78" s="8">
        <v>61.145473000000003</v>
      </c>
      <c r="H78" s="8">
        <v>2495.9374309999998</v>
      </c>
      <c r="I78" s="8">
        <v>653.54775600000005</v>
      </c>
      <c r="J78" s="8">
        <v>119.84324599999999</v>
      </c>
      <c r="K78" s="8">
        <v>1196.592864</v>
      </c>
      <c r="L78" s="8">
        <v>1488.873333</v>
      </c>
      <c r="M78" s="8">
        <v>1951.931337</v>
      </c>
      <c r="N78" s="8">
        <v>1915.7186839999999</v>
      </c>
      <c r="O78" s="8">
        <v>36.212653000000003</v>
      </c>
      <c r="P78" s="8">
        <v>1417.8125520000001</v>
      </c>
      <c r="Q78" s="8">
        <v>1076.926667</v>
      </c>
      <c r="R78" s="8">
        <v>262.5675</v>
      </c>
      <c r="S78" s="8">
        <v>287.58</v>
      </c>
      <c r="T78" s="8">
        <v>209.26161500000001</v>
      </c>
      <c r="U78" s="8">
        <v>2580.0774040000001</v>
      </c>
      <c r="V78" s="8">
        <v>0</v>
      </c>
      <c r="W78" s="8">
        <v>2681.5211009999998</v>
      </c>
      <c r="X78" s="8">
        <v>0</v>
      </c>
      <c r="Y78" s="8">
        <v>101.443697</v>
      </c>
      <c r="Z78" s="9">
        <v>5226.2736180000002</v>
      </c>
    </row>
    <row r="79" spans="2:26" s="1" customFormat="1" ht="14.85" customHeight="1" x14ac:dyDescent="0.15">
      <c r="B79" s="5" t="s">
        <v>97</v>
      </c>
      <c r="C79" s="6">
        <v>1981.310608</v>
      </c>
      <c r="D79" s="6">
        <v>2949.6936099999998</v>
      </c>
      <c r="E79" s="6">
        <v>4443.7660749999995</v>
      </c>
      <c r="F79" s="6">
        <v>2856.3701729999998</v>
      </c>
      <c r="G79" s="6">
        <v>54.583843000000002</v>
      </c>
      <c r="H79" s="6">
        <v>2150.4428349999998</v>
      </c>
      <c r="I79" s="6">
        <v>535.70640100000003</v>
      </c>
      <c r="J79" s="6">
        <v>115.637094</v>
      </c>
      <c r="K79" s="6">
        <v>1154.595902</v>
      </c>
      <c r="L79" s="6">
        <v>432.8</v>
      </c>
      <c r="M79" s="6">
        <v>1494.072465</v>
      </c>
      <c r="N79" s="6">
        <v>1481.844004</v>
      </c>
      <c r="O79" s="6">
        <v>12.228462</v>
      </c>
      <c r="P79" s="6">
        <v>968.38300200000003</v>
      </c>
      <c r="Q79" s="6">
        <v>485.97666700000002</v>
      </c>
      <c r="R79" s="6">
        <v>262.5675</v>
      </c>
      <c r="S79" s="6">
        <v>478.17</v>
      </c>
      <c r="T79" s="6">
        <v>258.331165</v>
      </c>
      <c r="U79" s="6">
        <v>2382.5426000000002</v>
      </c>
      <c r="V79" s="6">
        <v>0</v>
      </c>
      <c r="W79" s="6">
        <v>2225.425632</v>
      </c>
      <c r="X79" s="6">
        <v>0</v>
      </c>
      <c r="Y79" s="6">
        <v>-157.11696800000001</v>
      </c>
      <c r="Z79" s="7">
        <v>4363.8532080000004</v>
      </c>
    </row>
    <row r="80" spans="2:26" s="1" customFormat="1" ht="14.85" customHeight="1" x14ac:dyDescent="0.15">
      <c r="B80" s="5" t="s">
        <v>98</v>
      </c>
      <c r="C80" s="8">
        <v>1850.740587</v>
      </c>
      <c r="D80" s="8">
        <v>2762.0135890000001</v>
      </c>
      <c r="E80" s="8">
        <v>4256.0860540000003</v>
      </c>
      <c r="F80" s="8">
        <v>2668.6901520000001</v>
      </c>
      <c r="G80" s="8">
        <v>43.298991000000001</v>
      </c>
      <c r="H80" s="8">
        <v>2003.967504</v>
      </c>
      <c r="I80" s="8">
        <v>505.786564</v>
      </c>
      <c r="J80" s="8">
        <v>115.637094</v>
      </c>
      <c r="K80" s="8">
        <v>1154.595902</v>
      </c>
      <c r="L80" s="8">
        <v>432.8</v>
      </c>
      <c r="M80" s="8">
        <v>1494.072465</v>
      </c>
      <c r="N80" s="8">
        <v>1481.844004</v>
      </c>
      <c r="O80" s="8">
        <v>12.228462</v>
      </c>
      <c r="P80" s="8">
        <v>911.27300200000002</v>
      </c>
      <c r="Q80" s="8">
        <v>623.496667</v>
      </c>
      <c r="R80" s="8">
        <v>262.5675</v>
      </c>
      <c r="S80" s="8">
        <v>283.54000000000002</v>
      </c>
      <c r="T80" s="8">
        <v>258.331165</v>
      </c>
      <c r="U80" s="8">
        <v>-363.13913000000002</v>
      </c>
      <c r="V80" s="8">
        <v>0</v>
      </c>
      <c r="W80" s="8">
        <v>-520.25609799999995</v>
      </c>
      <c r="X80" s="8">
        <v>0</v>
      </c>
      <c r="Y80" s="8">
        <v>-157.11696800000001</v>
      </c>
      <c r="Z80" s="9">
        <v>1487.601457</v>
      </c>
    </row>
    <row r="81" spans="2:26" s="1" customFormat="1" ht="14.85" customHeight="1" x14ac:dyDescent="0.15">
      <c r="B81" s="5" t="s">
        <v>99</v>
      </c>
      <c r="C81" s="6">
        <v>3482.4114340000001</v>
      </c>
      <c r="D81" s="6">
        <v>4681.3744360000001</v>
      </c>
      <c r="E81" s="6">
        <v>6175.4469010000003</v>
      </c>
      <c r="F81" s="6">
        <v>4588.050999</v>
      </c>
      <c r="G81" s="6">
        <v>50.307836999999999</v>
      </c>
      <c r="H81" s="6">
        <v>3761.3794090000001</v>
      </c>
      <c r="I81" s="6">
        <v>660.72666000000004</v>
      </c>
      <c r="J81" s="6">
        <v>115.637094</v>
      </c>
      <c r="K81" s="6">
        <v>1154.595902</v>
      </c>
      <c r="L81" s="6">
        <v>432.8</v>
      </c>
      <c r="M81" s="6">
        <v>1494.072465</v>
      </c>
      <c r="N81" s="6">
        <v>1481.844004</v>
      </c>
      <c r="O81" s="6">
        <v>12.228462</v>
      </c>
      <c r="P81" s="6">
        <v>1198.963002</v>
      </c>
      <c r="Q81" s="6">
        <v>593.88666699999999</v>
      </c>
      <c r="R81" s="6">
        <v>262.5675</v>
      </c>
      <c r="S81" s="6">
        <v>600.84</v>
      </c>
      <c r="T81" s="6">
        <v>258.331165</v>
      </c>
      <c r="U81" s="6">
        <v>457.03703000000002</v>
      </c>
      <c r="V81" s="6">
        <v>0</v>
      </c>
      <c r="W81" s="6">
        <v>299.92006199999997</v>
      </c>
      <c r="X81" s="6">
        <v>0</v>
      </c>
      <c r="Y81" s="6">
        <v>-157.11696800000001</v>
      </c>
      <c r="Z81" s="7">
        <v>3939.4484640000001</v>
      </c>
    </row>
    <row r="82" spans="2:26" s="1" customFormat="1" ht="14.85" customHeight="1" x14ac:dyDescent="0.15">
      <c r="B82" s="5" t="s">
        <v>100</v>
      </c>
      <c r="C82" s="8">
        <v>6788.6046569999999</v>
      </c>
      <c r="D82" s="8">
        <v>7570.4505609999997</v>
      </c>
      <c r="E82" s="8">
        <v>8895.94974</v>
      </c>
      <c r="F82" s="8">
        <v>7394.0390820000002</v>
      </c>
      <c r="G82" s="8">
        <v>2444.019276</v>
      </c>
      <c r="H82" s="8">
        <v>4628.1908110000004</v>
      </c>
      <c r="I82" s="8">
        <v>210.024643</v>
      </c>
      <c r="J82" s="8">
        <v>111.80435300000001</v>
      </c>
      <c r="K82" s="8">
        <v>1116.3273240000001</v>
      </c>
      <c r="L82" s="8">
        <v>385.58333299999998</v>
      </c>
      <c r="M82" s="8">
        <v>1325.4991789999999</v>
      </c>
      <c r="N82" s="8">
        <v>1319.104484</v>
      </c>
      <c r="O82" s="8">
        <v>6.3946949999999996</v>
      </c>
      <c r="P82" s="8">
        <v>781.84590400000002</v>
      </c>
      <c r="Q82" s="8">
        <v>428.13666699999999</v>
      </c>
      <c r="R82" s="8">
        <v>262.5675</v>
      </c>
      <c r="S82" s="8">
        <v>219.26</v>
      </c>
      <c r="T82" s="8">
        <v>128.11826300000001</v>
      </c>
      <c r="U82" s="8">
        <v>1895.7294730000001</v>
      </c>
      <c r="V82" s="8">
        <v>0</v>
      </c>
      <c r="W82" s="8">
        <v>2000.259583</v>
      </c>
      <c r="X82" s="8">
        <v>0</v>
      </c>
      <c r="Y82" s="8">
        <v>104.53010999999999</v>
      </c>
      <c r="Z82" s="9">
        <v>8684.3341299999993</v>
      </c>
    </row>
    <row r="83" spans="2:26" s="1" customFormat="1" ht="14.85" customHeight="1" x14ac:dyDescent="0.15">
      <c r="B83" s="5" t="s">
        <v>101</v>
      </c>
      <c r="C83" s="6">
        <v>2818.3555660000002</v>
      </c>
      <c r="D83" s="6">
        <v>4083.551469</v>
      </c>
      <c r="E83" s="6">
        <v>5409.0506480000004</v>
      </c>
      <c r="F83" s="6">
        <v>3907.139991</v>
      </c>
      <c r="G83" s="6">
        <v>207.91695000000001</v>
      </c>
      <c r="H83" s="6">
        <v>2979.2682540000001</v>
      </c>
      <c r="I83" s="6">
        <v>608.15043400000002</v>
      </c>
      <c r="J83" s="6">
        <v>111.80435300000001</v>
      </c>
      <c r="K83" s="6">
        <v>1116.3273240000001</v>
      </c>
      <c r="L83" s="6">
        <v>385.58333299999998</v>
      </c>
      <c r="M83" s="6">
        <v>1325.4991789999999</v>
      </c>
      <c r="N83" s="6">
        <v>1319.104484</v>
      </c>
      <c r="O83" s="6">
        <v>6.3946949999999996</v>
      </c>
      <c r="P83" s="6">
        <v>1265.1959039999999</v>
      </c>
      <c r="Q83" s="6">
        <v>581.71666700000003</v>
      </c>
      <c r="R83" s="6">
        <v>262.5675</v>
      </c>
      <c r="S83" s="6">
        <v>549.03</v>
      </c>
      <c r="T83" s="6">
        <v>128.11826300000001</v>
      </c>
      <c r="U83" s="6">
        <v>1835.932575</v>
      </c>
      <c r="V83" s="6">
        <v>0</v>
      </c>
      <c r="W83" s="6">
        <v>1940.462685</v>
      </c>
      <c r="X83" s="6">
        <v>0</v>
      </c>
      <c r="Y83" s="6">
        <v>104.53010999999999</v>
      </c>
      <c r="Z83" s="7">
        <v>4654.2881399999997</v>
      </c>
    </row>
    <row r="84" spans="2:26" s="1" customFormat="1" ht="14.85" customHeight="1" x14ac:dyDescent="0.15">
      <c r="B84" s="5" t="s">
        <v>102</v>
      </c>
      <c r="C84" s="8">
        <v>4385.5577670000002</v>
      </c>
      <c r="D84" s="8">
        <v>5540.1636710000002</v>
      </c>
      <c r="E84" s="8">
        <v>6865.6628499999997</v>
      </c>
      <c r="F84" s="8">
        <v>5363.7521919999999</v>
      </c>
      <c r="G84" s="8">
        <v>63.462606000000001</v>
      </c>
      <c r="H84" s="8">
        <v>4584.401871</v>
      </c>
      <c r="I84" s="8">
        <v>604.08336299999996</v>
      </c>
      <c r="J84" s="8">
        <v>111.80435300000001</v>
      </c>
      <c r="K84" s="8">
        <v>1116.3273240000001</v>
      </c>
      <c r="L84" s="8">
        <v>385.58333299999998</v>
      </c>
      <c r="M84" s="8">
        <v>1325.4991789999999</v>
      </c>
      <c r="N84" s="8">
        <v>1319.104484</v>
      </c>
      <c r="O84" s="8">
        <v>6.3946949999999996</v>
      </c>
      <c r="P84" s="8">
        <v>1154.605904</v>
      </c>
      <c r="Q84" s="8">
        <v>582.58666700000003</v>
      </c>
      <c r="R84" s="8">
        <v>262.5675</v>
      </c>
      <c r="S84" s="8">
        <v>437.57</v>
      </c>
      <c r="T84" s="8">
        <v>128.11826300000001</v>
      </c>
      <c r="U84" s="8">
        <v>1111.029612</v>
      </c>
      <c r="V84" s="8">
        <v>0</v>
      </c>
      <c r="W84" s="8">
        <v>1215.559722</v>
      </c>
      <c r="X84" s="8">
        <v>0</v>
      </c>
      <c r="Y84" s="8">
        <v>104.53010999999999</v>
      </c>
      <c r="Z84" s="9">
        <v>5496.5873789999996</v>
      </c>
    </row>
    <row r="85" spans="2:26" s="1" customFormat="1" ht="14.85" customHeight="1" x14ac:dyDescent="0.15">
      <c r="B85" s="5" t="s">
        <v>103</v>
      </c>
      <c r="C85" s="6">
        <v>789.17668000000003</v>
      </c>
      <c r="D85" s="6">
        <v>3239.5792339999998</v>
      </c>
      <c r="E85" s="6">
        <v>5129.9278299999996</v>
      </c>
      <c r="F85" s="6">
        <v>3662.2555259999999</v>
      </c>
      <c r="G85" s="6">
        <v>276.99241999999998</v>
      </c>
      <c r="H85" s="6">
        <v>2528.1948309999998</v>
      </c>
      <c r="I85" s="6">
        <v>795.743382</v>
      </c>
      <c r="J85" s="6">
        <v>61.324891000000001</v>
      </c>
      <c r="K85" s="6">
        <v>1216.5989709999999</v>
      </c>
      <c r="L85" s="6">
        <v>251.07333299999999</v>
      </c>
      <c r="M85" s="6">
        <v>1890.348596</v>
      </c>
      <c r="N85" s="6">
        <v>1878.515238</v>
      </c>
      <c r="O85" s="6">
        <v>11.833358</v>
      </c>
      <c r="P85" s="6">
        <v>2450.4025529999999</v>
      </c>
      <c r="Q85" s="6">
        <v>966.37249999999995</v>
      </c>
      <c r="R85" s="6">
        <v>252.70083299999999</v>
      </c>
      <c r="S85" s="6">
        <v>1629.15</v>
      </c>
      <c r="T85" s="6">
        <v>397.82078000000001</v>
      </c>
      <c r="U85" s="6">
        <v>8622.9558649999999</v>
      </c>
      <c r="V85" s="6">
        <v>0</v>
      </c>
      <c r="W85" s="6">
        <v>9300.6020360000002</v>
      </c>
      <c r="X85" s="6">
        <v>0</v>
      </c>
      <c r="Y85" s="6">
        <v>677.64617099999998</v>
      </c>
      <c r="Z85" s="7">
        <v>9412.1325460000007</v>
      </c>
    </row>
    <row r="86" spans="2:26" s="1" customFormat="1" ht="14.85" customHeight="1" x14ac:dyDescent="0.15">
      <c r="B86" s="5" t="s">
        <v>104</v>
      </c>
      <c r="C86" s="8">
        <v>1949.202266</v>
      </c>
      <c r="D86" s="8">
        <v>2503.4848189999998</v>
      </c>
      <c r="E86" s="8">
        <v>4393.8334150000001</v>
      </c>
      <c r="F86" s="8">
        <v>2926.1611109999999</v>
      </c>
      <c r="G86" s="8">
        <v>22.195498000000001</v>
      </c>
      <c r="H86" s="8">
        <v>2489.9338939999998</v>
      </c>
      <c r="I86" s="8">
        <v>352.70682799999997</v>
      </c>
      <c r="J86" s="8">
        <v>61.324891000000001</v>
      </c>
      <c r="K86" s="8">
        <v>1216.5989709999999</v>
      </c>
      <c r="L86" s="8">
        <v>251.07333299999999</v>
      </c>
      <c r="M86" s="8">
        <v>1890.348596</v>
      </c>
      <c r="N86" s="8">
        <v>1878.515238</v>
      </c>
      <c r="O86" s="8">
        <v>11.833358</v>
      </c>
      <c r="P86" s="8">
        <v>554.28255300000001</v>
      </c>
      <c r="Q86" s="8">
        <v>457.73250000000002</v>
      </c>
      <c r="R86" s="8">
        <v>252.70083299999999</v>
      </c>
      <c r="S86" s="8">
        <v>241.67</v>
      </c>
      <c r="T86" s="8">
        <v>397.82078000000001</v>
      </c>
      <c r="U86" s="8">
        <v>1174.6452220000001</v>
      </c>
      <c r="V86" s="8">
        <v>0</v>
      </c>
      <c r="W86" s="8">
        <v>1852.291393</v>
      </c>
      <c r="X86" s="8">
        <v>0</v>
      </c>
      <c r="Y86" s="8">
        <v>677.64617099999998</v>
      </c>
      <c r="Z86" s="9">
        <v>3123.8474879999999</v>
      </c>
    </row>
    <row r="87" spans="2:26" s="1" customFormat="1" ht="14.85" customHeight="1" x14ac:dyDescent="0.15">
      <c r="B87" s="5" t="s">
        <v>105</v>
      </c>
      <c r="C87" s="6">
        <v>3681.5187129999999</v>
      </c>
      <c r="D87" s="6">
        <v>4046.8612670000002</v>
      </c>
      <c r="E87" s="6">
        <v>5937.209863</v>
      </c>
      <c r="F87" s="6">
        <v>4469.537558</v>
      </c>
      <c r="G87" s="6">
        <v>97.199506</v>
      </c>
      <c r="H87" s="6">
        <v>3476.8997159999999</v>
      </c>
      <c r="I87" s="6">
        <v>834.11344499999996</v>
      </c>
      <c r="J87" s="6">
        <v>61.324891000000001</v>
      </c>
      <c r="K87" s="6">
        <v>1216.5989709999999</v>
      </c>
      <c r="L87" s="6">
        <v>251.07333299999999</v>
      </c>
      <c r="M87" s="6">
        <v>1890.348596</v>
      </c>
      <c r="N87" s="6">
        <v>1878.515238</v>
      </c>
      <c r="O87" s="6">
        <v>11.833358</v>
      </c>
      <c r="P87" s="6">
        <v>365.34255300000001</v>
      </c>
      <c r="Q87" s="6">
        <v>258.6825</v>
      </c>
      <c r="R87" s="6">
        <v>252.70083299999999</v>
      </c>
      <c r="S87" s="6">
        <v>251.78</v>
      </c>
      <c r="T87" s="6">
        <v>397.82078000000001</v>
      </c>
      <c r="U87" s="6">
        <v>-361.72406599999999</v>
      </c>
      <c r="V87" s="6">
        <v>0</v>
      </c>
      <c r="W87" s="6">
        <v>315.92210499999999</v>
      </c>
      <c r="X87" s="6">
        <v>0</v>
      </c>
      <c r="Y87" s="6">
        <v>677.64617099999998</v>
      </c>
      <c r="Z87" s="7">
        <v>3319.7946470000002</v>
      </c>
    </row>
    <row r="88" spans="2:26" s="1" customFormat="1" ht="14.85" customHeight="1" x14ac:dyDescent="0.15">
      <c r="B88" s="5" t="s">
        <v>106</v>
      </c>
      <c r="C88" s="8">
        <v>3112.4905760000001</v>
      </c>
      <c r="D88" s="8">
        <v>4236.515144</v>
      </c>
      <c r="E88" s="8">
        <v>5949.5302430000002</v>
      </c>
      <c r="F88" s="8">
        <v>4448.6758040000004</v>
      </c>
      <c r="G88" s="8">
        <v>0.75405299999999997</v>
      </c>
      <c r="H88" s="8">
        <v>4263.8491119999999</v>
      </c>
      <c r="I88" s="8">
        <v>126.097678</v>
      </c>
      <c r="J88" s="8">
        <v>57.974961</v>
      </c>
      <c r="K88" s="8">
        <v>1150.1411049999999</v>
      </c>
      <c r="L88" s="8">
        <v>350.71333299999998</v>
      </c>
      <c r="M88" s="8">
        <v>1713.015099</v>
      </c>
      <c r="N88" s="8">
        <v>1700.331688</v>
      </c>
      <c r="O88" s="8">
        <v>12.683411</v>
      </c>
      <c r="P88" s="8">
        <v>1124.024568</v>
      </c>
      <c r="Q88" s="8">
        <v>766.1925</v>
      </c>
      <c r="R88" s="8">
        <v>252.70083299999999</v>
      </c>
      <c r="S88" s="8">
        <v>313.49</v>
      </c>
      <c r="T88" s="8">
        <v>208.35876500000001</v>
      </c>
      <c r="U88" s="8">
        <v>-1343.956132</v>
      </c>
      <c r="V88" s="8">
        <v>0</v>
      </c>
      <c r="W88" s="8">
        <v>-1369.675553</v>
      </c>
      <c r="X88" s="8">
        <v>0</v>
      </c>
      <c r="Y88" s="8">
        <v>-25.719421000000001</v>
      </c>
      <c r="Z88" s="9">
        <v>1768.5344439999999</v>
      </c>
    </row>
    <row r="89" spans="2:26" s="1" customFormat="1" ht="14.85" customHeight="1" x14ac:dyDescent="0.15">
      <c r="B89" s="5" t="s">
        <v>107</v>
      </c>
      <c r="C89" s="6">
        <v>1076.608506</v>
      </c>
      <c r="D89" s="6">
        <v>1584.7830739999999</v>
      </c>
      <c r="E89" s="6">
        <v>3297.7981730000001</v>
      </c>
      <c r="F89" s="6">
        <v>1796.9437350000001</v>
      </c>
      <c r="G89" s="6">
        <v>209.76361499999999</v>
      </c>
      <c r="H89" s="6">
        <v>1378.409643</v>
      </c>
      <c r="I89" s="6">
        <v>150.79551499999999</v>
      </c>
      <c r="J89" s="6">
        <v>57.974961</v>
      </c>
      <c r="K89" s="6">
        <v>1150.1411049999999</v>
      </c>
      <c r="L89" s="6">
        <v>350.71333299999998</v>
      </c>
      <c r="M89" s="6">
        <v>1713.015099</v>
      </c>
      <c r="N89" s="6">
        <v>1700.331688</v>
      </c>
      <c r="O89" s="6">
        <v>12.683411</v>
      </c>
      <c r="P89" s="6">
        <v>508.17456800000002</v>
      </c>
      <c r="Q89" s="6">
        <v>256.67250000000001</v>
      </c>
      <c r="R89" s="6">
        <v>252.70083299999999</v>
      </c>
      <c r="S89" s="6">
        <v>207.16</v>
      </c>
      <c r="T89" s="6">
        <v>208.35876500000001</v>
      </c>
      <c r="U89" s="6">
        <v>2990.9038599999999</v>
      </c>
      <c r="V89" s="6">
        <v>0</v>
      </c>
      <c r="W89" s="6">
        <v>2965.1844390000001</v>
      </c>
      <c r="X89" s="6">
        <v>0</v>
      </c>
      <c r="Y89" s="6">
        <v>-25.719421000000001</v>
      </c>
      <c r="Z89" s="7">
        <v>4067.5123659999999</v>
      </c>
    </row>
    <row r="90" spans="2:26" s="1" customFormat="1" ht="14.85" customHeight="1" x14ac:dyDescent="0.15">
      <c r="B90" s="5" t="s">
        <v>108</v>
      </c>
      <c r="C90" s="8">
        <v>3120.1513030000001</v>
      </c>
      <c r="D90" s="8">
        <v>4544.2058710000001</v>
      </c>
      <c r="E90" s="8">
        <v>6257.2209700000003</v>
      </c>
      <c r="F90" s="8">
        <v>4756.366532</v>
      </c>
      <c r="G90" s="8">
        <v>71.609872999999993</v>
      </c>
      <c r="H90" s="8">
        <v>3917.815705</v>
      </c>
      <c r="I90" s="8">
        <v>708.96599200000003</v>
      </c>
      <c r="J90" s="8">
        <v>57.974961</v>
      </c>
      <c r="K90" s="8">
        <v>1150.1411049999999</v>
      </c>
      <c r="L90" s="8">
        <v>350.71333299999998</v>
      </c>
      <c r="M90" s="8">
        <v>1713.015099</v>
      </c>
      <c r="N90" s="8">
        <v>1700.331688</v>
      </c>
      <c r="O90" s="8">
        <v>12.683411</v>
      </c>
      <c r="P90" s="8">
        <v>1424.054568</v>
      </c>
      <c r="Q90" s="8">
        <v>794.39250000000004</v>
      </c>
      <c r="R90" s="8">
        <v>252.70083299999999</v>
      </c>
      <c r="S90" s="8">
        <v>585.32000000000005</v>
      </c>
      <c r="T90" s="8">
        <v>208.35876500000001</v>
      </c>
      <c r="U90" s="8">
        <v>-3757.5770000000002</v>
      </c>
      <c r="V90" s="8">
        <v>0</v>
      </c>
      <c r="W90" s="8">
        <v>-3783.296421</v>
      </c>
      <c r="X90" s="8">
        <v>0</v>
      </c>
      <c r="Y90" s="8">
        <v>-25.719421000000001</v>
      </c>
      <c r="Z90" s="9">
        <v>-637.42569700000001</v>
      </c>
    </row>
    <row r="91" spans="2:26" s="1" customFormat="1" ht="14.85" customHeight="1" x14ac:dyDescent="0.15">
      <c r="B91" s="5" t="s">
        <v>109</v>
      </c>
      <c r="C91" s="6">
        <v>3614.8877550000002</v>
      </c>
      <c r="D91" s="6">
        <v>4671.1155820000004</v>
      </c>
      <c r="E91" s="6">
        <v>6022.8773000000001</v>
      </c>
      <c r="F91" s="6">
        <v>4691.1481910000002</v>
      </c>
      <c r="G91" s="6">
        <v>192.06726800000001</v>
      </c>
      <c r="H91" s="6">
        <v>4061.5107400000002</v>
      </c>
      <c r="I91" s="6">
        <v>381.38879700000001</v>
      </c>
      <c r="J91" s="6">
        <v>56.181386000000003</v>
      </c>
      <c r="K91" s="6">
        <v>1114.559109</v>
      </c>
      <c r="L91" s="6">
        <v>217.17</v>
      </c>
      <c r="M91" s="6">
        <v>1351.761718</v>
      </c>
      <c r="N91" s="6">
        <v>1297.967705</v>
      </c>
      <c r="O91" s="6">
        <v>53.794013</v>
      </c>
      <c r="P91" s="6">
        <v>1056.2278260000001</v>
      </c>
      <c r="Q91" s="6">
        <v>482.2525</v>
      </c>
      <c r="R91" s="6">
        <v>252.70083299999999</v>
      </c>
      <c r="S91" s="6">
        <v>571.6</v>
      </c>
      <c r="T91" s="6">
        <v>250.32550699999999</v>
      </c>
      <c r="U91" s="6">
        <v>-1798.8496319999999</v>
      </c>
      <c r="V91" s="6">
        <v>0</v>
      </c>
      <c r="W91" s="6">
        <v>-2059.4580980000001</v>
      </c>
      <c r="X91" s="6">
        <v>0</v>
      </c>
      <c r="Y91" s="6">
        <v>-260.60846500000002</v>
      </c>
      <c r="Z91" s="7">
        <v>1816.038123</v>
      </c>
    </row>
    <row r="92" spans="2:26" s="1" customFormat="1" ht="14.85" customHeight="1" x14ac:dyDescent="0.15">
      <c r="B92" s="5" t="s">
        <v>110</v>
      </c>
      <c r="C92" s="8">
        <v>1986.941615</v>
      </c>
      <c r="D92" s="8">
        <v>2543.979441</v>
      </c>
      <c r="E92" s="8">
        <v>3895.7411590000002</v>
      </c>
      <c r="F92" s="8">
        <v>2564.0120499999998</v>
      </c>
      <c r="G92" s="8">
        <v>14.399423000000001</v>
      </c>
      <c r="H92" s="8">
        <v>2182.3491720000002</v>
      </c>
      <c r="I92" s="8">
        <v>311.08206799999999</v>
      </c>
      <c r="J92" s="8">
        <v>56.181386000000003</v>
      </c>
      <c r="K92" s="8">
        <v>1114.559109</v>
      </c>
      <c r="L92" s="8">
        <v>217.17</v>
      </c>
      <c r="M92" s="8">
        <v>1351.761718</v>
      </c>
      <c r="N92" s="8">
        <v>1297.967705</v>
      </c>
      <c r="O92" s="8">
        <v>53.794013</v>
      </c>
      <c r="P92" s="8">
        <v>557.037826</v>
      </c>
      <c r="Q92" s="8">
        <v>258.9325</v>
      </c>
      <c r="R92" s="8">
        <v>252.70083299999999</v>
      </c>
      <c r="S92" s="8">
        <v>295.73</v>
      </c>
      <c r="T92" s="8">
        <v>250.32550699999999</v>
      </c>
      <c r="U92" s="8">
        <v>-2830.5101</v>
      </c>
      <c r="V92" s="8">
        <v>1820</v>
      </c>
      <c r="W92" s="8">
        <v>-4911.1185649999998</v>
      </c>
      <c r="X92" s="8">
        <v>0</v>
      </c>
      <c r="Y92" s="8">
        <v>-260.60846500000002</v>
      </c>
      <c r="Z92" s="9">
        <v>-843.56848500000001</v>
      </c>
    </row>
    <row r="93" spans="2:26" s="1" customFormat="1" ht="14.85" customHeight="1" x14ac:dyDescent="0.15">
      <c r="B93" s="5" t="s">
        <v>111</v>
      </c>
      <c r="C93" s="6">
        <v>1808.501943</v>
      </c>
      <c r="D93" s="6">
        <v>2805.6697690000001</v>
      </c>
      <c r="E93" s="6">
        <v>4157.4314869999998</v>
      </c>
      <c r="F93" s="6">
        <v>2825.702378</v>
      </c>
      <c r="G93" s="6">
        <v>2.8197779999999999</v>
      </c>
      <c r="H93" s="6">
        <v>1978.4241420000001</v>
      </c>
      <c r="I93" s="6">
        <v>788.27707199999998</v>
      </c>
      <c r="J93" s="6">
        <v>56.181386000000003</v>
      </c>
      <c r="K93" s="6">
        <v>1114.559109</v>
      </c>
      <c r="L93" s="6">
        <v>217.17</v>
      </c>
      <c r="M93" s="6">
        <v>1351.761718</v>
      </c>
      <c r="N93" s="6">
        <v>1297.967705</v>
      </c>
      <c r="O93" s="6">
        <v>53.794013</v>
      </c>
      <c r="P93" s="6">
        <v>997.16782599999999</v>
      </c>
      <c r="Q93" s="6">
        <v>634.41250000000002</v>
      </c>
      <c r="R93" s="6">
        <v>252.70083299999999</v>
      </c>
      <c r="S93" s="6">
        <v>360.38</v>
      </c>
      <c r="T93" s="6">
        <v>250.32550699999999</v>
      </c>
      <c r="U93" s="6">
        <v>4831.4871279999998</v>
      </c>
      <c r="V93" s="6">
        <v>0</v>
      </c>
      <c r="W93" s="6">
        <v>4570.8786630000004</v>
      </c>
      <c r="X93" s="6">
        <v>0</v>
      </c>
      <c r="Y93" s="6">
        <v>-260.60846500000002</v>
      </c>
      <c r="Z93" s="7">
        <v>6639.989071</v>
      </c>
    </row>
    <row r="94" spans="2:26" s="1" customFormat="1" ht="14.85" customHeight="1" x14ac:dyDescent="0.15">
      <c r="B94" s="5" t="s">
        <v>112</v>
      </c>
      <c r="C94" s="8">
        <v>1644.5396350000001</v>
      </c>
      <c r="D94" s="8">
        <v>3015.4926439999999</v>
      </c>
      <c r="E94" s="8">
        <v>4293.3509059999997</v>
      </c>
      <c r="F94" s="8">
        <v>2944.9666809999999</v>
      </c>
      <c r="G94" s="8">
        <v>235.65583899999999</v>
      </c>
      <c r="H94" s="8">
        <v>1972.125002</v>
      </c>
      <c r="I94" s="8">
        <v>682.95057099999997</v>
      </c>
      <c r="J94" s="8">
        <v>54.235267999999998</v>
      </c>
      <c r="K94" s="8">
        <v>1075.9508920000001</v>
      </c>
      <c r="L94" s="8">
        <v>272.433333</v>
      </c>
      <c r="M94" s="8">
        <v>1277.858262</v>
      </c>
      <c r="N94" s="8">
        <v>1273.7499029999999</v>
      </c>
      <c r="O94" s="8">
        <v>4.1083590000000001</v>
      </c>
      <c r="P94" s="8">
        <v>1370.9530090000001</v>
      </c>
      <c r="Q94" s="8">
        <v>911.70249999999999</v>
      </c>
      <c r="R94" s="8">
        <v>252.70083299999999</v>
      </c>
      <c r="S94" s="8">
        <v>298.43</v>
      </c>
      <c r="T94" s="8">
        <v>91.880324999999999</v>
      </c>
      <c r="U94" s="8">
        <v>-3881.7202480000001</v>
      </c>
      <c r="V94" s="8">
        <v>0</v>
      </c>
      <c r="W94" s="8">
        <v>-4201.9272860000001</v>
      </c>
      <c r="X94" s="8">
        <v>0</v>
      </c>
      <c r="Y94" s="8">
        <v>-320.20703800000001</v>
      </c>
      <c r="Z94" s="9">
        <v>-2237.180613</v>
      </c>
    </row>
    <row r="95" spans="2:26" s="1" customFormat="1" ht="14.85" customHeight="1" x14ac:dyDescent="0.15">
      <c r="B95" s="5" t="s">
        <v>113</v>
      </c>
      <c r="C95" s="6">
        <v>3667.5435670000002</v>
      </c>
      <c r="D95" s="6">
        <v>4637.4965759999995</v>
      </c>
      <c r="E95" s="6">
        <v>5915.3548380000002</v>
      </c>
      <c r="F95" s="6">
        <v>4566.9706130000004</v>
      </c>
      <c r="G95" s="6">
        <v>892.88615400000003</v>
      </c>
      <c r="H95" s="6">
        <v>3380.3894829999999</v>
      </c>
      <c r="I95" s="6">
        <v>239.45970800000001</v>
      </c>
      <c r="J95" s="6">
        <v>54.235267999999998</v>
      </c>
      <c r="K95" s="6">
        <v>1075.9508920000001</v>
      </c>
      <c r="L95" s="6">
        <v>272.433333</v>
      </c>
      <c r="M95" s="6">
        <v>1277.858262</v>
      </c>
      <c r="N95" s="6">
        <v>1273.7499029999999</v>
      </c>
      <c r="O95" s="6">
        <v>4.1083590000000001</v>
      </c>
      <c r="P95" s="6">
        <v>969.95300899999995</v>
      </c>
      <c r="Q95" s="6">
        <v>553.15250000000003</v>
      </c>
      <c r="R95" s="6">
        <v>252.70083299999999</v>
      </c>
      <c r="S95" s="6">
        <v>255.98</v>
      </c>
      <c r="T95" s="6">
        <v>91.880324999999999</v>
      </c>
      <c r="U95" s="6">
        <v>-1373.3534279999999</v>
      </c>
      <c r="V95" s="6">
        <v>0</v>
      </c>
      <c r="W95" s="6">
        <v>-1693.5604659999999</v>
      </c>
      <c r="X95" s="6">
        <v>0</v>
      </c>
      <c r="Y95" s="6">
        <v>-320.20703800000001</v>
      </c>
      <c r="Z95" s="7">
        <v>2294.1901389999998</v>
      </c>
    </row>
    <row r="96" spans="2:26" s="1" customFormat="1" ht="14.85" customHeight="1" x14ac:dyDescent="0.15">
      <c r="B96" s="5" t="s">
        <v>114</v>
      </c>
      <c r="C96" s="8">
        <v>4260.4104150000003</v>
      </c>
      <c r="D96" s="8">
        <v>5473.0634229999996</v>
      </c>
      <c r="E96" s="8">
        <v>6750.9216850000003</v>
      </c>
      <c r="F96" s="8">
        <v>5402.5374599999996</v>
      </c>
      <c r="G96" s="8">
        <v>412.57369699999998</v>
      </c>
      <c r="H96" s="8">
        <v>4685.0781820000002</v>
      </c>
      <c r="I96" s="8">
        <v>250.65031200000001</v>
      </c>
      <c r="J96" s="8">
        <v>54.235267999999998</v>
      </c>
      <c r="K96" s="8">
        <v>1075.9508920000001</v>
      </c>
      <c r="L96" s="8">
        <v>272.433333</v>
      </c>
      <c r="M96" s="8">
        <v>1277.858262</v>
      </c>
      <c r="N96" s="8">
        <v>1273.7499029999999</v>
      </c>
      <c r="O96" s="8">
        <v>4.1083590000000001</v>
      </c>
      <c r="P96" s="8">
        <v>1212.6530090000001</v>
      </c>
      <c r="Q96" s="8">
        <v>860.9325</v>
      </c>
      <c r="R96" s="8">
        <v>252.70083299999999</v>
      </c>
      <c r="S96" s="8">
        <v>190.9</v>
      </c>
      <c r="T96" s="8">
        <v>91.880324999999999</v>
      </c>
      <c r="U96" s="8">
        <v>-2890.2652090000001</v>
      </c>
      <c r="V96" s="8">
        <v>0</v>
      </c>
      <c r="W96" s="8">
        <v>-3210.4722470000002</v>
      </c>
      <c r="X96" s="8">
        <v>0</v>
      </c>
      <c r="Y96" s="8">
        <v>-320.20703800000001</v>
      </c>
      <c r="Z96" s="9">
        <v>1370.1452059999999</v>
      </c>
    </row>
    <row r="97" spans="2:26" s="1" customFormat="1" ht="14.85" customHeight="1" x14ac:dyDescent="0.15">
      <c r="B97" s="5" t="s">
        <v>115</v>
      </c>
      <c r="C97" s="6">
        <v>2051.2412060000001</v>
      </c>
      <c r="D97" s="6">
        <v>3213.555648</v>
      </c>
      <c r="E97" s="6">
        <v>4710.7848940000003</v>
      </c>
      <c r="F97" s="6">
        <v>3377.0657299999998</v>
      </c>
      <c r="G97" s="6">
        <v>55.641739999999999</v>
      </c>
      <c r="H97" s="6">
        <v>3053.4825289999999</v>
      </c>
      <c r="I97" s="6">
        <v>208.025577</v>
      </c>
      <c r="J97" s="6">
        <v>59.915883999999998</v>
      </c>
      <c r="K97" s="6">
        <v>1131.0524969999999</v>
      </c>
      <c r="L97" s="6">
        <v>202.66666699999999</v>
      </c>
      <c r="M97" s="6">
        <v>1497.229245</v>
      </c>
      <c r="N97" s="6">
        <v>1485.9546379999999</v>
      </c>
      <c r="O97" s="6">
        <v>11.274607</v>
      </c>
      <c r="P97" s="6">
        <v>1162.3144420000001</v>
      </c>
      <c r="Q97" s="6">
        <v>589.54750000000001</v>
      </c>
      <c r="R97" s="6">
        <v>237.72125</v>
      </c>
      <c r="S97" s="6">
        <v>582.71</v>
      </c>
      <c r="T97" s="6">
        <v>247.66430800000001</v>
      </c>
      <c r="U97" s="6">
        <v>-1390.1779570000001</v>
      </c>
      <c r="V97" s="6">
        <v>0</v>
      </c>
      <c r="W97" s="6">
        <v>-1356.8733910000001</v>
      </c>
      <c r="X97" s="6">
        <v>0</v>
      </c>
      <c r="Y97" s="6">
        <v>33.304566999999999</v>
      </c>
      <c r="Z97" s="7">
        <v>661.06324900000004</v>
      </c>
    </row>
    <row r="98" spans="2:26" s="1" customFormat="1" ht="14.85" customHeight="1" x14ac:dyDescent="0.15">
      <c r="B98" s="5" t="s">
        <v>116</v>
      </c>
      <c r="C98" s="8">
        <v>2667.7935910000001</v>
      </c>
      <c r="D98" s="8">
        <v>3077.4480330000001</v>
      </c>
      <c r="E98" s="8">
        <v>4574.6772780000001</v>
      </c>
      <c r="F98" s="8">
        <v>3240.958114</v>
      </c>
      <c r="G98" s="8">
        <v>1160.623652</v>
      </c>
      <c r="H98" s="8">
        <v>1757.901998</v>
      </c>
      <c r="I98" s="8">
        <v>262.51657999999998</v>
      </c>
      <c r="J98" s="8">
        <v>59.915883999999998</v>
      </c>
      <c r="K98" s="8">
        <v>1131.0524969999999</v>
      </c>
      <c r="L98" s="8">
        <v>202.66666699999999</v>
      </c>
      <c r="M98" s="8">
        <v>1497.229245</v>
      </c>
      <c r="N98" s="8">
        <v>1485.9546379999999</v>
      </c>
      <c r="O98" s="8">
        <v>11.274607</v>
      </c>
      <c r="P98" s="8">
        <v>409.65444200000002</v>
      </c>
      <c r="Q98" s="8">
        <v>213.9675</v>
      </c>
      <c r="R98" s="8">
        <v>237.72125</v>
      </c>
      <c r="S98" s="8">
        <v>205.63</v>
      </c>
      <c r="T98" s="8">
        <v>247.66430800000001</v>
      </c>
      <c r="U98" s="8">
        <v>286.87141800000001</v>
      </c>
      <c r="V98" s="8">
        <v>0</v>
      </c>
      <c r="W98" s="8">
        <v>320.17598500000003</v>
      </c>
      <c r="X98" s="8">
        <v>0</v>
      </c>
      <c r="Y98" s="8">
        <v>33.304566999999999</v>
      </c>
      <c r="Z98" s="9">
        <v>2954.6650089999998</v>
      </c>
    </row>
    <row r="99" spans="2:26" s="1" customFormat="1" ht="14.85" customHeight="1" x14ac:dyDescent="0.15">
      <c r="B99" s="5" t="s">
        <v>117</v>
      </c>
      <c r="C99" s="6">
        <v>1688.5467269999999</v>
      </c>
      <c r="D99" s="6">
        <v>2314.121169</v>
      </c>
      <c r="E99" s="6">
        <v>3811.350414</v>
      </c>
      <c r="F99" s="6">
        <v>2477.6312509999998</v>
      </c>
      <c r="G99" s="6">
        <v>91.894802999999996</v>
      </c>
      <c r="H99" s="6">
        <v>2094.90735</v>
      </c>
      <c r="I99" s="6">
        <v>230.91321300000001</v>
      </c>
      <c r="J99" s="6">
        <v>59.915883999999998</v>
      </c>
      <c r="K99" s="6">
        <v>1131.0524969999999</v>
      </c>
      <c r="L99" s="6">
        <v>202.66666699999999</v>
      </c>
      <c r="M99" s="6">
        <v>1497.229245</v>
      </c>
      <c r="N99" s="6">
        <v>1485.9546379999999</v>
      </c>
      <c r="O99" s="6">
        <v>11.274607</v>
      </c>
      <c r="P99" s="6">
        <v>625.57444199999998</v>
      </c>
      <c r="Q99" s="6">
        <v>459.8175</v>
      </c>
      <c r="R99" s="6">
        <v>237.72125</v>
      </c>
      <c r="S99" s="6">
        <v>175.7</v>
      </c>
      <c r="T99" s="6">
        <v>247.66430800000001</v>
      </c>
      <c r="U99" s="6">
        <v>3379.2077079999999</v>
      </c>
      <c r="V99" s="6">
        <v>0</v>
      </c>
      <c r="W99" s="6">
        <v>3412.512275</v>
      </c>
      <c r="X99" s="6">
        <v>0</v>
      </c>
      <c r="Y99" s="6">
        <v>33.304566999999999</v>
      </c>
      <c r="Z99" s="7">
        <v>5067.7544349999998</v>
      </c>
    </row>
    <row r="100" spans="2:26" s="1" customFormat="1" ht="14.85" customHeight="1" x14ac:dyDescent="0.15">
      <c r="B100" s="5" t="s">
        <v>118</v>
      </c>
      <c r="C100" s="8">
        <v>2735.6694779999998</v>
      </c>
      <c r="D100" s="8">
        <v>3284.8633960000002</v>
      </c>
      <c r="E100" s="8">
        <v>6056.6834390000004</v>
      </c>
      <c r="F100" s="8">
        <v>4874.8424450000002</v>
      </c>
      <c r="G100" s="8">
        <v>55.223720999999998</v>
      </c>
      <c r="H100" s="8">
        <v>2994.6256119999998</v>
      </c>
      <c r="I100" s="8">
        <v>1768.814239</v>
      </c>
      <c r="J100" s="8">
        <v>56.178873000000003</v>
      </c>
      <c r="K100" s="8">
        <v>1060.5076610000001</v>
      </c>
      <c r="L100" s="8">
        <v>121.333333</v>
      </c>
      <c r="M100" s="8">
        <v>2771.8200440000001</v>
      </c>
      <c r="N100" s="8">
        <v>2762.304513</v>
      </c>
      <c r="O100" s="8">
        <v>9.51553</v>
      </c>
      <c r="P100" s="8">
        <v>549.19391800000005</v>
      </c>
      <c r="Q100" s="8">
        <v>382.8775</v>
      </c>
      <c r="R100" s="8">
        <v>237.72125</v>
      </c>
      <c r="S100" s="8">
        <v>251.73</v>
      </c>
      <c r="T100" s="8">
        <v>323.13483200000002</v>
      </c>
      <c r="U100" s="8">
        <v>-120.217331</v>
      </c>
      <c r="V100" s="8">
        <v>0</v>
      </c>
      <c r="W100" s="8">
        <v>-83.963333000000006</v>
      </c>
      <c r="X100" s="8">
        <v>0</v>
      </c>
      <c r="Y100" s="8">
        <v>36.253998000000003</v>
      </c>
      <c r="Z100" s="9">
        <v>2615.4521460000001</v>
      </c>
    </row>
    <row r="101" spans="2:26" s="1" customFormat="1" ht="14.85" customHeight="1" x14ac:dyDescent="0.15">
      <c r="B101" s="5" t="s">
        <v>119</v>
      </c>
      <c r="C101" s="6">
        <v>956.136979</v>
      </c>
      <c r="D101" s="6">
        <v>1552.5308970000001</v>
      </c>
      <c r="E101" s="6">
        <v>4324.3509409999997</v>
      </c>
      <c r="F101" s="6">
        <v>3142.509947</v>
      </c>
      <c r="G101" s="6">
        <v>18.338761000000002</v>
      </c>
      <c r="H101" s="6">
        <v>2327.383859</v>
      </c>
      <c r="I101" s="6">
        <v>740.60845400000005</v>
      </c>
      <c r="J101" s="6">
        <v>56.178873000000003</v>
      </c>
      <c r="K101" s="6">
        <v>1060.5076610000001</v>
      </c>
      <c r="L101" s="6">
        <v>121.333333</v>
      </c>
      <c r="M101" s="6">
        <v>2771.8200440000001</v>
      </c>
      <c r="N101" s="6">
        <v>2762.304513</v>
      </c>
      <c r="O101" s="6">
        <v>9.51553</v>
      </c>
      <c r="P101" s="6">
        <v>596.39391799999999</v>
      </c>
      <c r="Q101" s="6">
        <v>454.39749999999998</v>
      </c>
      <c r="R101" s="6">
        <v>237.72125</v>
      </c>
      <c r="S101" s="6">
        <v>227.41</v>
      </c>
      <c r="T101" s="6">
        <v>323.13483200000002</v>
      </c>
      <c r="U101" s="6">
        <v>1590.8326689999999</v>
      </c>
      <c r="V101" s="6">
        <v>0</v>
      </c>
      <c r="W101" s="6">
        <v>1627.086667</v>
      </c>
      <c r="X101" s="6">
        <v>0</v>
      </c>
      <c r="Y101" s="6">
        <v>36.253998000000003</v>
      </c>
      <c r="Z101" s="7">
        <v>2546.9696479999998</v>
      </c>
    </row>
    <row r="102" spans="2:26" s="1" customFormat="1" ht="14.85" customHeight="1" x14ac:dyDescent="0.15">
      <c r="B102" s="5" t="s">
        <v>120</v>
      </c>
      <c r="C102" s="8">
        <v>631.53452800000002</v>
      </c>
      <c r="D102" s="8">
        <v>1148.018446</v>
      </c>
      <c r="E102" s="8">
        <v>3919.8384900000001</v>
      </c>
      <c r="F102" s="8">
        <v>2737.997496</v>
      </c>
      <c r="G102" s="8">
        <v>27.845179000000002</v>
      </c>
      <c r="H102" s="8">
        <v>1744.0052290000001</v>
      </c>
      <c r="I102" s="8">
        <v>909.96821499999999</v>
      </c>
      <c r="J102" s="8">
        <v>56.178873000000003</v>
      </c>
      <c r="K102" s="8">
        <v>1060.5076610000001</v>
      </c>
      <c r="L102" s="8">
        <v>121.333333</v>
      </c>
      <c r="M102" s="8">
        <v>2771.8200440000001</v>
      </c>
      <c r="N102" s="8">
        <v>2762.304513</v>
      </c>
      <c r="O102" s="8">
        <v>9.51553</v>
      </c>
      <c r="P102" s="8">
        <v>516.48391800000002</v>
      </c>
      <c r="Q102" s="8">
        <v>352.8075</v>
      </c>
      <c r="R102" s="8">
        <v>237.72125</v>
      </c>
      <c r="S102" s="8">
        <v>249.09</v>
      </c>
      <c r="T102" s="8">
        <v>323.13483200000002</v>
      </c>
      <c r="U102" s="8">
        <v>3850.8926689999998</v>
      </c>
      <c r="V102" s="8">
        <v>0</v>
      </c>
      <c r="W102" s="8">
        <v>3887.146667</v>
      </c>
      <c r="X102" s="8">
        <v>0</v>
      </c>
      <c r="Y102" s="8">
        <v>36.253998000000003</v>
      </c>
      <c r="Z102" s="9">
        <v>4482.427197</v>
      </c>
    </row>
    <row r="103" spans="2:26" s="1" customFormat="1" ht="14.85" customHeight="1" x14ac:dyDescent="0.15">
      <c r="B103" s="5" t="s">
        <v>121</v>
      </c>
      <c r="C103" s="6">
        <v>530.39037599999995</v>
      </c>
      <c r="D103" s="6">
        <v>2030.7127780000001</v>
      </c>
      <c r="E103" s="6">
        <v>3459.88618</v>
      </c>
      <c r="F103" s="6">
        <v>2169.1168670000002</v>
      </c>
      <c r="G103" s="6">
        <v>98.528966999999994</v>
      </c>
      <c r="H103" s="6">
        <v>1597.6037570000001</v>
      </c>
      <c r="I103" s="6">
        <v>419.24585200000001</v>
      </c>
      <c r="J103" s="6">
        <v>53.738292000000001</v>
      </c>
      <c r="K103" s="6">
        <v>1014.435979</v>
      </c>
      <c r="L103" s="6">
        <v>276.33333299999998</v>
      </c>
      <c r="M103" s="6">
        <v>1429.1734019999999</v>
      </c>
      <c r="N103" s="6">
        <v>1417.748171</v>
      </c>
      <c r="O103" s="6">
        <v>11.425231</v>
      </c>
      <c r="P103" s="6">
        <v>1500.322402</v>
      </c>
      <c r="Q103" s="6">
        <v>516.19749999999999</v>
      </c>
      <c r="R103" s="6">
        <v>237.72125</v>
      </c>
      <c r="S103" s="6">
        <v>1102.05</v>
      </c>
      <c r="T103" s="6">
        <v>355.64634799999999</v>
      </c>
      <c r="U103" s="6">
        <v>619.01484300000004</v>
      </c>
      <c r="V103" s="6">
        <v>0</v>
      </c>
      <c r="W103" s="6">
        <v>742.87695499999995</v>
      </c>
      <c r="X103" s="6">
        <v>0</v>
      </c>
      <c r="Y103" s="6">
        <v>123.862112</v>
      </c>
      <c r="Z103" s="7">
        <v>1149.405219</v>
      </c>
    </row>
    <row r="104" spans="2:26" s="1" customFormat="1" ht="14.85" customHeight="1" x14ac:dyDescent="0.15">
      <c r="B104" s="5" t="s">
        <v>122</v>
      </c>
      <c r="C104" s="8">
        <v>7681.8151909999997</v>
      </c>
      <c r="D104" s="8">
        <v>7919.037593</v>
      </c>
      <c r="E104" s="8">
        <v>9348.2109949999995</v>
      </c>
      <c r="F104" s="8">
        <v>8057.441683</v>
      </c>
      <c r="G104" s="8">
        <v>5897.1257679999999</v>
      </c>
      <c r="H104" s="8">
        <v>1603.6246020000001</v>
      </c>
      <c r="I104" s="8">
        <v>502.95302099999998</v>
      </c>
      <c r="J104" s="8">
        <v>53.738292000000001</v>
      </c>
      <c r="K104" s="8">
        <v>1014.435979</v>
      </c>
      <c r="L104" s="8">
        <v>276.33333299999998</v>
      </c>
      <c r="M104" s="8">
        <v>1429.1734019999999</v>
      </c>
      <c r="N104" s="8">
        <v>1417.748171</v>
      </c>
      <c r="O104" s="8">
        <v>11.425231</v>
      </c>
      <c r="P104" s="8">
        <v>237.22240199999999</v>
      </c>
      <c r="Q104" s="8">
        <v>221.6275</v>
      </c>
      <c r="R104" s="8">
        <v>237.72125</v>
      </c>
      <c r="S104" s="8">
        <v>133.52000000000001</v>
      </c>
      <c r="T104" s="8">
        <v>355.64634799999999</v>
      </c>
      <c r="U104" s="8">
        <v>560.26719900000001</v>
      </c>
      <c r="V104" s="8">
        <v>0</v>
      </c>
      <c r="W104" s="8">
        <v>684.12931000000003</v>
      </c>
      <c r="X104" s="8">
        <v>0</v>
      </c>
      <c r="Y104" s="8">
        <v>123.862112</v>
      </c>
      <c r="Z104" s="9">
        <v>8242.0823899999996</v>
      </c>
    </row>
    <row r="105" spans="2:26" s="1" customFormat="1" ht="14.85" customHeight="1" x14ac:dyDescent="0.15">
      <c r="B105" s="5" t="s">
        <v>123</v>
      </c>
      <c r="C105" s="6">
        <v>4199.1762010000002</v>
      </c>
      <c r="D105" s="6">
        <v>4742.1786030000003</v>
      </c>
      <c r="E105" s="6">
        <v>6171.3520040000003</v>
      </c>
      <c r="F105" s="6">
        <v>4880.582692</v>
      </c>
      <c r="G105" s="6">
        <v>124.962959</v>
      </c>
      <c r="H105" s="6">
        <v>3935.0191369999998</v>
      </c>
      <c r="I105" s="6">
        <v>766.86230399999999</v>
      </c>
      <c r="J105" s="6">
        <v>53.738292000000001</v>
      </c>
      <c r="K105" s="6">
        <v>1014.435979</v>
      </c>
      <c r="L105" s="6">
        <v>276.33333299999998</v>
      </c>
      <c r="M105" s="6">
        <v>1429.1734019999999</v>
      </c>
      <c r="N105" s="6">
        <v>1417.748171</v>
      </c>
      <c r="O105" s="6">
        <v>11.425231</v>
      </c>
      <c r="P105" s="6">
        <v>543.00240199999996</v>
      </c>
      <c r="Q105" s="6">
        <v>303.16750000000002</v>
      </c>
      <c r="R105" s="6">
        <v>237.72125</v>
      </c>
      <c r="S105" s="6">
        <v>357.76</v>
      </c>
      <c r="T105" s="6">
        <v>355.64634799999999</v>
      </c>
      <c r="U105" s="6">
        <v>886.62652100000003</v>
      </c>
      <c r="V105" s="6">
        <v>0</v>
      </c>
      <c r="W105" s="6">
        <v>1010.488633</v>
      </c>
      <c r="X105" s="6">
        <v>0</v>
      </c>
      <c r="Y105" s="6">
        <v>123.862112</v>
      </c>
      <c r="Z105" s="7">
        <v>5085.8027220000004</v>
      </c>
    </row>
    <row r="106" spans="2:26" s="1" customFormat="1" ht="14.85" customHeight="1" x14ac:dyDescent="0.15">
      <c r="B106" s="5" t="s">
        <v>124</v>
      </c>
      <c r="C106" s="8">
        <v>2097.9361349999999</v>
      </c>
      <c r="D106" s="8">
        <v>3032.4862699999999</v>
      </c>
      <c r="E106" s="8">
        <v>4515.5067719999997</v>
      </c>
      <c r="F106" s="8">
        <v>3170.7862319999999</v>
      </c>
      <c r="G106" s="8">
        <v>121.03254</v>
      </c>
      <c r="H106" s="8">
        <v>2571.6726410000001</v>
      </c>
      <c r="I106" s="8">
        <v>426.44662699999998</v>
      </c>
      <c r="J106" s="8">
        <v>51.634422999999998</v>
      </c>
      <c r="K106" s="8">
        <v>974.72054000000003</v>
      </c>
      <c r="L106" s="8">
        <v>370</v>
      </c>
      <c r="M106" s="8">
        <v>1483.0205020000001</v>
      </c>
      <c r="N106" s="8">
        <v>1442.3693310000001</v>
      </c>
      <c r="O106" s="8">
        <v>40.651170999999998</v>
      </c>
      <c r="P106" s="8">
        <v>934.55013499999995</v>
      </c>
      <c r="Q106" s="8">
        <v>551.77750000000003</v>
      </c>
      <c r="R106" s="8">
        <v>237.72125</v>
      </c>
      <c r="S106" s="8">
        <v>380.97</v>
      </c>
      <c r="T106" s="8">
        <v>235.91861499999999</v>
      </c>
      <c r="U106" s="8">
        <v>4427.8204230000001</v>
      </c>
      <c r="V106" s="8">
        <v>0</v>
      </c>
      <c r="W106" s="8">
        <v>4251.0073329999996</v>
      </c>
      <c r="X106" s="8">
        <v>0</v>
      </c>
      <c r="Y106" s="8">
        <v>-176.81308999999999</v>
      </c>
      <c r="Z106" s="9">
        <v>6525.756558</v>
      </c>
    </row>
    <row r="107" spans="2:26" s="1" customFormat="1" ht="14.85" customHeight="1" x14ac:dyDescent="0.15">
      <c r="B107" s="5" t="s">
        <v>125</v>
      </c>
      <c r="C107" s="6">
        <v>3412.7056659999998</v>
      </c>
      <c r="D107" s="6">
        <v>3973.7258019999999</v>
      </c>
      <c r="E107" s="6">
        <v>5456.7463029999999</v>
      </c>
      <c r="F107" s="6">
        <v>4112.0257629999996</v>
      </c>
      <c r="G107" s="6">
        <v>108.97666700000001</v>
      </c>
      <c r="H107" s="6">
        <v>3368.494741</v>
      </c>
      <c r="I107" s="6">
        <v>582.91993100000002</v>
      </c>
      <c r="J107" s="6">
        <v>51.634422999999998</v>
      </c>
      <c r="K107" s="6">
        <v>974.72054000000003</v>
      </c>
      <c r="L107" s="6">
        <v>370</v>
      </c>
      <c r="M107" s="6">
        <v>1483.0205020000001</v>
      </c>
      <c r="N107" s="6">
        <v>1442.3693310000001</v>
      </c>
      <c r="O107" s="6">
        <v>40.651170999999998</v>
      </c>
      <c r="P107" s="6">
        <v>561.02013499999998</v>
      </c>
      <c r="Q107" s="6">
        <v>432.34750000000003</v>
      </c>
      <c r="R107" s="6">
        <v>237.72125</v>
      </c>
      <c r="S107" s="6">
        <v>126.87</v>
      </c>
      <c r="T107" s="6">
        <v>235.91861499999999</v>
      </c>
      <c r="U107" s="6">
        <v>5902.4174229999999</v>
      </c>
      <c r="V107" s="6">
        <v>0</v>
      </c>
      <c r="W107" s="6">
        <v>5725.6043330000002</v>
      </c>
      <c r="X107" s="6">
        <v>0</v>
      </c>
      <c r="Y107" s="6">
        <v>-176.81308999999999</v>
      </c>
      <c r="Z107" s="7">
        <v>9315.1230890000006</v>
      </c>
    </row>
    <row r="108" spans="2:26" s="1" customFormat="1" ht="14.85" customHeight="1" x14ac:dyDescent="0.15">
      <c r="B108" s="5" t="s">
        <v>126</v>
      </c>
      <c r="C108" s="8">
        <v>1633.1564679999999</v>
      </c>
      <c r="D108" s="8">
        <v>3141.8866039999998</v>
      </c>
      <c r="E108" s="8">
        <v>4624.9071050000002</v>
      </c>
      <c r="F108" s="8">
        <v>3280.186565</v>
      </c>
      <c r="G108" s="8">
        <v>36.383597999999999</v>
      </c>
      <c r="H108" s="8">
        <v>2520.716758</v>
      </c>
      <c r="I108" s="8">
        <v>671.45178499999997</v>
      </c>
      <c r="J108" s="8">
        <v>51.634422999999998</v>
      </c>
      <c r="K108" s="8">
        <v>974.72054000000003</v>
      </c>
      <c r="L108" s="8">
        <v>370</v>
      </c>
      <c r="M108" s="8">
        <v>1483.0205020000001</v>
      </c>
      <c r="N108" s="8">
        <v>1442.3693310000001</v>
      </c>
      <c r="O108" s="8">
        <v>40.651170999999998</v>
      </c>
      <c r="P108" s="8">
        <v>1508.730135</v>
      </c>
      <c r="Q108" s="8">
        <v>775.42750000000001</v>
      </c>
      <c r="R108" s="8">
        <v>237.72125</v>
      </c>
      <c r="S108" s="8">
        <v>731.5</v>
      </c>
      <c r="T108" s="8">
        <v>235.91861499999999</v>
      </c>
      <c r="U108" s="8">
        <v>2121.3614229999998</v>
      </c>
      <c r="V108" s="8">
        <v>0</v>
      </c>
      <c r="W108" s="8">
        <v>1944.548333</v>
      </c>
      <c r="X108" s="8">
        <v>0</v>
      </c>
      <c r="Y108" s="8">
        <v>-176.81308999999999</v>
      </c>
      <c r="Z108" s="9">
        <v>3754.517891</v>
      </c>
    </row>
    <row r="109" spans="2:26" s="1" customFormat="1" ht="14.85" customHeight="1" x14ac:dyDescent="0.15">
      <c r="B109" s="5" t="s">
        <v>127</v>
      </c>
      <c r="C109" s="6">
        <v>-67.825682999999998</v>
      </c>
      <c r="D109" s="6">
        <v>2949.8079640000001</v>
      </c>
      <c r="E109" s="6">
        <v>4016.7736639999998</v>
      </c>
      <c r="F109" s="6">
        <v>2558.8043950000001</v>
      </c>
      <c r="G109" s="6">
        <v>81.645004999999998</v>
      </c>
      <c r="H109" s="6">
        <v>1584.656911</v>
      </c>
      <c r="I109" s="6">
        <v>781.61828800000001</v>
      </c>
      <c r="J109" s="6">
        <v>110.884191</v>
      </c>
      <c r="K109" s="6">
        <v>1080.3559359999999</v>
      </c>
      <c r="L109" s="6">
        <v>377.61333300000001</v>
      </c>
      <c r="M109" s="6">
        <v>1066.9657010000001</v>
      </c>
      <c r="N109" s="6">
        <v>939.45573999999999</v>
      </c>
      <c r="O109" s="6">
        <v>127.509961</v>
      </c>
      <c r="P109" s="6">
        <v>3017.6336460000002</v>
      </c>
      <c r="Q109" s="6">
        <v>2637.0388889999999</v>
      </c>
      <c r="R109" s="6">
        <v>243.785833</v>
      </c>
      <c r="S109" s="6">
        <v>689.22</v>
      </c>
      <c r="T109" s="6">
        <v>552.41107599999998</v>
      </c>
      <c r="U109" s="6">
        <v>8935.4830390000006</v>
      </c>
      <c r="V109" s="6">
        <v>0</v>
      </c>
      <c r="W109" s="6">
        <v>9046.07</v>
      </c>
      <c r="X109" s="6">
        <v>0</v>
      </c>
      <c r="Y109" s="6">
        <v>110.586961</v>
      </c>
      <c r="Z109" s="7">
        <v>8867.657357</v>
      </c>
    </row>
    <row r="110" spans="2:26" s="1" customFormat="1" ht="14.85" customHeight="1" x14ac:dyDescent="0.15">
      <c r="B110" s="5" t="s">
        <v>128</v>
      </c>
      <c r="C110" s="8">
        <v>993.62018699999999</v>
      </c>
      <c r="D110" s="8">
        <v>1712.1338330000001</v>
      </c>
      <c r="E110" s="8">
        <v>2779.0995339999999</v>
      </c>
      <c r="F110" s="8">
        <v>1321.1302639999999</v>
      </c>
      <c r="G110" s="8">
        <v>15.519836</v>
      </c>
      <c r="H110" s="8">
        <v>908.37855000000002</v>
      </c>
      <c r="I110" s="8">
        <v>286.34768800000001</v>
      </c>
      <c r="J110" s="8">
        <v>110.884191</v>
      </c>
      <c r="K110" s="8">
        <v>1080.3559359999999</v>
      </c>
      <c r="L110" s="8">
        <v>377.61333300000001</v>
      </c>
      <c r="M110" s="8">
        <v>1066.9657010000001</v>
      </c>
      <c r="N110" s="8">
        <v>939.45573999999999</v>
      </c>
      <c r="O110" s="8">
        <v>127.509961</v>
      </c>
      <c r="P110" s="8">
        <v>718.51364599999999</v>
      </c>
      <c r="Q110" s="8">
        <v>604.10888899999998</v>
      </c>
      <c r="R110" s="8">
        <v>243.785833</v>
      </c>
      <c r="S110" s="8">
        <v>423.03</v>
      </c>
      <c r="T110" s="8">
        <v>552.41107599999998</v>
      </c>
      <c r="U110" s="8">
        <v>1608.8130389999999</v>
      </c>
      <c r="V110" s="8">
        <v>0</v>
      </c>
      <c r="W110" s="8">
        <v>1719.4</v>
      </c>
      <c r="X110" s="8">
        <v>0</v>
      </c>
      <c r="Y110" s="8">
        <v>110.586961</v>
      </c>
      <c r="Z110" s="9">
        <v>2602.4332260000001</v>
      </c>
    </row>
    <row r="111" spans="2:26" s="1" customFormat="1" ht="14.85" customHeight="1" x14ac:dyDescent="0.15">
      <c r="B111" s="5" t="s">
        <v>129</v>
      </c>
      <c r="C111" s="6">
        <v>4070.6006069999999</v>
      </c>
      <c r="D111" s="6">
        <v>4477.6842530000004</v>
      </c>
      <c r="E111" s="6">
        <v>5544.6499540000004</v>
      </c>
      <c r="F111" s="6">
        <v>4086.6806839999999</v>
      </c>
      <c r="G111" s="6">
        <v>40.715116000000002</v>
      </c>
      <c r="H111" s="6">
        <v>3456.8304280000002</v>
      </c>
      <c r="I111" s="6">
        <v>478.25094899999999</v>
      </c>
      <c r="J111" s="6">
        <v>110.884191</v>
      </c>
      <c r="K111" s="6">
        <v>1080.3559359999999</v>
      </c>
      <c r="L111" s="6">
        <v>377.61333300000001</v>
      </c>
      <c r="M111" s="6">
        <v>1066.9657010000001</v>
      </c>
      <c r="N111" s="6">
        <v>939.45573999999999</v>
      </c>
      <c r="O111" s="6">
        <v>127.509961</v>
      </c>
      <c r="P111" s="6">
        <v>407.08364599999999</v>
      </c>
      <c r="Q111" s="6">
        <v>229.66888900000001</v>
      </c>
      <c r="R111" s="6">
        <v>243.785833</v>
      </c>
      <c r="S111" s="6">
        <v>486.04</v>
      </c>
      <c r="T111" s="6">
        <v>552.41107599999998</v>
      </c>
      <c r="U111" s="6">
        <v>254.473039</v>
      </c>
      <c r="V111" s="6">
        <v>0</v>
      </c>
      <c r="W111" s="6">
        <v>365.06</v>
      </c>
      <c r="X111" s="6">
        <v>0</v>
      </c>
      <c r="Y111" s="6">
        <v>110.586961</v>
      </c>
      <c r="Z111" s="7">
        <v>4325.0736459999998</v>
      </c>
    </row>
    <row r="112" spans="2:26" s="1" customFormat="1" ht="14.85" customHeight="1" x14ac:dyDescent="0.15">
      <c r="B112" s="5" t="s">
        <v>130</v>
      </c>
      <c r="C112" s="8">
        <v>1989.554459</v>
      </c>
      <c r="D112" s="8">
        <v>3005.9461000000001</v>
      </c>
      <c r="E112" s="8">
        <v>4629.5508849999997</v>
      </c>
      <c r="F112" s="8">
        <v>3451.3798710000001</v>
      </c>
      <c r="G112" s="8">
        <v>248.30474799999999</v>
      </c>
      <c r="H112" s="8">
        <v>2411.3203990000002</v>
      </c>
      <c r="I112" s="8">
        <v>687.45805700000005</v>
      </c>
      <c r="J112" s="8">
        <v>104.296667</v>
      </c>
      <c r="K112" s="8">
        <v>1019.83768</v>
      </c>
      <c r="L112" s="8">
        <v>158.33333300000001</v>
      </c>
      <c r="M112" s="8">
        <v>1623.6047840000001</v>
      </c>
      <c r="N112" s="8">
        <v>1603.9434209999999</v>
      </c>
      <c r="O112" s="8">
        <v>19.661363000000001</v>
      </c>
      <c r="P112" s="8">
        <v>1016.391641</v>
      </c>
      <c r="Q112" s="8">
        <v>670.25888899999995</v>
      </c>
      <c r="R112" s="8">
        <v>243.785833</v>
      </c>
      <c r="S112" s="8">
        <v>262.5</v>
      </c>
      <c r="T112" s="8">
        <v>160.15308099999999</v>
      </c>
      <c r="U112" s="8">
        <v>-4380.3335420000003</v>
      </c>
      <c r="V112" s="8">
        <v>0</v>
      </c>
      <c r="W112" s="8">
        <v>-4371.3873270000004</v>
      </c>
      <c r="X112" s="8">
        <v>0</v>
      </c>
      <c r="Y112" s="8">
        <v>8.9462150000000005</v>
      </c>
      <c r="Z112" s="9">
        <v>-2390.7790829999999</v>
      </c>
    </row>
    <row r="113" spans="2:26" s="1" customFormat="1" ht="14.85" customHeight="1" x14ac:dyDescent="0.15">
      <c r="B113" s="5" t="s">
        <v>131</v>
      </c>
      <c r="C113" s="6">
        <v>3578.4034109999998</v>
      </c>
      <c r="D113" s="6">
        <v>4336.2950529999998</v>
      </c>
      <c r="E113" s="6">
        <v>5959.8998369999999</v>
      </c>
      <c r="F113" s="6">
        <v>4781.7288239999998</v>
      </c>
      <c r="G113" s="6">
        <v>2612.1952590000001</v>
      </c>
      <c r="H113" s="6">
        <v>1816.319131</v>
      </c>
      <c r="I113" s="6">
        <v>248.917767</v>
      </c>
      <c r="J113" s="6">
        <v>104.296667</v>
      </c>
      <c r="K113" s="6">
        <v>1019.83768</v>
      </c>
      <c r="L113" s="6">
        <v>158.33333300000001</v>
      </c>
      <c r="M113" s="6">
        <v>1623.6047840000001</v>
      </c>
      <c r="N113" s="6">
        <v>1603.9434209999999</v>
      </c>
      <c r="O113" s="6">
        <v>19.661363000000001</v>
      </c>
      <c r="P113" s="6">
        <v>757.89164100000005</v>
      </c>
      <c r="Q113" s="6">
        <v>220.75888900000001</v>
      </c>
      <c r="R113" s="6">
        <v>243.785833</v>
      </c>
      <c r="S113" s="6">
        <v>453.5</v>
      </c>
      <c r="T113" s="6">
        <v>160.15308099999999</v>
      </c>
      <c r="U113" s="6">
        <v>-6911.3126119999997</v>
      </c>
      <c r="V113" s="6">
        <v>0</v>
      </c>
      <c r="W113" s="6">
        <v>-6902.3663969999998</v>
      </c>
      <c r="X113" s="6">
        <v>0</v>
      </c>
      <c r="Y113" s="6">
        <v>8.9462150000000005</v>
      </c>
      <c r="Z113" s="7">
        <v>-3332.9092009999999</v>
      </c>
    </row>
    <row r="114" spans="2:26" s="1" customFormat="1" ht="14.85" customHeight="1" x14ac:dyDescent="0.15">
      <c r="B114" s="5" t="s">
        <v>132</v>
      </c>
      <c r="C114" s="8">
        <v>4166.8092079999997</v>
      </c>
      <c r="D114" s="8">
        <v>5854.3208489999997</v>
      </c>
      <c r="E114" s="8">
        <v>7477.9256329999998</v>
      </c>
      <c r="F114" s="8">
        <v>6299.7546199999997</v>
      </c>
      <c r="G114" s="8">
        <v>489.93306799999999</v>
      </c>
      <c r="H114" s="8">
        <v>5271.5682870000001</v>
      </c>
      <c r="I114" s="8">
        <v>433.95659799999999</v>
      </c>
      <c r="J114" s="8">
        <v>104.296667</v>
      </c>
      <c r="K114" s="8">
        <v>1019.83768</v>
      </c>
      <c r="L114" s="8">
        <v>158.33333300000001</v>
      </c>
      <c r="M114" s="8">
        <v>1623.6047840000001</v>
      </c>
      <c r="N114" s="8">
        <v>1603.9434209999999</v>
      </c>
      <c r="O114" s="8">
        <v>19.661363000000001</v>
      </c>
      <c r="P114" s="8">
        <v>1687.5116410000001</v>
      </c>
      <c r="Q114" s="8">
        <v>1391.718889</v>
      </c>
      <c r="R114" s="8">
        <v>243.785833</v>
      </c>
      <c r="S114" s="8">
        <v>212.16</v>
      </c>
      <c r="T114" s="8">
        <v>160.15308099999999</v>
      </c>
      <c r="U114" s="8">
        <v>-49.242882000000002</v>
      </c>
      <c r="V114" s="8">
        <v>0</v>
      </c>
      <c r="W114" s="8">
        <v>-40.296666999999999</v>
      </c>
      <c r="X114" s="8">
        <v>0</v>
      </c>
      <c r="Y114" s="8">
        <v>8.9462150000000005</v>
      </c>
      <c r="Z114" s="9">
        <v>4117.5663260000001</v>
      </c>
    </row>
    <row r="115" spans="2:26" s="1" customFormat="1" ht="14.85" customHeight="1" x14ac:dyDescent="0.15">
      <c r="B115" s="5" t="s">
        <v>133</v>
      </c>
      <c r="C115" s="6">
        <v>6252.974843</v>
      </c>
      <c r="D115" s="6">
        <v>5132.5172570000004</v>
      </c>
      <c r="E115" s="6">
        <v>6492.8708619999998</v>
      </c>
      <c r="F115" s="6">
        <v>5247.3526819999997</v>
      </c>
      <c r="G115" s="6">
        <v>450.42339099999998</v>
      </c>
      <c r="H115" s="6">
        <v>3887.8940280000002</v>
      </c>
      <c r="I115" s="6">
        <v>811.10640100000001</v>
      </c>
      <c r="J115" s="6">
        <v>97.928861999999995</v>
      </c>
      <c r="K115" s="6">
        <v>957.85151299999995</v>
      </c>
      <c r="L115" s="6">
        <v>287.66666700000002</v>
      </c>
      <c r="M115" s="6">
        <v>1360.353605</v>
      </c>
      <c r="N115" s="6">
        <v>1301.383358</v>
      </c>
      <c r="O115" s="6">
        <v>58.970247000000001</v>
      </c>
      <c r="P115" s="6">
        <v>-1120.4575870000001</v>
      </c>
      <c r="Q115" s="6">
        <v>426.64776699999999</v>
      </c>
      <c r="R115" s="6">
        <v>243.785833</v>
      </c>
      <c r="S115" s="6">
        <v>209.69</v>
      </c>
      <c r="T115" s="6">
        <v>2000.581187</v>
      </c>
      <c r="U115" s="6">
        <v>2664.570201</v>
      </c>
      <c r="V115" s="6">
        <v>0</v>
      </c>
      <c r="W115" s="6">
        <v>2884.01908</v>
      </c>
      <c r="X115" s="6">
        <v>0</v>
      </c>
      <c r="Y115" s="6">
        <v>219.44887900000001</v>
      </c>
      <c r="Z115" s="7">
        <v>8917.5450440000004</v>
      </c>
    </row>
    <row r="116" spans="2:26" s="1" customFormat="1" ht="14.85" customHeight="1" x14ac:dyDescent="0.15">
      <c r="B116" s="5" t="s">
        <v>134</v>
      </c>
      <c r="C116" s="8">
        <v>6035.8889920000001</v>
      </c>
      <c r="D116" s="8">
        <v>4785.9514049999998</v>
      </c>
      <c r="E116" s="8">
        <v>6146.30501</v>
      </c>
      <c r="F116" s="8">
        <v>4900.7868310000003</v>
      </c>
      <c r="G116" s="8">
        <v>1147.6901109999999</v>
      </c>
      <c r="H116" s="8">
        <v>3467.9271250000002</v>
      </c>
      <c r="I116" s="8">
        <v>187.24073300000001</v>
      </c>
      <c r="J116" s="8">
        <v>97.928861999999995</v>
      </c>
      <c r="K116" s="8">
        <v>957.85151299999995</v>
      </c>
      <c r="L116" s="8">
        <v>287.66666700000002</v>
      </c>
      <c r="M116" s="8">
        <v>1360.353605</v>
      </c>
      <c r="N116" s="8">
        <v>1301.383358</v>
      </c>
      <c r="O116" s="8">
        <v>58.970247000000001</v>
      </c>
      <c r="P116" s="8">
        <v>-1249.9375869999999</v>
      </c>
      <c r="Q116" s="8">
        <v>345.447767</v>
      </c>
      <c r="R116" s="8">
        <v>243.785833</v>
      </c>
      <c r="S116" s="8">
        <v>161.41</v>
      </c>
      <c r="T116" s="8">
        <v>2000.581187</v>
      </c>
      <c r="U116" s="8">
        <v>1338.5664019999999</v>
      </c>
      <c r="V116" s="8">
        <v>0</v>
      </c>
      <c r="W116" s="8">
        <v>1558.015281</v>
      </c>
      <c r="X116" s="8">
        <v>0</v>
      </c>
      <c r="Y116" s="8">
        <v>219.44887900000001</v>
      </c>
      <c r="Z116" s="9">
        <v>7374.4553939999996</v>
      </c>
    </row>
    <row r="117" spans="2:26" s="1" customFormat="1" ht="14.85" customHeight="1" x14ac:dyDescent="0.15">
      <c r="B117" s="5" t="s">
        <v>135</v>
      </c>
      <c r="C117" s="6">
        <v>4710.3956799999996</v>
      </c>
      <c r="D117" s="6">
        <v>4064.4680939999998</v>
      </c>
      <c r="E117" s="6">
        <v>5424.8216990000001</v>
      </c>
      <c r="F117" s="6">
        <v>4179.3035190000001</v>
      </c>
      <c r="G117" s="6">
        <v>105.54100099999999</v>
      </c>
      <c r="H117" s="6">
        <v>3627.2248559999998</v>
      </c>
      <c r="I117" s="6">
        <v>348.60880100000003</v>
      </c>
      <c r="J117" s="6">
        <v>97.928861999999995</v>
      </c>
      <c r="K117" s="6">
        <v>957.85151299999995</v>
      </c>
      <c r="L117" s="6">
        <v>287.66666700000002</v>
      </c>
      <c r="M117" s="6">
        <v>1360.353605</v>
      </c>
      <c r="N117" s="6">
        <v>1301.383358</v>
      </c>
      <c r="O117" s="6">
        <v>58.970247000000001</v>
      </c>
      <c r="P117" s="6">
        <v>-645.92758700000002</v>
      </c>
      <c r="Q117" s="6">
        <v>839.46776699999998</v>
      </c>
      <c r="R117" s="6">
        <v>243.785833</v>
      </c>
      <c r="S117" s="6">
        <v>271.39999999999998</v>
      </c>
      <c r="T117" s="6">
        <v>2000.581187</v>
      </c>
      <c r="U117" s="6">
        <v>2047.1071959999999</v>
      </c>
      <c r="V117" s="6">
        <v>0</v>
      </c>
      <c r="W117" s="6">
        <v>2266.5560759999998</v>
      </c>
      <c r="X117" s="6">
        <v>0</v>
      </c>
      <c r="Y117" s="6">
        <v>219.44887900000001</v>
      </c>
      <c r="Z117" s="7">
        <v>6757.5028769999999</v>
      </c>
    </row>
    <row r="118" spans="2:26" s="1" customFormat="1" ht="14.85" customHeight="1" x14ac:dyDescent="0.15">
      <c r="B118" s="5" t="s">
        <v>136</v>
      </c>
      <c r="C118" s="8">
        <v>1260.3935980000001</v>
      </c>
      <c r="D118" s="8">
        <v>1680.5937779999999</v>
      </c>
      <c r="E118" s="8">
        <v>3631.3736920000001</v>
      </c>
      <c r="F118" s="8">
        <v>2340.027165</v>
      </c>
      <c r="G118" s="8">
        <v>126.039231</v>
      </c>
      <c r="H118" s="8">
        <v>1800.158064</v>
      </c>
      <c r="I118" s="8">
        <v>319.27574700000002</v>
      </c>
      <c r="J118" s="8">
        <v>94.554123000000004</v>
      </c>
      <c r="K118" s="8">
        <v>1056.3465269999999</v>
      </c>
      <c r="L118" s="8">
        <v>235</v>
      </c>
      <c r="M118" s="8">
        <v>1950.7799150000001</v>
      </c>
      <c r="N118" s="8">
        <v>1927.848495</v>
      </c>
      <c r="O118" s="8">
        <v>22.931419999999999</v>
      </c>
      <c r="P118" s="8">
        <v>420.20017999999999</v>
      </c>
      <c r="Q118" s="8">
        <v>611.38776700000005</v>
      </c>
      <c r="R118" s="8">
        <v>243.785833</v>
      </c>
      <c r="S118" s="8">
        <v>373.3</v>
      </c>
      <c r="T118" s="8">
        <v>808.27341999999999</v>
      </c>
      <c r="U118" s="8">
        <v>8.5305370000000007</v>
      </c>
      <c r="V118" s="8">
        <v>0</v>
      </c>
      <c r="W118" s="8">
        <v>-279.10333300000002</v>
      </c>
      <c r="X118" s="8">
        <v>0</v>
      </c>
      <c r="Y118" s="8">
        <v>-287.63387</v>
      </c>
      <c r="Z118" s="9">
        <v>1268.924135</v>
      </c>
    </row>
    <row r="119" spans="2:26" s="1" customFormat="1" ht="14.85" customHeight="1" x14ac:dyDescent="0.15">
      <c r="B119" s="5" t="s">
        <v>137</v>
      </c>
      <c r="C119" s="6">
        <v>1365.381795</v>
      </c>
      <c r="D119" s="6">
        <v>1418.5819750000001</v>
      </c>
      <c r="E119" s="6">
        <v>3369.3618889999998</v>
      </c>
      <c r="F119" s="6">
        <v>2078.0153620000001</v>
      </c>
      <c r="G119" s="6">
        <v>129.27430799999999</v>
      </c>
      <c r="H119" s="6">
        <v>1030.9273679999999</v>
      </c>
      <c r="I119" s="6">
        <v>823.25956399999995</v>
      </c>
      <c r="J119" s="6">
        <v>94.554123000000004</v>
      </c>
      <c r="K119" s="6">
        <v>1056.3465269999999</v>
      </c>
      <c r="L119" s="6">
        <v>235</v>
      </c>
      <c r="M119" s="6">
        <v>1950.7799150000001</v>
      </c>
      <c r="N119" s="6">
        <v>1927.848495</v>
      </c>
      <c r="O119" s="6">
        <v>22.931419999999999</v>
      </c>
      <c r="P119" s="6">
        <v>53.200180000000003</v>
      </c>
      <c r="Q119" s="6">
        <v>315.66776700000003</v>
      </c>
      <c r="R119" s="6">
        <v>243.785833</v>
      </c>
      <c r="S119" s="6">
        <v>302.02</v>
      </c>
      <c r="T119" s="6">
        <v>808.27341999999999</v>
      </c>
      <c r="U119" s="6">
        <v>-1334.2194629999999</v>
      </c>
      <c r="V119" s="6">
        <v>0</v>
      </c>
      <c r="W119" s="6">
        <v>-1621.853333</v>
      </c>
      <c r="X119" s="6">
        <v>0</v>
      </c>
      <c r="Y119" s="6">
        <v>-287.63387</v>
      </c>
      <c r="Z119" s="7">
        <v>31.162330999999998</v>
      </c>
    </row>
    <row r="120" spans="2:26" s="1" customFormat="1" ht="14.85" customHeight="1" x14ac:dyDescent="0.15">
      <c r="B120" s="5" t="s">
        <v>138</v>
      </c>
      <c r="C120" s="8">
        <v>1256.2557400000001</v>
      </c>
      <c r="D120" s="8">
        <v>2796.8659200000002</v>
      </c>
      <c r="E120" s="8">
        <v>4747.6458350000003</v>
      </c>
      <c r="F120" s="8">
        <v>3456.2993080000001</v>
      </c>
      <c r="G120" s="8">
        <v>452.76548000000003</v>
      </c>
      <c r="H120" s="8">
        <v>1153.8003670000001</v>
      </c>
      <c r="I120" s="8">
        <v>1755.179337</v>
      </c>
      <c r="J120" s="8">
        <v>94.554123000000004</v>
      </c>
      <c r="K120" s="8">
        <v>1056.3465269999999</v>
      </c>
      <c r="L120" s="8">
        <v>235</v>
      </c>
      <c r="M120" s="8">
        <v>1950.7799150000001</v>
      </c>
      <c r="N120" s="8">
        <v>1927.848495</v>
      </c>
      <c r="O120" s="8">
        <v>22.931419999999999</v>
      </c>
      <c r="P120" s="8">
        <v>1540.6101799999999</v>
      </c>
      <c r="Q120" s="8">
        <v>1499.857767</v>
      </c>
      <c r="R120" s="8">
        <v>243.785833</v>
      </c>
      <c r="S120" s="8">
        <v>605.24</v>
      </c>
      <c r="T120" s="8">
        <v>808.27341999999999</v>
      </c>
      <c r="U120" s="8">
        <v>3429.130537</v>
      </c>
      <c r="V120" s="8">
        <v>0</v>
      </c>
      <c r="W120" s="8">
        <v>3141.4966669999999</v>
      </c>
      <c r="X120" s="8">
        <v>0</v>
      </c>
      <c r="Y120" s="8">
        <v>-287.63387</v>
      </c>
      <c r="Z120" s="9">
        <v>4685.3862769999996</v>
      </c>
    </row>
    <row r="121" spans="2:26" s="1" customFormat="1" ht="14.85" customHeight="1" x14ac:dyDescent="0.15">
      <c r="B121" s="5" t="s">
        <v>139</v>
      </c>
      <c r="C121" s="6">
        <v>1530.9346430000001</v>
      </c>
      <c r="D121" s="6">
        <v>2741.5446099999999</v>
      </c>
      <c r="E121" s="6">
        <v>3864.0242779999999</v>
      </c>
      <c r="F121" s="6">
        <v>2578.56185</v>
      </c>
      <c r="G121" s="6">
        <v>97.792105000000006</v>
      </c>
      <c r="H121" s="6">
        <v>1735.5485470000001</v>
      </c>
      <c r="I121" s="6">
        <v>633.09050999999999</v>
      </c>
      <c r="J121" s="6">
        <v>112.13068800000001</v>
      </c>
      <c r="K121" s="6">
        <v>1032.7957610000001</v>
      </c>
      <c r="L121" s="6">
        <v>252.66666699999999</v>
      </c>
      <c r="M121" s="6">
        <v>1122.4796679999999</v>
      </c>
      <c r="N121" s="6">
        <v>1114.2602790000001</v>
      </c>
      <c r="O121" s="6">
        <v>8.2193889999999996</v>
      </c>
      <c r="P121" s="6">
        <v>1210.6099670000001</v>
      </c>
      <c r="Q121" s="6">
        <v>1120.2194440000001</v>
      </c>
      <c r="R121" s="6">
        <v>278.09083299999998</v>
      </c>
      <c r="S121" s="6">
        <v>266.5</v>
      </c>
      <c r="T121" s="6">
        <v>454.200311</v>
      </c>
      <c r="U121" s="6">
        <v>1107.3647289999999</v>
      </c>
      <c r="V121" s="6">
        <v>0</v>
      </c>
      <c r="W121" s="6">
        <v>1357.576667</v>
      </c>
      <c r="X121" s="6">
        <v>0</v>
      </c>
      <c r="Y121" s="6">
        <v>250.21193700000001</v>
      </c>
      <c r="Z121" s="7">
        <v>2638.2993729999998</v>
      </c>
    </row>
    <row r="122" spans="2:26" s="1" customFormat="1" ht="14.85" customHeight="1" x14ac:dyDescent="0.15">
      <c r="B122" s="5" t="s">
        <v>140</v>
      </c>
      <c r="C122" s="8">
        <v>2847.0900200000001</v>
      </c>
      <c r="D122" s="8">
        <v>3391.8099860000002</v>
      </c>
      <c r="E122" s="8">
        <v>4514.2896540000002</v>
      </c>
      <c r="F122" s="8">
        <v>3228.8272259999999</v>
      </c>
      <c r="G122" s="8">
        <v>496.47746699999999</v>
      </c>
      <c r="H122" s="8">
        <v>2379.4352570000001</v>
      </c>
      <c r="I122" s="8">
        <v>240.783815</v>
      </c>
      <c r="J122" s="8">
        <v>112.13068800000001</v>
      </c>
      <c r="K122" s="8">
        <v>1032.7957610000001</v>
      </c>
      <c r="L122" s="8">
        <v>252.66666699999999</v>
      </c>
      <c r="M122" s="8">
        <v>1122.4796679999999</v>
      </c>
      <c r="N122" s="8">
        <v>1114.2602790000001</v>
      </c>
      <c r="O122" s="8">
        <v>8.2193889999999996</v>
      </c>
      <c r="P122" s="8">
        <v>544.719967</v>
      </c>
      <c r="Q122" s="8">
        <v>505.77944400000001</v>
      </c>
      <c r="R122" s="8">
        <v>278.09083299999998</v>
      </c>
      <c r="S122" s="8">
        <v>215.05</v>
      </c>
      <c r="T122" s="8">
        <v>454.200311</v>
      </c>
      <c r="U122" s="8">
        <v>-1501.525271</v>
      </c>
      <c r="V122" s="8">
        <v>0</v>
      </c>
      <c r="W122" s="8">
        <v>-1251.3133330000001</v>
      </c>
      <c r="X122" s="8">
        <v>0</v>
      </c>
      <c r="Y122" s="8">
        <v>250.21193700000001</v>
      </c>
      <c r="Z122" s="9">
        <v>1345.5647489999999</v>
      </c>
    </row>
    <row r="123" spans="2:26" s="1" customFormat="1" ht="14.85" customHeight="1" x14ac:dyDescent="0.15">
      <c r="B123" s="5" t="s">
        <v>141</v>
      </c>
      <c r="C123" s="6">
        <v>4418.0390690000004</v>
      </c>
      <c r="D123" s="6">
        <v>5250.5190359999997</v>
      </c>
      <c r="E123" s="6">
        <v>6372.9987039999996</v>
      </c>
      <c r="F123" s="6">
        <v>5087.5362759999998</v>
      </c>
      <c r="G123" s="6">
        <v>104.73821100000001</v>
      </c>
      <c r="H123" s="6">
        <v>4251.0429830000003</v>
      </c>
      <c r="I123" s="6">
        <v>619.62439400000005</v>
      </c>
      <c r="J123" s="6">
        <v>112.13068800000001</v>
      </c>
      <c r="K123" s="6">
        <v>1032.7957610000001</v>
      </c>
      <c r="L123" s="6">
        <v>252.66666699999999</v>
      </c>
      <c r="M123" s="6">
        <v>1122.4796679999999</v>
      </c>
      <c r="N123" s="6">
        <v>1114.2602790000001</v>
      </c>
      <c r="O123" s="6">
        <v>8.2193889999999996</v>
      </c>
      <c r="P123" s="6">
        <v>832.47996699999999</v>
      </c>
      <c r="Q123" s="6">
        <v>740.70944399999996</v>
      </c>
      <c r="R123" s="6">
        <v>278.09083299999998</v>
      </c>
      <c r="S123" s="6">
        <v>267.88</v>
      </c>
      <c r="T123" s="6">
        <v>454.200311</v>
      </c>
      <c r="U123" s="6">
        <v>-1143.8452709999999</v>
      </c>
      <c r="V123" s="6">
        <v>0</v>
      </c>
      <c r="W123" s="6">
        <v>-893.63333299999999</v>
      </c>
      <c r="X123" s="6">
        <v>0</v>
      </c>
      <c r="Y123" s="6">
        <v>250.21193700000001</v>
      </c>
      <c r="Z123" s="7">
        <v>3274.1937979999998</v>
      </c>
    </row>
    <row r="124" spans="2:26" s="1" customFormat="1" ht="14.85" customHeight="1" x14ac:dyDescent="0.15">
      <c r="B124" s="5" t="s">
        <v>142</v>
      </c>
      <c r="C124" s="8">
        <v>3482.8704509999998</v>
      </c>
      <c r="D124" s="8">
        <v>5003.1646659999997</v>
      </c>
      <c r="E124" s="8">
        <v>5802.7984070000002</v>
      </c>
      <c r="F124" s="8">
        <v>4739.890351</v>
      </c>
      <c r="G124" s="8">
        <v>106.046291</v>
      </c>
      <c r="H124" s="8">
        <v>4225.0394079999996</v>
      </c>
      <c r="I124" s="8">
        <v>303.605189</v>
      </c>
      <c r="J124" s="8">
        <v>105.19946400000001</v>
      </c>
      <c r="K124" s="8">
        <v>876.90805499999999</v>
      </c>
      <c r="L124" s="8">
        <v>186</v>
      </c>
      <c r="M124" s="8">
        <v>799.63373999999999</v>
      </c>
      <c r="N124" s="8">
        <v>787.76045899999997</v>
      </c>
      <c r="O124" s="8">
        <v>11.873281</v>
      </c>
      <c r="P124" s="8">
        <v>1520.2942149999999</v>
      </c>
      <c r="Q124" s="8">
        <v>1243.1594439999999</v>
      </c>
      <c r="R124" s="8">
        <v>278.09083299999998</v>
      </c>
      <c r="S124" s="8">
        <v>221.29</v>
      </c>
      <c r="T124" s="8">
        <v>222.24606299999999</v>
      </c>
      <c r="U124" s="8">
        <v>-1761.2100379999999</v>
      </c>
      <c r="V124" s="8">
        <v>0</v>
      </c>
      <c r="W124" s="8">
        <v>-1758.133333</v>
      </c>
      <c r="X124" s="8">
        <v>0</v>
      </c>
      <c r="Y124" s="8">
        <v>3.076705</v>
      </c>
      <c r="Z124" s="9">
        <v>1721.6604130000001</v>
      </c>
    </row>
    <row r="125" spans="2:26" s="1" customFormat="1" ht="14.85" customHeight="1" x14ac:dyDescent="0.15">
      <c r="B125" s="5" t="s">
        <v>143</v>
      </c>
      <c r="C125" s="6">
        <v>2600.4091939999998</v>
      </c>
      <c r="D125" s="6">
        <v>3302.5534090000001</v>
      </c>
      <c r="E125" s="6">
        <v>4102.1871490000003</v>
      </c>
      <c r="F125" s="6">
        <v>3039.279094</v>
      </c>
      <c r="G125" s="6">
        <v>61.207619999999999</v>
      </c>
      <c r="H125" s="6">
        <v>2678.9779779999999</v>
      </c>
      <c r="I125" s="6">
        <v>193.89403200000001</v>
      </c>
      <c r="J125" s="6">
        <v>105.19946400000001</v>
      </c>
      <c r="K125" s="6">
        <v>876.90805499999999</v>
      </c>
      <c r="L125" s="6">
        <v>186</v>
      </c>
      <c r="M125" s="6">
        <v>799.63373999999999</v>
      </c>
      <c r="N125" s="6">
        <v>787.76045899999997</v>
      </c>
      <c r="O125" s="6">
        <v>11.873281</v>
      </c>
      <c r="P125" s="6">
        <v>702.14421500000003</v>
      </c>
      <c r="Q125" s="6">
        <v>285.11944399999999</v>
      </c>
      <c r="R125" s="6">
        <v>278.09083299999998</v>
      </c>
      <c r="S125" s="6">
        <v>361.18</v>
      </c>
      <c r="T125" s="6">
        <v>222.24606299999999</v>
      </c>
      <c r="U125" s="6">
        <v>-2973.1700380000002</v>
      </c>
      <c r="V125" s="6">
        <v>0</v>
      </c>
      <c r="W125" s="6">
        <v>-2970.0933329999998</v>
      </c>
      <c r="X125" s="6">
        <v>0</v>
      </c>
      <c r="Y125" s="6">
        <v>3.076705</v>
      </c>
      <c r="Z125" s="7">
        <v>-372.76084400000002</v>
      </c>
    </row>
    <row r="126" spans="2:26" s="1" customFormat="1" ht="14.85" customHeight="1" x14ac:dyDescent="0.15">
      <c r="B126" s="5" t="s">
        <v>144</v>
      </c>
      <c r="C126" s="8">
        <v>4618.9891530000004</v>
      </c>
      <c r="D126" s="8">
        <v>5610.7233679999999</v>
      </c>
      <c r="E126" s="8">
        <v>6410.3571080000002</v>
      </c>
      <c r="F126" s="8">
        <v>5347.4490530000003</v>
      </c>
      <c r="G126" s="8">
        <v>1756.4061489999999</v>
      </c>
      <c r="H126" s="8">
        <v>2919.8167079999998</v>
      </c>
      <c r="I126" s="8">
        <v>566.02673300000004</v>
      </c>
      <c r="J126" s="8">
        <v>105.19946400000001</v>
      </c>
      <c r="K126" s="8">
        <v>876.90805499999999</v>
      </c>
      <c r="L126" s="8">
        <v>186</v>
      </c>
      <c r="M126" s="8">
        <v>799.63373999999999</v>
      </c>
      <c r="N126" s="8">
        <v>787.76045899999997</v>
      </c>
      <c r="O126" s="8">
        <v>11.873281</v>
      </c>
      <c r="P126" s="8">
        <v>991.73421499999995</v>
      </c>
      <c r="Q126" s="8">
        <v>405.67944399999999</v>
      </c>
      <c r="R126" s="8">
        <v>278.09083299999998</v>
      </c>
      <c r="S126" s="8">
        <v>530.21</v>
      </c>
      <c r="T126" s="8">
        <v>222.24606299999999</v>
      </c>
      <c r="U126" s="8">
        <v>5288.2399619999997</v>
      </c>
      <c r="V126" s="8">
        <v>0</v>
      </c>
      <c r="W126" s="8">
        <v>5291.3166670000001</v>
      </c>
      <c r="X126" s="8">
        <v>0</v>
      </c>
      <c r="Y126" s="8">
        <v>3.076705</v>
      </c>
      <c r="Z126" s="9">
        <v>9907.2291150000001</v>
      </c>
    </row>
    <row r="127" spans="2:26" s="1" customFormat="1" ht="14.85" customHeight="1" x14ac:dyDescent="0.15">
      <c r="B127" s="5" t="s">
        <v>145</v>
      </c>
      <c r="C127" s="6">
        <v>2567.454162</v>
      </c>
      <c r="D127" s="6">
        <v>3241.372695</v>
      </c>
      <c r="E127" s="6">
        <v>3976.5383729999999</v>
      </c>
      <c r="F127" s="6">
        <v>2973.9261219999999</v>
      </c>
      <c r="G127" s="6">
        <v>51.352347999999999</v>
      </c>
      <c r="H127" s="6">
        <v>2661.2788919999998</v>
      </c>
      <c r="I127" s="6">
        <v>183.97089800000001</v>
      </c>
      <c r="J127" s="6">
        <v>77.323983999999996</v>
      </c>
      <c r="K127" s="6">
        <v>789.61225200000001</v>
      </c>
      <c r="L127" s="6">
        <v>213</v>
      </c>
      <c r="M127" s="6">
        <v>735.16567799999996</v>
      </c>
      <c r="N127" s="6">
        <v>733.60092999999995</v>
      </c>
      <c r="O127" s="6">
        <v>1.5647489999999999</v>
      </c>
      <c r="P127" s="6">
        <v>673.91853300000002</v>
      </c>
      <c r="Q127" s="6">
        <v>310.32944400000002</v>
      </c>
      <c r="R127" s="6">
        <v>278.09083299999998</v>
      </c>
      <c r="S127" s="6">
        <v>408.72</v>
      </c>
      <c r="T127" s="6">
        <v>323.221745</v>
      </c>
      <c r="U127" s="6">
        <v>-1384.4074949999999</v>
      </c>
      <c r="V127" s="6">
        <v>0</v>
      </c>
      <c r="W127" s="6">
        <v>-1419.7966670000001</v>
      </c>
      <c r="X127" s="6">
        <v>0</v>
      </c>
      <c r="Y127" s="6">
        <v>-35.389172000000002</v>
      </c>
      <c r="Z127" s="7">
        <v>1183.0466670000001</v>
      </c>
    </row>
    <row r="128" spans="2:26" s="1" customFormat="1" ht="14.85" customHeight="1" x14ac:dyDescent="0.15">
      <c r="B128" s="5" t="s">
        <v>146</v>
      </c>
      <c r="C128" s="8">
        <v>2087.6266169999999</v>
      </c>
      <c r="D128" s="8">
        <v>2564.75515</v>
      </c>
      <c r="E128" s="8">
        <v>3299.9208279999998</v>
      </c>
      <c r="F128" s="8">
        <v>2297.3085759999999</v>
      </c>
      <c r="G128" s="8">
        <v>58.953322</v>
      </c>
      <c r="H128" s="8">
        <v>1884.727349</v>
      </c>
      <c r="I128" s="8">
        <v>276.303922</v>
      </c>
      <c r="J128" s="8">
        <v>77.323983999999996</v>
      </c>
      <c r="K128" s="8">
        <v>789.61225200000001</v>
      </c>
      <c r="L128" s="8">
        <v>213</v>
      </c>
      <c r="M128" s="8">
        <v>735.16567799999996</v>
      </c>
      <c r="N128" s="8">
        <v>733.60092999999995</v>
      </c>
      <c r="O128" s="8">
        <v>1.5647489999999999</v>
      </c>
      <c r="P128" s="8">
        <v>477.128533</v>
      </c>
      <c r="Q128" s="8">
        <v>343.00944399999997</v>
      </c>
      <c r="R128" s="8">
        <v>278.09083299999998</v>
      </c>
      <c r="S128" s="8">
        <v>179.25</v>
      </c>
      <c r="T128" s="8">
        <v>323.221745</v>
      </c>
      <c r="U128" s="8">
        <v>-2468.3874949999999</v>
      </c>
      <c r="V128" s="8">
        <v>0</v>
      </c>
      <c r="W128" s="8">
        <v>-2503.7766670000001</v>
      </c>
      <c r="X128" s="8">
        <v>0</v>
      </c>
      <c r="Y128" s="8">
        <v>-35.389172000000002</v>
      </c>
      <c r="Z128" s="9">
        <v>-380.76087799999999</v>
      </c>
    </row>
    <row r="129" spans="2:26" s="1" customFormat="1" ht="14.85" customHeight="1" x14ac:dyDescent="0.15">
      <c r="B129" s="5" t="s">
        <v>147</v>
      </c>
      <c r="C129" s="6">
        <v>1864.480622</v>
      </c>
      <c r="D129" s="6">
        <v>2351.309154</v>
      </c>
      <c r="E129" s="6">
        <v>3086.4748319999999</v>
      </c>
      <c r="F129" s="6">
        <v>2083.8625809999999</v>
      </c>
      <c r="G129" s="6">
        <v>90.843906000000004</v>
      </c>
      <c r="H129" s="6">
        <v>1749.9509399999999</v>
      </c>
      <c r="I129" s="6">
        <v>165.743751</v>
      </c>
      <c r="J129" s="6">
        <v>77.323983999999996</v>
      </c>
      <c r="K129" s="6">
        <v>789.61225200000001</v>
      </c>
      <c r="L129" s="6">
        <v>213</v>
      </c>
      <c r="M129" s="6">
        <v>735.16567799999996</v>
      </c>
      <c r="N129" s="6">
        <v>733.60092999999995</v>
      </c>
      <c r="O129" s="6">
        <v>1.5647489999999999</v>
      </c>
      <c r="P129" s="6">
        <v>486.82853299999999</v>
      </c>
      <c r="Q129" s="6">
        <v>372.00944399999997</v>
      </c>
      <c r="R129" s="6">
        <v>278.09083299999998</v>
      </c>
      <c r="S129" s="6">
        <v>159.94999999999999</v>
      </c>
      <c r="T129" s="6">
        <v>323.221745</v>
      </c>
      <c r="U129" s="6">
        <v>483.75850500000001</v>
      </c>
      <c r="V129" s="6">
        <v>100.006</v>
      </c>
      <c r="W129" s="6">
        <v>348.36333300000001</v>
      </c>
      <c r="X129" s="6">
        <v>0</v>
      </c>
      <c r="Y129" s="6">
        <v>-35.389172000000002</v>
      </c>
      <c r="Z129" s="7">
        <v>2348.2391269999998</v>
      </c>
    </row>
    <row r="130" spans="2:26" s="1" customFormat="1" ht="14.85" customHeight="1" x14ac:dyDescent="0.15">
      <c r="B130" s="5" t="s">
        <v>148</v>
      </c>
      <c r="C130" s="8">
        <v>2178.8674839999999</v>
      </c>
      <c r="D130" s="8">
        <v>2700.4850550000001</v>
      </c>
      <c r="E130" s="8">
        <v>3593.8808349999999</v>
      </c>
      <c r="F130" s="8">
        <v>2129.2275220000001</v>
      </c>
      <c r="G130" s="8">
        <v>169.11596399999999</v>
      </c>
      <c r="H130" s="8">
        <v>1604.246926</v>
      </c>
      <c r="I130" s="8">
        <v>280.299305</v>
      </c>
      <c r="J130" s="8">
        <v>75.565326999999996</v>
      </c>
      <c r="K130" s="8">
        <v>771.65331300000003</v>
      </c>
      <c r="L130" s="8">
        <v>693</v>
      </c>
      <c r="M130" s="8">
        <v>893.39577999999995</v>
      </c>
      <c r="N130" s="8">
        <v>872.49224300000003</v>
      </c>
      <c r="O130" s="8">
        <v>20.903537</v>
      </c>
      <c r="P130" s="8">
        <v>521.617571</v>
      </c>
      <c r="Q130" s="8">
        <v>447.039444</v>
      </c>
      <c r="R130" s="8">
        <v>278.09083299999998</v>
      </c>
      <c r="S130" s="8">
        <v>236.7</v>
      </c>
      <c r="T130" s="8">
        <v>440.21270700000002</v>
      </c>
      <c r="U130" s="8">
        <v>-2169.4022380000001</v>
      </c>
      <c r="V130" s="8">
        <v>0</v>
      </c>
      <c r="W130" s="8">
        <v>-2224.91</v>
      </c>
      <c r="X130" s="8">
        <v>0</v>
      </c>
      <c r="Y130" s="8">
        <v>-55.507762</v>
      </c>
      <c r="Z130" s="9">
        <v>9.4652460000000005</v>
      </c>
    </row>
    <row r="131" spans="2:26" s="1" customFormat="1" ht="14.85" customHeight="1" x14ac:dyDescent="0.15">
      <c r="B131" s="5" t="s">
        <v>149</v>
      </c>
      <c r="C131" s="6">
        <v>4060.125869</v>
      </c>
      <c r="D131" s="6">
        <v>4496.8834399999996</v>
      </c>
      <c r="E131" s="6">
        <v>5390.2792200000004</v>
      </c>
      <c r="F131" s="6">
        <v>3925.6259070000001</v>
      </c>
      <c r="G131" s="6">
        <v>502.56957999999997</v>
      </c>
      <c r="H131" s="6">
        <v>3179.3093450000001</v>
      </c>
      <c r="I131" s="6">
        <v>168.18165400000001</v>
      </c>
      <c r="J131" s="6">
        <v>75.565326999999996</v>
      </c>
      <c r="K131" s="6">
        <v>771.65331300000003</v>
      </c>
      <c r="L131" s="6">
        <v>693</v>
      </c>
      <c r="M131" s="6">
        <v>893.39577999999995</v>
      </c>
      <c r="N131" s="6">
        <v>872.49224300000003</v>
      </c>
      <c r="O131" s="6">
        <v>20.903537</v>
      </c>
      <c r="P131" s="6">
        <v>436.75757099999998</v>
      </c>
      <c r="Q131" s="6">
        <v>392.609444</v>
      </c>
      <c r="R131" s="6">
        <v>278.09083299999998</v>
      </c>
      <c r="S131" s="6">
        <v>206.27</v>
      </c>
      <c r="T131" s="6">
        <v>440.21270700000002</v>
      </c>
      <c r="U131" s="6">
        <v>-1906.8922379999999</v>
      </c>
      <c r="V131" s="6">
        <v>0</v>
      </c>
      <c r="W131" s="6">
        <v>-1962.4</v>
      </c>
      <c r="X131" s="6">
        <v>0</v>
      </c>
      <c r="Y131" s="6">
        <v>-55.507762</v>
      </c>
      <c r="Z131" s="7">
        <v>2153.2336310000001</v>
      </c>
    </row>
    <row r="132" spans="2:26" s="1" customFormat="1" ht="14.85" customHeight="1" x14ac:dyDescent="0.15">
      <c r="B132" s="5" t="s">
        <v>150</v>
      </c>
      <c r="C132" s="8">
        <v>3764.0856159999998</v>
      </c>
      <c r="D132" s="8">
        <v>4251.4031869999999</v>
      </c>
      <c r="E132" s="8">
        <v>5144.7989680000001</v>
      </c>
      <c r="F132" s="8">
        <v>3680.1456539999999</v>
      </c>
      <c r="G132" s="8">
        <v>78.522418999999999</v>
      </c>
      <c r="H132" s="8">
        <v>3224.7067149999998</v>
      </c>
      <c r="I132" s="8">
        <v>301.35119400000002</v>
      </c>
      <c r="J132" s="8">
        <v>75.565326999999996</v>
      </c>
      <c r="K132" s="8">
        <v>771.65331300000003</v>
      </c>
      <c r="L132" s="8">
        <v>693</v>
      </c>
      <c r="M132" s="8">
        <v>893.39577999999995</v>
      </c>
      <c r="N132" s="8">
        <v>872.49224300000003</v>
      </c>
      <c r="O132" s="8">
        <v>20.903537</v>
      </c>
      <c r="P132" s="8">
        <v>487.31757099999999</v>
      </c>
      <c r="Q132" s="8">
        <v>320.31944399999998</v>
      </c>
      <c r="R132" s="8">
        <v>278.09083299999998</v>
      </c>
      <c r="S132" s="8">
        <v>329.12</v>
      </c>
      <c r="T132" s="8">
        <v>440.21270700000002</v>
      </c>
      <c r="U132" s="8">
        <v>4299.6867620000003</v>
      </c>
      <c r="V132" s="8">
        <v>273.34899999999999</v>
      </c>
      <c r="W132" s="8">
        <v>3970.83</v>
      </c>
      <c r="X132" s="8">
        <v>0</v>
      </c>
      <c r="Y132" s="8">
        <v>-55.507762</v>
      </c>
      <c r="Z132" s="9">
        <v>8063.772379</v>
      </c>
    </row>
    <row r="133" spans="2:26" s="1" customFormat="1" ht="14.85" customHeight="1" x14ac:dyDescent="0.15">
      <c r="B133" s="5" t="s">
        <v>151</v>
      </c>
      <c r="C133" s="6">
        <v>1588.1547929999999</v>
      </c>
      <c r="D133" s="6">
        <v>2317.8463539999998</v>
      </c>
      <c r="E133" s="6">
        <v>3533.2922309999999</v>
      </c>
      <c r="F133" s="6">
        <v>2206.3532169999999</v>
      </c>
      <c r="G133" s="6">
        <v>241.41150200000001</v>
      </c>
      <c r="H133" s="6">
        <v>1640.069784</v>
      </c>
      <c r="I133" s="6">
        <v>235.60155499999999</v>
      </c>
      <c r="J133" s="6">
        <v>89.270375999999999</v>
      </c>
      <c r="K133" s="6">
        <v>911.60568000000001</v>
      </c>
      <c r="L133" s="6">
        <v>415.33333299999998</v>
      </c>
      <c r="M133" s="6">
        <v>1215.445876</v>
      </c>
      <c r="N133" s="6">
        <v>1191.3922869999999</v>
      </c>
      <c r="O133" s="6">
        <v>24.053588999999999</v>
      </c>
      <c r="P133" s="6">
        <v>729.69156099999998</v>
      </c>
      <c r="Q133" s="6">
        <v>541.39944400000002</v>
      </c>
      <c r="R133" s="6">
        <v>278.09083299999998</v>
      </c>
      <c r="S133" s="6">
        <v>482.48</v>
      </c>
      <c r="T133" s="6">
        <v>572.27871700000003</v>
      </c>
      <c r="U133" s="6">
        <v>3308.4946260000002</v>
      </c>
      <c r="V133" s="6">
        <v>1270.72</v>
      </c>
      <c r="W133" s="6">
        <v>2032.347246</v>
      </c>
      <c r="X133" s="6">
        <v>0</v>
      </c>
      <c r="Y133" s="6">
        <v>-5.4273800000000003</v>
      </c>
      <c r="Z133" s="7">
        <v>4896.6494199999997</v>
      </c>
    </row>
    <row r="134" spans="2:26" s="1" customFormat="1" ht="14.85" customHeight="1" x14ac:dyDescent="0.15">
      <c r="B134" s="5" t="s">
        <v>152</v>
      </c>
      <c r="C134" s="8">
        <v>3214.7607549999998</v>
      </c>
      <c r="D134" s="8">
        <v>3488.6423159999999</v>
      </c>
      <c r="E134" s="8">
        <v>4704.0881920000002</v>
      </c>
      <c r="F134" s="8">
        <v>3377.149179</v>
      </c>
      <c r="G134" s="8">
        <v>65.286697000000004</v>
      </c>
      <c r="H134" s="8">
        <v>2920.016087</v>
      </c>
      <c r="I134" s="8">
        <v>302.57601799999998</v>
      </c>
      <c r="J134" s="8">
        <v>89.270375999999999</v>
      </c>
      <c r="K134" s="8">
        <v>911.60568000000001</v>
      </c>
      <c r="L134" s="8">
        <v>415.33333299999998</v>
      </c>
      <c r="M134" s="8">
        <v>1215.445876</v>
      </c>
      <c r="N134" s="8">
        <v>1191.3922869999999</v>
      </c>
      <c r="O134" s="8">
        <v>24.053588999999999</v>
      </c>
      <c r="P134" s="8">
        <v>273.88156099999998</v>
      </c>
      <c r="Q134" s="8">
        <v>366.87944399999998</v>
      </c>
      <c r="R134" s="8">
        <v>278.09083299999998</v>
      </c>
      <c r="S134" s="8">
        <v>201.19</v>
      </c>
      <c r="T134" s="8">
        <v>572.27871700000003</v>
      </c>
      <c r="U134" s="8">
        <v>3774.2131509999999</v>
      </c>
      <c r="V134" s="8">
        <v>0</v>
      </c>
      <c r="W134" s="8">
        <v>3768.7857709999998</v>
      </c>
      <c r="X134" s="8">
        <v>0</v>
      </c>
      <c r="Y134" s="8">
        <v>-5.4273800000000003</v>
      </c>
      <c r="Z134" s="9">
        <v>6988.9739060000002</v>
      </c>
    </row>
    <row r="135" spans="2:26" s="1" customFormat="1" ht="14.85" customHeight="1" x14ac:dyDescent="0.15">
      <c r="B135" s="5" t="s">
        <v>153</v>
      </c>
      <c r="C135" s="6">
        <v>4468.3166899999997</v>
      </c>
      <c r="D135" s="6">
        <v>4681.2782509999997</v>
      </c>
      <c r="E135" s="6">
        <v>5896.7241270000004</v>
      </c>
      <c r="F135" s="6">
        <v>4569.7851140000002</v>
      </c>
      <c r="G135" s="6">
        <v>209.11909700000001</v>
      </c>
      <c r="H135" s="6">
        <v>4016.1767890000001</v>
      </c>
      <c r="I135" s="6">
        <v>255.218851</v>
      </c>
      <c r="J135" s="6">
        <v>89.270375999999999</v>
      </c>
      <c r="K135" s="6">
        <v>911.60568000000001</v>
      </c>
      <c r="L135" s="6">
        <v>415.33333299999998</v>
      </c>
      <c r="M135" s="6">
        <v>1215.445876</v>
      </c>
      <c r="N135" s="6">
        <v>1191.3922869999999</v>
      </c>
      <c r="O135" s="6">
        <v>24.053588999999999</v>
      </c>
      <c r="P135" s="6">
        <v>212.96156099999999</v>
      </c>
      <c r="Q135" s="6">
        <v>286.68944399999998</v>
      </c>
      <c r="R135" s="6">
        <v>278.09083299999998</v>
      </c>
      <c r="S135" s="6">
        <v>220.46</v>
      </c>
      <c r="T135" s="6">
        <v>572.27871700000003</v>
      </c>
      <c r="U135" s="6">
        <v>6639.7924279999997</v>
      </c>
      <c r="V135" s="6">
        <v>0</v>
      </c>
      <c r="W135" s="6">
        <v>6634.3650470000002</v>
      </c>
      <c r="X135" s="6">
        <v>0</v>
      </c>
      <c r="Y135" s="6">
        <v>-5.4273800000000003</v>
      </c>
      <c r="Z135" s="7">
        <v>11108.109118</v>
      </c>
    </row>
    <row r="136" spans="2:26" s="1" customFormat="1" ht="14.85" customHeight="1" x14ac:dyDescent="0.15">
      <c r="B136" s="5" t="s">
        <v>154</v>
      </c>
      <c r="C136" s="8">
        <v>2289.586092</v>
      </c>
      <c r="D136" s="8">
        <v>2601.535273</v>
      </c>
      <c r="E136" s="8">
        <v>3318.7766510000001</v>
      </c>
      <c r="F136" s="8">
        <v>2245.0036890000001</v>
      </c>
      <c r="G136" s="8">
        <v>239.11178699999999</v>
      </c>
      <c r="H136" s="8">
        <v>1626.091363</v>
      </c>
      <c r="I136" s="8">
        <v>295.93238200000002</v>
      </c>
      <c r="J136" s="8">
        <v>83.868156999999997</v>
      </c>
      <c r="K136" s="8">
        <v>856.43962899999997</v>
      </c>
      <c r="L136" s="8">
        <v>217.33333300000001</v>
      </c>
      <c r="M136" s="8">
        <v>717.24137800000005</v>
      </c>
      <c r="N136" s="8">
        <v>694.69616199999996</v>
      </c>
      <c r="O136" s="8">
        <v>22.545214999999999</v>
      </c>
      <c r="P136" s="8">
        <v>311.94918200000001</v>
      </c>
      <c r="Q136" s="8">
        <v>365.02944400000001</v>
      </c>
      <c r="R136" s="8">
        <v>278.09083299999998</v>
      </c>
      <c r="S136" s="8">
        <v>268.66000000000003</v>
      </c>
      <c r="T136" s="8">
        <v>599.831096</v>
      </c>
      <c r="U136" s="8">
        <v>-360.76689800000003</v>
      </c>
      <c r="V136" s="8">
        <v>0</v>
      </c>
      <c r="W136" s="8">
        <v>-404.23</v>
      </c>
      <c r="X136" s="8">
        <v>0</v>
      </c>
      <c r="Y136" s="8">
        <v>-43.463101999999999</v>
      </c>
      <c r="Z136" s="9">
        <v>1928.8191939999999</v>
      </c>
    </row>
    <row r="137" spans="2:26" s="1" customFormat="1" ht="14.85" customHeight="1" x14ac:dyDescent="0.15">
      <c r="B137" s="5" t="s">
        <v>155</v>
      </c>
      <c r="C137" s="6">
        <v>1884.3430049999999</v>
      </c>
      <c r="D137" s="6">
        <v>1977.6121860000001</v>
      </c>
      <c r="E137" s="6">
        <v>2694.853564</v>
      </c>
      <c r="F137" s="6">
        <v>1621.080602</v>
      </c>
      <c r="G137" s="6">
        <v>123.857578</v>
      </c>
      <c r="H137" s="6">
        <v>1391.4464640000001</v>
      </c>
      <c r="I137" s="6">
        <v>21.908403</v>
      </c>
      <c r="J137" s="6">
        <v>83.868156999999997</v>
      </c>
      <c r="K137" s="6">
        <v>856.43962899999997</v>
      </c>
      <c r="L137" s="6">
        <v>217.33333300000001</v>
      </c>
      <c r="M137" s="6">
        <v>717.24137800000005</v>
      </c>
      <c r="N137" s="6">
        <v>694.69616199999996</v>
      </c>
      <c r="O137" s="6">
        <v>22.545214999999999</v>
      </c>
      <c r="P137" s="6">
        <v>93.269182000000001</v>
      </c>
      <c r="Q137" s="6">
        <v>259.419444</v>
      </c>
      <c r="R137" s="6">
        <v>278.09083299999998</v>
      </c>
      <c r="S137" s="6">
        <v>155.59</v>
      </c>
      <c r="T137" s="6">
        <v>599.831096</v>
      </c>
      <c r="U137" s="6">
        <v>4875.683102</v>
      </c>
      <c r="V137" s="6">
        <v>0</v>
      </c>
      <c r="W137" s="6">
        <v>4832.22</v>
      </c>
      <c r="X137" s="6">
        <v>0</v>
      </c>
      <c r="Y137" s="6">
        <v>-43.463101999999999</v>
      </c>
      <c r="Z137" s="7">
        <v>6760.0261069999997</v>
      </c>
    </row>
    <row r="138" spans="2:26" s="1" customFormat="1" ht="14.85" customHeight="1" x14ac:dyDescent="0.15">
      <c r="B138" s="5" t="s">
        <v>156</v>
      </c>
      <c r="C138" s="8">
        <v>2740.173706</v>
      </c>
      <c r="D138" s="8">
        <v>3095.7028879999998</v>
      </c>
      <c r="E138" s="8">
        <v>3812.944266</v>
      </c>
      <c r="F138" s="8">
        <v>2739.1713030000001</v>
      </c>
      <c r="G138" s="8">
        <v>7.9169260000000001</v>
      </c>
      <c r="H138" s="8">
        <v>2227.4264469999998</v>
      </c>
      <c r="I138" s="8">
        <v>419.95977399999998</v>
      </c>
      <c r="J138" s="8">
        <v>83.868156999999997</v>
      </c>
      <c r="K138" s="8">
        <v>856.43962899999997</v>
      </c>
      <c r="L138" s="8">
        <v>217.33333300000001</v>
      </c>
      <c r="M138" s="8">
        <v>717.24137800000005</v>
      </c>
      <c r="N138" s="8">
        <v>694.69616199999996</v>
      </c>
      <c r="O138" s="8">
        <v>22.545214999999999</v>
      </c>
      <c r="P138" s="8">
        <v>355.52918199999999</v>
      </c>
      <c r="Q138" s="8">
        <v>400.07944400000002</v>
      </c>
      <c r="R138" s="8">
        <v>278.09083299999998</v>
      </c>
      <c r="S138" s="8">
        <v>277.19</v>
      </c>
      <c r="T138" s="8">
        <v>599.831096</v>
      </c>
      <c r="U138" s="8">
        <v>1765.3311020000001</v>
      </c>
      <c r="V138" s="8">
        <v>0</v>
      </c>
      <c r="W138" s="8">
        <v>1721.8679999999999</v>
      </c>
      <c r="X138" s="8">
        <v>0</v>
      </c>
      <c r="Y138" s="8">
        <v>-43.463101999999999</v>
      </c>
      <c r="Z138" s="9">
        <v>4505.5048079999997</v>
      </c>
    </row>
    <row r="139" spans="2:26" s="1" customFormat="1" ht="14.85" customHeight="1" x14ac:dyDescent="0.15">
      <c r="B139" s="5" t="s">
        <v>157</v>
      </c>
      <c r="C139" s="6">
        <v>2753.7128240000002</v>
      </c>
      <c r="D139" s="6">
        <v>3136.7941059999998</v>
      </c>
      <c r="E139" s="6">
        <v>3839.9852850000002</v>
      </c>
      <c r="F139" s="6">
        <v>2757.7063659999999</v>
      </c>
      <c r="G139" s="6">
        <v>468.93794600000001</v>
      </c>
      <c r="H139" s="6">
        <v>1934.106863</v>
      </c>
      <c r="I139" s="6">
        <v>277.33757400000002</v>
      </c>
      <c r="J139" s="6">
        <v>77.323983999999996</v>
      </c>
      <c r="K139" s="6">
        <v>789.61225200000001</v>
      </c>
      <c r="L139" s="6">
        <v>292.66666700000002</v>
      </c>
      <c r="M139" s="6">
        <v>703.19117800000004</v>
      </c>
      <c r="N139" s="6">
        <v>683.33923100000004</v>
      </c>
      <c r="O139" s="6">
        <v>19.851946999999999</v>
      </c>
      <c r="P139" s="6">
        <v>383.08128299999998</v>
      </c>
      <c r="Q139" s="6">
        <v>390.08944400000001</v>
      </c>
      <c r="R139" s="6">
        <v>278.09083299999998</v>
      </c>
      <c r="S139" s="6">
        <v>238.32</v>
      </c>
      <c r="T139" s="6">
        <v>523.418995</v>
      </c>
      <c r="U139" s="6">
        <v>2327.4786180000001</v>
      </c>
      <c r="V139" s="6">
        <v>0</v>
      </c>
      <c r="W139" s="6">
        <v>2364.2199999999998</v>
      </c>
      <c r="X139" s="6">
        <v>0</v>
      </c>
      <c r="Y139" s="6">
        <v>36.741382000000002</v>
      </c>
      <c r="Z139" s="7">
        <v>5081.1914420000003</v>
      </c>
    </row>
    <row r="140" spans="2:26" s="1" customFormat="1" ht="14.85" customHeight="1" x14ac:dyDescent="0.15">
      <c r="B140" s="5" t="s">
        <v>158</v>
      </c>
      <c r="C140" s="8">
        <v>1176.5004409999999</v>
      </c>
      <c r="D140" s="8">
        <v>1734.411724</v>
      </c>
      <c r="E140" s="8">
        <v>2437.6029020000001</v>
      </c>
      <c r="F140" s="8">
        <v>1355.3239840000001</v>
      </c>
      <c r="G140" s="8">
        <v>37</v>
      </c>
      <c r="H140" s="8">
        <v>591</v>
      </c>
      <c r="I140" s="8">
        <v>650</v>
      </c>
      <c r="J140" s="8">
        <v>77.323983999999996</v>
      </c>
      <c r="K140" s="8">
        <v>789.61225200000001</v>
      </c>
      <c r="L140" s="8">
        <v>292.66666700000002</v>
      </c>
      <c r="M140" s="8">
        <v>703.19117800000004</v>
      </c>
      <c r="N140" s="8">
        <v>683.33923100000004</v>
      </c>
      <c r="O140" s="8">
        <v>19.851946999999999</v>
      </c>
      <c r="P140" s="8">
        <v>557.91128300000003</v>
      </c>
      <c r="Q140" s="8">
        <v>210.61944399999999</v>
      </c>
      <c r="R140" s="8">
        <v>278.09083299999998</v>
      </c>
      <c r="S140" s="8">
        <v>592.62</v>
      </c>
      <c r="T140" s="8">
        <v>523.418995</v>
      </c>
      <c r="U140" s="8">
        <v>2054.6786179999999</v>
      </c>
      <c r="V140" s="8">
        <v>0</v>
      </c>
      <c r="W140" s="8">
        <v>2091.42</v>
      </c>
      <c r="X140" s="8">
        <v>0</v>
      </c>
      <c r="Y140" s="8">
        <v>36.741382000000002</v>
      </c>
      <c r="Z140" s="9">
        <v>3231.1790590000001</v>
      </c>
    </row>
    <row r="141" spans="2:26" s="1" customFormat="1" ht="14.85" customHeight="1" x14ac:dyDescent="0.15">
      <c r="B141" s="5" t="s">
        <v>159</v>
      </c>
      <c r="C141" s="6">
        <v>3544.850441</v>
      </c>
      <c r="D141" s="6">
        <v>3956.411724</v>
      </c>
      <c r="E141" s="6">
        <v>4659.6029019999996</v>
      </c>
      <c r="F141" s="6">
        <v>3577.3239840000001</v>
      </c>
      <c r="G141" s="6">
        <v>210</v>
      </c>
      <c r="H141" s="6">
        <v>2241</v>
      </c>
      <c r="I141" s="6">
        <v>1049</v>
      </c>
      <c r="J141" s="6">
        <v>77.323983999999996</v>
      </c>
      <c r="K141" s="6">
        <v>789.61225200000001</v>
      </c>
      <c r="L141" s="6">
        <v>292.66666700000002</v>
      </c>
      <c r="M141" s="6">
        <v>703.19117800000004</v>
      </c>
      <c r="N141" s="6">
        <v>683.33923100000004</v>
      </c>
      <c r="O141" s="6">
        <v>19.851946999999999</v>
      </c>
      <c r="P141" s="6">
        <v>411.561283</v>
      </c>
      <c r="Q141" s="6">
        <v>339.359444</v>
      </c>
      <c r="R141" s="6">
        <v>278.09083299999998</v>
      </c>
      <c r="S141" s="6">
        <v>317.52999999999997</v>
      </c>
      <c r="T141" s="6">
        <v>523.418995</v>
      </c>
      <c r="U141" s="6">
        <v>5380.0486179999998</v>
      </c>
      <c r="V141" s="6">
        <v>0</v>
      </c>
      <c r="W141" s="6">
        <v>5416.79</v>
      </c>
      <c r="X141" s="6">
        <v>0</v>
      </c>
      <c r="Y141" s="6">
        <v>36.741382000000002</v>
      </c>
      <c r="Z141" s="7">
        <v>8924.8990589999994</v>
      </c>
    </row>
    <row r="142" spans="2:26" s="1" customFormat="1" ht="14.85" customHeight="1" x14ac:dyDescent="0.15">
      <c r="B142" s="5" t="s">
        <v>160</v>
      </c>
      <c r="C142" s="8">
        <v>1999.080136</v>
      </c>
      <c r="D142" s="8">
        <v>2279.3149360000002</v>
      </c>
      <c r="E142" s="8">
        <v>2931.5578559999999</v>
      </c>
      <c r="F142" s="8">
        <v>2002.2378759999999</v>
      </c>
      <c r="G142" s="8">
        <v>458.52735699999999</v>
      </c>
      <c r="H142" s="8">
        <v>1202.2792300000001</v>
      </c>
      <c r="I142" s="8">
        <v>265.86596200000002</v>
      </c>
      <c r="J142" s="8">
        <v>75.565326999999996</v>
      </c>
      <c r="K142" s="8">
        <v>771.65331300000003</v>
      </c>
      <c r="L142" s="8">
        <v>157.66666699999999</v>
      </c>
      <c r="M142" s="8">
        <v>652.24292000000003</v>
      </c>
      <c r="N142" s="8">
        <v>634.69203400000004</v>
      </c>
      <c r="O142" s="8">
        <v>17.550886999999999</v>
      </c>
      <c r="P142" s="8">
        <v>280.23480000000001</v>
      </c>
      <c r="Q142" s="8">
        <v>283.73944399999999</v>
      </c>
      <c r="R142" s="8">
        <v>278.09083299999998</v>
      </c>
      <c r="S142" s="8">
        <v>239.11</v>
      </c>
      <c r="T142" s="8">
        <v>520.70547799999997</v>
      </c>
      <c r="U142" s="8">
        <v>4815.7842909999999</v>
      </c>
      <c r="V142" s="8">
        <v>0</v>
      </c>
      <c r="W142" s="8">
        <v>4824.13</v>
      </c>
      <c r="X142" s="8">
        <v>0</v>
      </c>
      <c r="Y142" s="8">
        <v>8.3457089999999994</v>
      </c>
      <c r="Z142" s="9">
        <v>6814.8644270000004</v>
      </c>
    </row>
    <row r="143" spans="2:26" s="1" customFormat="1" ht="14.85" customHeight="1" x14ac:dyDescent="0.15">
      <c r="B143" s="5" t="s">
        <v>161</v>
      </c>
      <c r="C143" s="6">
        <v>3708.2375160000001</v>
      </c>
      <c r="D143" s="6">
        <v>3956.4923159999998</v>
      </c>
      <c r="E143" s="6">
        <v>4608.7352360000004</v>
      </c>
      <c r="F143" s="6">
        <v>3679.4152560000002</v>
      </c>
      <c r="G143" s="6">
        <v>58.379730000000002</v>
      </c>
      <c r="H143" s="6">
        <v>1598.9670349999999</v>
      </c>
      <c r="I143" s="6">
        <v>1946.503164</v>
      </c>
      <c r="J143" s="6">
        <v>75.565326999999996</v>
      </c>
      <c r="K143" s="6">
        <v>771.65331300000003</v>
      </c>
      <c r="L143" s="6">
        <v>157.66666699999999</v>
      </c>
      <c r="M143" s="6">
        <v>652.24292000000003</v>
      </c>
      <c r="N143" s="6">
        <v>634.69203400000004</v>
      </c>
      <c r="O143" s="6">
        <v>17.550886999999999</v>
      </c>
      <c r="P143" s="6">
        <v>248.25479999999999</v>
      </c>
      <c r="Q143" s="6">
        <v>204.23944399999999</v>
      </c>
      <c r="R143" s="6">
        <v>278.09083299999998</v>
      </c>
      <c r="S143" s="6">
        <v>286.63</v>
      </c>
      <c r="T143" s="6">
        <v>520.70547799999997</v>
      </c>
      <c r="U143" s="6">
        <v>7700.8642909999999</v>
      </c>
      <c r="V143" s="6">
        <v>0</v>
      </c>
      <c r="W143" s="6">
        <v>7709.21</v>
      </c>
      <c r="X143" s="6">
        <v>0</v>
      </c>
      <c r="Y143" s="6">
        <v>8.3457089999999994</v>
      </c>
      <c r="Z143" s="7">
        <v>11409.101806999999</v>
      </c>
    </row>
    <row r="144" spans="2:26" s="1" customFormat="1" ht="14.85" customHeight="1" x14ac:dyDescent="0.15">
      <c r="B144" s="5" t="s">
        <v>162</v>
      </c>
      <c r="C144" s="8">
        <v>1884.600449</v>
      </c>
      <c r="D144" s="8">
        <v>2057.5452479999999</v>
      </c>
      <c r="E144" s="8">
        <v>2709.788168</v>
      </c>
      <c r="F144" s="8">
        <v>1780.4681880000001</v>
      </c>
      <c r="G144" s="8">
        <v>99.089080999999993</v>
      </c>
      <c r="H144" s="8">
        <v>1140.9250999999999</v>
      </c>
      <c r="I144" s="8">
        <v>464.88868000000002</v>
      </c>
      <c r="J144" s="8">
        <v>75.565326999999996</v>
      </c>
      <c r="K144" s="8">
        <v>771.65331300000003</v>
      </c>
      <c r="L144" s="8">
        <v>157.66666699999999</v>
      </c>
      <c r="M144" s="8">
        <v>652.24292000000003</v>
      </c>
      <c r="N144" s="8">
        <v>634.69203400000004</v>
      </c>
      <c r="O144" s="8">
        <v>17.550886999999999</v>
      </c>
      <c r="P144" s="8">
        <v>172.94479999999999</v>
      </c>
      <c r="Q144" s="8">
        <v>219.639444</v>
      </c>
      <c r="R144" s="8">
        <v>278.09083299999998</v>
      </c>
      <c r="S144" s="8">
        <v>195.92</v>
      </c>
      <c r="T144" s="8">
        <v>520.70547799999997</v>
      </c>
      <c r="U144" s="8">
        <v>-76.845708999999999</v>
      </c>
      <c r="V144" s="8">
        <v>0</v>
      </c>
      <c r="W144" s="8">
        <v>-68.5</v>
      </c>
      <c r="X144" s="8">
        <v>0</v>
      </c>
      <c r="Y144" s="8">
        <v>8.3457089999999994</v>
      </c>
      <c r="Z144" s="9">
        <v>1807.7547400000001</v>
      </c>
    </row>
    <row r="145" spans="2:26" s="1" customFormat="1" ht="14.85" customHeight="1" x14ac:dyDescent="0.15">
      <c r="B145" s="5" t="s">
        <v>163</v>
      </c>
      <c r="C145" s="6">
        <v>2132.6885130000001</v>
      </c>
      <c r="D145" s="6">
        <v>4213.4274789999999</v>
      </c>
      <c r="E145" s="6">
        <v>4601.2616180000005</v>
      </c>
      <c r="F145" s="6">
        <v>3622.3316180000002</v>
      </c>
      <c r="G145" s="6">
        <v>12.780184</v>
      </c>
      <c r="H145" s="6">
        <v>3258.7088629999998</v>
      </c>
      <c r="I145" s="6">
        <v>261.84257100000002</v>
      </c>
      <c r="J145" s="6">
        <v>89</v>
      </c>
      <c r="K145" s="6">
        <v>819</v>
      </c>
      <c r="L145" s="6">
        <v>159.93</v>
      </c>
      <c r="M145" s="6">
        <v>387.834138</v>
      </c>
      <c r="N145" s="6">
        <v>361.12665399999997</v>
      </c>
      <c r="O145" s="6">
        <v>26.707484999999998</v>
      </c>
      <c r="P145" s="6">
        <v>2080.7389669999998</v>
      </c>
      <c r="Q145" s="6">
        <v>2025.0266670000001</v>
      </c>
      <c r="R145" s="6">
        <v>99</v>
      </c>
      <c r="S145" s="6">
        <v>436.57</v>
      </c>
      <c r="T145" s="6">
        <v>479.85770000000002</v>
      </c>
      <c r="U145" s="6">
        <v>5309.1488220000001</v>
      </c>
      <c r="V145" s="6">
        <v>0</v>
      </c>
      <c r="W145" s="6">
        <v>5396.84</v>
      </c>
      <c r="X145" s="6">
        <v>0</v>
      </c>
      <c r="Y145" s="6">
        <v>87.691177999999994</v>
      </c>
      <c r="Z145" s="7">
        <v>7441.8373339999998</v>
      </c>
    </row>
    <row r="146" spans="2:26" s="1" customFormat="1" ht="14.85" customHeight="1" x14ac:dyDescent="0.15">
      <c r="B146" s="5" t="s">
        <v>164</v>
      </c>
      <c r="C146" s="8">
        <v>-665.62891200000001</v>
      </c>
      <c r="D146" s="8">
        <v>2697.3400550000001</v>
      </c>
      <c r="E146" s="8">
        <v>3085.1741929999998</v>
      </c>
      <c r="F146" s="8">
        <v>2106.244193</v>
      </c>
      <c r="G146" s="8">
        <v>51.707841999999999</v>
      </c>
      <c r="H146" s="8">
        <v>1364.8616959999999</v>
      </c>
      <c r="I146" s="8">
        <v>600.67465500000003</v>
      </c>
      <c r="J146" s="8">
        <v>89</v>
      </c>
      <c r="K146" s="8">
        <v>819</v>
      </c>
      <c r="L146" s="8">
        <v>159.93</v>
      </c>
      <c r="M146" s="8">
        <v>387.834138</v>
      </c>
      <c r="N146" s="8">
        <v>361.12665399999997</v>
      </c>
      <c r="O146" s="8">
        <v>26.707484999999998</v>
      </c>
      <c r="P146" s="8">
        <v>3362.9689669999998</v>
      </c>
      <c r="Q146" s="8">
        <v>3609.5566669999998</v>
      </c>
      <c r="R146" s="8">
        <v>99</v>
      </c>
      <c r="S146" s="8">
        <v>134.27000000000001</v>
      </c>
      <c r="T146" s="8">
        <v>479.85770000000002</v>
      </c>
      <c r="U146" s="8">
        <v>1420.808822</v>
      </c>
      <c r="V146" s="8">
        <v>0</v>
      </c>
      <c r="W146" s="8">
        <v>1508.5</v>
      </c>
      <c r="X146" s="8">
        <v>0</v>
      </c>
      <c r="Y146" s="8">
        <v>87.691177999999994</v>
      </c>
      <c r="Z146" s="9">
        <v>755.17990999999995</v>
      </c>
    </row>
    <row r="147" spans="2:26" s="1" customFormat="1" ht="14.85" customHeight="1" x14ac:dyDescent="0.15">
      <c r="B147" s="5" t="s">
        <v>165</v>
      </c>
      <c r="C147" s="6">
        <v>-558.92190500000004</v>
      </c>
      <c r="D147" s="6">
        <v>2869.1170609999999</v>
      </c>
      <c r="E147" s="6">
        <v>3256.9512</v>
      </c>
      <c r="F147" s="6">
        <v>2278.0212000000001</v>
      </c>
      <c r="G147" s="6">
        <v>65.986532999999994</v>
      </c>
      <c r="H147" s="6">
        <v>1515.739738</v>
      </c>
      <c r="I147" s="6">
        <v>607.29492900000002</v>
      </c>
      <c r="J147" s="6">
        <v>89</v>
      </c>
      <c r="K147" s="6">
        <v>819</v>
      </c>
      <c r="L147" s="6">
        <v>159.93</v>
      </c>
      <c r="M147" s="6">
        <v>387.834138</v>
      </c>
      <c r="N147" s="6">
        <v>361.12665399999997</v>
      </c>
      <c r="O147" s="6">
        <v>26.707484999999998</v>
      </c>
      <c r="P147" s="6">
        <v>3428.038967</v>
      </c>
      <c r="Q147" s="6">
        <v>3677.0666670000001</v>
      </c>
      <c r="R147" s="6">
        <v>99</v>
      </c>
      <c r="S147" s="6">
        <v>131.83000000000001</v>
      </c>
      <c r="T147" s="6">
        <v>479.85770000000002</v>
      </c>
      <c r="U147" s="6">
        <v>2528.1088220000001</v>
      </c>
      <c r="V147" s="6">
        <v>0</v>
      </c>
      <c r="W147" s="6">
        <v>2615.8000000000002</v>
      </c>
      <c r="X147" s="6">
        <v>0</v>
      </c>
      <c r="Y147" s="6">
        <v>87.691177999999994</v>
      </c>
      <c r="Z147" s="7">
        <v>1969.1869160000001</v>
      </c>
    </row>
    <row r="148" spans="2:26" s="1" customFormat="1" ht="14.85" customHeight="1" x14ac:dyDescent="0.15">
      <c r="B148" s="5" t="s">
        <v>166</v>
      </c>
      <c r="C148" s="8">
        <v>1860.8851950000001</v>
      </c>
      <c r="D148" s="8">
        <v>1705.3010340000001</v>
      </c>
      <c r="E148" s="8">
        <v>2175.360032</v>
      </c>
      <c r="F148" s="8">
        <v>1187.360032</v>
      </c>
      <c r="G148" s="8">
        <v>42.731015999999997</v>
      </c>
      <c r="H148" s="8">
        <v>918.86067400000002</v>
      </c>
      <c r="I148" s="8">
        <v>139.76834199999999</v>
      </c>
      <c r="J148" s="8">
        <v>86</v>
      </c>
      <c r="K148" s="8">
        <v>791.33333300000004</v>
      </c>
      <c r="L148" s="8">
        <v>196.66666699999999</v>
      </c>
      <c r="M148" s="8">
        <v>470.05899799999997</v>
      </c>
      <c r="N148" s="8">
        <v>441.41160100000002</v>
      </c>
      <c r="O148" s="8">
        <v>28.647397999999999</v>
      </c>
      <c r="P148" s="8">
        <v>-155.58416099999999</v>
      </c>
      <c r="Q148" s="8">
        <v>400.47</v>
      </c>
      <c r="R148" s="8">
        <v>99</v>
      </c>
      <c r="S148" s="8">
        <v>178.77</v>
      </c>
      <c r="T148" s="8">
        <v>833.824161</v>
      </c>
      <c r="U148" s="8">
        <v>2886.610897</v>
      </c>
      <c r="V148" s="8">
        <v>0</v>
      </c>
      <c r="W148" s="8">
        <v>2934.49</v>
      </c>
      <c r="X148" s="8">
        <v>0</v>
      </c>
      <c r="Y148" s="8">
        <v>47.879103000000001</v>
      </c>
      <c r="Z148" s="9">
        <v>4747.4960920000003</v>
      </c>
    </row>
    <row r="149" spans="2:26" s="1" customFormat="1" ht="14.85" customHeight="1" x14ac:dyDescent="0.15">
      <c r="B149" s="5" t="s">
        <v>167</v>
      </c>
      <c r="C149" s="6">
        <v>2164.9813170000002</v>
      </c>
      <c r="D149" s="6">
        <v>2241.567157</v>
      </c>
      <c r="E149" s="6">
        <v>2711.6261549999999</v>
      </c>
      <c r="F149" s="6">
        <v>1723.6261549999999</v>
      </c>
      <c r="G149" s="6">
        <v>258.95392099999998</v>
      </c>
      <c r="H149" s="6">
        <v>1312.434583</v>
      </c>
      <c r="I149" s="6">
        <v>66.237651</v>
      </c>
      <c r="J149" s="6">
        <v>86</v>
      </c>
      <c r="K149" s="6">
        <v>791.33333300000004</v>
      </c>
      <c r="L149" s="6">
        <v>196.66666699999999</v>
      </c>
      <c r="M149" s="6">
        <v>470.05899799999997</v>
      </c>
      <c r="N149" s="6">
        <v>441.41160100000002</v>
      </c>
      <c r="O149" s="6">
        <v>28.647397999999999</v>
      </c>
      <c r="P149" s="6">
        <v>76.585839000000007</v>
      </c>
      <c r="Q149" s="6">
        <v>544.94000000000005</v>
      </c>
      <c r="R149" s="6">
        <v>99</v>
      </c>
      <c r="S149" s="6">
        <v>266.47000000000003</v>
      </c>
      <c r="T149" s="6">
        <v>833.824161</v>
      </c>
      <c r="U149" s="6">
        <v>-82.539102999999997</v>
      </c>
      <c r="V149" s="6">
        <v>0</v>
      </c>
      <c r="W149" s="6">
        <v>-34.659999999999997</v>
      </c>
      <c r="X149" s="6">
        <v>0</v>
      </c>
      <c r="Y149" s="6">
        <v>47.879103000000001</v>
      </c>
      <c r="Z149" s="7">
        <v>2082.4422140000001</v>
      </c>
    </row>
    <row r="150" spans="2:26" s="1" customFormat="1" ht="14.85" customHeight="1" x14ac:dyDescent="0.15">
      <c r="B150" s="5" t="s">
        <v>168</v>
      </c>
      <c r="C150" s="8">
        <v>2039.6694319999999</v>
      </c>
      <c r="D150" s="8">
        <v>1830.195271</v>
      </c>
      <c r="E150" s="8">
        <v>2300.254269</v>
      </c>
      <c r="F150" s="8">
        <v>1312.254269</v>
      </c>
      <c r="G150" s="8">
        <v>88.586068999999995</v>
      </c>
      <c r="H150" s="8">
        <v>814.67931699999997</v>
      </c>
      <c r="I150" s="8">
        <v>322.98888299999999</v>
      </c>
      <c r="J150" s="8">
        <v>86</v>
      </c>
      <c r="K150" s="8">
        <v>791.33333300000004</v>
      </c>
      <c r="L150" s="8">
        <v>196.66666699999999</v>
      </c>
      <c r="M150" s="8">
        <v>470.05899799999997</v>
      </c>
      <c r="N150" s="8">
        <v>441.41160100000002</v>
      </c>
      <c r="O150" s="8">
        <v>28.647397999999999</v>
      </c>
      <c r="P150" s="8">
        <v>-209.47416100000001</v>
      </c>
      <c r="Q150" s="8">
        <v>346.61</v>
      </c>
      <c r="R150" s="8">
        <v>99</v>
      </c>
      <c r="S150" s="8">
        <v>178.74</v>
      </c>
      <c r="T150" s="8">
        <v>833.824161</v>
      </c>
      <c r="U150" s="8">
        <v>-414.02910300000002</v>
      </c>
      <c r="V150" s="8">
        <v>0</v>
      </c>
      <c r="W150" s="8">
        <v>-366.15</v>
      </c>
      <c r="X150" s="8">
        <v>0</v>
      </c>
      <c r="Y150" s="8">
        <v>47.879103000000001</v>
      </c>
      <c r="Z150" s="9">
        <v>1625.6403290000001</v>
      </c>
    </row>
    <row r="151" spans="2:26" s="1" customFormat="1" ht="14.85" customHeight="1" x14ac:dyDescent="0.15">
      <c r="B151" s="5" t="s">
        <v>169</v>
      </c>
      <c r="C151" s="6">
        <v>4510.5669719999996</v>
      </c>
      <c r="D151" s="6">
        <v>4643.634384</v>
      </c>
      <c r="E151" s="6">
        <v>4996.144953</v>
      </c>
      <c r="F151" s="6">
        <v>4209.0649530000001</v>
      </c>
      <c r="G151" s="6">
        <v>9.9728480000000008</v>
      </c>
      <c r="H151" s="6">
        <v>774.01324799999998</v>
      </c>
      <c r="I151" s="6">
        <v>3349.41219</v>
      </c>
      <c r="J151" s="6">
        <v>75.666667000000004</v>
      </c>
      <c r="K151" s="6">
        <v>696</v>
      </c>
      <c r="L151" s="6">
        <v>91.08</v>
      </c>
      <c r="M151" s="6">
        <v>352.51056799999998</v>
      </c>
      <c r="N151" s="6">
        <v>284.08342900000002</v>
      </c>
      <c r="O151" s="6">
        <v>68.427139999999994</v>
      </c>
      <c r="P151" s="6">
        <v>133.06741199999999</v>
      </c>
      <c r="Q151" s="6">
        <v>264.45666699999998</v>
      </c>
      <c r="R151" s="6">
        <v>99</v>
      </c>
      <c r="S151" s="6">
        <v>181.95</v>
      </c>
      <c r="T151" s="6">
        <v>412.33925499999998</v>
      </c>
      <c r="U151" s="6">
        <v>144.776533</v>
      </c>
      <c r="V151" s="6">
        <v>0</v>
      </c>
      <c r="W151" s="6">
        <v>157.29</v>
      </c>
      <c r="X151" s="6">
        <v>0</v>
      </c>
      <c r="Y151" s="6">
        <v>12.513467</v>
      </c>
      <c r="Z151" s="7">
        <v>4655.3435060000002</v>
      </c>
    </row>
    <row r="152" spans="2:26" s="1" customFormat="1" ht="14.85" customHeight="1" x14ac:dyDescent="0.15">
      <c r="B152" s="5" t="s">
        <v>170</v>
      </c>
      <c r="C152" s="8">
        <v>1660.598686</v>
      </c>
      <c r="D152" s="8">
        <v>1918.106098</v>
      </c>
      <c r="E152" s="8">
        <v>2270.6166669999998</v>
      </c>
      <c r="F152" s="8">
        <v>1483.5366670000001</v>
      </c>
      <c r="G152" s="8">
        <v>156</v>
      </c>
      <c r="H152" s="8">
        <v>790.34</v>
      </c>
      <c r="I152" s="8">
        <v>461.53</v>
      </c>
      <c r="J152" s="8">
        <v>75.666667000000004</v>
      </c>
      <c r="K152" s="8">
        <v>696</v>
      </c>
      <c r="L152" s="8">
        <v>91.08</v>
      </c>
      <c r="M152" s="8">
        <v>352.51056799999998</v>
      </c>
      <c r="N152" s="8">
        <v>284.08342900000002</v>
      </c>
      <c r="O152" s="8">
        <v>68.427139999999994</v>
      </c>
      <c r="P152" s="8">
        <v>257.50741199999999</v>
      </c>
      <c r="Q152" s="8">
        <v>218.776667</v>
      </c>
      <c r="R152" s="8">
        <v>99</v>
      </c>
      <c r="S152" s="8">
        <v>352.07</v>
      </c>
      <c r="T152" s="8">
        <v>412.33925499999998</v>
      </c>
      <c r="U152" s="8">
        <v>-2030.8434669999999</v>
      </c>
      <c r="V152" s="8">
        <v>0</v>
      </c>
      <c r="W152" s="8">
        <v>-2018.33</v>
      </c>
      <c r="X152" s="8">
        <v>0</v>
      </c>
      <c r="Y152" s="8">
        <v>12.513467</v>
      </c>
      <c r="Z152" s="9">
        <v>-370.24477999999999</v>
      </c>
    </row>
    <row r="153" spans="2:26" s="1" customFormat="1" ht="14.85" customHeight="1" x14ac:dyDescent="0.15">
      <c r="B153" s="5" t="s">
        <v>171</v>
      </c>
      <c r="C153" s="6">
        <v>1930.254117</v>
      </c>
      <c r="D153" s="6">
        <v>2166.851529</v>
      </c>
      <c r="E153" s="6">
        <v>2519.3620970000002</v>
      </c>
      <c r="F153" s="6">
        <v>1732.282097</v>
      </c>
      <c r="G153" s="6">
        <v>69.239185000000006</v>
      </c>
      <c r="H153" s="6">
        <v>1212.960014</v>
      </c>
      <c r="I153" s="6">
        <v>374.41623099999998</v>
      </c>
      <c r="J153" s="6">
        <v>75.666667000000004</v>
      </c>
      <c r="K153" s="6">
        <v>696</v>
      </c>
      <c r="L153" s="6">
        <v>91.08</v>
      </c>
      <c r="M153" s="6">
        <v>352.51056799999998</v>
      </c>
      <c r="N153" s="6">
        <v>284.08342900000002</v>
      </c>
      <c r="O153" s="6">
        <v>68.427139999999994</v>
      </c>
      <c r="P153" s="6">
        <v>236.59741199999999</v>
      </c>
      <c r="Q153" s="6">
        <v>241.36666700000001</v>
      </c>
      <c r="R153" s="6">
        <v>99</v>
      </c>
      <c r="S153" s="6">
        <v>308.57</v>
      </c>
      <c r="T153" s="6">
        <v>412.33925499999998</v>
      </c>
      <c r="U153" s="6">
        <v>-4715.5434670000004</v>
      </c>
      <c r="V153" s="6">
        <v>0</v>
      </c>
      <c r="W153" s="6">
        <v>-4703.03</v>
      </c>
      <c r="X153" s="6">
        <v>0</v>
      </c>
      <c r="Y153" s="6">
        <v>12.513467</v>
      </c>
      <c r="Z153" s="7">
        <v>-2785.28935</v>
      </c>
    </row>
    <row r="154" spans="2:26" s="1" customFormat="1" ht="14.85" customHeight="1" x14ac:dyDescent="0.15">
      <c r="B154" s="5" t="s">
        <v>172</v>
      </c>
      <c r="C154" s="8">
        <v>1834.6602909999999</v>
      </c>
      <c r="D154" s="8">
        <v>1804.103936</v>
      </c>
      <c r="E154" s="8">
        <v>2355.0342449999998</v>
      </c>
      <c r="F154" s="8">
        <v>1518.33943</v>
      </c>
      <c r="G154" s="8">
        <v>131.994812</v>
      </c>
      <c r="H154" s="8">
        <v>880.46441200000004</v>
      </c>
      <c r="I154" s="8">
        <v>431.54687200000001</v>
      </c>
      <c r="J154" s="8">
        <v>74.333332999999996</v>
      </c>
      <c r="K154" s="8">
        <v>686.36148200000002</v>
      </c>
      <c r="L154" s="8">
        <v>150.33333300000001</v>
      </c>
      <c r="M154" s="8">
        <v>550.93030899999997</v>
      </c>
      <c r="N154" s="8">
        <v>508.59697599999998</v>
      </c>
      <c r="O154" s="8">
        <v>42.333333000000003</v>
      </c>
      <c r="P154" s="8">
        <v>-30.556355</v>
      </c>
      <c r="Q154" s="8">
        <v>286.94666699999999</v>
      </c>
      <c r="R154" s="8">
        <v>92</v>
      </c>
      <c r="S154" s="8">
        <v>376.2</v>
      </c>
      <c r="T154" s="8">
        <v>785.70302200000003</v>
      </c>
      <c r="U154" s="8">
        <v>-8627.8740770000004</v>
      </c>
      <c r="V154" s="8">
        <v>20</v>
      </c>
      <c r="W154" s="8">
        <v>-8727</v>
      </c>
      <c r="X154" s="8">
        <v>0</v>
      </c>
      <c r="Y154" s="8">
        <v>-79.125923</v>
      </c>
      <c r="Z154" s="9">
        <v>-6793.2137849999999</v>
      </c>
    </row>
    <row r="155" spans="2:26" s="1" customFormat="1" ht="14.85" customHeight="1" x14ac:dyDescent="0.15">
      <c r="B155" s="5" t="s">
        <v>173</v>
      </c>
      <c r="C155" s="6">
        <v>1865.722518</v>
      </c>
      <c r="D155" s="6">
        <v>1991.3361629999999</v>
      </c>
      <c r="E155" s="6">
        <v>2542.2664719999998</v>
      </c>
      <c r="F155" s="6">
        <v>1705.571657</v>
      </c>
      <c r="G155" s="6">
        <v>189.14537300000001</v>
      </c>
      <c r="H155" s="6">
        <v>1189.300086</v>
      </c>
      <c r="I155" s="6">
        <v>252.79286400000001</v>
      </c>
      <c r="J155" s="6">
        <v>74.333332999999996</v>
      </c>
      <c r="K155" s="6">
        <v>686.36148200000002</v>
      </c>
      <c r="L155" s="6">
        <v>150.33333300000001</v>
      </c>
      <c r="M155" s="6">
        <v>550.93030899999997</v>
      </c>
      <c r="N155" s="6">
        <v>508.59697599999998</v>
      </c>
      <c r="O155" s="6">
        <v>42.333333000000003</v>
      </c>
      <c r="P155" s="6">
        <v>125.61364500000001</v>
      </c>
      <c r="Q155" s="6">
        <v>403.20666699999998</v>
      </c>
      <c r="R155" s="6">
        <v>92</v>
      </c>
      <c r="S155" s="6">
        <v>416.11</v>
      </c>
      <c r="T155" s="6">
        <v>785.70302200000003</v>
      </c>
      <c r="U155" s="6">
        <v>6782.1259229999996</v>
      </c>
      <c r="V155" s="6">
        <v>0</v>
      </c>
      <c r="W155" s="6">
        <v>6703</v>
      </c>
      <c r="X155" s="6">
        <v>0</v>
      </c>
      <c r="Y155" s="6">
        <v>-79.125923</v>
      </c>
      <c r="Z155" s="7">
        <v>8647.8484410000001</v>
      </c>
    </row>
    <row r="156" spans="2:26" s="1" customFormat="1" ht="14.85" customHeight="1" x14ac:dyDescent="0.15">
      <c r="B156" s="5" t="s">
        <v>174</v>
      </c>
      <c r="C156" s="8">
        <v>2788.039291</v>
      </c>
      <c r="D156" s="8">
        <v>2681.5029359999999</v>
      </c>
      <c r="E156" s="8">
        <v>3232.4332450000002</v>
      </c>
      <c r="F156" s="8">
        <v>2395.7384299999999</v>
      </c>
      <c r="G156" s="8">
        <v>108.306089</v>
      </c>
      <c r="H156" s="8">
        <v>836.30491800000004</v>
      </c>
      <c r="I156" s="8">
        <v>1376.794089</v>
      </c>
      <c r="J156" s="8">
        <v>74.333332999999996</v>
      </c>
      <c r="K156" s="8">
        <v>686.36148200000002</v>
      </c>
      <c r="L156" s="8">
        <v>150.33333300000001</v>
      </c>
      <c r="M156" s="8">
        <v>550.93030899999997</v>
      </c>
      <c r="N156" s="8">
        <v>508.59697599999998</v>
      </c>
      <c r="O156" s="8">
        <v>42.333333000000003</v>
      </c>
      <c r="P156" s="8">
        <v>-106.536355</v>
      </c>
      <c r="Q156" s="8">
        <v>401.13666699999999</v>
      </c>
      <c r="R156" s="8">
        <v>92</v>
      </c>
      <c r="S156" s="8">
        <v>186.03</v>
      </c>
      <c r="T156" s="8">
        <v>785.70302200000003</v>
      </c>
      <c r="U156" s="8">
        <v>1621.1259230000001</v>
      </c>
      <c r="V156" s="8">
        <v>0</v>
      </c>
      <c r="W156" s="8">
        <v>1542</v>
      </c>
      <c r="X156" s="8">
        <v>0</v>
      </c>
      <c r="Y156" s="8">
        <v>-79.125923</v>
      </c>
      <c r="Z156" s="9">
        <v>4409.165215</v>
      </c>
    </row>
    <row r="157" spans="2:26" s="1" customFormat="1" ht="14.85" customHeight="1" x14ac:dyDescent="0.15">
      <c r="B157" s="5" t="s">
        <v>175</v>
      </c>
      <c r="C157" s="6">
        <v>821.94910700000003</v>
      </c>
      <c r="D157" s="6">
        <v>2089.3024399999999</v>
      </c>
      <c r="E157" s="6">
        <v>2720.3024399999999</v>
      </c>
      <c r="F157" s="6">
        <v>1616.00244</v>
      </c>
      <c r="G157" s="6">
        <v>13.73634</v>
      </c>
      <c r="H157" s="6">
        <v>1008.4809</v>
      </c>
      <c r="I157" s="6">
        <v>502.78519999999997</v>
      </c>
      <c r="J157" s="6">
        <v>91</v>
      </c>
      <c r="K157" s="6">
        <v>910.63333299999999</v>
      </c>
      <c r="L157" s="6">
        <v>193.66666699999999</v>
      </c>
      <c r="M157" s="6">
        <v>631</v>
      </c>
      <c r="N157" s="6">
        <v>618.66666699999996</v>
      </c>
      <c r="O157" s="6">
        <v>12.333333</v>
      </c>
      <c r="P157" s="6">
        <v>1267.353333</v>
      </c>
      <c r="Q157" s="6">
        <v>1419.673333</v>
      </c>
      <c r="R157" s="6">
        <v>99.1</v>
      </c>
      <c r="S157" s="6">
        <v>279.86</v>
      </c>
      <c r="T157" s="6">
        <v>531.28</v>
      </c>
      <c r="U157" s="6">
        <v>1170.8399999999999</v>
      </c>
      <c r="V157" s="6">
        <v>0</v>
      </c>
      <c r="W157" s="6">
        <v>1245.8399999999999</v>
      </c>
      <c r="X157" s="6">
        <v>0</v>
      </c>
      <c r="Y157" s="6">
        <v>75</v>
      </c>
      <c r="Z157" s="7">
        <v>1992.7891070000001</v>
      </c>
    </row>
    <row r="158" spans="2:26" s="1" customFormat="1" ht="14.85" customHeight="1" x14ac:dyDescent="0.15">
      <c r="B158" s="5" t="s">
        <v>176</v>
      </c>
      <c r="C158" s="8">
        <v>2210.0466670000001</v>
      </c>
      <c r="D158" s="8">
        <v>2359.64</v>
      </c>
      <c r="E158" s="8">
        <v>2990.64</v>
      </c>
      <c r="F158" s="8">
        <v>1886.34</v>
      </c>
      <c r="G158" s="8">
        <v>84.22</v>
      </c>
      <c r="H158" s="8">
        <v>1381.47</v>
      </c>
      <c r="I158" s="8">
        <v>329.65</v>
      </c>
      <c r="J158" s="8">
        <v>91</v>
      </c>
      <c r="K158" s="8">
        <v>910.63333299999999</v>
      </c>
      <c r="L158" s="8">
        <v>193.66666699999999</v>
      </c>
      <c r="M158" s="8">
        <v>631</v>
      </c>
      <c r="N158" s="8">
        <v>618.66666699999996</v>
      </c>
      <c r="O158" s="8">
        <v>12.333333</v>
      </c>
      <c r="P158" s="8">
        <v>149.593333</v>
      </c>
      <c r="Q158" s="8">
        <v>369.753333</v>
      </c>
      <c r="R158" s="8">
        <v>99.1</v>
      </c>
      <c r="S158" s="8">
        <v>212.02</v>
      </c>
      <c r="T158" s="8">
        <v>531.28</v>
      </c>
      <c r="U158" s="8">
        <v>4101.34</v>
      </c>
      <c r="V158" s="8">
        <v>0</v>
      </c>
      <c r="W158" s="8">
        <v>4176.34</v>
      </c>
      <c r="X158" s="8">
        <v>0</v>
      </c>
      <c r="Y158" s="8">
        <v>75</v>
      </c>
      <c r="Z158" s="9">
        <v>6311.3866669999998</v>
      </c>
    </row>
    <row r="159" spans="2:26" s="1" customFormat="1" ht="14.85" customHeight="1" x14ac:dyDescent="0.15">
      <c r="B159" s="5" t="s">
        <v>177</v>
      </c>
      <c r="C159" s="6">
        <v>2701.0340919999999</v>
      </c>
      <c r="D159" s="6">
        <v>2721.7774250000002</v>
      </c>
      <c r="E159" s="6">
        <v>3352.7774250000002</v>
      </c>
      <c r="F159" s="6">
        <v>2248.477425</v>
      </c>
      <c r="G159" s="6">
        <v>191.83605900000001</v>
      </c>
      <c r="H159" s="6">
        <v>1686.810483</v>
      </c>
      <c r="I159" s="6">
        <v>278.83088199999997</v>
      </c>
      <c r="J159" s="6">
        <v>91</v>
      </c>
      <c r="K159" s="6">
        <v>910.63333299999999</v>
      </c>
      <c r="L159" s="6">
        <v>193.66666699999999</v>
      </c>
      <c r="M159" s="6">
        <v>631</v>
      </c>
      <c r="N159" s="6">
        <v>618.66666699999996</v>
      </c>
      <c r="O159" s="6">
        <v>12.333333</v>
      </c>
      <c r="P159" s="6">
        <v>20.743333</v>
      </c>
      <c r="Q159" s="6">
        <v>276.16333300000002</v>
      </c>
      <c r="R159" s="6">
        <v>99.1</v>
      </c>
      <c r="S159" s="6">
        <v>176.76</v>
      </c>
      <c r="T159" s="6">
        <v>531.28</v>
      </c>
      <c r="U159" s="6">
        <v>6042.44</v>
      </c>
      <c r="V159" s="6">
        <v>0</v>
      </c>
      <c r="W159" s="6">
        <v>6117.44</v>
      </c>
      <c r="X159" s="6">
        <v>0</v>
      </c>
      <c r="Y159" s="6">
        <v>75</v>
      </c>
      <c r="Z159" s="7">
        <v>8743.4740920000004</v>
      </c>
    </row>
    <row r="160" spans="2:26" s="1" customFormat="1" ht="14.85" customHeight="1" x14ac:dyDescent="0.15">
      <c r="B160" s="5" t="s">
        <v>178</v>
      </c>
      <c r="C160" s="8">
        <v>453.33858400000003</v>
      </c>
      <c r="D160" s="8">
        <v>1181.511917</v>
      </c>
      <c r="E160" s="8">
        <v>2088.1785839999998</v>
      </c>
      <c r="F160" s="8">
        <v>1191.19525</v>
      </c>
      <c r="G160" s="8">
        <v>248.217861</v>
      </c>
      <c r="H160" s="8">
        <v>689.81276500000001</v>
      </c>
      <c r="I160" s="8">
        <v>162.164625</v>
      </c>
      <c r="J160" s="8">
        <v>91</v>
      </c>
      <c r="K160" s="8">
        <v>863.31666700000005</v>
      </c>
      <c r="L160" s="8">
        <v>33.666666999999997</v>
      </c>
      <c r="M160" s="8">
        <v>906.66666699999996</v>
      </c>
      <c r="N160" s="8">
        <v>874.66666699999996</v>
      </c>
      <c r="O160" s="8">
        <v>32</v>
      </c>
      <c r="P160" s="8">
        <v>728.17333299999996</v>
      </c>
      <c r="Q160" s="8">
        <v>689.91666699999996</v>
      </c>
      <c r="R160" s="8">
        <v>99.1</v>
      </c>
      <c r="S160" s="8">
        <v>470.94</v>
      </c>
      <c r="T160" s="8">
        <v>531.78333299999997</v>
      </c>
      <c r="U160" s="8">
        <v>4858.1000000000004</v>
      </c>
      <c r="V160" s="8">
        <v>0</v>
      </c>
      <c r="W160" s="8">
        <v>4882.1000000000004</v>
      </c>
      <c r="X160" s="8">
        <v>0</v>
      </c>
      <c r="Y160" s="8">
        <v>24</v>
      </c>
      <c r="Z160" s="9">
        <v>5311.4385840000004</v>
      </c>
    </row>
    <row r="161" spans="2:26" s="1" customFormat="1" ht="14.85" customHeight="1" x14ac:dyDescent="0.15">
      <c r="B161" s="5" t="s">
        <v>179</v>
      </c>
      <c r="C161" s="6">
        <v>439.45333299999999</v>
      </c>
      <c r="D161" s="6">
        <v>1139.7966670000001</v>
      </c>
      <c r="E161" s="6">
        <v>2046.4633329999999</v>
      </c>
      <c r="F161" s="6">
        <v>1149.48</v>
      </c>
      <c r="G161" s="6">
        <v>38.770000000000003</v>
      </c>
      <c r="H161" s="6">
        <v>892.09</v>
      </c>
      <c r="I161" s="6">
        <v>127.62</v>
      </c>
      <c r="J161" s="6">
        <v>91</v>
      </c>
      <c r="K161" s="6">
        <v>863.31666700000005</v>
      </c>
      <c r="L161" s="6">
        <v>33.666666999999997</v>
      </c>
      <c r="M161" s="6">
        <v>906.66666699999996</v>
      </c>
      <c r="N161" s="6">
        <v>874.66666699999996</v>
      </c>
      <c r="O161" s="6">
        <v>32</v>
      </c>
      <c r="P161" s="6">
        <v>700.34333300000003</v>
      </c>
      <c r="Q161" s="6">
        <v>632.05666699999995</v>
      </c>
      <c r="R161" s="6">
        <v>99.1</v>
      </c>
      <c r="S161" s="6">
        <v>500.97</v>
      </c>
      <c r="T161" s="6">
        <v>531.78333299999997</v>
      </c>
      <c r="U161" s="6">
        <v>2002.24</v>
      </c>
      <c r="V161" s="6">
        <v>0</v>
      </c>
      <c r="W161" s="6">
        <v>2026.24</v>
      </c>
      <c r="X161" s="6">
        <v>0</v>
      </c>
      <c r="Y161" s="6">
        <v>24</v>
      </c>
      <c r="Z161" s="7">
        <v>2441.6933330000002</v>
      </c>
    </row>
    <row r="162" spans="2:26" s="1" customFormat="1" ht="14.85" customHeight="1" x14ac:dyDescent="0.15">
      <c r="B162" s="5" t="s">
        <v>180</v>
      </c>
      <c r="C162" s="8">
        <v>1213.2433329999999</v>
      </c>
      <c r="D162" s="8">
        <v>2022.856667</v>
      </c>
      <c r="E162" s="8">
        <v>2929.5233330000001</v>
      </c>
      <c r="F162" s="8">
        <v>2032.54</v>
      </c>
      <c r="G162" s="8">
        <v>417.66</v>
      </c>
      <c r="H162" s="8">
        <v>1195.42</v>
      </c>
      <c r="I162" s="8">
        <v>328.46</v>
      </c>
      <c r="J162" s="8">
        <v>91</v>
      </c>
      <c r="K162" s="8">
        <v>863.31666700000005</v>
      </c>
      <c r="L162" s="8">
        <v>33.666666999999997</v>
      </c>
      <c r="M162" s="8">
        <v>906.66666699999996</v>
      </c>
      <c r="N162" s="8">
        <v>874.66666699999996</v>
      </c>
      <c r="O162" s="8">
        <v>32</v>
      </c>
      <c r="P162" s="8">
        <v>809.61333300000001</v>
      </c>
      <c r="Q162" s="8">
        <v>801.29666699999996</v>
      </c>
      <c r="R162" s="8">
        <v>99.1</v>
      </c>
      <c r="S162" s="8">
        <v>441</v>
      </c>
      <c r="T162" s="8">
        <v>531.78333299999997</v>
      </c>
      <c r="U162" s="8">
        <v>2920.99</v>
      </c>
      <c r="V162" s="8">
        <v>8</v>
      </c>
      <c r="W162" s="8">
        <v>2936.99</v>
      </c>
      <c r="X162" s="8">
        <v>0</v>
      </c>
      <c r="Y162" s="8">
        <v>24</v>
      </c>
      <c r="Z162" s="9">
        <v>4134.2333330000001</v>
      </c>
    </row>
    <row r="163" spans="2:26" s="1" customFormat="1" ht="14.85" customHeight="1" x14ac:dyDescent="0.15">
      <c r="B163" s="5" t="s">
        <v>181</v>
      </c>
      <c r="C163" s="6">
        <v>4146.8766670000005</v>
      </c>
      <c r="D163" s="6">
        <v>4648.63</v>
      </c>
      <c r="E163" s="6">
        <v>5095.9633329999997</v>
      </c>
      <c r="F163" s="6">
        <v>4166.83</v>
      </c>
      <c r="G163" s="6">
        <v>19.38</v>
      </c>
      <c r="H163" s="6">
        <v>3865.83</v>
      </c>
      <c r="I163" s="6">
        <v>195.62</v>
      </c>
      <c r="J163" s="6">
        <v>86</v>
      </c>
      <c r="K163" s="6">
        <v>766.13333299999999</v>
      </c>
      <c r="L163" s="6">
        <v>163</v>
      </c>
      <c r="M163" s="6">
        <v>447.33333299999998</v>
      </c>
      <c r="N163" s="6">
        <v>446.66666700000002</v>
      </c>
      <c r="O163" s="6">
        <v>0.66666700000000001</v>
      </c>
      <c r="P163" s="6">
        <v>501.753333</v>
      </c>
      <c r="Q163" s="6">
        <v>588.72333300000003</v>
      </c>
      <c r="R163" s="6">
        <v>99.1</v>
      </c>
      <c r="S163" s="6">
        <v>292.48</v>
      </c>
      <c r="T163" s="6">
        <v>478.55</v>
      </c>
      <c r="U163" s="6">
        <v>4124.3766670000005</v>
      </c>
      <c r="V163" s="6">
        <v>25</v>
      </c>
      <c r="W163" s="6">
        <v>4189.71</v>
      </c>
      <c r="X163" s="6">
        <v>0</v>
      </c>
      <c r="Y163" s="6">
        <v>90.333332999999996</v>
      </c>
      <c r="Z163" s="7">
        <v>8271.2533330000006</v>
      </c>
    </row>
    <row r="164" spans="2:26" s="1" customFormat="1" ht="14.85" customHeight="1" x14ac:dyDescent="0.15">
      <c r="B164" s="5" t="s">
        <v>182</v>
      </c>
      <c r="C164" s="8">
        <v>2398.9266670000002</v>
      </c>
      <c r="D164" s="8">
        <v>2831.7</v>
      </c>
      <c r="E164" s="8">
        <v>3279.0333329999999</v>
      </c>
      <c r="F164" s="8">
        <v>2349.9</v>
      </c>
      <c r="G164" s="8">
        <v>281.88</v>
      </c>
      <c r="H164" s="8">
        <v>1526.84</v>
      </c>
      <c r="I164" s="8">
        <v>455.18</v>
      </c>
      <c r="J164" s="8">
        <v>86</v>
      </c>
      <c r="K164" s="8">
        <v>766.13333299999999</v>
      </c>
      <c r="L164" s="8">
        <v>163</v>
      </c>
      <c r="M164" s="8">
        <v>447.33333299999998</v>
      </c>
      <c r="N164" s="8">
        <v>446.66666700000002</v>
      </c>
      <c r="O164" s="8">
        <v>0.66666700000000001</v>
      </c>
      <c r="P164" s="8">
        <v>432.77333299999998</v>
      </c>
      <c r="Q164" s="8">
        <v>510.67333300000001</v>
      </c>
      <c r="R164" s="8">
        <v>99.1</v>
      </c>
      <c r="S164" s="8">
        <v>301.55</v>
      </c>
      <c r="T164" s="8">
        <v>478.55</v>
      </c>
      <c r="U164" s="8">
        <v>1475.4966669999999</v>
      </c>
      <c r="V164" s="8">
        <v>0</v>
      </c>
      <c r="W164" s="8">
        <v>1565.83</v>
      </c>
      <c r="X164" s="8">
        <v>0</v>
      </c>
      <c r="Y164" s="8">
        <v>90.333332999999996</v>
      </c>
      <c r="Z164" s="9">
        <v>3874.4233330000002</v>
      </c>
    </row>
    <row r="165" spans="2:26" s="1" customFormat="1" ht="14.85" customHeight="1" x14ac:dyDescent="0.15">
      <c r="B165" s="5" t="s">
        <v>183</v>
      </c>
      <c r="C165" s="6">
        <v>1612.586667</v>
      </c>
      <c r="D165" s="6">
        <v>2042.26</v>
      </c>
      <c r="E165" s="6">
        <v>2489.5933329999998</v>
      </c>
      <c r="F165" s="6">
        <v>1560.46</v>
      </c>
      <c r="G165" s="6">
        <v>504.7</v>
      </c>
      <c r="H165" s="6">
        <v>757.46</v>
      </c>
      <c r="I165" s="6">
        <v>212.3</v>
      </c>
      <c r="J165" s="6">
        <v>86</v>
      </c>
      <c r="K165" s="6">
        <v>766.13333299999999</v>
      </c>
      <c r="L165" s="6">
        <v>163</v>
      </c>
      <c r="M165" s="6">
        <v>447.33333299999998</v>
      </c>
      <c r="N165" s="6">
        <v>446.66666700000002</v>
      </c>
      <c r="O165" s="6">
        <v>0.66666700000000001</v>
      </c>
      <c r="P165" s="6">
        <v>429.67333300000001</v>
      </c>
      <c r="Q165" s="6">
        <v>431.59333299999997</v>
      </c>
      <c r="R165" s="6">
        <v>99.1</v>
      </c>
      <c r="S165" s="6">
        <v>377.53</v>
      </c>
      <c r="T165" s="6">
        <v>478.55</v>
      </c>
      <c r="U165" s="6">
        <v>2117.6566670000002</v>
      </c>
      <c r="V165" s="6">
        <v>60</v>
      </c>
      <c r="W165" s="6">
        <v>2147.9899999999998</v>
      </c>
      <c r="X165" s="6">
        <v>0</v>
      </c>
      <c r="Y165" s="6">
        <v>90.333332999999996</v>
      </c>
      <c r="Z165" s="7">
        <v>3730.2433329999999</v>
      </c>
    </row>
    <row r="166" spans="2:26" s="1" customFormat="1" ht="14.85" customHeight="1" x14ac:dyDescent="0.15">
      <c r="B166" s="5" t="s">
        <v>184</v>
      </c>
      <c r="C166" s="8">
        <v>1234.846667</v>
      </c>
      <c r="D166" s="8">
        <v>1739.853333</v>
      </c>
      <c r="E166" s="8">
        <v>2203.33</v>
      </c>
      <c r="F166" s="8">
        <v>1329.23</v>
      </c>
      <c r="G166" s="8">
        <v>139.05000000000001</v>
      </c>
      <c r="H166" s="8">
        <v>696.78</v>
      </c>
      <c r="I166" s="8">
        <v>408.4</v>
      </c>
      <c r="J166" s="8">
        <v>85</v>
      </c>
      <c r="K166" s="8">
        <v>753.1</v>
      </c>
      <c r="L166" s="8">
        <v>121</v>
      </c>
      <c r="M166" s="8">
        <v>463.47666700000002</v>
      </c>
      <c r="N166" s="8">
        <v>344.19</v>
      </c>
      <c r="O166" s="8">
        <v>119.28666699999999</v>
      </c>
      <c r="P166" s="8">
        <v>505.00666699999999</v>
      </c>
      <c r="Q166" s="8">
        <v>509.21333299999998</v>
      </c>
      <c r="R166" s="8">
        <v>99.1</v>
      </c>
      <c r="S166" s="8">
        <v>184.35</v>
      </c>
      <c r="T166" s="8">
        <v>287.65666700000003</v>
      </c>
      <c r="U166" s="8">
        <v>-421.503333</v>
      </c>
      <c r="V166" s="8">
        <v>94</v>
      </c>
      <c r="W166" s="8">
        <v>-412.17</v>
      </c>
      <c r="X166" s="8">
        <v>0</v>
      </c>
      <c r="Y166" s="8">
        <v>103.333333</v>
      </c>
      <c r="Z166" s="9">
        <v>813.34333300000003</v>
      </c>
    </row>
    <row r="167" spans="2:26" s="1" customFormat="1" ht="14.85" customHeight="1" x14ac:dyDescent="0.15">
      <c r="B167" s="5" t="s">
        <v>185</v>
      </c>
      <c r="C167" s="6">
        <v>1024.3166670000001</v>
      </c>
      <c r="D167" s="6">
        <v>1822.623333</v>
      </c>
      <c r="E167" s="6">
        <v>2286.1</v>
      </c>
      <c r="F167" s="6">
        <v>1412</v>
      </c>
      <c r="G167" s="6">
        <v>24</v>
      </c>
      <c r="H167" s="6">
        <v>1105</v>
      </c>
      <c r="I167" s="6">
        <v>198</v>
      </c>
      <c r="J167" s="6">
        <v>85</v>
      </c>
      <c r="K167" s="6">
        <v>753.1</v>
      </c>
      <c r="L167" s="6">
        <v>121</v>
      </c>
      <c r="M167" s="6">
        <v>463.47666700000002</v>
      </c>
      <c r="N167" s="6">
        <v>344.19</v>
      </c>
      <c r="O167" s="6">
        <v>119.28666699999999</v>
      </c>
      <c r="P167" s="6">
        <v>798.30666699999995</v>
      </c>
      <c r="Q167" s="6">
        <v>527.123333</v>
      </c>
      <c r="R167" s="6">
        <v>99.1</v>
      </c>
      <c r="S167" s="6">
        <v>459.74</v>
      </c>
      <c r="T167" s="6">
        <v>287.65666700000003</v>
      </c>
      <c r="U167" s="6">
        <v>-91.773332999999994</v>
      </c>
      <c r="V167" s="6">
        <v>0</v>
      </c>
      <c r="W167" s="6">
        <v>11.56</v>
      </c>
      <c r="X167" s="6">
        <v>0</v>
      </c>
      <c r="Y167" s="6">
        <v>103.333333</v>
      </c>
      <c r="Z167" s="7">
        <v>932.54333299999996</v>
      </c>
    </row>
    <row r="168" spans="2:26" s="1" customFormat="1" ht="14.85" customHeight="1" x14ac:dyDescent="0.15">
      <c r="B168" s="5" t="s">
        <v>186</v>
      </c>
      <c r="C168" s="8">
        <v>1562.2966670000001</v>
      </c>
      <c r="D168" s="8">
        <v>2352.623333</v>
      </c>
      <c r="E168" s="8">
        <v>2816.1</v>
      </c>
      <c r="F168" s="8">
        <v>1942</v>
      </c>
      <c r="G168" s="8">
        <v>356</v>
      </c>
      <c r="H168" s="8">
        <v>1161</v>
      </c>
      <c r="I168" s="8">
        <v>340</v>
      </c>
      <c r="J168" s="8">
        <v>85</v>
      </c>
      <c r="K168" s="8">
        <v>753.1</v>
      </c>
      <c r="L168" s="8">
        <v>121</v>
      </c>
      <c r="M168" s="8">
        <v>463.47666700000002</v>
      </c>
      <c r="N168" s="8">
        <v>344.19</v>
      </c>
      <c r="O168" s="8">
        <v>119.28666699999999</v>
      </c>
      <c r="P168" s="8">
        <v>790.32666700000004</v>
      </c>
      <c r="Q168" s="8">
        <v>345.183333</v>
      </c>
      <c r="R168" s="8">
        <v>99.1</v>
      </c>
      <c r="S168" s="8">
        <v>633.70000000000005</v>
      </c>
      <c r="T168" s="8">
        <v>287.65666700000003</v>
      </c>
      <c r="U168" s="8">
        <v>-1408.843333</v>
      </c>
      <c r="V168" s="8">
        <v>0</v>
      </c>
      <c r="W168" s="8">
        <v>-1305.51</v>
      </c>
      <c r="X168" s="8">
        <v>0</v>
      </c>
      <c r="Y168" s="8">
        <v>103.333333</v>
      </c>
      <c r="Z168" s="9">
        <v>153.45333299999999</v>
      </c>
    </row>
    <row r="169" spans="2:26" s="1" customFormat="1" ht="14.85" customHeight="1" x14ac:dyDescent="0.15">
      <c r="B169" s="5" t="s">
        <v>187</v>
      </c>
      <c r="C169" s="6">
        <v>219</v>
      </c>
      <c r="D169" s="6">
        <v>1174</v>
      </c>
      <c r="E169" s="6">
        <v>2621</v>
      </c>
      <c r="F169" s="6">
        <v>1723</v>
      </c>
      <c r="G169" s="6">
        <v>45</v>
      </c>
      <c r="H169" s="6">
        <v>1250</v>
      </c>
      <c r="I169" s="6">
        <v>333</v>
      </c>
      <c r="J169" s="6">
        <v>95</v>
      </c>
      <c r="K169" s="6">
        <v>762</v>
      </c>
      <c r="L169" s="6">
        <v>136</v>
      </c>
      <c r="M169" s="6">
        <v>1448</v>
      </c>
      <c r="N169" s="6">
        <v>1421</v>
      </c>
      <c r="O169" s="6">
        <v>27</v>
      </c>
      <c r="P169" s="6">
        <v>955</v>
      </c>
      <c r="Q169" s="6">
        <v>858</v>
      </c>
      <c r="R169" s="6">
        <v>101</v>
      </c>
      <c r="S169" s="6">
        <v>224</v>
      </c>
      <c r="T169" s="6">
        <v>228</v>
      </c>
      <c r="U169" s="6">
        <v>-609</v>
      </c>
      <c r="V169" s="6">
        <v>0</v>
      </c>
      <c r="W169" s="6">
        <v>-552</v>
      </c>
      <c r="X169" s="6">
        <v>0</v>
      </c>
      <c r="Y169" s="6">
        <v>57</v>
      </c>
      <c r="Z169" s="7">
        <v>-390</v>
      </c>
    </row>
    <row r="170" spans="2:26" s="1" customFormat="1" ht="14.85" customHeight="1" x14ac:dyDescent="0.15">
      <c r="B170" s="5" t="s">
        <v>188</v>
      </c>
      <c r="C170" s="8">
        <v>444</v>
      </c>
      <c r="D170" s="8">
        <v>1757</v>
      </c>
      <c r="E170" s="8">
        <v>3204</v>
      </c>
      <c r="F170" s="8">
        <v>2306</v>
      </c>
      <c r="G170" s="8">
        <v>205</v>
      </c>
      <c r="H170" s="8">
        <v>1270</v>
      </c>
      <c r="I170" s="8">
        <v>736</v>
      </c>
      <c r="J170" s="8">
        <v>95</v>
      </c>
      <c r="K170" s="8">
        <v>762</v>
      </c>
      <c r="L170" s="8">
        <v>136</v>
      </c>
      <c r="M170" s="8">
        <v>1448</v>
      </c>
      <c r="N170" s="8">
        <v>1421</v>
      </c>
      <c r="O170" s="8">
        <v>27</v>
      </c>
      <c r="P170" s="8">
        <v>1312</v>
      </c>
      <c r="Q170" s="8">
        <v>577</v>
      </c>
      <c r="R170" s="8">
        <v>101</v>
      </c>
      <c r="S170" s="8">
        <v>862</v>
      </c>
      <c r="T170" s="8">
        <v>228</v>
      </c>
      <c r="U170" s="8">
        <v>9170</v>
      </c>
      <c r="V170" s="8">
        <v>0</v>
      </c>
      <c r="W170" s="8">
        <v>9228</v>
      </c>
      <c r="X170" s="8">
        <v>0</v>
      </c>
      <c r="Y170" s="8">
        <v>57</v>
      </c>
      <c r="Z170" s="9">
        <v>9615</v>
      </c>
    </row>
    <row r="171" spans="2:26" s="1" customFormat="1" ht="14.85" customHeight="1" x14ac:dyDescent="0.15">
      <c r="B171" s="5" t="s">
        <v>189</v>
      </c>
      <c r="C171" s="6">
        <v>999</v>
      </c>
      <c r="D171" s="6">
        <v>1550</v>
      </c>
      <c r="E171" s="6">
        <v>2997</v>
      </c>
      <c r="F171" s="6">
        <v>2099</v>
      </c>
      <c r="G171" s="6">
        <v>86</v>
      </c>
      <c r="H171" s="6">
        <v>1415</v>
      </c>
      <c r="I171" s="6">
        <v>503</v>
      </c>
      <c r="J171" s="6">
        <v>95</v>
      </c>
      <c r="K171" s="6">
        <v>762</v>
      </c>
      <c r="L171" s="6">
        <v>136</v>
      </c>
      <c r="M171" s="6">
        <v>1448</v>
      </c>
      <c r="N171" s="6">
        <v>1421</v>
      </c>
      <c r="O171" s="6">
        <v>27</v>
      </c>
      <c r="P171" s="6">
        <v>550</v>
      </c>
      <c r="Q171" s="6">
        <v>433</v>
      </c>
      <c r="R171" s="6">
        <v>101</v>
      </c>
      <c r="S171" s="6">
        <v>244</v>
      </c>
      <c r="T171" s="6">
        <v>228</v>
      </c>
      <c r="U171" s="6">
        <v>5365</v>
      </c>
      <c r="V171" s="6">
        <v>30</v>
      </c>
      <c r="W171" s="6">
        <v>5392</v>
      </c>
      <c r="X171" s="6">
        <v>0</v>
      </c>
      <c r="Y171" s="6">
        <v>57</v>
      </c>
      <c r="Z171" s="7">
        <v>6364</v>
      </c>
    </row>
    <row r="172" spans="2:26" s="1" customFormat="1" ht="14.85" customHeight="1" x14ac:dyDescent="0.15">
      <c r="B172" s="5" t="s">
        <v>190</v>
      </c>
      <c r="C172" s="8">
        <v>773</v>
      </c>
      <c r="D172" s="8">
        <v>1385</v>
      </c>
      <c r="E172" s="8">
        <v>2238</v>
      </c>
      <c r="F172" s="8">
        <v>1443</v>
      </c>
      <c r="G172" s="8">
        <v>121</v>
      </c>
      <c r="H172" s="8">
        <v>1142</v>
      </c>
      <c r="I172" s="8">
        <v>90</v>
      </c>
      <c r="J172" s="8">
        <v>90</v>
      </c>
      <c r="K172" s="8">
        <v>718</v>
      </c>
      <c r="L172" s="8">
        <v>77</v>
      </c>
      <c r="M172" s="8">
        <v>853</v>
      </c>
      <c r="N172" s="8">
        <v>838</v>
      </c>
      <c r="O172" s="8">
        <v>15</v>
      </c>
      <c r="P172" s="8">
        <v>612</v>
      </c>
      <c r="Q172" s="8">
        <v>487</v>
      </c>
      <c r="R172" s="8">
        <v>101</v>
      </c>
      <c r="S172" s="8">
        <v>358</v>
      </c>
      <c r="T172" s="8">
        <v>334</v>
      </c>
      <c r="U172" s="8">
        <v>2286</v>
      </c>
      <c r="V172" s="8">
        <v>0</v>
      </c>
      <c r="W172" s="8">
        <v>2302</v>
      </c>
      <c r="X172" s="8">
        <v>0</v>
      </c>
      <c r="Y172" s="8">
        <v>16</v>
      </c>
      <c r="Z172" s="9">
        <v>3059</v>
      </c>
    </row>
    <row r="173" spans="2:26" s="1" customFormat="1" ht="14.85" customHeight="1" x14ac:dyDescent="0.15">
      <c r="B173" s="5" t="s">
        <v>191</v>
      </c>
      <c r="C173" s="6">
        <v>1624</v>
      </c>
      <c r="D173" s="6">
        <v>2570</v>
      </c>
      <c r="E173" s="6">
        <v>3423</v>
      </c>
      <c r="F173" s="6">
        <v>2628</v>
      </c>
      <c r="G173" s="6">
        <v>282</v>
      </c>
      <c r="H173" s="6">
        <v>1028</v>
      </c>
      <c r="I173" s="6">
        <v>1228</v>
      </c>
      <c r="J173" s="6">
        <v>90</v>
      </c>
      <c r="K173" s="6">
        <v>718</v>
      </c>
      <c r="L173" s="6">
        <v>77</v>
      </c>
      <c r="M173" s="6">
        <v>853</v>
      </c>
      <c r="N173" s="6">
        <v>838</v>
      </c>
      <c r="O173" s="6">
        <v>15</v>
      </c>
      <c r="P173" s="6">
        <v>946</v>
      </c>
      <c r="Q173" s="6">
        <v>515</v>
      </c>
      <c r="R173" s="6">
        <v>101</v>
      </c>
      <c r="S173" s="6">
        <v>665</v>
      </c>
      <c r="T173" s="6">
        <v>334</v>
      </c>
      <c r="U173" s="6">
        <v>60</v>
      </c>
      <c r="V173" s="6">
        <v>0</v>
      </c>
      <c r="W173" s="6">
        <v>76</v>
      </c>
      <c r="X173" s="6">
        <v>0</v>
      </c>
      <c r="Y173" s="6">
        <v>16</v>
      </c>
      <c r="Z173" s="7">
        <v>1684</v>
      </c>
    </row>
    <row r="174" spans="2:26" s="1" customFormat="1" ht="14.85" customHeight="1" x14ac:dyDescent="0.15">
      <c r="B174" s="5" t="s">
        <v>192</v>
      </c>
      <c r="C174" s="8">
        <v>2608</v>
      </c>
      <c r="D174" s="8">
        <v>3035</v>
      </c>
      <c r="E174" s="8">
        <v>3888</v>
      </c>
      <c r="F174" s="8">
        <v>3093</v>
      </c>
      <c r="G174" s="8">
        <v>130</v>
      </c>
      <c r="H174" s="8">
        <v>854</v>
      </c>
      <c r="I174" s="8">
        <v>2019</v>
      </c>
      <c r="J174" s="8">
        <v>90</v>
      </c>
      <c r="K174" s="8">
        <v>718</v>
      </c>
      <c r="L174" s="8">
        <v>77</v>
      </c>
      <c r="M174" s="8">
        <v>853</v>
      </c>
      <c r="N174" s="8">
        <v>838</v>
      </c>
      <c r="O174" s="8">
        <v>15</v>
      </c>
      <c r="P174" s="8">
        <v>427</v>
      </c>
      <c r="Q174" s="8">
        <v>475</v>
      </c>
      <c r="R174" s="8">
        <v>101</v>
      </c>
      <c r="S174" s="8">
        <v>185</v>
      </c>
      <c r="T174" s="8">
        <v>334</v>
      </c>
      <c r="U174" s="8">
        <v>-448</v>
      </c>
      <c r="V174" s="8">
        <v>84</v>
      </c>
      <c r="W174" s="8">
        <v>-516</v>
      </c>
      <c r="X174" s="8">
        <v>0</v>
      </c>
      <c r="Y174" s="8">
        <v>16</v>
      </c>
      <c r="Z174" s="9">
        <v>2160</v>
      </c>
    </row>
    <row r="175" spans="2:26" s="1" customFormat="1" ht="14.85" customHeight="1" x14ac:dyDescent="0.15">
      <c r="B175" s="5" t="s">
        <v>193</v>
      </c>
      <c r="C175" s="6">
        <v>939.04333299999996</v>
      </c>
      <c r="D175" s="6">
        <v>1902.07</v>
      </c>
      <c r="E175" s="6">
        <v>2614.4033330000002</v>
      </c>
      <c r="F175" s="6">
        <v>1845</v>
      </c>
      <c r="G175" s="6">
        <v>109</v>
      </c>
      <c r="H175" s="6">
        <v>1429</v>
      </c>
      <c r="I175" s="6">
        <v>228</v>
      </c>
      <c r="J175" s="6">
        <v>79</v>
      </c>
      <c r="K175" s="6">
        <v>635</v>
      </c>
      <c r="L175" s="6">
        <v>134.403333</v>
      </c>
      <c r="M175" s="6">
        <v>712.33333300000004</v>
      </c>
      <c r="N175" s="6">
        <v>671.66666699999996</v>
      </c>
      <c r="O175" s="6">
        <v>40.666666999999997</v>
      </c>
      <c r="P175" s="6">
        <v>963.02666699999997</v>
      </c>
      <c r="Q175" s="6">
        <v>470.88</v>
      </c>
      <c r="R175" s="6">
        <v>100.666667</v>
      </c>
      <c r="S175" s="6">
        <v>513.48</v>
      </c>
      <c r="T175" s="6">
        <v>122</v>
      </c>
      <c r="U175" s="6">
        <v>-1084.5233330000001</v>
      </c>
      <c r="V175" s="6">
        <v>161</v>
      </c>
      <c r="W175" s="6">
        <v>-1308.19</v>
      </c>
      <c r="X175" s="6">
        <v>0</v>
      </c>
      <c r="Y175" s="6">
        <v>-62.666666999999997</v>
      </c>
      <c r="Z175" s="7">
        <v>-145.47999999999999</v>
      </c>
    </row>
    <row r="176" spans="2:26" s="1" customFormat="1" ht="14.85" customHeight="1" x14ac:dyDescent="0.15">
      <c r="B176" s="5" t="s">
        <v>194</v>
      </c>
      <c r="C176" s="8">
        <v>5139.3333329999996</v>
      </c>
      <c r="D176" s="8">
        <v>6177.07</v>
      </c>
      <c r="E176" s="8">
        <v>6889.4033330000002</v>
      </c>
      <c r="F176" s="8">
        <v>6120</v>
      </c>
      <c r="G176" s="8">
        <v>105</v>
      </c>
      <c r="H176" s="8">
        <v>2384</v>
      </c>
      <c r="I176" s="8">
        <v>3552</v>
      </c>
      <c r="J176" s="8">
        <v>79</v>
      </c>
      <c r="K176" s="8">
        <v>635</v>
      </c>
      <c r="L176" s="8">
        <v>134.403333</v>
      </c>
      <c r="M176" s="8">
        <v>712.33333300000004</v>
      </c>
      <c r="N176" s="8">
        <v>671.66666699999996</v>
      </c>
      <c r="O176" s="8">
        <v>40.666666999999997</v>
      </c>
      <c r="P176" s="8">
        <v>1037.7366669999999</v>
      </c>
      <c r="Q176" s="8">
        <v>716.59</v>
      </c>
      <c r="R176" s="8">
        <v>100.666667</v>
      </c>
      <c r="S176" s="8">
        <v>342.48</v>
      </c>
      <c r="T176" s="8">
        <v>122</v>
      </c>
      <c r="U176" s="8">
        <v>-1734.0433330000001</v>
      </c>
      <c r="V176" s="8">
        <v>24</v>
      </c>
      <c r="W176" s="8">
        <v>-1820.71</v>
      </c>
      <c r="X176" s="8">
        <v>0</v>
      </c>
      <c r="Y176" s="8">
        <v>-62.666666999999997</v>
      </c>
      <c r="Z176" s="9">
        <v>3405.29</v>
      </c>
    </row>
    <row r="177" spans="2:26" s="1" customFormat="1" ht="14.85" customHeight="1" x14ac:dyDescent="0.15">
      <c r="B177" s="5" t="s">
        <v>195</v>
      </c>
      <c r="C177" s="6">
        <v>132.99333300000001</v>
      </c>
      <c r="D177" s="6">
        <v>1235.07</v>
      </c>
      <c r="E177" s="6">
        <v>1947.403333</v>
      </c>
      <c r="F177" s="6">
        <v>1178</v>
      </c>
      <c r="G177" s="6">
        <v>212</v>
      </c>
      <c r="H177" s="6">
        <v>841</v>
      </c>
      <c r="I177" s="6">
        <v>46</v>
      </c>
      <c r="J177" s="6">
        <v>79</v>
      </c>
      <c r="K177" s="6">
        <v>635</v>
      </c>
      <c r="L177" s="6">
        <v>134.403333</v>
      </c>
      <c r="M177" s="6">
        <v>712.33333300000004</v>
      </c>
      <c r="N177" s="6">
        <v>671.66666699999996</v>
      </c>
      <c r="O177" s="6">
        <v>40.666666999999997</v>
      </c>
      <c r="P177" s="6">
        <v>1102.076667</v>
      </c>
      <c r="Q177" s="6">
        <v>498.43</v>
      </c>
      <c r="R177" s="6">
        <v>100.666667</v>
      </c>
      <c r="S177" s="6">
        <v>624.98</v>
      </c>
      <c r="T177" s="6">
        <v>122</v>
      </c>
      <c r="U177" s="6">
        <v>1623.0266670000001</v>
      </c>
      <c r="V177" s="6">
        <v>20</v>
      </c>
      <c r="W177" s="6">
        <v>1540.36</v>
      </c>
      <c r="X177" s="6">
        <v>0</v>
      </c>
      <c r="Y177" s="6">
        <v>-62.666666999999997</v>
      </c>
      <c r="Z177" s="7">
        <v>1756.02</v>
      </c>
    </row>
    <row r="178" spans="2:26" s="1" customFormat="1" ht="14.85" customHeight="1" x14ac:dyDescent="0.15">
      <c r="B178" s="5" t="s">
        <v>196</v>
      </c>
      <c r="C178" s="8">
        <v>3877.03</v>
      </c>
      <c r="D178" s="8">
        <v>5317</v>
      </c>
      <c r="E178" s="8">
        <v>6837</v>
      </c>
      <c r="F178" s="8">
        <v>5733</v>
      </c>
      <c r="G178" s="8">
        <v>993</v>
      </c>
      <c r="H178" s="8">
        <v>2443</v>
      </c>
      <c r="I178" s="8">
        <v>2220</v>
      </c>
      <c r="J178" s="8">
        <v>77</v>
      </c>
      <c r="K178" s="8">
        <v>620</v>
      </c>
      <c r="L178" s="8">
        <v>484</v>
      </c>
      <c r="M178" s="8">
        <v>1520</v>
      </c>
      <c r="N178" s="8">
        <v>1409</v>
      </c>
      <c r="O178" s="8">
        <v>111</v>
      </c>
      <c r="P178" s="8">
        <v>1439.97</v>
      </c>
      <c r="Q178" s="8">
        <v>605.23</v>
      </c>
      <c r="R178" s="8">
        <v>101</v>
      </c>
      <c r="S178" s="8">
        <v>868.74</v>
      </c>
      <c r="T178" s="8">
        <v>135</v>
      </c>
      <c r="U178" s="8">
        <v>720.07</v>
      </c>
      <c r="V178" s="8">
        <v>48</v>
      </c>
      <c r="W178" s="8">
        <v>741.07</v>
      </c>
      <c r="X178" s="8">
        <v>0</v>
      </c>
      <c r="Y178" s="8">
        <v>69</v>
      </c>
      <c r="Z178" s="9">
        <v>4597.1000000000004</v>
      </c>
    </row>
    <row r="179" spans="2:26" s="1" customFormat="1" ht="14.85" customHeight="1" x14ac:dyDescent="0.15">
      <c r="B179" s="5" t="s">
        <v>197</v>
      </c>
      <c r="C179" s="6">
        <v>3186.07</v>
      </c>
      <c r="D179" s="6">
        <v>4074</v>
      </c>
      <c r="E179" s="6">
        <v>5594</v>
      </c>
      <c r="F179" s="6">
        <v>4490</v>
      </c>
      <c r="G179" s="6">
        <v>103</v>
      </c>
      <c r="H179" s="6">
        <v>4108</v>
      </c>
      <c r="I179" s="6">
        <v>202</v>
      </c>
      <c r="J179" s="6">
        <v>77</v>
      </c>
      <c r="K179" s="6">
        <v>620</v>
      </c>
      <c r="L179" s="6">
        <v>484</v>
      </c>
      <c r="M179" s="6">
        <v>1520</v>
      </c>
      <c r="N179" s="6">
        <v>1409</v>
      </c>
      <c r="O179" s="6">
        <v>111</v>
      </c>
      <c r="P179" s="6">
        <v>887.93</v>
      </c>
      <c r="Q179" s="6">
        <v>428.19</v>
      </c>
      <c r="R179" s="6">
        <v>101</v>
      </c>
      <c r="S179" s="6">
        <v>493.74</v>
      </c>
      <c r="T179" s="6">
        <v>135</v>
      </c>
      <c r="U179" s="6">
        <v>-1652.87</v>
      </c>
      <c r="V179" s="6">
        <v>125</v>
      </c>
      <c r="W179" s="6">
        <v>-1708.87</v>
      </c>
      <c r="X179" s="6">
        <v>0</v>
      </c>
      <c r="Y179" s="6">
        <v>69</v>
      </c>
      <c r="Z179" s="7">
        <v>1533.2</v>
      </c>
    </row>
    <row r="180" spans="2:26" s="1" customFormat="1" ht="14.85" customHeight="1" x14ac:dyDescent="0.15">
      <c r="B180" s="5" t="s">
        <v>198</v>
      </c>
      <c r="C180" s="8">
        <v>1918.2</v>
      </c>
      <c r="D180" s="8">
        <v>2782</v>
      </c>
      <c r="E180" s="8">
        <v>4302</v>
      </c>
      <c r="F180" s="8">
        <v>3198</v>
      </c>
      <c r="G180" s="8">
        <v>655</v>
      </c>
      <c r="H180" s="8">
        <v>2263</v>
      </c>
      <c r="I180" s="8">
        <v>203</v>
      </c>
      <c r="J180" s="8">
        <v>77</v>
      </c>
      <c r="K180" s="8">
        <v>620</v>
      </c>
      <c r="L180" s="8">
        <v>484</v>
      </c>
      <c r="M180" s="8">
        <v>1520</v>
      </c>
      <c r="N180" s="8">
        <v>1409</v>
      </c>
      <c r="O180" s="8">
        <v>111</v>
      </c>
      <c r="P180" s="8">
        <v>863.8</v>
      </c>
      <c r="Q180" s="8">
        <v>576.62</v>
      </c>
      <c r="R180" s="8">
        <v>101</v>
      </c>
      <c r="S180" s="8">
        <v>321.18</v>
      </c>
      <c r="T180" s="8">
        <v>135</v>
      </c>
      <c r="U180" s="8">
        <v>3475.6</v>
      </c>
      <c r="V180" s="8">
        <v>105</v>
      </c>
      <c r="W180" s="8">
        <v>3439.6</v>
      </c>
      <c r="X180" s="8">
        <v>0</v>
      </c>
      <c r="Y180" s="8">
        <v>69</v>
      </c>
      <c r="Z180" s="9">
        <v>5393.8</v>
      </c>
    </row>
    <row r="181" spans="2:26" s="1" customFormat="1" ht="14.85" customHeight="1" x14ac:dyDescent="0.15">
      <c r="B181" s="10" t="s">
        <v>199</v>
      </c>
      <c r="C181" s="11">
        <v>244</v>
      </c>
      <c r="D181" s="11">
        <v>1174</v>
      </c>
      <c r="E181" s="11">
        <v>2621</v>
      </c>
      <c r="F181" s="11">
        <v>1723</v>
      </c>
      <c r="G181" s="11">
        <v>45</v>
      </c>
      <c r="H181" s="11">
        <v>1250</v>
      </c>
      <c r="I181" s="11">
        <v>333</v>
      </c>
      <c r="J181" s="11">
        <v>95</v>
      </c>
      <c r="K181" s="11">
        <v>762</v>
      </c>
      <c r="L181" s="11">
        <v>136</v>
      </c>
      <c r="M181" s="11">
        <v>1448</v>
      </c>
      <c r="N181" s="11">
        <v>1421</v>
      </c>
      <c r="O181" s="11">
        <v>27</v>
      </c>
      <c r="P181" s="11">
        <v>930</v>
      </c>
      <c r="Q181" s="11">
        <v>813</v>
      </c>
      <c r="R181" s="11">
        <v>101</v>
      </c>
      <c r="S181" s="11">
        <v>244</v>
      </c>
      <c r="T181" s="11">
        <v>228</v>
      </c>
      <c r="U181" s="11">
        <v>-609</v>
      </c>
      <c r="V181" s="11">
        <v>0</v>
      </c>
      <c r="W181" s="11">
        <v>-552</v>
      </c>
      <c r="X181" s="11">
        <v>0</v>
      </c>
      <c r="Y181" s="11">
        <v>57</v>
      </c>
      <c r="Z181" s="12">
        <v>-365</v>
      </c>
    </row>
    <row r="182" spans="2:26" s="1" customFormat="1" ht="1.05" customHeight="1" x14ac:dyDescent="0.15"/>
    <row r="183" spans="2:26" s="1" customFormat="1" ht="11.7" customHeight="1" x14ac:dyDescent="0.15">
      <c r="B183" s="23" t="s">
        <v>202</v>
      </c>
      <c r="C183" s="23"/>
    </row>
  </sheetData>
  <mergeCells count="2">
    <mergeCell ref="B183:C183"/>
    <mergeCell ref="B2:C2"/>
  </mergeCells>
  <pageMargins left="0.7" right="0.7" top="0.75" bottom="0.75" header="0.3" footer="0.3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7EADD-256C-4FA6-AE42-3BF74B11388D}">
  <dimension ref="A1:H176"/>
  <sheetViews>
    <sheetView zoomScale="130" zoomScaleNormal="130" workbookViewId="0">
      <selection activeCell="F20" sqref="F20"/>
    </sheetView>
  </sheetViews>
  <sheetFormatPr defaultRowHeight="13.2" x14ac:dyDescent="0.25"/>
  <cols>
    <col min="1" max="1" width="11.33203125" style="14" bestFit="1" customWidth="1"/>
    <col min="2" max="2" width="41" style="14" bestFit="1" customWidth="1"/>
    <col min="3" max="3" width="5.88671875" style="14" bestFit="1" customWidth="1"/>
    <col min="4" max="4" width="8.88671875" style="14"/>
    <col min="5" max="5" width="10.88671875" style="14" bestFit="1" customWidth="1"/>
    <col min="6" max="6" width="12.6640625" style="14" bestFit="1" customWidth="1"/>
    <col min="7" max="16384" width="8.88671875" style="14"/>
  </cols>
  <sheetData>
    <row r="1" spans="1:8" x14ac:dyDescent="0.25">
      <c r="A1" s="2" t="s">
        <v>0</v>
      </c>
      <c r="B1" s="2" t="s">
        <v>19</v>
      </c>
      <c r="C1" s="17" t="s">
        <v>203</v>
      </c>
      <c r="D1" s="17"/>
      <c r="E1" s="22" t="s">
        <v>203</v>
      </c>
      <c r="F1" s="22" t="s">
        <v>204</v>
      </c>
    </row>
    <row r="2" spans="1:8" x14ac:dyDescent="0.25">
      <c r="A2" s="15" t="s">
        <v>25</v>
      </c>
      <c r="B2" s="18">
        <v>-621.30569135799999</v>
      </c>
      <c r="C2" s="14" t="str">
        <f>LEFT(A2,4)</f>
        <v>2025</v>
      </c>
      <c r="E2" s="14" t="str" cm="1">
        <f t="array" ref="E2:E16">_xlfn._xlws.SORT(_xlfn.UNIQUE(C2:C176),,1)</f>
        <v>2011</v>
      </c>
      <c r="F2" s="14">
        <f>SUMIFS($B:$B, $C:$C, E2)</f>
        <v>2636.2600010000001</v>
      </c>
    </row>
    <row r="3" spans="1:8" x14ac:dyDescent="0.25">
      <c r="A3" s="15" t="s">
        <v>26</v>
      </c>
      <c r="B3" s="19">
        <v>-2596.0969450309999</v>
      </c>
      <c r="C3" s="14" t="str">
        <f t="shared" ref="C3:C66" si="0">LEFT(A3,4)</f>
        <v>2025</v>
      </c>
      <c r="E3" s="14" t="str">
        <v>2012</v>
      </c>
      <c r="F3" s="14">
        <f t="shared" ref="F3:F16" si="1">SUMIFS($B:$B, $C:$C, E3)</f>
        <v>29502.740001999999</v>
      </c>
    </row>
    <row r="4" spans="1:8" x14ac:dyDescent="0.25">
      <c r="A4" s="15" t="s">
        <v>27</v>
      </c>
      <c r="B4" s="18">
        <v>-2529.5268692489999</v>
      </c>
      <c r="C4" s="14" t="str">
        <f t="shared" si="0"/>
        <v>2025</v>
      </c>
      <c r="E4" s="14" t="str">
        <v>2013</v>
      </c>
      <c r="F4" s="14">
        <f t="shared" si="1"/>
        <v>6878.4300589999993</v>
      </c>
    </row>
    <row r="5" spans="1:8" x14ac:dyDescent="0.25">
      <c r="A5" s="15" t="s">
        <v>28</v>
      </c>
      <c r="B5" s="19">
        <v>2435.1689792880002</v>
      </c>
      <c r="C5" s="14" t="str">
        <f t="shared" si="0"/>
        <v>2025</v>
      </c>
      <c r="E5" s="14" t="str">
        <v>2014</v>
      </c>
      <c r="F5" s="14">
        <f t="shared" si="1"/>
        <v>37740.322499000002</v>
      </c>
    </row>
    <row r="6" spans="1:8" x14ac:dyDescent="0.25">
      <c r="A6" s="15" t="s">
        <v>29</v>
      </c>
      <c r="B6" s="18">
        <v>1301.7567979380001</v>
      </c>
      <c r="C6" s="14" t="str">
        <f t="shared" si="0"/>
        <v>2025</v>
      </c>
      <c r="E6" s="14" t="str">
        <v>2015</v>
      </c>
      <c r="F6" s="14">
        <f t="shared" si="1"/>
        <v>11130.715892</v>
      </c>
    </row>
    <row r="7" spans="1:8" x14ac:dyDescent="0.25">
      <c r="A7" s="15" t="s">
        <v>30</v>
      </c>
      <c r="B7" s="19">
        <v>-2128.6787872489999</v>
      </c>
      <c r="C7" s="14" t="str">
        <f t="shared" si="0"/>
        <v>2025</v>
      </c>
      <c r="E7" s="14" t="str">
        <v>2016</v>
      </c>
      <c r="F7" s="14">
        <f t="shared" si="1"/>
        <v>-4725.2094389999993</v>
      </c>
    </row>
    <row r="8" spans="1:8" x14ac:dyDescent="0.25">
      <c r="A8" s="15" t="s">
        <v>31</v>
      </c>
      <c r="B8" s="18">
        <v>4042.5282356709999</v>
      </c>
      <c r="C8" s="14" t="str">
        <f t="shared" si="0"/>
        <v>2025</v>
      </c>
      <c r="E8" s="14" t="str">
        <v>2017</v>
      </c>
      <c r="F8" s="14">
        <f t="shared" si="1"/>
        <v>30637.784956</v>
      </c>
      <c r="H8" s="21"/>
    </row>
    <row r="9" spans="1:8" x14ac:dyDescent="0.25">
      <c r="A9" s="15" t="s">
        <v>32</v>
      </c>
      <c r="B9" s="19">
        <v>-3971.6775755190001</v>
      </c>
      <c r="C9" s="14" t="str">
        <f t="shared" si="0"/>
        <v>2025</v>
      </c>
      <c r="E9" s="14" t="str">
        <v>2018</v>
      </c>
      <c r="F9" s="14">
        <f t="shared" si="1"/>
        <v>-7777.9395919999988</v>
      </c>
    </row>
    <row r="10" spans="1:8" x14ac:dyDescent="0.25">
      <c r="A10" s="15" t="s">
        <v>33</v>
      </c>
      <c r="B10" s="18">
        <v>-5929.4822964630002</v>
      </c>
      <c r="C10" s="14" t="str">
        <f t="shared" si="0"/>
        <v>2025</v>
      </c>
      <c r="E10" s="14" t="str">
        <v>2019</v>
      </c>
      <c r="F10" s="14">
        <f t="shared" si="1"/>
        <v>24584.119880000002</v>
      </c>
    </row>
    <row r="11" spans="1:8" x14ac:dyDescent="0.25">
      <c r="A11" s="15" t="s">
        <v>34</v>
      </c>
      <c r="B11" s="19">
        <v>1811.7786821</v>
      </c>
      <c r="C11" s="14" t="str">
        <f t="shared" si="0"/>
        <v>2024</v>
      </c>
      <c r="E11" s="14" t="str">
        <v>2020</v>
      </c>
      <c r="F11" s="14">
        <f t="shared" si="1"/>
        <v>15111.706746999997</v>
      </c>
    </row>
    <row r="12" spans="1:8" x14ac:dyDescent="0.25">
      <c r="A12" s="15" t="s">
        <v>35</v>
      </c>
      <c r="B12" s="18">
        <v>-2256.9439343509998</v>
      </c>
      <c r="C12" s="14" t="str">
        <f t="shared" si="0"/>
        <v>2024</v>
      </c>
      <c r="E12" s="14" t="str">
        <v>2021</v>
      </c>
      <c r="F12" s="14">
        <f t="shared" si="1"/>
        <v>5718.1993648999996</v>
      </c>
    </row>
    <row r="13" spans="1:8" x14ac:dyDescent="0.25">
      <c r="A13" s="15" t="s">
        <v>36</v>
      </c>
      <c r="B13" s="19">
        <v>-10926.871234484001</v>
      </c>
      <c r="C13" s="14" t="str">
        <f t="shared" si="0"/>
        <v>2024</v>
      </c>
      <c r="E13" s="14" t="str">
        <v>2022</v>
      </c>
      <c r="F13" s="14">
        <f t="shared" si="1"/>
        <v>-18702.836367271993</v>
      </c>
    </row>
    <row r="14" spans="1:8" x14ac:dyDescent="0.25">
      <c r="A14" s="15" t="s">
        <v>37</v>
      </c>
      <c r="B14" s="18">
        <v>9712.4546855810004</v>
      </c>
      <c r="C14" s="14" t="str">
        <f t="shared" si="0"/>
        <v>2024</v>
      </c>
      <c r="E14" s="14" t="str">
        <v>2023</v>
      </c>
      <c r="F14" s="14">
        <f t="shared" si="1"/>
        <v>31025.324772448614</v>
      </c>
    </row>
    <row r="15" spans="1:8" x14ac:dyDescent="0.25">
      <c r="A15" s="15" t="s">
        <v>38</v>
      </c>
      <c r="B15" s="19">
        <v>4297.8040773330004</v>
      </c>
      <c r="C15" s="14" t="str">
        <f t="shared" si="0"/>
        <v>2024</v>
      </c>
      <c r="E15" s="14" t="str">
        <v>2024</v>
      </c>
      <c r="F15" s="14">
        <f t="shared" si="1"/>
        <v>20814.571002044999</v>
      </c>
    </row>
    <row r="16" spans="1:8" x14ac:dyDescent="0.25">
      <c r="A16" s="15" t="s">
        <v>39</v>
      </c>
      <c r="B16" s="18">
        <v>5839.8023076139998</v>
      </c>
      <c r="C16" s="14" t="str">
        <f t="shared" si="0"/>
        <v>2024</v>
      </c>
      <c r="E16" s="14" t="str">
        <v>2025</v>
      </c>
      <c r="F16" s="14">
        <f t="shared" si="1"/>
        <v>-9997.3141519719993</v>
      </c>
    </row>
    <row r="17" spans="1:3" x14ac:dyDescent="0.25">
      <c r="A17" s="15" t="s">
        <v>40</v>
      </c>
      <c r="B17" s="19">
        <v>5448.7688182490001</v>
      </c>
      <c r="C17" s="14" t="str">
        <f t="shared" si="0"/>
        <v>2024</v>
      </c>
    </row>
    <row r="18" spans="1:3" x14ac:dyDescent="0.25">
      <c r="A18" s="15" t="s">
        <v>41</v>
      </c>
      <c r="B18" s="18">
        <v>-1820.650242125</v>
      </c>
      <c r="C18" s="14" t="str">
        <f t="shared" si="0"/>
        <v>2024</v>
      </c>
    </row>
    <row r="19" spans="1:3" x14ac:dyDescent="0.25">
      <c r="A19" s="15" t="s">
        <v>42</v>
      </c>
      <c r="B19" s="19">
        <v>-2683.378347884</v>
      </c>
      <c r="C19" s="14" t="str">
        <f t="shared" si="0"/>
        <v>2024</v>
      </c>
    </row>
    <row r="20" spans="1:3" x14ac:dyDescent="0.25">
      <c r="A20" s="15" t="s">
        <v>43</v>
      </c>
      <c r="B20" s="18">
        <v>7785.3032646789998</v>
      </c>
      <c r="C20" s="14" t="str">
        <f t="shared" si="0"/>
        <v>2024</v>
      </c>
    </row>
    <row r="21" spans="1:3" x14ac:dyDescent="0.25">
      <c r="A21" s="15" t="s">
        <v>44</v>
      </c>
      <c r="B21" s="19">
        <v>3745.605090735</v>
      </c>
      <c r="C21" s="14" t="str">
        <f t="shared" si="0"/>
        <v>2024</v>
      </c>
    </row>
    <row r="22" spans="1:3" x14ac:dyDescent="0.25">
      <c r="A22" s="15" t="s">
        <v>45</v>
      </c>
      <c r="B22" s="18">
        <v>-139.102165402</v>
      </c>
      <c r="C22" s="14" t="str">
        <f t="shared" si="0"/>
        <v>2024</v>
      </c>
    </row>
    <row r="23" spans="1:3" x14ac:dyDescent="0.25">
      <c r="A23" s="15" t="s">
        <v>46</v>
      </c>
      <c r="B23" s="19">
        <v>9555.334910304</v>
      </c>
      <c r="C23" s="14" t="str">
        <f t="shared" si="0"/>
        <v>2023</v>
      </c>
    </row>
    <row r="24" spans="1:3" x14ac:dyDescent="0.25">
      <c r="A24" s="15" t="s">
        <v>47</v>
      </c>
      <c r="B24" s="18">
        <v>4197.9620208819997</v>
      </c>
      <c r="C24" s="14" t="str">
        <f t="shared" si="0"/>
        <v>2023</v>
      </c>
    </row>
    <row r="25" spans="1:3" x14ac:dyDescent="0.25">
      <c r="A25" s="15" t="s">
        <v>48</v>
      </c>
      <c r="B25" s="19">
        <v>-1741.1329472739999</v>
      </c>
      <c r="C25" s="14" t="str">
        <f t="shared" si="0"/>
        <v>2023</v>
      </c>
    </row>
    <row r="26" spans="1:3" x14ac:dyDescent="0.25">
      <c r="A26" s="15" t="s">
        <v>49</v>
      </c>
      <c r="B26" s="18">
        <v>-2226.1865656109999</v>
      </c>
      <c r="C26" s="14" t="str">
        <f t="shared" si="0"/>
        <v>2023</v>
      </c>
    </row>
    <row r="27" spans="1:3" x14ac:dyDescent="0.25">
      <c r="A27" s="15" t="s">
        <v>50</v>
      </c>
      <c r="B27" s="19">
        <v>2880.2205372449998</v>
      </c>
      <c r="C27" s="14" t="str">
        <f t="shared" si="0"/>
        <v>2023</v>
      </c>
    </row>
    <row r="28" spans="1:3" x14ac:dyDescent="0.25">
      <c r="A28" s="15" t="s">
        <v>51</v>
      </c>
      <c r="B28" s="18">
        <v>4292.4935748939997</v>
      </c>
      <c r="C28" s="14" t="str">
        <f t="shared" si="0"/>
        <v>2023</v>
      </c>
    </row>
    <row r="29" spans="1:3" x14ac:dyDescent="0.25">
      <c r="A29" s="15" t="s">
        <v>52</v>
      </c>
      <c r="B29" s="19">
        <v>7649.7391989930002</v>
      </c>
      <c r="C29" s="14" t="str">
        <f t="shared" si="0"/>
        <v>2023</v>
      </c>
    </row>
    <row r="30" spans="1:3" x14ac:dyDescent="0.25">
      <c r="A30" s="15" t="s">
        <v>53</v>
      </c>
      <c r="B30" s="18">
        <v>5986.0440497939999</v>
      </c>
      <c r="C30" s="14" t="str">
        <f t="shared" si="0"/>
        <v>2023</v>
      </c>
    </row>
    <row r="31" spans="1:3" x14ac:dyDescent="0.25">
      <c r="A31" s="15" t="s">
        <v>54</v>
      </c>
      <c r="B31" s="19">
        <v>2095.0386742860001</v>
      </c>
      <c r="C31" s="14" t="str">
        <f t="shared" si="0"/>
        <v>2023</v>
      </c>
    </row>
    <row r="32" spans="1:3" x14ac:dyDescent="0.25">
      <c r="A32" s="15" t="s">
        <v>55</v>
      </c>
      <c r="B32" s="18">
        <v>1559.64315704724</v>
      </c>
      <c r="C32" s="14" t="str">
        <f t="shared" si="0"/>
        <v>2023</v>
      </c>
    </row>
    <row r="33" spans="1:3" x14ac:dyDescent="0.25">
      <c r="A33" s="15" t="s">
        <v>56</v>
      </c>
      <c r="B33" s="19">
        <v>-331.50685715546899</v>
      </c>
      <c r="C33" s="14" t="str">
        <f t="shared" si="0"/>
        <v>2023</v>
      </c>
    </row>
    <row r="34" spans="1:3" x14ac:dyDescent="0.25">
      <c r="A34" s="15" t="s">
        <v>57</v>
      </c>
      <c r="B34" s="18">
        <v>-2892.3249809561598</v>
      </c>
      <c r="C34" s="14" t="str">
        <f t="shared" si="0"/>
        <v>2023</v>
      </c>
    </row>
    <row r="35" spans="1:3" x14ac:dyDescent="0.25">
      <c r="A35" s="15" t="s">
        <v>58</v>
      </c>
      <c r="B35" s="19">
        <v>-688.02453705095604</v>
      </c>
      <c r="C35" s="14" t="str">
        <f t="shared" si="0"/>
        <v>2022</v>
      </c>
    </row>
    <row r="36" spans="1:3" x14ac:dyDescent="0.25">
      <c r="A36" s="15" t="s">
        <v>59</v>
      </c>
      <c r="B36" s="18">
        <v>4736.1140024959795</v>
      </c>
      <c r="C36" s="14" t="str">
        <f t="shared" si="0"/>
        <v>2022</v>
      </c>
    </row>
    <row r="37" spans="1:3" x14ac:dyDescent="0.25">
      <c r="A37" s="15" t="s">
        <v>60</v>
      </c>
      <c r="B37" s="19">
        <v>562.46153765651502</v>
      </c>
      <c r="C37" s="14" t="str">
        <f t="shared" si="0"/>
        <v>2022</v>
      </c>
    </row>
    <row r="38" spans="1:3" x14ac:dyDescent="0.25">
      <c r="A38" s="15" t="s">
        <v>61</v>
      </c>
      <c r="B38" s="18">
        <v>-1175.0429006915499</v>
      </c>
      <c r="C38" s="14" t="str">
        <f t="shared" si="0"/>
        <v>2022</v>
      </c>
    </row>
    <row r="39" spans="1:3" x14ac:dyDescent="0.25">
      <c r="A39" s="15" t="s">
        <v>62</v>
      </c>
      <c r="B39" s="19">
        <v>7336.8515594687797</v>
      </c>
      <c r="C39" s="14" t="str">
        <f t="shared" si="0"/>
        <v>2022</v>
      </c>
    </row>
    <row r="40" spans="1:3" x14ac:dyDescent="0.25">
      <c r="A40" s="15" t="s">
        <v>63</v>
      </c>
      <c r="B40" s="18">
        <v>370.06364774991198</v>
      </c>
      <c r="C40" s="14" t="str">
        <f t="shared" si="0"/>
        <v>2022</v>
      </c>
    </row>
    <row r="41" spans="1:3" x14ac:dyDescent="0.25">
      <c r="A41" s="15" t="s">
        <v>64</v>
      </c>
      <c r="B41" s="19">
        <v>-6062.4875194670003</v>
      </c>
      <c r="C41" s="14" t="str">
        <f t="shared" si="0"/>
        <v>2022</v>
      </c>
    </row>
    <row r="42" spans="1:3" x14ac:dyDescent="0.25">
      <c r="A42" s="15" t="s">
        <v>65</v>
      </c>
      <c r="B42" s="18">
        <v>-4682.8419825227502</v>
      </c>
      <c r="C42" s="14" t="str">
        <f t="shared" si="0"/>
        <v>2022</v>
      </c>
    </row>
    <row r="43" spans="1:3" x14ac:dyDescent="0.25">
      <c r="A43" s="15" t="s">
        <v>66</v>
      </c>
      <c r="B43" s="19">
        <v>-3884.7625209109201</v>
      </c>
      <c r="C43" s="14" t="str">
        <f t="shared" si="0"/>
        <v>2022</v>
      </c>
    </row>
    <row r="44" spans="1:3" x14ac:dyDescent="0.25">
      <c r="A44" s="15" t="s">
        <v>67</v>
      </c>
      <c r="B44" s="18">
        <v>-4992.8882789999998</v>
      </c>
      <c r="C44" s="14" t="str">
        <f t="shared" si="0"/>
        <v>2022</v>
      </c>
    </row>
    <row r="45" spans="1:3" x14ac:dyDescent="0.25">
      <c r="A45" s="15" t="s">
        <v>68</v>
      </c>
      <c r="B45" s="19">
        <v>-5788.364587</v>
      </c>
      <c r="C45" s="14" t="str">
        <f t="shared" si="0"/>
        <v>2022</v>
      </c>
    </row>
    <row r="46" spans="1:3" x14ac:dyDescent="0.25">
      <c r="A46" s="15" t="s">
        <v>69</v>
      </c>
      <c r="B46" s="18">
        <v>-4433.914788</v>
      </c>
      <c r="C46" s="14" t="str">
        <f t="shared" si="0"/>
        <v>2022</v>
      </c>
    </row>
    <row r="47" spans="1:3" x14ac:dyDescent="0.25">
      <c r="A47" s="15" t="s">
        <v>70</v>
      </c>
      <c r="B47" s="19">
        <v>-3735.7226850000002</v>
      </c>
      <c r="C47" s="14" t="str">
        <f t="shared" si="0"/>
        <v>2021</v>
      </c>
    </row>
    <row r="48" spans="1:3" x14ac:dyDescent="0.25">
      <c r="A48" s="15" t="s">
        <v>71</v>
      </c>
      <c r="B48" s="18">
        <v>-152.46674229999999</v>
      </c>
      <c r="C48" s="14" t="str">
        <f t="shared" si="0"/>
        <v>2021</v>
      </c>
    </row>
    <row r="49" spans="1:3" x14ac:dyDescent="0.25">
      <c r="A49" s="15" t="s">
        <v>72</v>
      </c>
      <c r="B49" s="19">
        <v>-1953.390905</v>
      </c>
      <c r="C49" s="14" t="str">
        <f t="shared" si="0"/>
        <v>2021</v>
      </c>
    </row>
    <row r="50" spans="1:3" x14ac:dyDescent="0.25">
      <c r="A50" s="15" t="s">
        <v>73</v>
      </c>
      <c r="B50" s="18">
        <v>2588.8535670000001</v>
      </c>
      <c r="C50" s="14" t="str">
        <f t="shared" si="0"/>
        <v>2021</v>
      </c>
    </row>
    <row r="51" spans="1:3" x14ac:dyDescent="0.25">
      <c r="A51" s="15" t="s">
        <v>74</v>
      </c>
      <c r="B51" s="19">
        <v>2906.3683489999999</v>
      </c>
      <c r="C51" s="14" t="str">
        <f t="shared" si="0"/>
        <v>2021</v>
      </c>
    </row>
    <row r="52" spans="1:3" x14ac:dyDescent="0.25">
      <c r="A52" s="15" t="s">
        <v>75</v>
      </c>
      <c r="B52" s="18">
        <v>-1617.791387</v>
      </c>
      <c r="C52" s="14" t="str">
        <f t="shared" si="0"/>
        <v>2021</v>
      </c>
    </row>
    <row r="53" spans="1:3" x14ac:dyDescent="0.25">
      <c r="A53" s="15" t="s">
        <v>76</v>
      </c>
      <c r="B53" s="19">
        <v>1251.699224</v>
      </c>
      <c r="C53" s="14" t="str">
        <f t="shared" si="0"/>
        <v>2021</v>
      </c>
    </row>
    <row r="54" spans="1:3" x14ac:dyDescent="0.25">
      <c r="A54" s="15" t="s">
        <v>77</v>
      </c>
      <c r="B54" s="18">
        <v>966.46161419999999</v>
      </c>
      <c r="C54" s="14" t="str">
        <f t="shared" si="0"/>
        <v>2021</v>
      </c>
    </row>
    <row r="55" spans="1:3" x14ac:dyDescent="0.25">
      <c r="A55" s="15" t="s">
        <v>78</v>
      </c>
      <c r="B55" s="19">
        <v>-1816.090925</v>
      </c>
      <c r="C55" s="14" t="str">
        <f t="shared" si="0"/>
        <v>2021</v>
      </c>
    </row>
    <row r="56" spans="1:3" x14ac:dyDescent="0.25">
      <c r="A56" s="15" t="s">
        <v>79</v>
      </c>
      <c r="B56" s="18">
        <v>-791.602172</v>
      </c>
      <c r="C56" s="14" t="str">
        <f t="shared" si="0"/>
        <v>2021</v>
      </c>
    </row>
    <row r="57" spans="1:3" x14ac:dyDescent="0.25">
      <c r="A57" s="15" t="s">
        <v>80</v>
      </c>
      <c r="B57" s="19">
        <v>1853.3979440000001</v>
      </c>
      <c r="C57" s="14" t="str">
        <f t="shared" si="0"/>
        <v>2021</v>
      </c>
    </row>
    <row r="58" spans="1:3" x14ac:dyDescent="0.25">
      <c r="A58" s="15" t="s">
        <v>81</v>
      </c>
      <c r="B58" s="18">
        <v>6218.483483</v>
      </c>
      <c r="C58" s="14" t="str">
        <f t="shared" si="0"/>
        <v>2021</v>
      </c>
    </row>
    <row r="59" spans="1:3" x14ac:dyDescent="0.25">
      <c r="A59" s="15" t="s">
        <v>82</v>
      </c>
      <c r="B59" s="19">
        <v>8551.176324</v>
      </c>
      <c r="C59" s="14" t="str">
        <f t="shared" si="0"/>
        <v>2020</v>
      </c>
    </row>
    <row r="60" spans="1:3" x14ac:dyDescent="0.25">
      <c r="A60" s="15" t="s">
        <v>83</v>
      </c>
      <c r="B60" s="18">
        <v>10929.147993</v>
      </c>
      <c r="C60" s="14" t="str">
        <f t="shared" si="0"/>
        <v>2020</v>
      </c>
    </row>
    <row r="61" spans="1:3" x14ac:dyDescent="0.25">
      <c r="A61" s="15" t="s">
        <v>84</v>
      </c>
      <c r="B61" s="19">
        <v>1736.8901269999999</v>
      </c>
      <c r="C61" s="14" t="str">
        <f t="shared" si="0"/>
        <v>2020</v>
      </c>
    </row>
    <row r="62" spans="1:3" x14ac:dyDescent="0.25">
      <c r="A62" s="15" t="s">
        <v>85</v>
      </c>
      <c r="B62" s="18">
        <v>1177.954483</v>
      </c>
      <c r="C62" s="14" t="str">
        <f t="shared" si="0"/>
        <v>2020</v>
      </c>
    </row>
    <row r="63" spans="1:3" x14ac:dyDescent="0.25">
      <c r="A63" s="15" t="s">
        <v>86</v>
      </c>
      <c r="B63" s="19">
        <v>5347.2375920000004</v>
      </c>
      <c r="C63" s="14" t="str">
        <f t="shared" si="0"/>
        <v>2020</v>
      </c>
    </row>
    <row r="64" spans="1:3" x14ac:dyDescent="0.25">
      <c r="A64" s="15" t="s">
        <v>87</v>
      </c>
      <c r="B64" s="18">
        <v>472.46276899999998</v>
      </c>
      <c r="C64" s="14" t="str">
        <f t="shared" si="0"/>
        <v>2020</v>
      </c>
    </row>
    <row r="65" spans="1:3" x14ac:dyDescent="0.25">
      <c r="A65" s="15" t="s">
        <v>88</v>
      </c>
      <c r="B65" s="19">
        <v>3174.4517890000002</v>
      </c>
      <c r="C65" s="14" t="str">
        <f t="shared" si="0"/>
        <v>2020</v>
      </c>
    </row>
    <row r="66" spans="1:3" x14ac:dyDescent="0.25">
      <c r="A66" s="15" t="s">
        <v>89</v>
      </c>
      <c r="B66" s="18">
        <v>-560.87774400000001</v>
      </c>
      <c r="C66" s="14" t="str">
        <f t="shared" si="0"/>
        <v>2020</v>
      </c>
    </row>
    <row r="67" spans="1:3" x14ac:dyDescent="0.25">
      <c r="A67" s="15" t="s">
        <v>90</v>
      </c>
      <c r="B67" s="19">
        <v>-1971.9091450000001</v>
      </c>
      <c r="C67" s="14" t="str">
        <f t="shared" ref="C67:C130" si="2">LEFT(A67,4)</f>
        <v>2020</v>
      </c>
    </row>
    <row r="68" spans="1:3" x14ac:dyDescent="0.25">
      <c r="A68" s="15" t="s">
        <v>91</v>
      </c>
      <c r="B68" s="18">
        <v>-14635.156069000001</v>
      </c>
      <c r="C68" s="14" t="str">
        <f t="shared" si="2"/>
        <v>2020</v>
      </c>
    </row>
    <row r="69" spans="1:3" x14ac:dyDescent="0.25">
      <c r="A69" s="15" t="s">
        <v>92</v>
      </c>
      <c r="B69" s="19">
        <v>-1148.255406</v>
      </c>
      <c r="C69" s="14" t="str">
        <f t="shared" si="2"/>
        <v>2020</v>
      </c>
    </row>
    <row r="70" spans="1:3" x14ac:dyDescent="0.25">
      <c r="A70" s="15" t="s">
        <v>93</v>
      </c>
      <c r="B70" s="18">
        <v>2038.584034</v>
      </c>
      <c r="C70" s="14" t="str">
        <f t="shared" si="2"/>
        <v>2020</v>
      </c>
    </row>
    <row r="71" spans="1:3" x14ac:dyDescent="0.25">
      <c r="A71" s="15" t="s">
        <v>94</v>
      </c>
      <c r="B71" s="19">
        <v>-611.41759000000002</v>
      </c>
      <c r="C71" s="14" t="str">
        <f t="shared" si="2"/>
        <v>2019</v>
      </c>
    </row>
    <row r="72" spans="1:3" x14ac:dyDescent="0.25">
      <c r="A72" s="15" t="s">
        <v>95</v>
      </c>
      <c r="B72" s="18">
        <v>5860.4508850000002</v>
      </c>
      <c r="C72" s="14" t="str">
        <f t="shared" si="2"/>
        <v>2019</v>
      </c>
    </row>
    <row r="73" spans="1:3" x14ac:dyDescent="0.25">
      <c r="A73" s="15" t="s">
        <v>96</v>
      </c>
      <c r="B73" s="19">
        <v>2580.0774040000001</v>
      </c>
      <c r="C73" s="14" t="str">
        <f t="shared" si="2"/>
        <v>2019</v>
      </c>
    </row>
    <row r="74" spans="1:3" x14ac:dyDescent="0.25">
      <c r="A74" s="15" t="s">
        <v>97</v>
      </c>
      <c r="B74" s="18">
        <v>2382.5426000000002</v>
      </c>
      <c r="C74" s="14" t="str">
        <f t="shared" si="2"/>
        <v>2019</v>
      </c>
    </row>
    <row r="75" spans="1:3" x14ac:dyDescent="0.25">
      <c r="A75" s="15" t="s">
        <v>98</v>
      </c>
      <c r="B75" s="19">
        <v>-363.13913000000002</v>
      </c>
      <c r="C75" s="14" t="str">
        <f t="shared" si="2"/>
        <v>2019</v>
      </c>
    </row>
    <row r="76" spans="1:3" x14ac:dyDescent="0.25">
      <c r="A76" s="15" t="s">
        <v>99</v>
      </c>
      <c r="B76" s="18">
        <v>457.03703000000002</v>
      </c>
      <c r="C76" s="14" t="str">
        <f t="shared" si="2"/>
        <v>2019</v>
      </c>
    </row>
    <row r="77" spans="1:3" x14ac:dyDescent="0.25">
      <c r="A77" s="15" t="s">
        <v>100</v>
      </c>
      <c r="B77" s="19">
        <v>1895.7294730000001</v>
      </c>
      <c r="C77" s="14" t="str">
        <f t="shared" si="2"/>
        <v>2019</v>
      </c>
    </row>
    <row r="78" spans="1:3" x14ac:dyDescent="0.25">
      <c r="A78" s="15" t="s">
        <v>101</v>
      </c>
      <c r="B78" s="18">
        <v>1835.932575</v>
      </c>
      <c r="C78" s="14" t="str">
        <f t="shared" si="2"/>
        <v>2019</v>
      </c>
    </row>
    <row r="79" spans="1:3" x14ac:dyDescent="0.25">
      <c r="A79" s="15" t="s">
        <v>102</v>
      </c>
      <c r="B79" s="19">
        <v>1111.029612</v>
      </c>
      <c r="C79" s="14" t="str">
        <f t="shared" si="2"/>
        <v>2019</v>
      </c>
    </row>
    <row r="80" spans="1:3" x14ac:dyDescent="0.25">
      <c r="A80" s="15" t="s">
        <v>103</v>
      </c>
      <c r="B80" s="18">
        <v>8622.9558649999999</v>
      </c>
      <c r="C80" s="14" t="str">
        <f t="shared" si="2"/>
        <v>2019</v>
      </c>
    </row>
    <row r="81" spans="1:3" x14ac:dyDescent="0.25">
      <c r="A81" s="15" t="s">
        <v>104</v>
      </c>
      <c r="B81" s="19">
        <v>1174.6452220000001</v>
      </c>
      <c r="C81" s="14" t="str">
        <f t="shared" si="2"/>
        <v>2019</v>
      </c>
    </row>
    <row r="82" spans="1:3" x14ac:dyDescent="0.25">
      <c r="A82" s="15" t="s">
        <v>105</v>
      </c>
      <c r="B82" s="18">
        <v>-361.72406599999999</v>
      </c>
      <c r="C82" s="14" t="str">
        <f t="shared" si="2"/>
        <v>2019</v>
      </c>
    </row>
    <row r="83" spans="1:3" x14ac:dyDescent="0.25">
      <c r="A83" s="15" t="s">
        <v>106</v>
      </c>
      <c r="B83" s="19">
        <v>-1343.956132</v>
      </c>
      <c r="C83" s="14" t="str">
        <f t="shared" si="2"/>
        <v>2018</v>
      </c>
    </row>
    <row r="84" spans="1:3" x14ac:dyDescent="0.25">
      <c r="A84" s="15" t="s">
        <v>107</v>
      </c>
      <c r="B84" s="18">
        <v>2990.9038599999999</v>
      </c>
      <c r="C84" s="14" t="str">
        <f t="shared" si="2"/>
        <v>2018</v>
      </c>
    </row>
    <row r="85" spans="1:3" x14ac:dyDescent="0.25">
      <c r="A85" s="15" t="s">
        <v>108</v>
      </c>
      <c r="B85" s="19">
        <v>-3757.5770000000002</v>
      </c>
      <c r="C85" s="14" t="str">
        <f t="shared" si="2"/>
        <v>2018</v>
      </c>
    </row>
    <row r="86" spans="1:3" x14ac:dyDescent="0.25">
      <c r="A86" s="15" t="s">
        <v>109</v>
      </c>
      <c r="B86" s="18">
        <v>-1798.8496319999999</v>
      </c>
      <c r="C86" s="14" t="str">
        <f t="shared" si="2"/>
        <v>2018</v>
      </c>
    </row>
    <row r="87" spans="1:3" x14ac:dyDescent="0.25">
      <c r="A87" s="15" t="s">
        <v>110</v>
      </c>
      <c r="B87" s="19">
        <v>-2830.5101</v>
      </c>
      <c r="C87" s="14" t="str">
        <f t="shared" si="2"/>
        <v>2018</v>
      </c>
    </row>
    <row r="88" spans="1:3" x14ac:dyDescent="0.25">
      <c r="A88" s="15" t="s">
        <v>111</v>
      </c>
      <c r="B88" s="18">
        <v>4831.4871279999998</v>
      </c>
      <c r="C88" s="14" t="str">
        <f t="shared" si="2"/>
        <v>2018</v>
      </c>
    </row>
    <row r="89" spans="1:3" x14ac:dyDescent="0.25">
      <c r="A89" s="15" t="s">
        <v>112</v>
      </c>
      <c r="B89" s="19">
        <v>-3881.7202480000001</v>
      </c>
      <c r="C89" s="14" t="str">
        <f t="shared" si="2"/>
        <v>2018</v>
      </c>
    </row>
    <row r="90" spans="1:3" x14ac:dyDescent="0.25">
      <c r="A90" s="15" t="s">
        <v>113</v>
      </c>
      <c r="B90" s="18">
        <v>-1373.3534279999999</v>
      </c>
      <c r="C90" s="14" t="str">
        <f t="shared" si="2"/>
        <v>2018</v>
      </c>
    </row>
    <row r="91" spans="1:3" x14ac:dyDescent="0.25">
      <c r="A91" s="15" t="s">
        <v>114</v>
      </c>
      <c r="B91" s="19">
        <v>-2890.2652090000001</v>
      </c>
      <c r="C91" s="14" t="str">
        <f t="shared" si="2"/>
        <v>2018</v>
      </c>
    </row>
    <row r="92" spans="1:3" x14ac:dyDescent="0.25">
      <c r="A92" s="15" t="s">
        <v>115</v>
      </c>
      <c r="B92" s="18">
        <v>-1390.1779570000001</v>
      </c>
      <c r="C92" s="14" t="str">
        <f t="shared" si="2"/>
        <v>2018</v>
      </c>
    </row>
    <row r="93" spans="1:3" x14ac:dyDescent="0.25">
      <c r="A93" s="15" t="s">
        <v>116</v>
      </c>
      <c r="B93" s="19">
        <v>286.87141800000001</v>
      </c>
      <c r="C93" s="14" t="str">
        <f t="shared" si="2"/>
        <v>2018</v>
      </c>
    </row>
    <row r="94" spans="1:3" x14ac:dyDescent="0.25">
      <c r="A94" s="15" t="s">
        <v>117</v>
      </c>
      <c r="B94" s="18">
        <v>3379.2077079999999</v>
      </c>
      <c r="C94" s="14" t="str">
        <f t="shared" si="2"/>
        <v>2018</v>
      </c>
    </row>
    <row r="95" spans="1:3" x14ac:dyDescent="0.25">
      <c r="A95" s="15" t="s">
        <v>118</v>
      </c>
      <c r="B95" s="19">
        <v>-120.217331</v>
      </c>
      <c r="C95" s="14" t="str">
        <f t="shared" si="2"/>
        <v>2017</v>
      </c>
    </row>
    <row r="96" spans="1:3" x14ac:dyDescent="0.25">
      <c r="A96" s="15" t="s">
        <v>119</v>
      </c>
      <c r="B96" s="18">
        <v>1590.8326689999999</v>
      </c>
      <c r="C96" s="14" t="str">
        <f t="shared" si="2"/>
        <v>2017</v>
      </c>
    </row>
    <row r="97" spans="1:3" x14ac:dyDescent="0.25">
      <c r="A97" s="15" t="s">
        <v>120</v>
      </c>
      <c r="B97" s="19">
        <v>3850.8926689999998</v>
      </c>
      <c r="C97" s="14" t="str">
        <f t="shared" si="2"/>
        <v>2017</v>
      </c>
    </row>
    <row r="98" spans="1:3" x14ac:dyDescent="0.25">
      <c r="A98" s="15" t="s">
        <v>121</v>
      </c>
      <c r="B98" s="18">
        <v>619.01484300000004</v>
      </c>
      <c r="C98" s="14" t="str">
        <f t="shared" si="2"/>
        <v>2017</v>
      </c>
    </row>
    <row r="99" spans="1:3" x14ac:dyDescent="0.25">
      <c r="A99" s="15" t="s">
        <v>122</v>
      </c>
      <c r="B99" s="19">
        <v>560.26719900000001</v>
      </c>
      <c r="C99" s="14" t="str">
        <f t="shared" si="2"/>
        <v>2017</v>
      </c>
    </row>
    <row r="100" spans="1:3" x14ac:dyDescent="0.25">
      <c r="A100" s="15" t="s">
        <v>123</v>
      </c>
      <c r="B100" s="18">
        <v>886.62652100000003</v>
      </c>
      <c r="C100" s="14" t="str">
        <f t="shared" si="2"/>
        <v>2017</v>
      </c>
    </row>
    <row r="101" spans="1:3" x14ac:dyDescent="0.25">
      <c r="A101" s="15" t="s">
        <v>124</v>
      </c>
      <c r="B101" s="19">
        <v>4427.8204230000001</v>
      </c>
      <c r="C101" s="14" t="str">
        <f t="shared" si="2"/>
        <v>2017</v>
      </c>
    </row>
    <row r="102" spans="1:3" x14ac:dyDescent="0.25">
      <c r="A102" s="15" t="s">
        <v>125</v>
      </c>
      <c r="B102" s="18">
        <v>5902.4174229999999</v>
      </c>
      <c r="C102" s="14" t="str">
        <f t="shared" si="2"/>
        <v>2017</v>
      </c>
    </row>
    <row r="103" spans="1:3" x14ac:dyDescent="0.25">
      <c r="A103" s="15" t="s">
        <v>126</v>
      </c>
      <c r="B103" s="19">
        <v>2121.3614229999998</v>
      </c>
      <c r="C103" s="14" t="str">
        <f t="shared" si="2"/>
        <v>2017</v>
      </c>
    </row>
    <row r="104" spans="1:3" x14ac:dyDescent="0.25">
      <c r="A104" s="15" t="s">
        <v>127</v>
      </c>
      <c r="B104" s="18">
        <v>8935.4830390000006</v>
      </c>
      <c r="C104" s="14" t="str">
        <f t="shared" si="2"/>
        <v>2017</v>
      </c>
    </row>
    <row r="105" spans="1:3" x14ac:dyDescent="0.25">
      <c r="A105" s="15" t="s">
        <v>128</v>
      </c>
      <c r="B105" s="19">
        <v>1608.8130389999999</v>
      </c>
      <c r="C105" s="14" t="str">
        <f t="shared" si="2"/>
        <v>2017</v>
      </c>
    </row>
    <row r="106" spans="1:3" x14ac:dyDescent="0.25">
      <c r="A106" s="15" t="s">
        <v>129</v>
      </c>
      <c r="B106" s="18">
        <v>254.473039</v>
      </c>
      <c r="C106" s="14" t="str">
        <f t="shared" si="2"/>
        <v>2017</v>
      </c>
    </row>
    <row r="107" spans="1:3" x14ac:dyDescent="0.25">
      <c r="A107" s="15" t="s">
        <v>130</v>
      </c>
      <c r="B107" s="19">
        <v>-4380.3335420000003</v>
      </c>
      <c r="C107" s="14" t="str">
        <f t="shared" si="2"/>
        <v>2016</v>
      </c>
    </row>
    <row r="108" spans="1:3" x14ac:dyDescent="0.25">
      <c r="A108" s="15" t="s">
        <v>131</v>
      </c>
      <c r="B108" s="18">
        <v>-6911.3126119999997</v>
      </c>
      <c r="C108" s="14" t="str">
        <f t="shared" si="2"/>
        <v>2016</v>
      </c>
    </row>
    <row r="109" spans="1:3" x14ac:dyDescent="0.25">
      <c r="A109" s="15" t="s">
        <v>132</v>
      </c>
      <c r="B109" s="19">
        <v>-49.242882000000002</v>
      </c>
      <c r="C109" s="14" t="str">
        <f t="shared" si="2"/>
        <v>2016</v>
      </c>
    </row>
    <row r="110" spans="1:3" x14ac:dyDescent="0.25">
      <c r="A110" s="15" t="s">
        <v>133</v>
      </c>
      <c r="B110" s="18">
        <v>2664.570201</v>
      </c>
      <c r="C110" s="14" t="str">
        <f t="shared" si="2"/>
        <v>2016</v>
      </c>
    </row>
    <row r="111" spans="1:3" x14ac:dyDescent="0.25">
      <c r="A111" s="15" t="s">
        <v>134</v>
      </c>
      <c r="B111" s="19">
        <v>1338.5664019999999</v>
      </c>
      <c r="C111" s="14" t="str">
        <f t="shared" si="2"/>
        <v>2016</v>
      </c>
    </row>
    <row r="112" spans="1:3" x14ac:dyDescent="0.25">
      <c r="A112" s="15" t="s">
        <v>135</v>
      </c>
      <c r="B112" s="18">
        <v>2047.1071959999999</v>
      </c>
      <c r="C112" s="14" t="str">
        <f t="shared" si="2"/>
        <v>2016</v>
      </c>
    </row>
    <row r="113" spans="1:3" x14ac:dyDescent="0.25">
      <c r="A113" s="15" t="s">
        <v>136</v>
      </c>
      <c r="B113" s="19">
        <v>8.5305370000000007</v>
      </c>
      <c r="C113" s="14" t="str">
        <f t="shared" si="2"/>
        <v>2016</v>
      </c>
    </row>
    <row r="114" spans="1:3" x14ac:dyDescent="0.25">
      <c r="A114" s="15" t="s">
        <v>137</v>
      </c>
      <c r="B114" s="18">
        <v>-1334.2194629999999</v>
      </c>
      <c r="C114" s="14" t="str">
        <f t="shared" si="2"/>
        <v>2016</v>
      </c>
    </row>
    <row r="115" spans="1:3" x14ac:dyDescent="0.25">
      <c r="A115" s="15" t="s">
        <v>138</v>
      </c>
      <c r="B115" s="19">
        <v>3429.130537</v>
      </c>
      <c r="C115" s="14" t="str">
        <f t="shared" si="2"/>
        <v>2016</v>
      </c>
    </row>
    <row r="116" spans="1:3" x14ac:dyDescent="0.25">
      <c r="A116" s="15" t="s">
        <v>139</v>
      </c>
      <c r="B116" s="18">
        <v>1107.3647289999999</v>
      </c>
      <c r="C116" s="14" t="str">
        <f t="shared" si="2"/>
        <v>2016</v>
      </c>
    </row>
    <row r="117" spans="1:3" x14ac:dyDescent="0.25">
      <c r="A117" s="15" t="s">
        <v>140</v>
      </c>
      <c r="B117" s="19">
        <v>-1501.525271</v>
      </c>
      <c r="C117" s="14" t="str">
        <f t="shared" si="2"/>
        <v>2016</v>
      </c>
    </row>
    <row r="118" spans="1:3" x14ac:dyDescent="0.25">
      <c r="A118" s="15" t="s">
        <v>141</v>
      </c>
      <c r="B118" s="18">
        <v>-1143.8452709999999</v>
      </c>
      <c r="C118" s="14" t="str">
        <f t="shared" si="2"/>
        <v>2016</v>
      </c>
    </row>
    <row r="119" spans="1:3" x14ac:dyDescent="0.25">
      <c r="A119" s="15" t="s">
        <v>142</v>
      </c>
      <c r="B119" s="19">
        <v>-1761.2100379999999</v>
      </c>
      <c r="C119" s="14" t="str">
        <f t="shared" si="2"/>
        <v>2015</v>
      </c>
    </row>
    <row r="120" spans="1:3" x14ac:dyDescent="0.25">
      <c r="A120" s="15" t="s">
        <v>143</v>
      </c>
      <c r="B120" s="18">
        <v>-2973.1700380000002</v>
      </c>
      <c r="C120" s="14" t="str">
        <f t="shared" si="2"/>
        <v>2015</v>
      </c>
    </row>
    <row r="121" spans="1:3" x14ac:dyDescent="0.25">
      <c r="A121" s="15" t="s">
        <v>144</v>
      </c>
      <c r="B121" s="19">
        <v>5288.2399619999997</v>
      </c>
      <c r="C121" s="14" t="str">
        <f t="shared" si="2"/>
        <v>2015</v>
      </c>
    </row>
    <row r="122" spans="1:3" x14ac:dyDescent="0.25">
      <c r="A122" s="15" t="s">
        <v>145</v>
      </c>
      <c r="B122" s="18">
        <v>-1384.4074949999999</v>
      </c>
      <c r="C122" s="14" t="str">
        <f t="shared" si="2"/>
        <v>2015</v>
      </c>
    </row>
    <row r="123" spans="1:3" x14ac:dyDescent="0.25">
      <c r="A123" s="15" t="s">
        <v>146</v>
      </c>
      <c r="B123" s="19">
        <v>-2468.3874949999999</v>
      </c>
      <c r="C123" s="14" t="str">
        <f t="shared" si="2"/>
        <v>2015</v>
      </c>
    </row>
    <row r="124" spans="1:3" x14ac:dyDescent="0.25">
      <c r="A124" s="15" t="s">
        <v>147</v>
      </c>
      <c r="B124" s="18">
        <v>483.75850500000001</v>
      </c>
      <c r="C124" s="14" t="str">
        <f t="shared" si="2"/>
        <v>2015</v>
      </c>
    </row>
    <row r="125" spans="1:3" x14ac:dyDescent="0.25">
      <c r="A125" s="15" t="s">
        <v>148</v>
      </c>
      <c r="B125" s="19">
        <v>-2169.4022380000001</v>
      </c>
      <c r="C125" s="14" t="str">
        <f t="shared" si="2"/>
        <v>2015</v>
      </c>
    </row>
    <row r="126" spans="1:3" x14ac:dyDescent="0.25">
      <c r="A126" s="15" t="s">
        <v>149</v>
      </c>
      <c r="B126" s="18">
        <v>-1906.8922379999999</v>
      </c>
      <c r="C126" s="14" t="str">
        <f t="shared" si="2"/>
        <v>2015</v>
      </c>
    </row>
    <row r="127" spans="1:3" x14ac:dyDescent="0.25">
      <c r="A127" s="15" t="s">
        <v>150</v>
      </c>
      <c r="B127" s="19">
        <v>4299.6867620000003</v>
      </c>
      <c r="C127" s="14" t="str">
        <f t="shared" si="2"/>
        <v>2015</v>
      </c>
    </row>
    <row r="128" spans="1:3" x14ac:dyDescent="0.25">
      <c r="A128" s="15" t="s">
        <v>151</v>
      </c>
      <c r="B128" s="18">
        <v>3308.4946260000002</v>
      </c>
      <c r="C128" s="14" t="str">
        <f t="shared" si="2"/>
        <v>2015</v>
      </c>
    </row>
    <row r="129" spans="1:3" x14ac:dyDescent="0.25">
      <c r="A129" s="15" t="s">
        <v>152</v>
      </c>
      <c r="B129" s="19">
        <v>3774.2131509999999</v>
      </c>
      <c r="C129" s="14" t="str">
        <f t="shared" si="2"/>
        <v>2015</v>
      </c>
    </row>
    <row r="130" spans="1:3" x14ac:dyDescent="0.25">
      <c r="A130" s="15" t="s">
        <v>153</v>
      </c>
      <c r="B130" s="18">
        <v>6639.7924279999997</v>
      </c>
      <c r="C130" s="14" t="str">
        <f t="shared" si="2"/>
        <v>2015</v>
      </c>
    </row>
    <row r="131" spans="1:3" x14ac:dyDescent="0.25">
      <c r="A131" s="15" t="s">
        <v>154</v>
      </c>
      <c r="B131" s="19">
        <v>-360.76689800000003</v>
      </c>
      <c r="C131" s="14" t="str">
        <f t="shared" ref="C131:C176" si="3">LEFT(A131,4)</f>
        <v>2014</v>
      </c>
    </row>
    <row r="132" spans="1:3" x14ac:dyDescent="0.25">
      <c r="A132" s="15" t="s">
        <v>155</v>
      </c>
      <c r="B132" s="18">
        <v>4875.683102</v>
      </c>
      <c r="C132" s="14" t="str">
        <f t="shared" si="3"/>
        <v>2014</v>
      </c>
    </row>
    <row r="133" spans="1:3" x14ac:dyDescent="0.25">
      <c r="A133" s="15" t="s">
        <v>156</v>
      </c>
      <c r="B133" s="19">
        <v>1765.3311020000001</v>
      </c>
      <c r="C133" s="14" t="str">
        <f t="shared" si="3"/>
        <v>2014</v>
      </c>
    </row>
    <row r="134" spans="1:3" x14ac:dyDescent="0.25">
      <c r="A134" s="15" t="s">
        <v>157</v>
      </c>
      <c r="B134" s="18">
        <v>2327.4786180000001</v>
      </c>
      <c r="C134" s="14" t="str">
        <f t="shared" si="3"/>
        <v>2014</v>
      </c>
    </row>
    <row r="135" spans="1:3" x14ac:dyDescent="0.25">
      <c r="A135" s="15" t="s">
        <v>158</v>
      </c>
      <c r="B135" s="19">
        <v>2054.6786179999999</v>
      </c>
      <c r="C135" s="14" t="str">
        <f t="shared" si="3"/>
        <v>2014</v>
      </c>
    </row>
    <row r="136" spans="1:3" x14ac:dyDescent="0.25">
      <c r="A136" s="15" t="s">
        <v>159</v>
      </c>
      <c r="B136" s="18">
        <v>5380.0486179999998</v>
      </c>
      <c r="C136" s="14" t="str">
        <f t="shared" si="3"/>
        <v>2014</v>
      </c>
    </row>
    <row r="137" spans="1:3" x14ac:dyDescent="0.25">
      <c r="A137" s="15" t="s">
        <v>160</v>
      </c>
      <c r="B137" s="19">
        <v>4815.7842909999999</v>
      </c>
      <c r="C137" s="14" t="str">
        <f t="shared" si="3"/>
        <v>2014</v>
      </c>
    </row>
    <row r="138" spans="1:3" x14ac:dyDescent="0.25">
      <c r="A138" s="15" t="s">
        <v>161</v>
      </c>
      <c r="B138" s="18">
        <v>7700.8642909999999</v>
      </c>
      <c r="C138" s="14" t="str">
        <f t="shared" si="3"/>
        <v>2014</v>
      </c>
    </row>
    <row r="139" spans="1:3" x14ac:dyDescent="0.25">
      <c r="A139" s="15" t="s">
        <v>162</v>
      </c>
      <c r="B139" s="19">
        <v>-76.845708999999999</v>
      </c>
      <c r="C139" s="14" t="str">
        <f t="shared" si="3"/>
        <v>2014</v>
      </c>
    </row>
    <row r="140" spans="1:3" x14ac:dyDescent="0.25">
      <c r="A140" s="15" t="s">
        <v>163</v>
      </c>
      <c r="B140" s="18">
        <v>5309.1488220000001</v>
      </c>
      <c r="C140" s="14" t="str">
        <f t="shared" si="3"/>
        <v>2014</v>
      </c>
    </row>
    <row r="141" spans="1:3" x14ac:dyDescent="0.25">
      <c r="A141" s="15" t="s">
        <v>164</v>
      </c>
      <c r="B141" s="19">
        <v>1420.808822</v>
      </c>
      <c r="C141" s="14" t="str">
        <f t="shared" si="3"/>
        <v>2014</v>
      </c>
    </row>
    <row r="142" spans="1:3" x14ac:dyDescent="0.25">
      <c r="A142" s="15" t="s">
        <v>165</v>
      </c>
      <c r="B142" s="18">
        <v>2528.1088220000001</v>
      </c>
      <c r="C142" s="14" t="str">
        <f t="shared" si="3"/>
        <v>2014</v>
      </c>
    </row>
    <row r="143" spans="1:3" x14ac:dyDescent="0.25">
      <c r="A143" s="15" t="s">
        <v>166</v>
      </c>
      <c r="B143" s="19">
        <v>2886.610897</v>
      </c>
      <c r="C143" s="14" t="str">
        <f t="shared" si="3"/>
        <v>2013</v>
      </c>
    </row>
    <row r="144" spans="1:3" x14ac:dyDescent="0.25">
      <c r="A144" s="15" t="s">
        <v>167</v>
      </c>
      <c r="B144" s="18">
        <v>-82.539102999999997</v>
      </c>
      <c r="C144" s="14" t="str">
        <f t="shared" si="3"/>
        <v>2013</v>
      </c>
    </row>
    <row r="145" spans="1:3" x14ac:dyDescent="0.25">
      <c r="A145" s="15" t="s">
        <v>168</v>
      </c>
      <c r="B145" s="19">
        <v>-414.02910300000002</v>
      </c>
      <c r="C145" s="14" t="str">
        <f t="shared" si="3"/>
        <v>2013</v>
      </c>
    </row>
    <row r="146" spans="1:3" x14ac:dyDescent="0.25">
      <c r="A146" s="15" t="s">
        <v>169</v>
      </c>
      <c r="B146" s="18">
        <v>144.776533</v>
      </c>
      <c r="C146" s="14" t="str">
        <f t="shared" si="3"/>
        <v>2013</v>
      </c>
    </row>
    <row r="147" spans="1:3" x14ac:dyDescent="0.25">
      <c r="A147" s="15" t="s">
        <v>170</v>
      </c>
      <c r="B147" s="19">
        <v>-2030.8434669999999</v>
      </c>
      <c r="C147" s="14" t="str">
        <f t="shared" si="3"/>
        <v>2013</v>
      </c>
    </row>
    <row r="148" spans="1:3" x14ac:dyDescent="0.25">
      <c r="A148" s="15" t="s">
        <v>171</v>
      </c>
      <c r="B148" s="18">
        <v>-4715.5434670000004</v>
      </c>
      <c r="C148" s="14" t="str">
        <f t="shared" si="3"/>
        <v>2013</v>
      </c>
    </row>
    <row r="149" spans="1:3" x14ac:dyDescent="0.25">
      <c r="A149" s="15" t="s">
        <v>172</v>
      </c>
      <c r="B149" s="19">
        <v>-8627.8740770000004</v>
      </c>
      <c r="C149" s="14" t="str">
        <f t="shared" si="3"/>
        <v>2013</v>
      </c>
    </row>
    <row r="150" spans="1:3" x14ac:dyDescent="0.25">
      <c r="A150" s="15" t="s">
        <v>173</v>
      </c>
      <c r="B150" s="18">
        <v>6782.1259229999996</v>
      </c>
      <c r="C150" s="14" t="str">
        <f t="shared" si="3"/>
        <v>2013</v>
      </c>
    </row>
    <row r="151" spans="1:3" x14ac:dyDescent="0.25">
      <c r="A151" s="15" t="s">
        <v>174</v>
      </c>
      <c r="B151" s="19">
        <v>1621.1259230000001</v>
      </c>
      <c r="C151" s="14" t="str">
        <f t="shared" si="3"/>
        <v>2013</v>
      </c>
    </row>
    <row r="152" spans="1:3" x14ac:dyDescent="0.25">
      <c r="A152" s="15" t="s">
        <v>175</v>
      </c>
      <c r="B152" s="18">
        <v>1170.8399999999999</v>
      </c>
      <c r="C152" s="14" t="str">
        <f t="shared" si="3"/>
        <v>2013</v>
      </c>
    </row>
    <row r="153" spans="1:3" x14ac:dyDescent="0.25">
      <c r="A153" s="15" t="s">
        <v>176</v>
      </c>
      <c r="B153" s="19">
        <v>4101.34</v>
      </c>
      <c r="C153" s="14" t="str">
        <f t="shared" si="3"/>
        <v>2013</v>
      </c>
    </row>
    <row r="154" spans="1:3" x14ac:dyDescent="0.25">
      <c r="A154" s="15" t="s">
        <v>177</v>
      </c>
      <c r="B154" s="18">
        <v>6042.44</v>
      </c>
      <c r="C154" s="14" t="str">
        <f t="shared" si="3"/>
        <v>2013</v>
      </c>
    </row>
    <row r="155" spans="1:3" x14ac:dyDescent="0.25">
      <c r="A155" s="15" t="s">
        <v>178</v>
      </c>
      <c r="B155" s="19">
        <v>4858.1000000000004</v>
      </c>
      <c r="C155" s="14" t="str">
        <f t="shared" si="3"/>
        <v>2012</v>
      </c>
    </row>
    <row r="156" spans="1:3" x14ac:dyDescent="0.25">
      <c r="A156" s="15" t="s">
        <v>179</v>
      </c>
      <c r="B156" s="18">
        <v>2002.24</v>
      </c>
      <c r="C156" s="14" t="str">
        <f t="shared" si="3"/>
        <v>2012</v>
      </c>
    </row>
    <row r="157" spans="1:3" x14ac:dyDescent="0.25">
      <c r="A157" s="15" t="s">
        <v>180</v>
      </c>
      <c r="B157" s="19">
        <v>2920.99</v>
      </c>
      <c r="C157" s="14" t="str">
        <f t="shared" si="3"/>
        <v>2012</v>
      </c>
    </row>
    <row r="158" spans="1:3" x14ac:dyDescent="0.25">
      <c r="A158" s="15" t="s">
        <v>181</v>
      </c>
      <c r="B158" s="18">
        <v>4124.3766670000005</v>
      </c>
      <c r="C158" s="14" t="str">
        <f t="shared" si="3"/>
        <v>2012</v>
      </c>
    </row>
    <row r="159" spans="1:3" x14ac:dyDescent="0.25">
      <c r="A159" s="15" t="s">
        <v>182</v>
      </c>
      <c r="B159" s="19">
        <v>1475.4966669999999</v>
      </c>
      <c r="C159" s="14" t="str">
        <f t="shared" si="3"/>
        <v>2012</v>
      </c>
    </row>
    <row r="160" spans="1:3" x14ac:dyDescent="0.25">
      <c r="A160" s="15" t="s">
        <v>183</v>
      </c>
      <c r="B160" s="18">
        <v>2117.6566670000002</v>
      </c>
      <c r="C160" s="14" t="str">
        <f t="shared" si="3"/>
        <v>2012</v>
      </c>
    </row>
    <row r="161" spans="1:3" x14ac:dyDescent="0.25">
      <c r="A161" s="15" t="s">
        <v>184</v>
      </c>
      <c r="B161" s="19">
        <v>-421.503333</v>
      </c>
      <c r="C161" s="14" t="str">
        <f t="shared" si="3"/>
        <v>2012</v>
      </c>
    </row>
    <row r="162" spans="1:3" x14ac:dyDescent="0.25">
      <c r="A162" s="15" t="s">
        <v>185</v>
      </c>
      <c r="B162" s="18">
        <v>-91.773332999999994</v>
      </c>
      <c r="C162" s="14" t="str">
        <f t="shared" si="3"/>
        <v>2012</v>
      </c>
    </row>
    <row r="163" spans="1:3" x14ac:dyDescent="0.25">
      <c r="A163" s="15" t="s">
        <v>186</v>
      </c>
      <c r="B163" s="19">
        <v>-1408.843333</v>
      </c>
      <c r="C163" s="14" t="str">
        <f t="shared" si="3"/>
        <v>2012</v>
      </c>
    </row>
    <row r="164" spans="1:3" x14ac:dyDescent="0.25">
      <c r="A164" s="15" t="s">
        <v>187</v>
      </c>
      <c r="B164" s="18">
        <v>-609</v>
      </c>
      <c r="C164" s="14" t="str">
        <f t="shared" si="3"/>
        <v>2012</v>
      </c>
    </row>
    <row r="165" spans="1:3" x14ac:dyDescent="0.25">
      <c r="A165" s="15" t="s">
        <v>188</v>
      </c>
      <c r="B165" s="19">
        <v>9170</v>
      </c>
      <c r="C165" s="14" t="str">
        <f t="shared" si="3"/>
        <v>2012</v>
      </c>
    </row>
    <row r="166" spans="1:3" x14ac:dyDescent="0.25">
      <c r="A166" s="15" t="s">
        <v>189</v>
      </c>
      <c r="B166" s="18">
        <v>5365</v>
      </c>
      <c r="C166" s="14" t="str">
        <f t="shared" si="3"/>
        <v>2012</v>
      </c>
    </row>
    <row r="167" spans="1:3" x14ac:dyDescent="0.25">
      <c r="A167" s="15" t="s">
        <v>190</v>
      </c>
      <c r="B167" s="19">
        <v>2286</v>
      </c>
      <c r="C167" s="14" t="str">
        <f t="shared" si="3"/>
        <v>2011</v>
      </c>
    </row>
    <row r="168" spans="1:3" x14ac:dyDescent="0.25">
      <c r="A168" s="15" t="s">
        <v>191</v>
      </c>
      <c r="B168" s="18">
        <v>60</v>
      </c>
      <c r="C168" s="14" t="str">
        <f t="shared" si="3"/>
        <v>2011</v>
      </c>
    </row>
    <row r="169" spans="1:3" x14ac:dyDescent="0.25">
      <c r="A169" s="15" t="s">
        <v>192</v>
      </c>
      <c r="B169" s="19">
        <v>-448</v>
      </c>
      <c r="C169" s="14" t="str">
        <f t="shared" si="3"/>
        <v>2011</v>
      </c>
    </row>
    <row r="170" spans="1:3" x14ac:dyDescent="0.25">
      <c r="A170" s="15" t="s">
        <v>193</v>
      </c>
      <c r="B170" s="18">
        <v>-1084.5233330000001</v>
      </c>
      <c r="C170" s="14" t="str">
        <f t="shared" si="3"/>
        <v>2011</v>
      </c>
    </row>
    <row r="171" spans="1:3" x14ac:dyDescent="0.25">
      <c r="A171" s="15" t="s">
        <v>194</v>
      </c>
      <c r="B171" s="19">
        <v>-1734.0433330000001</v>
      </c>
      <c r="C171" s="14" t="str">
        <f t="shared" si="3"/>
        <v>2011</v>
      </c>
    </row>
    <row r="172" spans="1:3" x14ac:dyDescent="0.25">
      <c r="A172" s="15" t="s">
        <v>195</v>
      </c>
      <c r="B172" s="18">
        <v>1623.0266670000001</v>
      </c>
      <c r="C172" s="14" t="str">
        <f t="shared" si="3"/>
        <v>2011</v>
      </c>
    </row>
    <row r="173" spans="1:3" x14ac:dyDescent="0.25">
      <c r="A173" s="15" t="s">
        <v>196</v>
      </c>
      <c r="B173" s="19">
        <v>720.07</v>
      </c>
      <c r="C173" s="14" t="str">
        <f t="shared" si="3"/>
        <v>2011</v>
      </c>
    </row>
    <row r="174" spans="1:3" x14ac:dyDescent="0.25">
      <c r="A174" s="15" t="s">
        <v>197</v>
      </c>
      <c r="B174" s="18">
        <v>-1652.87</v>
      </c>
      <c r="C174" s="14" t="str">
        <f t="shared" si="3"/>
        <v>2011</v>
      </c>
    </row>
    <row r="175" spans="1:3" x14ac:dyDescent="0.25">
      <c r="A175" s="15" t="s">
        <v>198</v>
      </c>
      <c r="B175" s="19">
        <v>3475.6</v>
      </c>
      <c r="C175" s="14" t="str">
        <f t="shared" si="3"/>
        <v>2011</v>
      </c>
    </row>
    <row r="176" spans="1:3" x14ac:dyDescent="0.25">
      <c r="A176" s="16" t="s">
        <v>199</v>
      </c>
      <c r="B176" s="20">
        <v>-609</v>
      </c>
      <c r="C176" s="14" t="str">
        <f t="shared" si="3"/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FII Monthly (New Format)</vt:lpstr>
      <vt:lpstr>NET FPI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ROHIT GHOSH</cp:lastModifiedBy>
  <dcterms:created xsi:type="dcterms:W3CDTF">2025-12-17T11:17:48Z</dcterms:created>
  <dcterms:modified xsi:type="dcterms:W3CDTF">2025-12-17T19:26:45Z</dcterms:modified>
</cp:coreProperties>
</file>