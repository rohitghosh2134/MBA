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MEE\Assignment\"/>
    </mc:Choice>
  </mc:AlternateContent>
  <xr:revisionPtr revIDLastSave="0" documentId="13_ncr:1_{86448146-71BA-4700-93A2-3BD095E625D1}" xr6:coauthVersionLast="47" xr6:coauthVersionMax="47" xr10:uidLastSave="{00000000-0000-0000-0000-000000000000}"/>
  <bookViews>
    <workbookView xWindow="-108" yWindow="-108" windowWidth="23256" windowHeight="13176" activeTab="3" xr2:uid="{1CBCEEA7-2665-49EB-980D-C327F257451B}"/>
  </bookViews>
  <sheets>
    <sheet name="CAD AS % OF GDP" sheetId="1" r:id="rId1"/>
    <sheet name="ANNUAL EXCHANGE RATE" sheetId="2" r:id="rId2"/>
    <sheet name="ANNUAL NET FPI" sheetId="3" r:id="rId3"/>
    <sheet name="MASTER_ANNUAL" sheetId="4" r:id="rId4"/>
    <sheet name="TESTS" sheetId="5" r:id="rId5"/>
  </sheets>
  <definedNames>
    <definedName name="_xlnm._FilterDatabase" localSheetId="3" hidden="1">MASTER_ANNUAL!$L$1:$L$14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F13" i="4" s="1"/>
  <c r="C13" i="4"/>
  <c r="G13" i="4"/>
  <c r="M13" i="4" s="1"/>
  <c r="G3" i="4"/>
  <c r="N3" i="4" s="1"/>
  <c r="G4" i="4"/>
  <c r="N4" i="4" s="1"/>
  <c r="G5" i="4"/>
  <c r="N5" i="4" s="1"/>
  <c r="G6" i="4"/>
  <c r="N6" i="4" s="1"/>
  <c r="G7" i="4"/>
  <c r="G8" i="4"/>
  <c r="N8" i="4" s="1"/>
  <c r="G9" i="4"/>
  <c r="M9" i="4" s="1"/>
  <c r="G10" i="4"/>
  <c r="N10" i="4" s="1"/>
  <c r="G11" i="4"/>
  <c r="N11" i="4" s="1"/>
  <c r="G12" i="4"/>
  <c r="N12" i="4" s="1"/>
  <c r="G14" i="4"/>
  <c r="N14" i="4" s="1"/>
  <c r="G15" i="4"/>
  <c r="G2" i="4"/>
  <c r="N2" i="4" s="1"/>
  <c r="N13" i="4" l="1"/>
  <c r="L13" i="4"/>
  <c r="M7" i="4"/>
  <c r="C3" i="4" l="1"/>
  <c r="M3" i="4" s="1"/>
  <c r="C4" i="4"/>
  <c r="M4" i="4" s="1"/>
  <c r="C5" i="4"/>
  <c r="M5" i="4" s="1"/>
  <c r="C6" i="4"/>
  <c r="M6" i="4" s="1"/>
  <c r="C7" i="4"/>
  <c r="N7" i="4" s="1"/>
  <c r="C8" i="4"/>
  <c r="M8" i="4" s="1"/>
  <c r="C9" i="4"/>
  <c r="N9" i="4" s="1"/>
  <c r="C10" i="4"/>
  <c r="M10" i="4" s="1"/>
  <c r="C11" i="4"/>
  <c r="M11" i="4" s="1"/>
  <c r="C12" i="4"/>
  <c r="M12" i="4" s="1"/>
  <c r="C14" i="4"/>
  <c r="M14" i="4" s="1"/>
  <c r="C15" i="4"/>
  <c r="C2" i="4"/>
  <c r="M2" i="4" s="1"/>
  <c r="B3" i="4"/>
  <c r="B4" i="4"/>
  <c r="B5" i="4"/>
  <c r="B6" i="4"/>
  <c r="B7" i="4"/>
  <c r="B8" i="4"/>
  <c r="B9" i="4"/>
  <c r="B10" i="4"/>
  <c r="B11" i="4"/>
  <c r="B12" i="4"/>
  <c r="B14" i="4"/>
  <c r="B15" i="4"/>
  <c r="F15" i="4" s="1"/>
  <c r="B2" i="4"/>
  <c r="L7" i="4" l="1"/>
  <c r="F7" i="4"/>
  <c r="L8" i="4"/>
  <c r="F8" i="4"/>
  <c r="L6" i="4"/>
  <c r="F6" i="4"/>
  <c r="L5" i="4"/>
  <c r="F5" i="4"/>
  <c r="L2" i="4"/>
  <c r="F2" i="4"/>
  <c r="L14" i="4"/>
  <c r="F14" i="4"/>
  <c r="L4" i="4"/>
  <c r="F4" i="4"/>
  <c r="L12" i="4"/>
  <c r="F12" i="4"/>
  <c r="L3" i="4"/>
  <c r="F3" i="4"/>
  <c r="L11" i="4"/>
  <c r="F11" i="4"/>
  <c r="L10" i="4"/>
  <c r="F10" i="4"/>
  <c r="L9" i="4"/>
  <c r="F9" i="4"/>
</calcChain>
</file>

<file path=xl/sharedStrings.xml><?xml version="1.0" encoding="utf-8"?>
<sst xmlns="http://schemas.openxmlformats.org/spreadsheetml/2006/main" count="130" uniqueCount="62">
  <si>
    <t>Country Name</t>
  </si>
  <si>
    <t>Country Code</t>
  </si>
  <si>
    <t>Indicator Name</t>
  </si>
  <si>
    <t>Indicator Code</t>
  </si>
  <si>
    <t>India</t>
  </si>
  <si>
    <t>IND</t>
  </si>
  <si>
    <t>Current account balance (% of GDP)</t>
  </si>
  <si>
    <t>BN.CAB.XOKA.GD.ZS</t>
  </si>
  <si>
    <t>YEAR</t>
  </si>
  <si>
    <t>ANNUAL EXCHANGE RATE</t>
  </si>
  <si>
    <t>ANNUAL FPI</t>
  </si>
  <si>
    <t>CAD (% of GDP)</t>
  </si>
  <si>
    <t>AVERAGE EXCHANGE ANNUAL</t>
  </si>
  <si>
    <t>AVERAGE EXCHANGE ANNUAL RATE</t>
  </si>
  <si>
    <t>ANNUAL NET FPI</t>
  </si>
  <si>
    <t>FPI REGIME</t>
  </si>
  <si>
    <t>ΔEXR_Inflow</t>
  </si>
  <si>
    <t>ΔEXR_Outflow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</si>
  <si>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</si>
  <si>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</si>
  <si>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</si>
  <si>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</si>
  <si>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</si>
  <si>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</si>
  <si>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</si>
  <si>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</si>
  <si>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</si>
  <si>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</si>
  <si>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</si>
  <si>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CAD_REGIME</t>
  </si>
  <si>
    <t/>
  </si>
  <si>
    <t>CORRELATION TEST</t>
  </si>
  <si>
    <t>T -TEST</t>
  </si>
  <si>
    <t>NULL HYPOTHESIS:</t>
  </si>
  <si>
    <t>ALTERNATE HYPOTHESIS</t>
  </si>
  <si>
    <t>CAD x FPI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</si>
  <si>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</si>
  <si>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</si>
  <si>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</si>
  <si>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</si>
  <si>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</si>
  <si>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</si>
  <si>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</si>
  <si>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</si>
  <si>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</si>
  <si>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</si>
  <si>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</si>
  <si>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</si>
  <si>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</si>
  <si>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</si>
  <si>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</si>
  <si>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</si>
  <si>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</si>
  <si>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</si>
  <si>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</si>
  <si>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</si>
  <si>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</si>
  <si>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TEST 3 :- REGRESSION</t>
  </si>
  <si>
    <r>
      <t xml:space="preserve">There is </t>
    </r>
    <r>
      <rPr>
        <b/>
        <sz val="11"/>
        <color theme="1"/>
        <rFont val="Aptos Narrow"/>
        <family val="2"/>
        <scheme val="minor"/>
      </rPr>
      <t>no significant difference</t>
    </r>
    <r>
      <rPr>
        <sz val="11"/>
        <color theme="1"/>
        <rFont val="Aptos Narrow"/>
        <family val="2"/>
        <scheme val="minor"/>
      </rPr>
      <t xml:space="preserve"> in average rupee depreciation between CAD periods with capital inflows and those with capital outflows.</t>
    </r>
  </si>
  <si>
    <r>
      <t xml:space="preserve">Average rupee depreciation is </t>
    </r>
    <r>
      <rPr>
        <b/>
        <sz val="11"/>
        <color theme="1"/>
        <rFont val="Aptos Narrow"/>
        <family val="2"/>
        <scheme val="minor"/>
      </rPr>
      <t>significantly higher</t>
    </r>
    <r>
      <rPr>
        <sz val="11"/>
        <color theme="1"/>
        <rFont val="Aptos Narrow"/>
        <family val="2"/>
        <scheme val="minor"/>
      </rPr>
      <t xml:space="preserve"> during CAD periods accompanied by capital outflows compared to CAD periods with capital inflows.</t>
    </r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</si>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</sst>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2">
    <cellStyle name="Normal" xfId="0" builtinId="0"/>
    <cellStyle name="Normal 2" xfId="1" xr:uid="{19702296-1920-43A3-8734-ED7E5221D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ANNUAL NET FPI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MASTER_ANNUAL!$D$2:$D$15</c:f>
              <c:numCache>
                <c:formatCode>General</c:formatCode>
                <c:ptCount val="14"/>
                <c:pt idx="0">
                  <c:v>2636.2600010000001</c:v>
                </c:pt>
                <c:pt idx="1">
                  <c:v>29502.740001999999</c:v>
                </c:pt>
                <c:pt idx="2">
                  <c:v>6878.4300589999993</c:v>
                </c:pt>
                <c:pt idx="3">
                  <c:v>37740.322499000002</c:v>
                </c:pt>
                <c:pt idx="4">
                  <c:v>11130.715892</c:v>
                </c:pt>
                <c:pt idx="5">
                  <c:v>-4725.2094389999993</c:v>
                </c:pt>
                <c:pt idx="6">
                  <c:v>30637.784956</c:v>
                </c:pt>
                <c:pt idx="7">
                  <c:v>-7777.9395919999988</c:v>
                </c:pt>
                <c:pt idx="8">
                  <c:v>24584.119880000002</c:v>
                </c:pt>
                <c:pt idx="9">
                  <c:v>15111.706746999997</c:v>
                </c:pt>
                <c:pt idx="10">
                  <c:v>5718.1993648999996</c:v>
                </c:pt>
                <c:pt idx="11">
                  <c:v>-18702.836367271993</c:v>
                </c:pt>
                <c:pt idx="12">
                  <c:v>31025.324772448614</c:v>
                </c:pt>
                <c:pt idx="13">
                  <c:v>20814.571002044999</c:v>
                </c:pt>
              </c:numCache>
            </c:numRef>
          </c:xVal>
          <c:yVal>
            <c:numRef>
              <c:f>TESTS!$C$73:$C$86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4-4CD5-8544-791D3544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313231"/>
        <c:axId val="1893312271"/>
      </c:scatterChart>
      <c:valAx>
        <c:axId val="1893313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NET FPI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312271"/>
        <c:crosses val="autoZero"/>
        <c:crossBetween val="midCat"/>
      </c:valAx>
      <c:valAx>
        <c:axId val="1893312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3132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CAD (% of GDP)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MASTER_ANNUAL!$E$2:$E$15</c:f>
              <c:numCache>
                <c:formatCode>General</c:formatCode>
                <c:ptCount val="14"/>
                <c:pt idx="0">
                  <c:v>-3.4292846860606101</c:v>
                </c:pt>
                <c:pt idx="1">
                  <c:v>-5.0048897180530298</c:v>
                </c:pt>
                <c:pt idx="2">
                  <c:v>-2.6456671173389199</c:v>
                </c:pt>
                <c:pt idx="3">
                  <c:v>-1.33950896483452</c:v>
                </c:pt>
                <c:pt idx="4">
                  <c:v>-1.0675490716796401</c:v>
                </c:pt>
                <c:pt idx="5">
                  <c:v>-0.52788060603751796</c:v>
                </c:pt>
                <c:pt idx="6">
                  <c:v>-1.4394882032098799</c:v>
                </c:pt>
                <c:pt idx="7">
                  <c:v>-2.4269754581052698</c:v>
                </c:pt>
                <c:pt idx="8">
                  <c:v>-1.04961203910072</c:v>
                </c:pt>
                <c:pt idx="9">
                  <c:v>1.22362111042791</c:v>
                </c:pt>
                <c:pt idx="10">
                  <c:v>-1.0552416680938299</c:v>
                </c:pt>
                <c:pt idx="11">
                  <c:v>-2.36247481487452</c:v>
                </c:pt>
                <c:pt idx="12">
                  <c:v>-0.87826284720868197</c:v>
                </c:pt>
                <c:pt idx="13">
                  <c:v>-0.82224320865486999</c:v>
                </c:pt>
              </c:numCache>
            </c:numRef>
          </c:xVal>
          <c:yVal>
            <c:numRef>
              <c:f>TESTS!$C$73:$C$86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7-470A-922C-A633858B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08639"/>
        <c:axId val="1893313231"/>
      </c:scatterChart>
      <c:valAx>
        <c:axId val="1918508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CAD (% of GDP)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313231"/>
        <c:crosses val="autoZero"/>
        <c:crossBetween val="midCat"/>
      </c:valAx>
      <c:valAx>
        <c:axId val="1893313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086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CAD x FPI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MASTER_ANNUAL!$F$2:$F$15</c:f>
              <c:numCache>
                <c:formatCode>General</c:formatCode>
                <c:ptCount val="14"/>
                <c:pt idx="0">
                  <c:v>-9040.4860499034294</c:v>
                </c:pt>
                <c:pt idx="1">
                  <c:v>-147657.96009040161</c:v>
                </c:pt>
                <c:pt idx="2">
                  <c:v>-18198.036226011904</c:v>
                </c:pt>
                <c:pt idx="3">
                  <c:v>-50553.500323156433</c:v>
                </c:pt>
                <c:pt idx="4">
                  <c:v>-11882.585417634416</c:v>
                </c:pt>
                <c:pt idx="5">
                  <c:v>2494.3464223135197</c:v>
                </c:pt>
                <c:pt idx="6">
                  <c:v>-44102.730016643131</c:v>
                </c:pt>
                <c:pt idx="7">
                  <c:v>18876.868504409311</c:v>
                </c:pt>
                <c:pt idx="8">
                  <c:v>-25803.78819674335</c:v>
                </c:pt>
                <c:pt idx="9">
                  <c:v>18491.003390225076</c:v>
                </c:pt>
                <c:pt idx="10">
                  <c:v>-6034.0822363101543</c:v>
                </c:pt>
                <c:pt idx="11">
                  <c:v>44184.979884399341</c:v>
                </c:pt>
                <c:pt idx="12">
                  <c:v>-27248.390070224774</c:v>
                </c:pt>
                <c:pt idx="13">
                  <c:v>-17114.639647496093</c:v>
                </c:pt>
              </c:numCache>
            </c:numRef>
          </c:xVal>
          <c:yVal>
            <c:numRef>
              <c:f>TESTS!$C$73:$C$86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1-46D8-BC86-9080E57B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53295"/>
        <c:axId val="1918508639"/>
      </c:scatterChart>
      <c:valAx>
        <c:axId val="188975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CAD x FPI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08639"/>
        <c:crosses val="autoZero"/>
        <c:crossBetween val="midCat"/>
      </c:valAx>
      <c:valAx>
        <c:axId val="1918508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7532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ANNUAL NET FPI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ANNUAL EXCHANGE RATE</c:v>
          </c:tx>
          <c:spPr>
            <a:ln w="38100">
              <a:noFill/>
            </a:ln>
          </c:spPr>
          <c:xVal>
            <c:numRef>
              <c:f>MASTER_ANNUAL!$D$2:$D$15</c:f>
              <c:numCache>
                <c:formatCode>General</c:formatCode>
                <c:ptCount val="14"/>
                <c:pt idx="0">
                  <c:v>2636.2600010000001</c:v>
                </c:pt>
                <c:pt idx="1">
                  <c:v>29502.740001999999</c:v>
                </c:pt>
                <c:pt idx="2">
                  <c:v>6878.4300589999993</c:v>
                </c:pt>
                <c:pt idx="3">
                  <c:v>37740.322499000002</c:v>
                </c:pt>
                <c:pt idx="4">
                  <c:v>11130.715892</c:v>
                </c:pt>
                <c:pt idx="5">
                  <c:v>-4725.2094389999993</c:v>
                </c:pt>
                <c:pt idx="6">
                  <c:v>30637.784956</c:v>
                </c:pt>
                <c:pt idx="7">
                  <c:v>-7777.9395919999988</c:v>
                </c:pt>
                <c:pt idx="8">
                  <c:v>24584.119880000002</c:v>
                </c:pt>
                <c:pt idx="9">
                  <c:v>15111.706746999997</c:v>
                </c:pt>
                <c:pt idx="10">
                  <c:v>5718.1993648999996</c:v>
                </c:pt>
                <c:pt idx="11">
                  <c:v>-18702.836367271993</c:v>
                </c:pt>
                <c:pt idx="12">
                  <c:v>31025.324772448614</c:v>
                </c:pt>
                <c:pt idx="13">
                  <c:v>20814.571002044999</c:v>
                </c:pt>
              </c:numCache>
            </c:numRef>
          </c:xVal>
          <c:yVal>
            <c:numRef>
              <c:f>MASTER_ANNUAL!$C$2:$C$15</c:f>
              <c:numCache>
                <c:formatCode>General</c:formatCode>
                <c:ptCount val="14"/>
                <c:pt idx="0">
                  <c:v>2.0426742698889018</c:v>
                </c:pt>
                <c:pt idx="1">
                  <c:v>14.619003641686978</c:v>
                </c:pt>
                <c:pt idx="2">
                  <c:v>9.6089284587262771</c:v>
                </c:pt>
                <c:pt idx="3">
                  <c:v>4.0809423609936131</c:v>
                </c:pt>
                <c:pt idx="4">
                  <c:v>5.1205342201154345</c:v>
                </c:pt>
                <c:pt idx="5">
                  <c:v>4.7709605362375171</c:v>
                </c:pt>
                <c:pt idx="6">
                  <c:v>-3.1197948849183352</c:v>
                </c:pt>
                <c:pt idx="7">
                  <c:v>4.9858906788420008</c:v>
                </c:pt>
                <c:pt idx="8">
                  <c:v>2.9924097857192296</c:v>
                </c:pt>
                <c:pt idx="9">
                  <c:v>5.2003645546309958</c:v>
                </c:pt>
                <c:pt idx="10">
                  <c:v>-0.19380712401354944</c:v>
                </c:pt>
                <c:pt idx="11">
                  <c:v>6.3935882110570867</c:v>
                </c:pt>
                <c:pt idx="12">
                  <c:v>5.0287570227712859</c:v>
                </c:pt>
                <c:pt idx="13">
                  <c:v>1.2955982447924217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C-4A3C-BC96-88CD41D615E0}"/>
            </c:ext>
          </c:extLst>
        </c:ser>
        <c:ser>
          <c:idx val="1"/>
          <c:order val="1"/>
          <c:tx>
            <c:v>Predicted ANNUAL EXCHANGE RATE</c:v>
          </c:tx>
          <c:spPr>
            <a:ln w="38100">
              <a:noFill/>
            </a:ln>
          </c:spPr>
          <c:xVal>
            <c:numRef>
              <c:f>MASTER_ANNUAL!$D$2:$D$15</c:f>
              <c:numCache>
                <c:formatCode>General</c:formatCode>
                <c:ptCount val="14"/>
                <c:pt idx="0">
                  <c:v>2636.2600010000001</c:v>
                </c:pt>
                <c:pt idx="1">
                  <c:v>29502.740001999999</c:v>
                </c:pt>
                <c:pt idx="2">
                  <c:v>6878.4300589999993</c:v>
                </c:pt>
                <c:pt idx="3">
                  <c:v>37740.322499000002</c:v>
                </c:pt>
                <c:pt idx="4">
                  <c:v>11130.715892</c:v>
                </c:pt>
                <c:pt idx="5">
                  <c:v>-4725.2094389999993</c:v>
                </c:pt>
                <c:pt idx="6">
                  <c:v>30637.784956</c:v>
                </c:pt>
                <c:pt idx="7">
                  <c:v>-7777.9395919999988</c:v>
                </c:pt>
                <c:pt idx="8">
                  <c:v>24584.119880000002</c:v>
                </c:pt>
                <c:pt idx="9">
                  <c:v>15111.706746999997</c:v>
                </c:pt>
                <c:pt idx="10">
                  <c:v>5718.1993648999996</c:v>
                </c:pt>
                <c:pt idx="11">
                  <c:v>-18702.836367271993</c:v>
                </c:pt>
                <c:pt idx="12">
                  <c:v>31025.324772448614</c:v>
                </c:pt>
                <c:pt idx="13">
                  <c:v>20814.571002044999</c:v>
                </c:pt>
              </c:numCache>
            </c:numRef>
          </c:xVal>
          <c:yVal>
            <c:numRef>
              <c:f>TESTS!$B$73:$B$86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0C-4A3C-BC96-88CD41D61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269103"/>
        <c:axId val="1876270063"/>
      </c:scatterChart>
      <c:valAx>
        <c:axId val="187626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NET FPI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270063"/>
        <c:crosses val="autoZero"/>
        <c:crossBetween val="midCat"/>
      </c:valAx>
      <c:valAx>
        <c:axId val="1876270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EXCHANGE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2691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CAD (% of GDP)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ANNUAL EXCHANGE RATE</c:v>
          </c:tx>
          <c:spPr>
            <a:ln w="38100">
              <a:noFill/>
            </a:ln>
          </c:spPr>
          <c:xVal>
            <c:numRef>
              <c:f>MASTER_ANNUAL!$E$2:$E$15</c:f>
              <c:numCache>
                <c:formatCode>General</c:formatCode>
                <c:ptCount val="14"/>
                <c:pt idx="0">
                  <c:v>-3.4292846860606101</c:v>
                </c:pt>
                <c:pt idx="1">
                  <c:v>-5.0048897180530298</c:v>
                </c:pt>
                <c:pt idx="2">
                  <c:v>-2.6456671173389199</c:v>
                </c:pt>
                <c:pt idx="3">
                  <c:v>-1.33950896483452</c:v>
                </c:pt>
                <c:pt idx="4">
                  <c:v>-1.0675490716796401</c:v>
                </c:pt>
                <c:pt idx="5">
                  <c:v>-0.52788060603751796</c:v>
                </c:pt>
                <c:pt idx="6">
                  <c:v>-1.4394882032098799</c:v>
                </c:pt>
                <c:pt idx="7">
                  <c:v>-2.4269754581052698</c:v>
                </c:pt>
                <c:pt idx="8">
                  <c:v>-1.04961203910072</c:v>
                </c:pt>
                <c:pt idx="9">
                  <c:v>1.22362111042791</c:v>
                </c:pt>
                <c:pt idx="10">
                  <c:v>-1.0552416680938299</c:v>
                </c:pt>
                <c:pt idx="11">
                  <c:v>-2.36247481487452</c:v>
                </c:pt>
                <c:pt idx="12">
                  <c:v>-0.87826284720868197</c:v>
                </c:pt>
                <c:pt idx="13">
                  <c:v>-0.82224320865486999</c:v>
                </c:pt>
              </c:numCache>
            </c:numRef>
          </c:xVal>
          <c:yVal>
            <c:numRef>
              <c:f>MASTER_ANNUAL!$C$2:$C$15</c:f>
              <c:numCache>
                <c:formatCode>General</c:formatCode>
                <c:ptCount val="14"/>
                <c:pt idx="0">
                  <c:v>2.0426742698889018</c:v>
                </c:pt>
                <c:pt idx="1">
                  <c:v>14.619003641686978</c:v>
                </c:pt>
                <c:pt idx="2">
                  <c:v>9.6089284587262771</c:v>
                </c:pt>
                <c:pt idx="3">
                  <c:v>4.0809423609936131</c:v>
                </c:pt>
                <c:pt idx="4">
                  <c:v>5.1205342201154345</c:v>
                </c:pt>
                <c:pt idx="5">
                  <c:v>4.7709605362375171</c:v>
                </c:pt>
                <c:pt idx="6">
                  <c:v>-3.1197948849183352</c:v>
                </c:pt>
                <c:pt idx="7">
                  <c:v>4.9858906788420008</c:v>
                </c:pt>
                <c:pt idx="8">
                  <c:v>2.9924097857192296</c:v>
                </c:pt>
                <c:pt idx="9">
                  <c:v>5.2003645546309958</c:v>
                </c:pt>
                <c:pt idx="10">
                  <c:v>-0.19380712401354944</c:v>
                </c:pt>
                <c:pt idx="11">
                  <c:v>6.3935882110570867</c:v>
                </c:pt>
                <c:pt idx="12">
                  <c:v>5.0287570227712859</c:v>
                </c:pt>
                <c:pt idx="13">
                  <c:v>1.2955982447924217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A8-486D-BECB-34649C056D2C}"/>
            </c:ext>
          </c:extLst>
        </c:ser>
        <c:ser>
          <c:idx val="1"/>
          <c:order val="1"/>
          <c:tx>
            <c:v>Predicted ANNUAL EXCHANGE RATE</c:v>
          </c:tx>
          <c:spPr>
            <a:ln w="38100">
              <a:noFill/>
            </a:ln>
          </c:spPr>
          <c:xVal>
            <c:numRef>
              <c:f>MASTER_ANNUAL!$E$2:$E$15</c:f>
              <c:numCache>
                <c:formatCode>General</c:formatCode>
                <c:ptCount val="14"/>
                <c:pt idx="0">
                  <c:v>-3.4292846860606101</c:v>
                </c:pt>
                <c:pt idx="1">
                  <c:v>-5.0048897180530298</c:v>
                </c:pt>
                <c:pt idx="2">
                  <c:v>-2.6456671173389199</c:v>
                </c:pt>
                <c:pt idx="3">
                  <c:v>-1.33950896483452</c:v>
                </c:pt>
                <c:pt idx="4">
                  <c:v>-1.0675490716796401</c:v>
                </c:pt>
                <c:pt idx="5">
                  <c:v>-0.52788060603751796</c:v>
                </c:pt>
                <c:pt idx="6">
                  <c:v>-1.4394882032098799</c:v>
                </c:pt>
                <c:pt idx="7">
                  <c:v>-2.4269754581052698</c:v>
                </c:pt>
                <c:pt idx="8">
                  <c:v>-1.04961203910072</c:v>
                </c:pt>
                <c:pt idx="9">
                  <c:v>1.22362111042791</c:v>
                </c:pt>
                <c:pt idx="10">
                  <c:v>-1.0552416680938299</c:v>
                </c:pt>
                <c:pt idx="11">
                  <c:v>-2.36247481487452</c:v>
                </c:pt>
                <c:pt idx="12">
                  <c:v>-0.87826284720868197</c:v>
                </c:pt>
                <c:pt idx="13">
                  <c:v>-0.82224320865486999</c:v>
                </c:pt>
              </c:numCache>
            </c:numRef>
          </c:xVal>
          <c:yVal>
            <c:numRef>
              <c:f>TESTS!$B$73:$B$86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A8-486D-BECB-34649C056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690207"/>
        <c:axId val="1891689247"/>
      </c:scatterChart>
      <c:valAx>
        <c:axId val="189169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CAD (% of GDP)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689247"/>
        <c:crosses val="autoZero"/>
        <c:crossBetween val="midCat"/>
      </c:valAx>
      <c:valAx>
        <c:axId val="1891689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EXCHANGE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6902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CAD x FPI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ANNUAL EXCHANGE RATE</c:v>
          </c:tx>
          <c:spPr>
            <a:ln w="38100">
              <a:noFill/>
            </a:ln>
          </c:spPr>
          <c:xVal>
            <c:numRef>
              <c:f>MASTER_ANNUAL!$F$2:$F$15</c:f>
              <c:numCache>
                <c:formatCode>General</c:formatCode>
                <c:ptCount val="14"/>
                <c:pt idx="0">
                  <c:v>-9040.4860499034294</c:v>
                </c:pt>
                <c:pt idx="1">
                  <c:v>-147657.96009040161</c:v>
                </c:pt>
                <c:pt idx="2">
                  <c:v>-18198.036226011904</c:v>
                </c:pt>
                <c:pt idx="3">
                  <c:v>-50553.500323156433</c:v>
                </c:pt>
                <c:pt idx="4">
                  <c:v>-11882.585417634416</c:v>
                </c:pt>
                <c:pt idx="5">
                  <c:v>2494.3464223135197</c:v>
                </c:pt>
                <c:pt idx="6">
                  <c:v>-44102.730016643131</c:v>
                </c:pt>
                <c:pt idx="7">
                  <c:v>18876.868504409311</c:v>
                </c:pt>
                <c:pt idx="8">
                  <c:v>-25803.78819674335</c:v>
                </c:pt>
                <c:pt idx="9">
                  <c:v>18491.003390225076</c:v>
                </c:pt>
                <c:pt idx="10">
                  <c:v>-6034.0822363101543</c:v>
                </c:pt>
                <c:pt idx="11">
                  <c:v>44184.979884399341</c:v>
                </c:pt>
                <c:pt idx="12">
                  <c:v>-27248.390070224774</c:v>
                </c:pt>
                <c:pt idx="13">
                  <c:v>-17114.639647496093</c:v>
                </c:pt>
              </c:numCache>
            </c:numRef>
          </c:xVal>
          <c:yVal>
            <c:numRef>
              <c:f>MASTER_ANNUAL!$C$2:$C$15</c:f>
              <c:numCache>
                <c:formatCode>General</c:formatCode>
                <c:ptCount val="14"/>
                <c:pt idx="0">
                  <c:v>2.0426742698889018</c:v>
                </c:pt>
                <c:pt idx="1">
                  <c:v>14.619003641686978</c:v>
                </c:pt>
                <c:pt idx="2">
                  <c:v>9.6089284587262771</c:v>
                </c:pt>
                <c:pt idx="3">
                  <c:v>4.0809423609936131</c:v>
                </c:pt>
                <c:pt idx="4">
                  <c:v>5.1205342201154345</c:v>
                </c:pt>
                <c:pt idx="5">
                  <c:v>4.7709605362375171</c:v>
                </c:pt>
                <c:pt idx="6">
                  <c:v>-3.1197948849183352</c:v>
                </c:pt>
                <c:pt idx="7">
                  <c:v>4.9858906788420008</c:v>
                </c:pt>
                <c:pt idx="8">
                  <c:v>2.9924097857192296</c:v>
                </c:pt>
                <c:pt idx="9">
                  <c:v>5.2003645546309958</c:v>
                </c:pt>
                <c:pt idx="10">
                  <c:v>-0.19380712401354944</c:v>
                </c:pt>
                <c:pt idx="11">
                  <c:v>6.3935882110570867</c:v>
                </c:pt>
                <c:pt idx="12">
                  <c:v>5.0287570227712859</c:v>
                </c:pt>
                <c:pt idx="13">
                  <c:v>1.2955982447924217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10-4945-9869-75DC44D3406E}"/>
            </c:ext>
          </c:extLst>
        </c:ser>
        <c:ser>
          <c:idx val="1"/>
          <c:order val="1"/>
          <c:tx>
            <c:v>Predicted ANNUAL EXCHANGE RATE</c:v>
          </c:tx>
          <c:spPr>
            <a:ln w="38100">
              <a:noFill/>
            </a:ln>
          </c:spPr>
          <c:xVal>
            <c:numRef>
              <c:f>MASTER_ANNUAL!$F$2:$F$15</c:f>
              <c:numCache>
                <c:formatCode>General</c:formatCode>
                <c:ptCount val="14"/>
                <c:pt idx="0">
                  <c:v>-9040.4860499034294</c:v>
                </c:pt>
                <c:pt idx="1">
                  <c:v>-147657.96009040161</c:v>
                </c:pt>
                <c:pt idx="2">
                  <c:v>-18198.036226011904</c:v>
                </c:pt>
                <c:pt idx="3">
                  <c:v>-50553.500323156433</c:v>
                </c:pt>
                <c:pt idx="4">
                  <c:v>-11882.585417634416</c:v>
                </c:pt>
                <c:pt idx="5">
                  <c:v>2494.3464223135197</c:v>
                </c:pt>
                <c:pt idx="6">
                  <c:v>-44102.730016643131</c:v>
                </c:pt>
                <c:pt idx="7">
                  <c:v>18876.868504409311</c:v>
                </c:pt>
                <c:pt idx="8">
                  <c:v>-25803.78819674335</c:v>
                </c:pt>
                <c:pt idx="9">
                  <c:v>18491.003390225076</c:v>
                </c:pt>
                <c:pt idx="10">
                  <c:v>-6034.0822363101543</c:v>
                </c:pt>
                <c:pt idx="11">
                  <c:v>44184.979884399341</c:v>
                </c:pt>
                <c:pt idx="12">
                  <c:v>-27248.390070224774</c:v>
                </c:pt>
                <c:pt idx="13">
                  <c:v>-17114.639647496093</c:v>
                </c:pt>
              </c:numCache>
            </c:numRef>
          </c:xVal>
          <c:yVal>
            <c:numRef>
              <c:f>TESTS!$B$73:$B$86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10-4945-9869-75DC44D3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469951"/>
        <c:axId val="1913468991"/>
      </c:scatterChart>
      <c:valAx>
        <c:axId val="191346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CAD x FPI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468991"/>
        <c:crosses val="autoZero"/>
        <c:crossBetween val="midCat"/>
      </c:valAx>
      <c:valAx>
        <c:axId val="1913468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EXCHANGE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4699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TESTS!$F$73:$F$86</c:f>
              <c:numCache>
                <c:formatCode>General</c:formatCode>
                <c:ptCount val="14"/>
              </c:numCache>
            </c:numRef>
          </c:xVal>
          <c:yVal>
            <c:numRef>
              <c:f>TESTS!$G$73:$G$86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7-4412-A389-7ACA66C9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468511"/>
        <c:axId val="1913470431"/>
      </c:scatterChart>
      <c:valAx>
        <c:axId val="191346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470431"/>
        <c:crosses val="autoZero"/>
        <c:crossBetween val="midCat"/>
      </c:valAx>
      <c:valAx>
        <c:axId val="1913470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ANNUAL EXCHANGE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468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MASTER_ANNUAL!$A$72:$A$85</c:f>
              <c:numCache>
                <c:formatCode>General</c:formatCode>
                <c:ptCount val="14"/>
                <c:pt idx="0">
                  <c:v>3.5714285714285716</c:v>
                </c:pt>
                <c:pt idx="1">
                  <c:v>10.714285714285715</c:v>
                </c:pt>
                <c:pt idx="2">
                  <c:v>17.857142857142858</c:v>
                </c:pt>
                <c:pt idx="3">
                  <c:v>25.000000000000004</c:v>
                </c:pt>
                <c:pt idx="4">
                  <c:v>32.142857142857146</c:v>
                </c:pt>
                <c:pt idx="5">
                  <c:v>39.285714285714285</c:v>
                </c:pt>
                <c:pt idx="6">
                  <c:v>46.428571428571431</c:v>
                </c:pt>
                <c:pt idx="7">
                  <c:v>53.571428571428569</c:v>
                </c:pt>
                <c:pt idx="8">
                  <c:v>60.714285714285715</c:v>
                </c:pt>
                <c:pt idx="9">
                  <c:v>67.857142857142861</c:v>
                </c:pt>
                <c:pt idx="10">
                  <c:v>75</c:v>
                </c:pt>
                <c:pt idx="11">
                  <c:v>82.142857142857139</c:v>
                </c:pt>
                <c:pt idx="12">
                  <c:v>89.285714285714292</c:v>
                </c:pt>
                <c:pt idx="13">
                  <c:v>96.428571428571431</c:v>
                </c:pt>
              </c:numCache>
            </c:numRef>
          </c:xVal>
          <c:yVal>
            <c:numRef>
              <c:f>MASTER_ANNUAL!$B$72:$B$85</c:f>
              <c:numCache>
                <c:formatCode>General</c:formatCode>
                <c:ptCount val="14"/>
                <c:pt idx="0">
                  <c:v>-3.1197948849183352</c:v>
                </c:pt>
                <c:pt idx="1">
                  <c:v>-0.19380712401354944</c:v>
                </c:pt>
                <c:pt idx="2">
                  <c:v>1.2955982447924217</c:v>
                </c:pt>
                <c:pt idx="3">
                  <c:v>2.0426742698889018</c:v>
                </c:pt>
                <c:pt idx="4">
                  <c:v>2.9924097857192296</c:v>
                </c:pt>
                <c:pt idx="5">
                  <c:v>4.0809423609936131</c:v>
                </c:pt>
                <c:pt idx="6">
                  <c:v>4.7709605362375171</c:v>
                </c:pt>
                <c:pt idx="7">
                  <c:v>4.9858906788420008</c:v>
                </c:pt>
                <c:pt idx="8">
                  <c:v>5.0287570227712859</c:v>
                </c:pt>
                <c:pt idx="9">
                  <c:v>5.1205342201154345</c:v>
                </c:pt>
                <c:pt idx="10">
                  <c:v>5.2003645546309958</c:v>
                </c:pt>
                <c:pt idx="11">
                  <c:v>6.3935882110570867</c:v>
                </c:pt>
                <c:pt idx="12">
                  <c:v>9.6089284587262771</c:v>
                </c:pt>
                <c:pt idx="13">
                  <c:v>14.619003641686978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A-40DD-82EE-D612DC62B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86400"/>
        <c:axId val="1399886880"/>
      </c:scatterChart>
      <c:valAx>
        <c:axId val="13998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9886880"/>
        <c:crosses val="autoZero"/>
        <c:crossBetween val="midCat"/>
      </c:valAx>
      <c:valAx>
        <c:axId val="1399886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998864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575656</xdr:colOff>
      <xdr:row>42</xdr:row>
      <xdr:rowOff>175260</xdr:rowOff>
    </xdr:from>
    <xdr:to>
      <xdr:col>22</xdr:col>
      <xdr:colOff>306878</xdr:colOff>
      <xdr:row>51</xdr:row>
      <xdr:rowOff>22859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65953-E1AF-F784-6DF9-EB56032AE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486987</xdr:colOff>
      <xdr:row>19</xdr:row>
      <xdr:rowOff>50569</xdr:rowOff>
    </xdr:from>
    <xdr:to>
      <xdr:col>22</xdr:col>
      <xdr:colOff>223751</xdr:colOff>
      <xdr:row>29</xdr:row>
      <xdr:rowOff>50569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91BE4-DC93-89C5-8121-08DA430EE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47798</xdr:colOff>
      <xdr:row>30</xdr:row>
      <xdr:rowOff>9006</xdr:rowOff>
    </xdr:from>
    <xdr:to>
      <xdr:col>22</xdr:col>
      <xdr:colOff>196042</xdr:colOff>
      <xdr:row>37</xdr:row>
      <xdr:rowOff>9005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0FA8A9-E450-D171-46BD-DDB51E6B6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251460</xdr:colOff>
      <xdr:row>37</xdr:row>
      <xdr:rowOff>133696</xdr:rowOff>
    </xdr:from>
    <xdr:to>
      <xdr:col>22</xdr:col>
      <xdr:colOff>251460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57C412-AAD4-D593-72A1-7424142CF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334586</xdr:colOff>
      <xdr:row>37</xdr:row>
      <xdr:rowOff>119841</xdr:rowOff>
    </xdr:from>
    <xdr:to>
      <xdr:col>29</xdr:col>
      <xdr:colOff>274819</xdr:colOff>
      <xdr:row>51</xdr:row>
      <xdr:rowOff>62458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A77537-E1B9-E4D4-9B60-98C525765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306878</xdr:colOff>
      <xdr:row>30</xdr:row>
      <xdr:rowOff>9006</xdr:rowOff>
    </xdr:from>
    <xdr:to>
      <xdr:col>28</xdr:col>
      <xdr:colOff>306878</xdr:colOff>
      <xdr:row>37</xdr:row>
      <xdr:rowOff>9006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75539F-63F3-85C8-038D-2C114F9E8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306879</xdr:colOff>
      <xdr:row>19</xdr:row>
      <xdr:rowOff>50569</xdr:rowOff>
    </xdr:from>
    <xdr:to>
      <xdr:col>28</xdr:col>
      <xdr:colOff>306879</xdr:colOff>
      <xdr:row>29</xdr:row>
      <xdr:rowOff>64423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6157ED-CE82-0819-C859-D1367A762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190500</xdr:colOff>
      <xdr:row>9</xdr:row>
      <xdr:rowOff>137160</xdr:rowOff>
    </xdr:from>
    <xdr:to>
      <xdr:col>15</xdr:col>
      <xdr:colOff>190500</xdr:colOff>
      <xdr:row>19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EA5E00-1810-5C68-80C3-4BA2E7711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159A-B257-4A99-BBEF-D43C290D089F}">
  <dimension ref="A1:B29"/>
  <sheetViews>
    <sheetView topLeftCell="A16" workbookViewId="0">
      <selection activeCell="B6" sqref="B6"/>
    </sheetView>
  </sheetViews>
  <sheetFormatPr defaultRowHeight="14.4" x14ac:dyDescent="0.3"/>
  <cols>
    <col min="1" max="1" width="13.44140625" style="2" bestFit="1" customWidth="1"/>
    <col min="2" max="3" width="30.21875" style="2" bestFit="1" customWidth="1"/>
    <col min="4" max="4" width="18.21875" style="2" bestFit="1" customWidth="1"/>
    <col min="5" max="5" width="11.6640625" style="2" bestFit="1" customWidth="1"/>
    <col min="6" max="6" width="11" style="2" bestFit="1" customWidth="1"/>
    <col min="7" max="7" width="12.6640625" style="2" bestFit="1" customWidth="1"/>
    <col min="8" max="8" width="12" style="2" bestFit="1" customWidth="1"/>
    <col min="9" max="9" width="11" style="2" bestFit="1" customWidth="1"/>
    <col min="10" max="24" width="12.6640625" style="2" bestFit="1" customWidth="1"/>
    <col min="25" max="25" width="11" style="2" bestFit="1" customWidth="1"/>
    <col min="26" max="29" width="12.6640625" style="2" bestFit="1" customWidth="1"/>
    <col min="30" max="16384" width="8.88671875" style="2"/>
  </cols>
  <sheetData>
    <row r="1" spans="1:2" x14ac:dyDescent="0.3">
      <c r="A1" s="2" t="s">
        <v>0</v>
      </c>
      <c r="B1" s="2" t="s">
        <v>4</v>
      </c>
    </row>
    <row r="2" spans="1:2" x14ac:dyDescent="0.3">
      <c r="A2" s="2" t="s">
        <v>1</v>
      </c>
      <c r="B2" s="2" t="s">
        <v>5</v>
      </c>
    </row>
    <row r="3" spans="1:2" x14ac:dyDescent="0.3">
      <c r="A3" s="2" t="s">
        <v>2</v>
      </c>
      <c r="B3" s="2" t="s">
        <v>6</v>
      </c>
    </row>
    <row r="4" spans="1:2" x14ac:dyDescent="0.3">
      <c r="A4" s="2" t="s">
        <v>3</v>
      </c>
      <c r="B4" s="2" t="s">
        <v>7</v>
      </c>
    </row>
    <row r="5" spans="1:2" x14ac:dyDescent="0.3">
      <c r="A5" s="2">
        <v>2000</v>
      </c>
      <c r="B5" s="2">
        <v>-0.98234258001713703</v>
      </c>
    </row>
    <row r="6" spans="1:2" x14ac:dyDescent="0.3">
      <c r="A6" s="2">
        <v>2001</v>
      </c>
      <c r="B6" s="2">
        <v>0.290495460210206</v>
      </c>
    </row>
    <row r="7" spans="1:2" x14ac:dyDescent="0.3">
      <c r="A7" s="2">
        <v>2002</v>
      </c>
      <c r="B7" s="2">
        <v>1.3709379390084699</v>
      </c>
    </row>
    <row r="8" spans="1:2" x14ac:dyDescent="0.3">
      <c r="A8" s="2">
        <v>2003</v>
      </c>
      <c r="B8" s="2">
        <v>1.4435577329123399</v>
      </c>
    </row>
    <row r="9" spans="1:2" x14ac:dyDescent="0.3">
      <c r="A9" s="2">
        <v>2004</v>
      </c>
      <c r="B9" s="2">
        <v>0.110018010197153</v>
      </c>
    </row>
    <row r="10" spans="1:2" x14ac:dyDescent="0.3">
      <c r="A10" s="2">
        <v>2005</v>
      </c>
      <c r="B10" s="2">
        <v>-1.2535040020739301</v>
      </c>
    </row>
    <row r="11" spans="1:2" x14ac:dyDescent="0.3">
      <c r="A11" s="2">
        <v>2006</v>
      </c>
      <c r="B11" s="2">
        <v>-0.98898830295229201</v>
      </c>
    </row>
    <row r="12" spans="1:2" x14ac:dyDescent="0.3">
      <c r="A12" s="2">
        <v>2007</v>
      </c>
      <c r="B12" s="2">
        <v>-0.66371764877260897</v>
      </c>
    </row>
    <row r="13" spans="1:2" x14ac:dyDescent="0.3">
      <c r="A13" s="2">
        <v>2008</v>
      </c>
      <c r="B13" s="2">
        <v>-2.5833774925983701</v>
      </c>
    </row>
    <row r="14" spans="1:2" x14ac:dyDescent="0.3">
      <c r="A14" s="2">
        <v>2009</v>
      </c>
      <c r="B14" s="2">
        <v>-1.9514620911180101</v>
      </c>
    </row>
    <row r="15" spans="1:2" x14ac:dyDescent="0.3">
      <c r="A15" s="2">
        <v>2010</v>
      </c>
      <c r="B15" s="2">
        <v>-3.25348368945179</v>
      </c>
    </row>
    <row r="16" spans="1:2" x14ac:dyDescent="0.3">
      <c r="A16" s="2">
        <v>2011</v>
      </c>
      <c r="B16" s="2">
        <v>-3.4292846860606101</v>
      </c>
    </row>
    <row r="17" spans="1:2" x14ac:dyDescent="0.3">
      <c r="A17" s="2">
        <v>2012</v>
      </c>
      <c r="B17" s="2">
        <v>-5.0048897180530298</v>
      </c>
    </row>
    <row r="18" spans="1:2" x14ac:dyDescent="0.3">
      <c r="A18" s="2">
        <v>2013</v>
      </c>
      <c r="B18" s="2">
        <v>-2.6456671173389199</v>
      </c>
    </row>
    <row r="19" spans="1:2" x14ac:dyDescent="0.3">
      <c r="A19" s="2">
        <v>2014</v>
      </c>
      <c r="B19" s="2">
        <v>-1.33950896483452</v>
      </c>
    </row>
    <row r="20" spans="1:2" x14ac:dyDescent="0.3">
      <c r="A20" s="2">
        <v>2015</v>
      </c>
      <c r="B20" s="2">
        <v>-1.0675490716796401</v>
      </c>
    </row>
    <row r="21" spans="1:2" x14ac:dyDescent="0.3">
      <c r="A21" s="2">
        <v>2016</v>
      </c>
      <c r="B21" s="2">
        <v>-0.52788060603751796</v>
      </c>
    </row>
    <row r="22" spans="1:2" x14ac:dyDescent="0.3">
      <c r="A22" s="2">
        <v>2017</v>
      </c>
      <c r="B22" s="2">
        <v>-1.4394882032098799</v>
      </c>
    </row>
    <row r="23" spans="1:2" x14ac:dyDescent="0.3">
      <c r="A23" s="2">
        <v>2018</v>
      </c>
      <c r="B23" s="2">
        <v>-2.4269754581052698</v>
      </c>
    </row>
    <row r="24" spans="1:2" x14ac:dyDescent="0.3">
      <c r="A24" s="2">
        <v>2019</v>
      </c>
      <c r="B24" s="2">
        <v>-1.04961203910072</v>
      </c>
    </row>
    <row r="25" spans="1:2" x14ac:dyDescent="0.3">
      <c r="A25" s="2">
        <v>2020</v>
      </c>
      <c r="B25" s="2">
        <v>1.22362111042791</v>
      </c>
    </row>
    <row r="26" spans="1:2" x14ac:dyDescent="0.3">
      <c r="A26" s="2">
        <v>2021</v>
      </c>
      <c r="B26" s="2">
        <v>-1.0552416680938299</v>
      </c>
    </row>
    <row r="27" spans="1:2" x14ac:dyDescent="0.3">
      <c r="A27" s="2">
        <v>2022</v>
      </c>
      <c r="B27" s="2">
        <v>-2.36247481487452</v>
      </c>
    </row>
    <row r="28" spans="1:2" x14ac:dyDescent="0.3">
      <c r="A28" s="2">
        <v>2023</v>
      </c>
      <c r="B28" s="2">
        <v>-0.87826284720868197</v>
      </c>
    </row>
    <row r="29" spans="1:2" x14ac:dyDescent="0.3">
      <c r="A29" s="2">
        <v>2024</v>
      </c>
      <c r="B29" s="2">
        <v>-0.82224320865486999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0436-BA72-46F2-84A1-50C926609588}">
  <dimension ref="A1:C24"/>
  <sheetViews>
    <sheetView workbookViewId="0">
      <selection activeCell="E7" sqref="E7"/>
    </sheetView>
  </sheetViews>
  <sheetFormatPr defaultRowHeight="14.4" x14ac:dyDescent="0.3"/>
  <cols>
    <col min="1" max="1" width="5.21875" bestFit="1" customWidth="1"/>
    <col min="2" max="2" width="26.33203125" bestFit="1" customWidth="1"/>
    <col min="3" max="3" width="22.5546875" bestFit="1" customWidth="1"/>
  </cols>
  <sheetData>
    <row r="1" spans="1:3" x14ac:dyDescent="0.3">
      <c r="A1" s="1" t="s">
        <v>8</v>
      </c>
      <c r="B1" s="1" t="s">
        <v>12</v>
      </c>
      <c r="C1" s="1" t="s">
        <v>13</v>
      </c>
    </row>
    <row r="2" spans="1:3" x14ac:dyDescent="0.3">
      <c r="A2">
        <v>2010</v>
      </c>
      <c r="B2">
        <v>45.737276422764239</v>
      </c>
    </row>
    <row r="3" spans="1:3" x14ac:dyDescent="0.3">
      <c r="A3">
        <v>2011</v>
      </c>
      <c r="B3">
        <v>46.671540000000007</v>
      </c>
      <c r="C3">
        <v>2.0426742698889018</v>
      </c>
    </row>
    <row r="4" spans="1:3" x14ac:dyDescent="0.3">
      <c r="A4">
        <v>2012</v>
      </c>
      <c r="B4">
        <v>53.494454132231404</v>
      </c>
      <c r="C4">
        <v>14.619003641686978</v>
      </c>
    </row>
    <row r="5" spans="1:3" x14ac:dyDescent="0.3">
      <c r="A5">
        <v>2013</v>
      </c>
      <c r="B5">
        <v>58.634697959183661</v>
      </c>
      <c r="C5">
        <v>9.6089284587262771</v>
      </c>
    </row>
    <row r="6" spans="1:3" x14ac:dyDescent="0.3">
      <c r="A6">
        <v>2014</v>
      </c>
      <c r="B6">
        <v>61.027546186440645</v>
      </c>
      <c r="C6">
        <v>4.0809423609936131</v>
      </c>
    </row>
    <row r="7" spans="1:3" x14ac:dyDescent="0.3">
      <c r="A7">
        <v>2015</v>
      </c>
      <c r="B7">
        <v>64.15248257261409</v>
      </c>
      <c r="C7">
        <v>5.1205342201154345</v>
      </c>
    </row>
    <row r="8" spans="1:3" x14ac:dyDescent="0.3">
      <c r="A8">
        <v>2016</v>
      </c>
      <c r="B8">
        <v>67.21317219917016</v>
      </c>
      <c r="C8">
        <v>4.7709605362375171</v>
      </c>
    </row>
    <row r="9" spans="1:3" x14ac:dyDescent="0.3">
      <c r="A9">
        <v>2017</v>
      </c>
      <c r="B9">
        <v>65.116259090909097</v>
      </c>
      <c r="C9">
        <v>-3.1197948849183352</v>
      </c>
    </row>
    <row r="10" spans="1:3" x14ac:dyDescent="0.3">
      <c r="A10">
        <v>2018</v>
      </c>
      <c r="B10">
        <v>68.36288458333334</v>
      </c>
      <c r="C10">
        <v>4.9858906788420008</v>
      </c>
    </row>
    <row r="11" spans="1:3" x14ac:dyDescent="0.3">
      <c r="A11">
        <v>2019</v>
      </c>
      <c r="B11">
        <v>70.408582231404949</v>
      </c>
      <c r="C11">
        <v>2.9924097857192296</v>
      </c>
    </row>
    <row r="12" spans="1:3" x14ac:dyDescent="0.3">
      <c r="A12">
        <v>2020</v>
      </c>
      <c r="B12">
        <v>74.07008518518515</v>
      </c>
      <c r="C12">
        <v>5.2003645546309958</v>
      </c>
    </row>
    <row r="13" spans="1:3" x14ac:dyDescent="0.3">
      <c r="A13">
        <v>2021</v>
      </c>
      <c r="B13">
        <v>73.926532083333356</v>
      </c>
      <c r="C13">
        <v>-0.19380712401354944</v>
      </c>
    </row>
    <row r="14" spans="1:3" x14ac:dyDescent="0.3">
      <c r="A14">
        <v>2022</v>
      </c>
      <c r="B14">
        <v>78.653090123456693</v>
      </c>
      <c r="C14">
        <v>6.3935882110570867</v>
      </c>
    </row>
    <row r="15" spans="1:3" x14ac:dyDescent="0.3">
      <c r="A15">
        <v>2023</v>
      </c>
      <c r="B15">
        <v>82.60836291666665</v>
      </c>
      <c r="C15">
        <v>5.0287570227712859</v>
      </c>
    </row>
    <row r="16" spans="1:3" x14ac:dyDescent="0.3">
      <c r="A16">
        <v>2024</v>
      </c>
      <c r="B16">
        <v>83.678635416666737</v>
      </c>
      <c r="C16">
        <v>1.2955982447924217</v>
      </c>
    </row>
    <row r="17" spans="1:3" x14ac:dyDescent="0.3">
      <c r="A17">
        <v>2025</v>
      </c>
      <c r="B17">
        <v>86.887834234234248</v>
      </c>
      <c r="C17">
        <v>3.8351471693912411</v>
      </c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6563-CD02-4F2D-9285-F946F5D6AE58}">
  <dimension ref="A1:B16"/>
  <sheetViews>
    <sheetView workbookViewId="0">
      <selection activeCell="F24" sqref="F24"/>
    </sheetView>
  </sheetViews>
  <sheetFormatPr defaultRowHeight="14.4" x14ac:dyDescent="0.3"/>
  <cols>
    <col min="1" max="1" width="5.21875" style="2" bestFit="1" customWidth="1"/>
    <col min="2" max="2" width="12.6640625" style="2" bestFit="1" customWidth="1"/>
    <col min="3" max="16384" width="8.88671875" style="2"/>
  </cols>
  <sheetData>
    <row r="1" spans="1:2" x14ac:dyDescent="0.3">
      <c r="A1" s="5" t="s">
        <v>8</v>
      </c>
      <c r="B1" s="5" t="s">
        <v>10</v>
      </c>
    </row>
    <row r="2" spans="1:2" x14ac:dyDescent="0.3">
      <c r="A2" s="2">
        <v>2011</v>
      </c>
      <c r="B2" s="2">
        <v>2636.2600010000001</v>
      </c>
    </row>
    <row r="3" spans="1:2" x14ac:dyDescent="0.3">
      <c r="A3" s="2">
        <v>2012</v>
      </c>
      <c r="B3" s="2">
        <v>29502.740001999999</v>
      </c>
    </row>
    <row r="4" spans="1:2" x14ac:dyDescent="0.3">
      <c r="A4" s="2">
        <v>2013</v>
      </c>
      <c r="B4" s="2">
        <v>6878.4300589999993</v>
      </c>
    </row>
    <row r="5" spans="1:2" x14ac:dyDescent="0.3">
      <c r="A5" s="2">
        <v>2014</v>
      </c>
      <c r="B5" s="2">
        <v>37740.322499000002</v>
      </c>
    </row>
    <row r="6" spans="1:2" x14ac:dyDescent="0.3">
      <c r="A6" s="2">
        <v>2015</v>
      </c>
      <c r="B6" s="2">
        <v>11130.715892</v>
      </c>
    </row>
    <row r="7" spans="1:2" x14ac:dyDescent="0.3">
      <c r="A7" s="2">
        <v>2016</v>
      </c>
      <c r="B7" s="2">
        <v>-4725.2094389999993</v>
      </c>
    </row>
    <row r="8" spans="1:2" x14ac:dyDescent="0.3">
      <c r="A8" s="2">
        <v>2017</v>
      </c>
      <c r="B8" s="2">
        <v>30637.784956</v>
      </c>
    </row>
    <row r="9" spans="1:2" x14ac:dyDescent="0.3">
      <c r="A9" s="2">
        <v>2018</v>
      </c>
      <c r="B9" s="2">
        <v>-7777.9395919999988</v>
      </c>
    </row>
    <row r="10" spans="1:2" x14ac:dyDescent="0.3">
      <c r="A10" s="2">
        <v>2019</v>
      </c>
      <c r="B10" s="2">
        <v>24584.119880000002</v>
      </c>
    </row>
    <row r="11" spans="1:2" x14ac:dyDescent="0.3">
      <c r="A11" s="2">
        <v>2020</v>
      </c>
      <c r="B11" s="2">
        <v>15111.706746999997</v>
      </c>
    </row>
    <row r="12" spans="1:2" x14ac:dyDescent="0.3">
      <c r="A12" s="2">
        <v>2021</v>
      </c>
      <c r="B12" s="2">
        <v>5718.1993648999996</v>
      </c>
    </row>
    <row r="13" spans="1:2" x14ac:dyDescent="0.3">
      <c r="A13" s="2">
        <v>2022</v>
      </c>
      <c r="B13" s="2">
        <v>-18702.836367271993</v>
      </c>
    </row>
    <row r="14" spans="1:2" x14ac:dyDescent="0.3">
      <c r="A14" s="2">
        <v>2023</v>
      </c>
      <c r="B14" s="2">
        <v>31025.324772448614</v>
      </c>
    </row>
    <row r="15" spans="1:2" x14ac:dyDescent="0.3">
      <c r="A15" s="2">
        <v>2024</v>
      </c>
      <c r="B15" s="2">
        <v>20814.571002044999</v>
      </c>
    </row>
    <row r="16" spans="1:2" x14ac:dyDescent="0.3">
      <c r="A16" s="2">
        <v>2025</v>
      </c>
      <c r="B16" s="2">
        <v>-9997.3141519719993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E086-5E76-45A3-B6AF-04BD676BA5DD}">
  <dimension ref="A1:N85"/>
  <sheetViews>
    <sheetView tabSelected="1" topLeftCell="F9" zoomScale="74" zoomScaleNormal="55" workbookViewId="0">
      <selection activeCell="A46" sqref="A46:I85"/>
    </sheetView>
  </sheetViews>
  <sheetFormatPr defaultRowHeight="14.4" x14ac:dyDescent="0.3"/>
  <cols>
    <col min="1" max="1" width="49" bestFit="1" customWidth="1"/>
    <col min="2" max="2" width="19.5546875" bestFit="1" customWidth="1"/>
    <col min="3" max="3" width="22.5546875" bestFit="1" customWidth="1"/>
    <col min="4" max="4" width="14.6640625" bestFit="1" customWidth="1"/>
    <col min="5" max="5" width="13.77734375" bestFit="1" customWidth="1"/>
    <col min="7" max="7" width="10.44140625" bestFit="1" customWidth="1"/>
    <col min="8" max="8" width="40.6640625" bestFit="1" customWidth="1"/>
    <col min="9" max="10" width="23.109375" bestFit="1" customWidth="1"/>
    <col min="12" max="12" width="11.77734375" bestFit="1" customWidth="1"/>
    <col min="13" max="13" width="11.109375" bestFit="1" customWidth="1"/>
  </cols>
  <sheetData>
    <row r="1" spans="1:14" x14ac:dyDescent="0.3">
      <c r="A1" s="1" t="s">
        <v>8</v>
      </c>
      <c r="B1" s="1" t="s">
        <v>11</v>
      </c>
      <c r="C1" s="5" t="s">
        <v>9</v>
      </c>
      <c r="D1" s="1" t="s">
        <v>14</v>
      </c>
      <c r="E1" s="1" t="s">
        <v>11</v>
      </c>
      <c r="F1" s="1" t="s">
        <v>35</v>
      </c>
      <c r="G1" s="1" t="s">
        <v>15</v>
      </c>
      <c r="L1" s="1" t="s">
        <v>29</v>
      </c>
      <c r="M1" s="4" t="s">
        <v>16</v>
      </c>
      <c r="N1" s="1" t="s">
        <v>17</v>
      </c>
    </row>
    <row r="2" spans="1:14" x14ac:dyDescent="0.3">
      <c r="A2" s="2">
        <v>2011</v>
      </c>
      <c r="B2" s="8">
        <f>_xlfn.XLOOKUP(A2,'CAD AS % OF GDP'!A16:A29,'CAD AS % OF GDP'!B16:B29)</f>
        <v>-3.4292846860606101</v>
      </c>
      <c r="C2" s="2">
        <f>_xlfn.XLOOKUP(A2,'ANNUAL EXCHANGE RATE'!A3:A17,'ANNUAL EXCHANGE RATE'!C3:C17)</f>
        <v>2.0426742698889018</v>
      </c>
      <c r="D2" s="2">
        <v>2636.2600010000001</v>
      </c>
      <c r="E2">
        <v>-3.4292846860606101</v>
      </c>
      <c r="F2">
        <f t="shared" ref="F2:F15" si="0">B2*D2</f>
        <v>-9040.4860499034294</v>
      </c>
      <c r="G2" t="str">
        <f t="shared" ref="G2:G15" si="1">IF(D2&gt;0,"Inflow","Outflow")</f>
        <v>Inflow</v>
      </c>
      <c r="L2" s="3" t="str">
        <f>IF(B2&lt;0,"CAD","Non-CAD")</f>
        <v>CAD</v>
      </c>
      <c r="M2">
        <f>IF(G2="Inflow", C2, "")</f>
        <v>2.0426742698889018</v>
      </c>
      <c r="N2" t="str">
        <f>IF(G2="Outflow", C2, "")</f>
        <v/>
      </c>
    </row>
    <row r="3" spans="1:14" x14ac:dyDescent="0.3">
      <c r="A3" s="2">
        <v>2012</v>
      </c>
      <c r="B3" s="8">
        <f>_xlfn.XLOOKUP(A3,'CAD AS % OF GDP'!A17:A30,'CAD AS % OF GDP'!B17:B30)</f>
        <v>-5.0048897180530298</v>
      </c>
      <c r="C3" s="2">
        <f>_xlfn.XLOOKUP(A3,'ANNUAL EXCHANGE RATE'!A4:A18,'ANNUAL EXCHANGE RATE'!C4:C18)</f>
        <v>14.619003641686978</v>
      </c>
      <c r="D3" s="2">
        <v>29502.740001999999</v>
      </c>
      <c r="E3">
        <v>-5.0048897180530298</v>
      </c>
      <c r="F3">
        <f t="shared" si="0"/>
        <v>-147657.96009040161</v>
      </c>
      <c r="G3" t="str">
        <f t="shared" si="1"/>
        <v>Inflow</v>
      </c>
      <c r="L3" s="3" t="str">
        <f t="shared" ref="L3:L14" si="2">IF(B3&lt;0,"CAD","Non-CAD")</f>
        <v>CAD</v>
      </c>
      <c r="M3">
        <f t="shared" ref="M3:M14" si="3">IF(G3="Inflow", C3, "")</f>
        <v>14.619003641686978</v>
      </c>
      <c r="N3" t="str">
        <f t="shared" ref="N3:N14" si="4">IF(G3="Outflow", C3, "")</f>
        <v/>
      </c>
    </row>
    <row r="4" spans="1:14" x14ac:dyDescent="0.3">
      <c r="A4" s="2">
        <v>2013</v>
      </c>
      <c r="B4" s="8">
        <f>_xlfn.XLOOKUP(A4,'CAD AS % OF GDP'!A18:A31,'CAD AS % OF GDP'!B18:B31)</f>
        <v>-2.6456671173389199</v>
      </c>
      <c r="C4" s="2">
        <f>_xlfn.XLOOKUP(A4,'ANNUAL EXCHANGE RATE'!A5:A19,'ANNUAL EXCHANGE RATE'!C5:C19)</f>
        <v>9.6089284587262771</v>
      </c>
      <c r="D4" s="2">
        <v>6878.4300589999993</v>
      </c>
      <c r="E4">
        <v>-2.6456671173389199</v>
      </c>
      <c r="F4">
        <f t="shared" si="0"/>
        <v>-18198.036226011904</v>
      </c>
      <c r="G4" t="str">
        <f t="shared" si="1"/>
        <v>Inflow</v>
      </c>
      <c r="L4" s="3" t="str">
        <f t="shared" si="2"/>
        <v>CAD</v>
      </c>
      <c r="M4">
        <f t="shared" si="3"/>
        <v>9.6089284587262771</v>
      </c>
      <c r="N4" t="str">
        <f t="shared" si="4"/>
        <v/>
      </c>
    </row>
    <row r="5" spans="1:14" x14ac:dyDescent="0.3">
      <c r="A5" s="2">
        <v>2014</v>
      </c>
      <c r="B5" s="8">
        <f>_xlfn.XLOOKUP(A5,'CAD AS % OF GDP'!A19:A32,'CAD AS % OF GDP'!B19:B32)</f>
        <v>-1.33950896483452</v>
      </c>
      <c r="C5" s="2">
        <f>_xlfn.XLOOKUP(A5,'ANNUAL EXCHANGE RATE'!A6:A20,'ANNUAL EXCHANGE RATE'!C6:C20)</f>
        <v>4.0809423609936131</v>
      </c>
      <c r="D5" s="2">
        <v>37740.322499000002</v>
      </c>
      <c r="E5">
        <v>-1.33950896483452</v>
      </c>
      <c r="F5">
        <f t="shared" si="0"/>
        <v>-50553.500323156433</v>
      </c>
      <c r="G5" t="str">
        <f t="shared" si="1"/>
        <v>Inflow</v>
      </c>
      <c r="L5" s="3" t="str">
        <f t="shared" si="2"/>
        <v>CAD</v>
      </c>
      <c r="M5">
        <f t="shared" si="3"/>
        <v>4.0809423609936131</v>
      </c>
      <c r="N5" t="str">
        <f t="shared" si="4"/>
        <v/>
      </c>
    </row>
    <row r="6" spans="1:14" x14ac:dyDescent="0.3">
      <c r="A6" s="2">
        <v>2015</v>
      </c>
      <c r="B6" s="8">
        <f>_xlfn.XLOOKUP(A6,'CAD AS % OF GDP'!A20:A33,'CAD AS % OF GDP'!B20:B33)</f>
        <v>-1.0675490716796401</v>
      </c>
      <c r="C6" s="2">
        <f>_xlfn.XLOOKUP(A6,'ANNUAL EXCHANGE RATE'!A7:A21,'ANNUAL EXCHANGE RATE'!C7:C21)</f>
        <v>5.1205342201154345</v>
      </c>
      <c r="D6" s="2">
        <v>11130.715892</v>
      </c>
      <c r="E6">
        <v>-1.0675490716796401</v>
      </c>
      <c r="F6">
        <f t="shared" si="0"/>
        <v>-11882.585417634416</v>
      </c>
      <c r="G6" t="str">
        <f t="shared" si="1"/>
        <v>Inflow</v>
      </c>
      <c r="L6" s="3" t="str">
        <f t="shared" si="2"/>
        <v>CAD</v>
      </c>
      <c r="M6">
        <f t="shared" si="3"/>
        <v>5.1205342201154345</v>
      </c>
      <c r="N6" t="str">
        <f t="shared" si="4"/>
        <v/>
      </c>
    </row>
    <row r="7" spans="1:14" x14ac:dyDescent="0.3">
      <c r="A7" s="2">
        <v>2016</v>
      </c>
      <c r="B7" s="8">
        <f>_xlfn.XLOOKUP(A7,'CAD AS % OF GDP'!A21:A34,'CAD AS % OF GDP'!B21:B34)</f>
        <v>-0.52788060603751796</v>
      </c>
      <c r="C7" s="2">
        <f>_xlfn.XLOOKUP(A7,'ANNUAL EXCHANGE RATE'!A8:A22,'ANNUAL EXCHANGE RATE'!C8:C22)</f>
        <v>4.7709605362375171</v>
      </c>
      <c r="D7" s="2">
        <v>-4725.2094389999993</v>
      </c>
      <c r="E7">
        <v>-0.52788060603751796</v>
      </c>
      <c r="F7">
        <f t="shared" si="0"/>
        <v>2494.3464223135197</v>
      </c>
      <c r="G7" t="str">
        <f t="shared" si="1"/>
        <v>Outflow</v>
      </c>
      <c r="L7" s="3" t="str">
        <f t="shared" si="2"/>
        <v>CAD</v>
      </c>
      <c r="M7" t="str">
        <f t="shared" si="3"/>
        <v/>
      </c>
      <c r="N7">
        <f t="shared" si="4"/>
        <v>4.7709605362375171</v>
      </c>
    </row>
    <row r="8" spans="1:14" x14ac:dyDescent="0.3">
      <c r="A8" s="2">
        <v>2017</v>
      </c>
      <c r="B8" s="8">
        <f>_xlfn.XLOOKUP(A8,'CAD AS % OF GDP'!A22:A35,'CAD AS % OF GDP'!B22:B35)</f>
        <v>-1.4394882032098799</v>
      </c>
      <c r="C8" s="2">
        <f>_xlfn.XLOOKUP(A8,'ANNUAL EXCHANGE RATE'!A9:A23,'ANNUAL EXCHANGE RATE'!C9:C23)</f>
        <v>-3.1197948849183352</v>
      </c>
      <c r="D8" s="2">
        <v>30637.784956</v>
      </c>
      <c r="E8">
        <v>-1.4394882032098799</v>
      </c>
      <c r="F8">
        <f t="shared" si="0"/>
        <v>-44102.730016643131</v>
      </c>
      <c r="G8" t="str">
        <f t="shared" si="1"/>
        <v>Inflow</v>
      </c>
      <c r="L8" s="3" t="str">
        <f t="shared" si="2"/>
        <v>CAD</v>
      </c>
      <c r="M8">
        <f t="shared" si="3"/>
        <v>-3.1197948849183352</v>
      </c>
      <c r="N8" t="str">
        <f t="shared" si="4"/>
        <v/>
      </c>
    </row>
    <row r="9" spans="1:14" x14ac:dyDescent="0.3">
      <c r="A9" s="2">
        <v>2018</v>
      </c>
      <c r="B9" s="8">
        <f>_xlfn.XLOOKUP(A9,'CAD AS % OF GDP'!A23:A36,'CAD AS % OF GDP'!B23:B36)</f>
        <v>-2.4269754581052698</v>
      </c>
      <c r="C9" s="2">
        <f>_xlfn.XLOOKUP(A9,'ANNUAL EXCHANGE RATE'!A10:A24,'ANNUAL EXCHANGE RATE'!C10:C24)</f>
        <v>4.9858906788420008</v>
      </c>
      <c r="D9" s="2">
        <v>-7777.9395919999988</v>
      </c>
      <c r="E9">
        <v>-2.4269754581052698</v>
      </c>
      <c r="F9">
        <f t="shared" si="0"/>
        <v>18876.868504409311</v>
      </c>
      <c r="G9" t="str">
        <f t="shared" si="1"/>
        <v>Outflow</v>
      </c>
      <c r="L9" s="3" t="str">
        <f t="shared" si="2"/>
        <v>CAD</v>
      </c>
      <c r="M9" t="str">
        <f t="shared" si="3"/>
        <v/>
      </c>
      <c r="N9">
        <f t="shared" si="4"/>
        <v>4.9858906788420008</v>
      </c>
    </row>
    <row r="10" spans="1:14" x14ac:dyDescent="0.3">
      <c r="A10" s="2">
        <v>2019</v>
      </c>
      <c r="B10" s="8">
        <f>_xlfn.XLOOKUP(A10,'CAD AS % OF GDP'!A24:A37,'CAD AS % OF GDP'!B24:B37)</f>
        <v>-1.04961203910072</v>
      </c>
      <c r="C10" s="2">
        <f>_xlfn.XLOOKUP(A10,'ANNUAL EXCHANGE RATE'!A11:A25,'ANNUAL EXCHANGE RATE'!C11:C25)</f>
        <v>2.9924097857192296</v>
      </c>
      <c r="D10" s="2">
        <v>24584.119880000002</v>
      </c>
      <c r="E10">
        <v>-1.04961203910072</v>
      </c>
      <c r="F10">
        <f t="shared" si="0"/>
        <v>-25803.78819674335</v>
      </c>
      <c r="G10" t="str">
        <f t="shared" si="1"/>
        <v>Inflow</v>
      </c>
      <c r="L10" s="3" t="str">
        <f t="shared" si="2"/>
        <v>CAD</v>
      </c>
      <c r="M10">
        <f t="shared" si="3"/>
        <v>2.9924097857192296</v>
      </c>
      <c r="N10" t="str">
        <f t="shared" si="4"/>
        <v/>
      </c>
    </row>
    <row r="11" spans="1:14" x14ac:dyDescent="0.3">
      <c r="A11" s="2">
        <v>2020</v>
      </c>
      <c r="B11" s="8">
        <f>_xlfn.XLOOKUP(A11,'CAD AS % OF GDP'!A25:A38,'CAD AS % OF GDP'!B25:B38)</f>
        <v>1.22362111042791</v>
      </c>
      <c r="C11" s="2">
        <f>_xlfn.XLOOKUP(A11,'ANNUAL EXCHANGE RATE'!A12:A26,'ANNUAL EXCHANGE RATE'!C12:C26)</f>
        <v>5.2003645546309958</v>
      </c>
      <c r="D11" s="2">
        <v>15111.706746999997</v>
      </c>
      <c r="E11">
        <v>1.22362111042791</v>
      </c>
      <c r="F11">
        <f t="shared" si="0"/>
        <v>18491.003390225076</v>
      </c>
      <c r="G11" t="str">
        <f t="shared" si="1"/>
        <v>Inflow</v>
      </c>
      <c r="L11" s="3" t="str">
        <f t="shared" si="2"/>
        <v>Non-CAD</v>
      </c>
      <c r="M11">
        <f>IF(G11="Inflow", C11, "")</f>
        <v>5.2003645546309958</v>
      </c>
      <c r="N11" t="str">
        <f t="shared" si="4"/>
        <v/>
      </c>
    </row>
    <row r="12" spans="1:14" x14ac:dyDescent="0.3">
      <c r="A12" s="2">
        <v>2021</v>
      </c>
      <c r="B12" s="8">
        <f>_xlfn.XLOOKUP(A12,'CAD AS % OF GDP'!A26:A39,'CAD AS % OF GDP'!B26:B39)</f>
        <v>-1.0552416680938299</v>
      </c>
      <c r="C12" s="2">
        <f>_xlfn.XLOOKUP(A12,'ANNUAL EXCHANGE RATE'!A13:A27,'ANNUAL EXCHANGE RATE'!C13:C27)</f>
        <v>-0.19380712401354944</v>
      </c>
      <c r="D12" s="2">
        <v>5718.1993648999996</v>
      </c>
      <c r="E12">
        <v>-1.0552416680938299</v>
      </c>
      <c r="F12">
        <f t="shared" si="0"/>
        <v>-6034.0822363101543</v>
      </c>
      <c r="G12" t="str">
        <f t="shared" si="1"/>
        <v>Inflow</v>
      </c>
      <c r="L12" s="3" t="str">
        <f t="shared" si="2"/>
        <v>CAD</v>
      </c>
      <c r="M12">
        <f t="shared" si="3"/>
        <v>-0.19380712401354944</v>
      </c>
      <c r="N12" t="str">
        <f t="shared" si="4"/>
        <v/>
      </c>
    </row>
    <row r="13" spans="1:14" x14ac:dyDescent="0.3">
      <c r="A13" s="2">
        <v>2022</v>
      </c>
      <c r="B13" s="8">
        <f>_xlfn.XLOOKUP(A13,'CAD AS % OF GDP'!A27:A40,'CAD AS % OF GDP'!B27:B40)</f>
        <v>-2.36247481487452</v>
      </c>
      <c r="C13" s="2">
        <f>_xlfn.XLOOKUP(A13,'ANNUAL EXCHANGE RATE'!A14:A28,'ANNUAL EXCHANGE RATE'!C14:C28)</f>
        <v>6.3935882110570867</v>
      </c>
      <c r="D13" s="2">
        <v>-18702.836367271993</v>
      </c>
      <c r="E13">
        <v>-2.36247481487452</v>
      </c>
      <c r="F13">
        <f t="shared" si="0"/>
        <v>44184.979884399341</v>
      </c>
      <c r="G13" t="str">
        <f t="shared" si="1"/>
        <v>Outflow</v>
      </c>
      <c r="L13" s="3" t="str">
        <f t="shared" si="2"/>
        <v>CAD</v>
      </c>
      <c r="M13" t="str">
        <f t="shared" si="3"/>
        <v/>
      </c>
      <c r="N13">
        <f t="shared" si="4"/>
        <v>6.3935882110570867</v>
      </c>
    </row>
    <row r="14" spans="1:14" x14ac:dyDescent="0.3">
      <c r="A14" s="2">
        <v>2023</v>
      </c>
      <c r="B14" s="8">
        <f>_xlfn.XLOOKUP(A14,'CAD AS % OF GDP'!A28:A41,'CAD AS % OF GDP'!B28:B41)</f>
        <v>-0.87826284720868197</v>
      </c>
      <c r="C14" s="2">
        <f>_xlfn.XLOOKUP(A14,'ANNUAL EXCHANGE RATE'!A15:A29,'ANNUAL EXCHANGE RATE'!C15:C29)</f>
        <v>5.0287570227712859</v>
      </c>
      <c r="D14" s="2">
        <v>31025.324772448614</v>
      </c>
      <c r="E14">
        <v>-0.87826284720868197</v>
      </c>
      <c r="F14">
        <f t="shared" si="0"/>
        <v>-27248.390070224774</v>
      </c>
      <c r="G14" t="str">
        <f t="shared" si="1"/>
        <v>Inflow</v>
      </c>
      <c r="L14" s="3" t="str">
        <f t="shared" si="2"/>
        <v>CAD</v>
      </c>
      <c r="M14">
        <f t="shared" si="3"/>
        <v>5.0287570227712859</v>
      </c>
      <c r="N14" t="str">
        <f t="shared" si="4"/>
        <v/>
      </c>
    </row>
    <row r="15" spans="1:14" x14ac:dyDescent="0.3">
      <c r="A15" s="2">
        <v>2024</v>
      </c>
      <c r="B15" s="8">
        <f>_xlfn.XLOOKUP(A15,'CAD AS % OF GDP'!A29:A42,'CAD AS % OF GDP'!B29:B42)</f>
        <v>-0.82224320865486999</v>
      </c>
      <c r="C15" s="2">
        <f>_xlfn.XLOOKUP(A15,'ANNUAL EXCHANGE RATE'!A16:A30,'ANNUAL EXCHANGE RATE'!C16:C30)</f>
        <v>1.2955982447924217</v>
      </c>
      <c r="D15" s="2">
        <v>20814.571002044999</v>
      </c>
      <c r="E15">
        <v>-0.82224320865486999</v>
      </c>
      <c r="F15">
        <f t="shared" si="0"/>
        <v>-17114.639647496093</v>
      </c>
      <c r="G15" t="str">
        <f t="shared" si="1"/>
        <v>Inflow</v>
      </c>
    </row>
    <row r="16" spans="1:14" x14ac:dyDescent="0.3">
      <c r="D16" s="2"/>
    </row>
    <row r="23" spans="1:9" x14ac:dyDescent="0.3">
      <c r="A23" t="s">
        <v>18</v>
      </c>
    </row>
    <row r="24" spans="1:9" ht="15" thickBot="1" x14ac:dyDescent="0.35"/>
    <row r="25" spans="1:9" x14ac:dyDescent="0.3">
      <c r="A25" s="7"/>
      <c r="B25" s="7" t="s">
        <v>16</v>
      </c>
      <c r="C25" s="7" t="s">
        <v>17</v>
      </c>
    </row>
    <row r="26" spans="1:9" x14ac:dyDescent="0.3">
      <c r="A26" t="s">
        <v>19</v>
      </c>
      <c r="B26">
        <v>4.4644053056633153</v>
      </c>
      <c r="C26">
        <v>5.3834798087122016</v>
      </c>
    </row>
    <row r="27" spans="1:9" x14ac:dyDescent="0.3">
      <c r="A27" t="s">
        <v>20</v>
      </c>
      <c r="B27">
        <v>27.216076909059534</v>
      </c>
      <c r="C27">
        <v>0.7767879799158024</v>
      </c>
    </row>
    <row r="28" spans="1:9" x14ac:dyDescent="0.3">
      <c r="A28" t="s">
        <v>21</v>
      </c>
      <c r="B28">
        <v>9</v>
      </c>
      <c r="C28">
        <v>3</v>
      </c>
      <c r="I28" s="4" t="s">
        <v>16</v>
      </c>
    </row>
    <row r="29" spans="1:9" x14ac:dyDescent="0.3">
      <c r="A29" t="s">
        <v>22</v>
      </c>
      <c r="B29">
        <v>0</v>
      </c>
      <c r="I29">
        <v>2.0426742698889018</v>
      </c>
    </row>
    <row r="30" spans="1:9" x14ac:dyDescent="0.3">
      <c r="A30" t="s">
        <v>23</v>
      </c>
      <c r="B30">
        <v>9</v>
      </c>
      <c r="I30">
        <v>14.619003641686978</v>
      </c>
    </row>
    <row r="31" spans="1:9" x14ac:dyDescent="0.3">
      <c r="A31" t="s">
        <v>24</v>
      </c>
      <c r="B31">
        <v>-0.50724688191919076</v>
      </c>
      <c r="I31">
        <v>9.6089284587262771</v>
      </c>
    </row>
    <row r="32" spans="1:9" x14ac:dyDescent="0.3">
      <c r="A32" t="s">
        <v>25</v>
      </c>
      <c r="B32">
        <v>0.3120884376156382</v>
      </c>
      <c r="I32">
        <v>4.0809423609936131</v>
      </c>
    </row>
    <row r="33" spans="1:10" x14ac:dyDescent="0.3">
      <c r="A33" t="s">
        <v>26</v>
      </c>
      <c r="B33">
        <v>1.8331129326562374</v>
      </c>
      <c r="I33">
        <v>5.1205342201154345</v>
      </c>
    </row>
    <row r="34" spans="1:10" x14ac:dyDescent="0.3">
      <c r="A34" t="s">
        <v>27</v>
      </c>
      <c r="B34">
        <v>0.62417687523127641</v>
      </c>
      <c r="I34">
        <v>-3.1197948849183352</v>
      </c>
    </row>
    <row r="35" spans="1:10" ht="15" thickBot="1" x14ac:dyDescent="0.35">
      <c r="A35" s="6" t="s">
        <v>28</v>
      </c>
      <c r="B35" s="6">
        <v>2.2621571627982053</v>
      </c>
      <c r="C35" s="6"/>
      <c r="I35">
        <v>2.9924097857192296</v>
      </c>
    </row>
    <row r="36" spans="1:10" x14ac:dyDescent="0.3">
      <c r="I36">
        <v>-0.19380712401354944</v>
      </c>
    </row>
    <row r="37" spans="1:10" x14ac:dyDescent="0.3">
      <c r="I37">
        <v>5.0287570227712859</v>
      </c>
      <c r="J37" t="s">
        <v>30</v>
      </c>
    </row>
    <row r="41" spans="1:10" x14ac:dyDescent="0.3">
      <c r="I41" s="1" t="s">
        <v>17</v>
      </c>
    </row>
    <row r="42" spans="1:10" x14ac:dyDescent="0.3">
      <c r="I42">
        <v>4.7709605362375171</v>
      </c>
    </row>
    <row r="43" spans="1:10" x14ac:dyDescent="0.3">
      <c r="I43">
        <v>4.9858906788420008</v>
      </c>
    </row>
    <row r="44" spans="1:10" x14ac:dyDescent="0.3">
      <c r="I44">
        <v>6.3935882110570867</v>
      </c>
    </row>
    <row r="46" spans="1:10" x14ac:dyDescent="0.3">
      <c r="A46" t="s">
        <v>36</v>
      </c>
    </row>
    <row r="47" spans="1:10" ht="15" thickBot="1" x14ac:dyDescent="0.35"/>
    <row r="48" spans="1:10" x14ac:dyDescent="0.3">
      <c r="A48" s="14" t="s">
        <v>37</v>
      </c>
      <c r="B48" s="14"/>
    </row>
    <row r="49" spans="1:9" x14ac:dyDescent="0.3">
      <c r="A49" s="11" t="s">
        <v>38</v>
      </c>
      <c r="B49" s="11">
        <v>0.64260648565507761</v>
      </c>
    </row>
    <row r="50" spans="1:9" x14ac:dyDescent="0.3">
      <c r="A50" s="11" t="s">
        <v>39</v>
      </c>
      <c r="B50" s="11">
        <v>0.41294309540596941</v>
      </c>
    </row>
    <row r="51" spans="1:9" x14ac:dyDescent="0.3">
      <c r="A51" s="11" t="s">
        <v>40</v>
      </c>
      <c r="B51" s="11">
        <v>0.23682602402776026</v>
      </c>
    </row>
    <row r="52" spans="1:9" x14ac:dyDescent="0.3">
      <c r="A52" s="11" t="s">
        <v>41</v>
      </c>
      <c r="B52" s="11">
        <v>3.6936049821080856</v>
      </c>
    </row>
    <row r="53" spans="1:9" ht="15" thickBot="1" x14ac:dyDescent="0.35">
      <c r="A53" s="12" t="s">
        <v>21</v>
      </c>
      <c r="B53" s="12">
        <v>14</v>
      </c>
    </row>
    <row r="55" spans="1:9" ht="15" thickBot="1" x14ac:dyDescent="0.35">
      <c r="A55" t="s">
        <v>42</v>
      </c>
    </row>
    <row r="56" spans="1:9" x14ac:dyDescent="0.3">
      <c r="A56" s="13"/>
      <c r="B56" s="13" t="s">
        <v>23</v>
      </c>
      <c r="C56" s="13" t="s">
        <v>47</v>
      </c>
      <c r="D56" s="13" t="s">
        <v>48</v>
      </c>
      <c r="E56" s="13" t="s">
        <v>49</v>
      </c>
      <c r="F56" s="13" t="s">
        <v>50</v>
      </c>
    </row>
    <row r="57" spans="1:9" x14ac:dyDescent="0.3">
      <c r="A57" s="11" t="s">
        <v>43</v>
      </c>
      <c r="B57" s="11">
        <v>3</v>
      </c>
      <c r="C57" s="11">
        <v>95.964565940189516</v>
      </c>
      <c r="D57" s="11">
        <v>31.988188646729839</v>
      </c>
      <c r="E57" s="11">
        <v>2.344707938727753</v>
      </c>
      <c r="F57" s="11">
        <v>0.13448902645173175</v>
      </c>
    </row>
    <row r="58" spans="1:9" x14ac:dyDescent="0.3">
      <c r="A58" s="11" t="s">
        <v>44</v>
      </c>
      <c r="B58" s="11">
        <v>10</v>
      </c>
      <c r="C58" s="11">
        <v>136.4271776385367</v>
      </c>
      <c r="D58" s="11">
        <v>13.642717763853671</v>
      </c>
      <c r="E58" s="11"/>
      <c r="F58" s="11"/>
    </row>
    <row r="59" spans="1:9" ht="15" thickBot="1" x14ac:dyDescent="0.35">
      <c r="A59" s="12" t="s">
        <v>45</v>
      </c>
      <c r="B59" s="12">
        <v>13</v>
      </c>
      <c r="C59" s="12">
        <v>232.39174357872622</v>
      </c>
      <c r="D59" s="12"/>
      <c r="E59" s="12"/>
      <c r="F59" s="12"/>
    </row>
    <row r="60" spans="1:9" ht="15" thickBot="1" x14ac:dyDescent="0.35"/>
    <row r="61" spans="1:9" x14ac:dyDescent="0.3">
      <c r="A61" s="13"/>
      <c r="B61" s="13" t="s">
        <v>51</v>
      </c>
      <c r="C61" s="13" t="s">
        <v>41</v>
      </c>
      <c r="D61" s="13" t="s">
        <v>24</v>
      </c>
      <c r="E61" s="13" t="s">
        <v>52</v>
      </c>
      <c r="F61" s="13" t="s">
        <v>53</v>
      </c>
      <c r="G61" s="13" t="s">
        <v>54</v>
      </c>
      <c r="H61" s="13" t="s">
        <v>55</v>
      </c>
      <c r="I61" s="13" t="s">
        <v>56</v>
      </c>
    </row>
    <row r="62" spans="1:9" x14ac:dyDescent="0.3">
      <c r="A62" s="11" t="s">
        <v>46</v>
      </c>
      <c r="B62" s="11">
        <v>5.6666967001601218</v>
      </c>
      <c r="C62" s="11">
        <v>2.7681083497437489</v>
      </c>
      <c r="D62" s="11">
        <v>2.0471368834549786</v>
      </c>
      <c r="E62" s="11">
        <v>6.7832580642443241E-2</v>
      </c>
      <c r="F62" s="11">
        <v>-0.50103306041153495</v>
      </c>
      <c r="G62" s="11">
        <v>11.834426460731779</v>
      </c>
      <c r="H62" s="11">
        <v>-0.50103306041153495</v>
      </c>
      <c r="I62" s="11">
        <v>11.834426460731779</v>
      </c>
    </row>
    <row r="63" spans="1:9" x14ac:dyDescent="0.3">
      <c r="A63" s="11" t="s">
        <v>14</v>
      </c>
      <c r="B63" s="11">
        <v>-1.9696810638608961E-4</v>
      </c>
      <c r="C63" s="11">
        <v>1.3348583196793847E-4</v>
      </c>
      <c r="D63" s="11">
        <v>-1.4755731262430813</v>
      </c>
      <c r="E63" s="11">
        <v>0.17083667734721683</v>
      </c>
      <c r="F63" s="11">
        <v>-4.9439307478356474E-4</v>
      </c>
      <c r="G63" s="11">
        <v>1.0045686201138552E-4</v>
      </c>
      <c r="H63" s="11">
        <v>-4.9439307478356474E-4</v>
      </c>
      <c r="I63" s="11">
        <v>1.0045686201138552E-4</v>
      </c>
    </row>
    <row r="64" spans="1:9" x14ac:dyDescent="0.3">
      <c r="A64" s="11" t="s">
        <v>11</v>
      </c>
      <c r="B64" s="11">
        <v>0.28033421978779105</v>
      </c>
      <c r="C64" s="11">
        <v>1.2722099184724476</v>
      </c>
      <c r="D64" s="11">
        <v>0.22035217279581545</v>
      </c>
      <c r="E64" s="11">
        <v>0.83003040565784292</v>
      </c>
      <c r="F64" s="11">
        <v>-2.5543261274429603</v>
      </c>
      <c r="G64" s="11">
        <v>3.1149945670185422</v>
      </c>
      <c r="H64" s="11">
        <v>-2.5543261274429603</v>
      </c>
      <c r="I64" s="11">
        <v>3.1149945670185422</v>
      </c>
    </row>
    <row r="65" spans="1:9" ht="15" thickBot="1" x14ac:dyDescent="0.35">
      <c r="A65" s="12" t="s">
        <v>35</v>
      </c>
      <c r="B65" s="12">
        <v>-9.5933248693835332E-5</v>
      </c>
      <c r="C65" s="12">
        <v>5.9209737455606965E-5</v>
      </c>
      <c r="D65" s="12">
        <v>-1.6202275641867547</v>
      </c>
      <c r="E65" s="12">
        <v>0.13625132998645481</v>
      </c>
      <c r="F65" s="12">
        <v>-2.2786076513458016E-4</v>
      </c>
      <c r="G65" s="12">
        <v>3.5994267746909491E-5</v>
      </c>
      <c r="H65" s="12">
        <v>-2.2786076513458016E-4</v>
      </c>
      <c r="I65" s="12">
        <v>3.5994267746909491E-5</v>
      </c>
    </row>
    <row r="69" spans="1:9" x14ac:dyDescent="0.3">
      <c r="A69" t="s">
        <v>60</v>
      </c>
    </row>
    <row r="70" spans="1:9" ht="15" thickBot="1" x14ac:dyDescent="0.35"/>
    <row r="71" spans="1:9" x14ac:dyDescent="0.3">
      <c r="A71" s="13" t="s">
        <v>61</v>
      </c>
      <c r="B71" s="13" t="s">
        <v>9</v>
      </c>
    </row>
    <row r="72" spans="1:9" x14ac:dyDescent="0.3">
      <c r="A72" s="11">
        <v>3.5714285714285716</v>
      </c>
      <c r="B72" s="11">
        <v>-3.1197948849183352</v>
      </c>
    </row>
    <row r="73" spans="1:9" x14ac:dyDescent="0.3">
      <c r="A73" s="11">
        <v>10.714285714285715</v>
      </c>
      <c r="B73" s="11">
        <v>-0.19380712401354944</v>
      </c>
    </row>
    <row r="74" spans="1:9" x14ac:dyDescent="0.3">
      <c r="A74" s="11">
        <v>17.857142857142858</v>
      </c>
      <c r="B74" s="11">
        <v>1.2955982447924217</v>
      </c>
    </row>
    <row r="75" spans="1:9" x14ac:dyDescent="0.3">
      <c r="A75" s="11">
        <v>25.000000000000004</v>
      </c>
      <c r="B75" s="11">
        <v>2.0426742698889018</v>
      </c>
    </row>
    <row r="76" spans="1:9" x14ac:dyDescent="0.3">
      <c r="A76" s="11">
        <v>32.142857142857146</v>
      </c>
      <c r="B76" s="11">
        <v>2.9924097857192296</v>
      </c>
    </row>
    <row r="77" spans="1:9" x14ac:dyDescent="0.3">
      <c r="A77" s="11">
        <v>39.285714285714285</v>
      </c>
      <c r="B77" s="11">
        <v>4.0809423609936131</v>
      </c>
    </row>
    <row r="78" spans="1:9" x14ac:dyDescent="0.3">
      <c r="A78" s="11">
        <v>46.428571428571431</v>
      </c>
      <c r="B78" s="11">
        <v>4.7709605362375171</v>
      </c>
    </row>
    <row r="79" spans="1:9" x14ac:dyDescent="0.3">
      <c r="A79" s="11">
        <v>53.571428571428569</v>
      </c>
      <c r="B79" s="11">
        <v>4.9858906788420008</v>
      </c>
    </row>
    <row r="80" spans="1:9" x14ac:dyDescent="0.3">
      <c r="A80" s="11">
        <v>60.714285714285715</v>
      </c>
      <c r="B80" s="11">
        <v>5.0287570227712859</v>
      </c>
    </row>
    <row r="81" spans="1:2" x14ac:dyDescent="0.3">
      <c r="A81" s="11">
        <v>67.857142857142861</v>
      </c>
      <c r="B81" s="11">
        <v>5.1205342201154345</v>
      </c>
    </row>
    <row r="82" spans="1:2" x14ac:dyDescent="0.3">
      <c r="A82" s="11">
        <v>75</v>
      </c>
      <c r="B82" s="11">
        <v>5.2003645546309958</v>
      </c>
    </row>
    <row r="83" spans="1:2" x14ac:dyDescent="0.3">
      <c r="A83" s="11">
        <v>82.142857142857139</v>
      </c>
      <c r="B83" s="11">
        <v>6.3935882110570867</v>
      </c>
    </row>
    <row r="84" spans="1:2" x14ac:dyDescent="0.3">
      <c r="A84" s="11">
        <v>89.285714285714292</v>
      </c>
      <c r="B84" s="11">
        <v>9.6089284587262771</v>
      </c>
    </row>
    <row r="85" spans="1:2" ht="15" thickBot="1" x14ac:dyDescent="0.35">
      <c r="A85" s="12">
        <v>96.428571428571431</v>
      </c>
      <c r="B85" s="12">
        <v>14.619003641686978</v>
      </c>
    </row>
  </sheetData>
  <autoFilter ref="L1:L14" xr:uid="{EEBDE086-5E76-45A3-B6AF-04BD676BA5DD}"/>
  <sortState xmlns:xlrd2="http://schemas.microsoft.com/office/spreadsheetml/2017/richdata2" ref="B72:B85">
    <sortCondition ref="B72"/>
  </sortState>
  <pageMargins left="0.7" right="0.7" top="0.75" bottom="0.75" header="0.3" footer="0.3"/>
  <ignoredErrors>
    <ignoredError sqref="B2:B1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0D53-AD61-4486-9AFF-0DA33224E775}">
  <dimension ref="A1:I66"/>
  <sheetViews>
    <sheetView topLeftCell="A39" zoomScale="85" zoomScaleNormal="85" workbookViewId="0">
      <selection activeCell="A45" sqref="A45:I66"/>
    </sheetView>
  </sheetViews>
  <sheetFormatPr defaultRowHeight="14.4" x14ac:dyDescent="0.3"/>
  <cols>
    <col min="1" max="1" width="22.44140625" style="2" bestFit="1" customWidth="1"/>
    <col min="2" max="2" width="129.6640625" style="2" bestFit="1" customWidth="1"/>
    <col min="3" max="3" width="23.109375" style="2" bestFit="1" customWidth="1"/>
    <col min="4" max="5" width="8.88671875" style="2"/>
    <col min="6" max="6" width="13" style="2" bestFit="1" customWidth="1"/>
    <col min="7" max="7" width="8.88671875" style="2"/>
    <col min="8" max="8" width="40.6640625" style="2" bestFit="1" customWidth="1"/>
    <col min="9" max="9" width="12.6640625" style="2" bestFit="1" customWidth="1"/>
    <col min="10" max="10" width="12.77734375" style="2" bestFit="1" customWidth="1"/>
    <col min="11" max="16384" width="8.88671875" style="2"/>
  </cols>
  <sheetData>
    <row r="1" spans="1:3" x14ac:dyDescent="0.3">
      <c r="A1" s="2" t="s">
        <v>31</v>
      </c>
    </row>
    <row r="2" spans="1:3" ht="15" thickBot="1" x14ac:dyDescent="0.35"/>
    <row r="3" spans="1:3" x14ac:dyDescent="0.3">
      <c r="A3" s="9"/>
      <c r="B3" s="9" t="s">
        <v>11</v>
      </c>
      <c r="C3" s="9" t="s">
        <v>9</v>
      </c>
    </row>
    <row r="4" spans="1:3" x14ac:dyDescent="0.3">
      <c r="A4" s="2" t="s">
        <v>11</v>
      </c>
      <c r="B4" s="2">
        <v>1</v>
      </c>
    </row>
    <row r="5" spans="1:3" ht="15" thickBot="1" x14ac:dyDescent="0.35">
      <c r="A5" s="10" t="s">
        <v>9</v>
      </c>
      <c r="B5" s="10">
        <v>-0.50840978054506591</v>
      </c>
      <c r="C5" s="10">
        <v>1</v>
      </c>
    </row>
    <row r="6" spans="1:3" ht="15" thickBot="1" x14ac:dyDescent="0.35"/>
    <row r="7" spans="1:3" x14ac:dyDescent="0.3">
      <c r="A7" s="9"/>
      <c r="B7" s="9" t="s">
        <v>9</v>
      </c>
      <c r="C7" s="9" t="s">
        <v>14</v>
      </c>
    </row>
    <row r="8" spans="1:3" x14ac:dyDescent="0.3">
      <c r="A8" s="2" t="s">
        <v>9</v>
      </c>
      <c r="B8" s="2">
        <v>1</v>
      </c>
    </row>
    <row r="9" spans="1:3" ht="15" thickBot="1" x14ac:dyDescent="0.35">
      <c r="A9" s="10" t="s">
        <v>14</v>
      </c>
      <c r="B9" s="10">
        <v>-6.1654562068442782E-2</v>
      </c>
      <c r="C9" s="10">
        <v>1</v>
      </c>
    </row>
    <row r="10" spans="1:3" ht="15" thickBot="1" x14ac:dyDescent="0.35"/>
    <row r="11" spans="1:3" x14ac:dyDescent="0.3">
      <c r="A11" s="9"/>
      <c r="B11" s="9" t="s">
        <v>14</v>
      </c>
      <c r="C11" s="9" t="s">
        <v>11</v>
      </c>
    </row>
    <row r="12" spans="1:3" x14ac:dyDescent="0.3">
      <c r="A12" s="2" t="s">
        <v>14</v>
      </c>
      <c r="B12" s="2">
        <v>1</v>
      </c>
    </row>
    <row r="13" spans="1:3" ht="15" thickBot="1" x14ac:dyDescent="0.35">
      <c r="A13" s="10" t="s">
        <v>11</v>
      </c>
      <c r="B13" s="10">
        <v>8.4494091751477415E-2</v>
      </c>
      <c r="C13" s="10">
        <v>1</v>
      </c>
    </row>
    <row r="16" spans="1:3" x14ac:dyDescent="0.3">
      <c r="A16" s="2" t="s">
        <v>32</v>
      </c>
    </row>
    <row r="18" spans="1:3" x14ac:dyDescent="0.3">
      <c r="A18" s="2" t="s">
        <v>33</v>
      </c>
      <c r="B18" s="2" t="s">
        <v>58</v>
      </c>
    </row>
    <row r="19" spans="1:3" x14ac:dyDescent="0.3">
      <c r="A19" s="2" t="s">
        <v>34</v>
      </c>
      <c r="B19" s="2" t="s">
        <v>59</v>
      </c>
    </row>
    <row r="21" spans="1:3" x14ac:dyDescent="0.3">
      <c r="A21" s="2" t="s">
        <v>18</v>
      </c>
    </row>
    <row r="22" spans="1:3" ht="15" thickBot="1" x14ac:dyDescent="0.35"/>
    <row r="23" spans="1:3" x14ac:dyDescent="0.3">
      <c r="A23" s="9"/>
      <c r="B23" s="9" t="s">
        <v>16</v>
      </c>
      <c r="C23" s="9" t="s">
        <v>17</v>
      </c>
    </row>
    <row r="24" spans="1:3" x14ac:dyDescent="0.3">
      <c r="A24" s="2" t="s">
        <v>19</v>
      </c>
      <c r="B24" s="2">
        <v>4.4644053056633153</v>
      </c>
      <c r="C24" s="2">
        <v>5.3834798087122016</v>
      </c>
    </row>
    <row r="25" spans="1:3" x14ac:dyDescent="0.3">
      <c r="A25" s="2" t="s">
        <v>20</v>
      </c>
      <c r="B25" s="2">
        <v>27.216076909059534</v>
      </c>
      <c r="C25" s="2">
        <v>0.7767879799158024</v>
      </c>
    </row>
    <row r="26" spans="1:3" x14ac:dyDescent="0.3">
      <c r="A26" s="2" t="s">
        <v>21</v>
      </c>
      <c r="B26" s="2">
        <v>9</v>
      </c>
      <c r="C26" s="2">
        <v>3</v>
      </c>
    </row>
    <row r="27" spans="1:3" x14ac:dyDescent="0.3">
      <c r="A27" s="2" t="s">
        <v>22</v>
      </c>
      <c r="B27" s="2">
        <v>0</v>
      </c>
    </row>
    <row r="28" spans="1:3" x14ac:dyDescent="0.3">
      <c r="A28" s="2" t="s">
        <v>23</v>
      </c>
      <c r="B28" s="2">
        <v>9</v>
      </c>
    </row>
    <row r="29" spans="1:3" x14ac:dyDescent="0.3">
      <c r="A29" s="2" t="s">
        <v>24</v>
      </c>
      <c r="B29" s="2">
        <v>-0.50724688191919076</v>
      </c>
    </row>
    <row r="30" spans="1:3" x14ac:dyDescent="0.3">
      <c r="A30" s="2" t="s">
        <v>25</v>
      </c>
      <c r="B30" s="2">
        <v>0.3120884376156382</v>
      </c>
    </row>
    <row r="31" spans="1:3" x14ac:dyDescent="0.3">
      <c r="A31" s="2" t="s">
        <v>26</v>
      </c>
      <c r="B31" s="2">
        <v>1.8331129326562374</v>
      </c>
    </row>
    <row r="32" spans="1:3" x14ac:dyDescent="0.3">
      <c r="A32" s="2" t="s">
        <v>27</v>
      </c>
      <c r="B32" s="2">
        <v>0.62417687523127641</v>
      </c>
    </row>
    <row r="33" spans="1:3" ht="15" thickBot="1" x14ac:dyDescent="0.35">
      <c r="A33" s="10" t="s">
        <v>28</v>
      </c>
      <c r="B33" s="10">
        <v>2.2621571627982053</v>
      </c>
      <c r="C33" s="10"/>
    </row>
    <row r="45" spans="1:3" x14ac:dyDescent="0.3">
      <c r="A45" s="2" t="s">
        <v>57</v>
      </c>
    </row>
    <row r="47" spans="1:3" x14ac:dyDescent="0.3">
      <c r="A47" s="2" t="s">
        <v>36</v>
      </c>
    </row>
    <row r="48" spans="1:3" ht="15" thickBot="1" x14ac:dyDescent="0.35"/>
    <row r="49" spans="1:9" x14ac:dyDescent="0.3">
      <c r="A49" s="9" t="s">
        <v>37</v>
      </c>
      <c r="B49" s="9"/>
    </row>
    <row r="50" spans="1:9" x14ac:dyDescent="0.3">
      <c r="A50" s="2" t="s">
        <v>38</v>
      </c>
      <c r="B50" s="2">
        <v>0.64260648565507761</v>
      </c>
    </row>
    <row r="51" spans="1:9" x14ac:dyDescent="0.3">
      <c r="A51" s="2" t="s">
        <v>39</v>
      </c>
      <c r="B51" s="2">
        <v>0.41294309540596941</v>
      </c>
    </row>
    <row r="52" spans="1:9" x14ac:dyDescent="0.3">
      <c r="A52" s="2" t="s">
        <v>40</v>
      </c>
      <c r="B52" s="2">
        <v>0.23682602402776026</v>
      </c>
    </row>
    <row r="53" spans="1:9" x14ac:dyDescent="0.3">
      <c r="A53" s="2" t="s">
        <v>41</v>
      </c>
      <c r="B53" s="2">
        <v>3.6936049821080856</v>
      </c>
    </row>
    <row r="54" spans="1:9" ht="15" thickBot="1" x14ac:dyDescent="0.35">
      <c r="A54" s="10" t="s">
        <v>21</v>
      </c>
      <c r="B54" s="10">
        <v>14</v>
      </c>
    </row>
    <row r="56" spans="1:9" ht="15" thickBot="1" x14ac:dyDescent="0.35">
      <c r="A56" s="2" t="s">
        <v>42</v>
      </c>
    </row>
    <row r="57" spans="1:9" x14ac:dyDescent="0.3">
      <c r="A57" s="9"/>
      <c r="B57" s="9" t="s">
        <v>23</v>
      </c>
      <c r="C57" s="9" t="s">
        <v>47</v>
      </c>
      <c r="D57" s="9" t="s">
        <v>48</v>
      </c>
      <c r="E57" s="9" t="s">
        <v>49</v>
      </c>
      <c r="F57" s="9" t="s">
        <v>50</v>
      </c>
    </row>
    <row r="58" spans="1:9" x14ac:dyDescent="0.3">
      <c r="A58" s="2" t="s">
        <v>43</v>
      </c>
      <c r="B58" s="2">
        <v>3</v>
      </c>
      <c r="C58" s="2">
        <v>95.964565940189516</v>
      </c>
      <c r="D58" s="2">
        <v>31.988188646729839</v>
      </c>
      <c r="E58" s="2">
        <v>2.344707938727753</v>
      </c>
      <c r="F58" s="2">
        <v>0.13448902645173175</v>
      </c>
    </row>
    <row r="59" spans="1:9" x14ac:dyDescent="0.3">
      <c r="A59" s="2" t="s">
        <v>44</v>
      </c>
      <c r="B59" s="2">
        <v>10</v>
      </c>
      <c r="C59" s="2">
        <v>136.4271776385367</v>
      </c>
      <c r="D59" s="2">
        <v>13.642717763853671</v>
      </c>
    </row>
    <row r="60" spans="1:9" ht="15" thickBot="1" x14ac:dyDescent="0.35">
      <c r="A60" s="10" t="s">
        <v>45</v>
      </c>
      <c r="B60" s="10">
        <v>13</v>
      </c>
      <c r="C60" s="10">
        <v>232.39174357872622</v>
      </c>
      <c r="D60" s="10"/>
      <c r="E60" s="10"/>
      <c r="F60" s="10"/>
    </row>
    <row r="61" spans="1:9" ht="15" thickBot="1" x14ac:dyDescent="0.35"/>
    <row r="62" spans="1:9" x14ac:dyDescent="0.3">
      <c r="A62" s="9"/>
      <c r="B62" s="9" t="s">
        <v>51</v>
      </c>
      <c r="C62" s="9" t="s">
        <v>41</v>
      </c>
      <c r="D62" s="9" t="s">
        <v>24</v>
      </c>
      <c r="E62" s="9" t="s">
        <v>52</v>
      </c>
      <c r="F62" s="9" t="s">
        <v>53</v>
      </c>
      <c r="G62" s="9" t="s">
        <v>54</v>
      </c>
      <c r="H62" s="9" t="s">
        <v>55</v>
      </c>
      <c r="I62" s="9" t="s">
        <v>56</v>
      </c>
    </row>
    <row r="63" spans="1:9" x14ac:dyDescent="0.3">
      <c r="A63" s="2" t="s">
        <v>46</v>
      </c>
      <c r="B63" s="2">
        <v>5.6666967001601218</v>
      </c>
      <c r="C63" s="2">
        <v>2.7681083497437489</v>
      </c>
      <c r="D63" s="2">
        <v>2.0471368834549786</v>
      </c>
      <c r="E63" s="2">
        <v>6.7832580642443241E-2</v>
      </c>
      <c r="F63" s="2">
        <v>-0.50103306041153495</v>
      </c>
      <c r="G63" s="2">
        <v>11.834426460731779</v>
      </c>
      <c r="H63" s="2">
        <v>-0.50103306041153495</v>
      </c>
      <c r="I63" s="2">
        <v>11.834426460731779</v>
      </c>
    </row>
    <row r="64" spans="1:9" x14ac:dyDescent="0.3">
      <c r="A64" s="2" t="s">
        <v>14</v>
      </c>
      <c r="B64" s="2">
        <v>-1.9696810638608961E-4</v>
      </c>
      <c r="C64" s="2">
        <v>1.3348583196793847E-4</v>
      </c>
      <c r="D64" s="2">
        <v>-1.4755731262430813</v>
      </c>
      <c r="E64" s="2">
        <v>0.17083667734721683</v>
      </c>
      <c r="F64" s="2">
        <v>-4.9439307478356474E-4</v>
      </c>
      <c r="G64" s="2">
        <v>1.0045686201138552E-4</v>
      </c>
      <c r="H64" s="2">
        <v>-4.9439307478356474E-4</v>
      </c>
      <c r="I64" s="2">
        <v>1.0045686201138552E-4</v>
      </c>
    </row>
    <row r="65" spans="1:9" x14ac:dyDescent="0.3">
      <c r="A65" s="2" t="s">
        <v>11</v>
      </c>
      <c r="B65" s="2">
        <v>0.28033421978779105</v>
      </c>
      <c r="C65" s="2">
        <v>1.2722099184724476</v>
      </c>
      <c r="D65" s="2">
        <v>0.22035217279581545</v>
      </c>
      <c r="E65" s="2">
        <v>0.83003040565784292</v>
      </c>
      <c r="F65" s="2">
        <v>-2.5543261274429603</v>
      </c>
      <c r="G65" s="2">
        <v>3.1149945670185422</v>
      </c>
      <c r="H65" s="2">
        <v>-2.5543261274429603</v>
      </c>
      <c r="I65" s="2">
        <v>3.1149945670185422</v>
      </c>
    </row>
    <row r="66" spans="1:9" ht="15" thickBot="1" x14ac:dyDescent="0.35">
      <c r="A66" s="10" t="s">
        <v>35</v>
      </c>
      <c r="B66" s="10">
        <v>-9.5933248693835332E-5</v>
      </c>
      <c r="C66" s="10">
        <v>5.9209737455606965E-5</v>
      </c>
      <c r="D66" s="10">
        <v>-1.6202275641867547</v>
      </c>
      <c r="E66" s="10">
        <v>0.13625132998645481</v>
      </c>
      <c r="F66" s="10">
        <v>-2.2786076513458016E-4</v>
      </c>
      <c r="G66" s="10">
        <v>3.5994267746909491E-5</v>
      </c>
      <c r="H66" s="10">
        <v>-2.2786076513458016E-4</v>
      </c>
      <c r="I66" s="10">
        <v>3.5994267746909491E-5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 AS % OF GDP</vt:lpstr>
      <vt:lpstr>ANNUAL EXCHANGE RATE</vt:lpstr>
      <vt:lpstr>ANNUAL NET FPI</vt:lpstr>
      <vt:lpstr>MASTER_ANNUAL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2025-12-17T13:03:28Z</dcterms:created>
  <dcterms:modified xsi:type="dcterms:W3CDTF">2025-12-18T06:27:54Z</dcterms:modified>
</cp:coreProperties>
</file>