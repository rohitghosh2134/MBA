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MBA\Courses\Term 2\QAM-II\Assignment\"/>
    </mc:Choice>
  </mc:AlternateContent>
  <xr:revisionPtr revIDLastSave="0" documentId="13_ncr:9_{573D9764-16B2-4F83-9099-F03B0B874658}" xr6:coauthVersionLast="47" xr6:coauthVersionMax="47" xr10:uidLastSave="{00000000-0000-0000-0000-000000000000}"/>
  <bookViews>
    <workbookView xWindow="-108" yWindow="-108" windowWidth="23256" windowHeight="13176" activeTab="1" xr2:uid="{A3EE9CB8-BED8-4DA2-9291-BF072C103473}"/>
  </bookViews>
  <sheets>
    <sheet name="Copyright" sheetId="2" r:id="rId1"/>
    <sheet name="Exhibit 1" sheetId="1" r:id="rId2"/>
    <sheet name="QUESTION 1" sheetId="3" r:id="rId3"/>
    <sheet name="QUESTION 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2" i="1"/>
  <c r="F11" i="3"/>
  <c r="F10" i="3"/>
  <c r="H7" i="3"/>
  <c r="H6" i="3"/>
  <c r="H5" i="3"/>
  <c r="H4" i="3"/>
  <c r="G7" i="3"/>
  <c r="F7" i="3"/>
  <c r="G6" i="3"/>
  <c r="G5" i="3"/>
  <c r="G4" i="3"/>
  <c r="F6" i="3"/>
  <c r="F5" i="3"/>
  <c r="F4" i="3"/>
</calcChain>
</file>

<file path=xl/sharedStrings.xml><?xml version="1.0" encoding="utf-8"?>
<sst xmlns="http://schemas.openxmlformats.org/spreadsheetml/2006/main" count="253" uniqueCount="116">
  <si>
    <t>Happy Feet</t>
  </si>
  <si>
    <t>Ice Age: The Meltdown</t>
  </si>
  <si>
    <t>The Pursuit of Happyness</t>
  </si>
  <si>
    <t>Talladega Nights: The Ballad of Ricky Bobby</t>
  </si>
  <si>
    <t>Click</t>
  </si>
  <si>
    <t>The Departed</t>
  </si>
  <si>
    <t>The Devil Wears Prada</t>
  </si>
  <si>
    <t>The Break-Up</t>
  </si>
  <si>
    <t>Dreamgirls</t>
  </si>
  <si>
    <t>Scary Movie 4</t>
  </si>
  <si>
    <t>Failure to Launch</t>
  </si>
  <si>
    <t>Inside Man</t>
  </si>
  <si>
    <t>Open Season</t>
  </si>
  <si>
    <t>The Pink Panther</t>
  </si>
  <si>
    <t>Eight Below</t>
  </si>
  <si>
    <t>Nacho Libre</t>
  </si>
  <si>
    <t>You, Me and Dupree</t>
  </si>
  <si>
    <t>Eragon</t>
  </si>
  <si>
    <t>Monster House</t>
  </si>
  <si>
    <t>Barnyard: The Original Party Animals</t>
  </si>
  <si>
    <t>RV</t>
  </si>
  <si>
    <t>V for Vendetta</t>
  </si>
  <si>
    <t>World Trade Center</t>
  </si>
  <si>
    <t>Rocky Balboa</t>
  </si>
  <si>
    <t>Big Momma's House 2</t>
  </si>
  <si>
    <t>Deja Vu</t>
  </si>
  <si>
    <t>The Holiday</t>
  </si>
  <si>
    <t>Underworld: Evolution</t>
  </si>
  <si>
    <t>The Shaggy Dog</t>
  </si>
  <si>
    <t>The Benchwarmers</t>
  </si>
  <si>
    <t>Little Man</t>
  </si>
  <si>
    <t>Curious George</t>
  </si>
  <si>
    <t>Blood Diamond</t>
  </si>
  <si>
    <t>The Omen (2006)</t>
  </si>
  <si>
    <t>Final Destination 3</t>
  </si>
  <si>
    <t>The Prestige</t>
  </si>
  <si>
    <t>The Lake House</t>
  </si>
  <si>
    <t>Apocalypto</t>
  </si>
  <si>
    <t>Date Movie</t>
  </si>
  <si>
    <t>Nanny McPhee</t>
  </si>
  <si>
    <t>Silent Hill</t>
  </si>
  <si>
    <t>Lady in the Water</t>
  </si>
  <si>
    <t>Stranger Than Fiction</t>
  </si>
  <si>
    <t>The Grudge 2</t>
  </si>
  <si>
    <t>Gridiron Gang</t>
  </si>
  <si>
    <t>Last Holiday</t>
  </si>
  <si>
    <t>The Nativity Story</t>
  </si>
  <si>
    <t>The Wild</t>
  </si>
  <si>
    <t>16 Blocks</t>
  </si>
  <si>
    <t>Accepted</t>
  </si>
  <si>
    <t>The Sentinel</t>
  </si>
  <si>
    <t>Children of Men</t>
  </si>
  <si>
    <t>Take the Lead</t>
  </si>
  <si>
    <t>Babel</t>
  </si>
  <si>
    <t>Snakes on a Plane</t>
  </si>
  <si>
    <t>She's the Man</t>
  </si>
  <si>
    <t>Flags of Our Fathers</t>
  </si>
  <si>
    <t>The Ant Bully</t>
  </si>
  <si>
    <t>Stick It</t>
  </si>
  <si>
    <t>The Wicker Man</t>
  </si>
  <si>
    <t>The Covenant</t>
  </si>
  <si>
    <t>Stay Alive</t>
  </si>
  <si>
    <t>The Black Dahlia</t>
  </si>
  <si>
    <t>Lucky Number Slevin</t>
  </si>
  <si>
    <t>ATL</t>
  </si>
  <si>
    <t>Pulse</t>
  </si>
  <si>
    <t>Ultraviolet</t>
  </si>
  <si>
    <t>School for Scoundrels</t>
  </si>
  <si>
    <t>Just My Luck</t>
  </si>
  <si>
    <t>Unaccompanied Minors</t>
  </si>
  <si>
    <t>Marie Antoinette</t>
  </si>
  <si>
    <t>Arthur and the Invisibles</t>
  </si>
  <si>
    <t>One Night with the King</t>
  </si>
  <si>
    <t>Flyboys</t>
  </si>
  <si>
    <t>PG-13</t>
  </si>
  <si>
    <t>PG</t>
  </si>
  <si>
    <t>G</t>
  </si>
  <si>
    <t>R</t>
  </si>
  <si>
    <t>Genre</t>
  </si>
  <si>
    <t>Sequel</t>
  </si>
  <si>
    <t>Animation</t>
  </si>
  <si>
    <t>Thriller</t>
  </si>
  <si>
    <t>Action</t>
  </si>
  <si>
    <t>Drama</t>
  </si>
  <si>
    <t>Comedy</t>
  </si>
  <si>
    <t>Horror</t>
  </si>
  <si>
    <t xml:space="preserve">Action </t>
  </si>
  <si>
    <t xml:space="preserve">Horror </t>
  </si>
  <si>
    <t>Opening Theatres</t>
  </si>
  <si>
    <t>Critics´ Opinion</t>
  </si>
  <si>
    <t xml:space="preserve">Movie </t>
  </si>
  <si>
    <t>Adventure</t>
  </si>
  <si>
    <t>MPAA</t>
  </si>
  <si>
    <t>Budget</t>
  </si>
  <si>
    <t xml:space="preserve">Opening Gross </t>
  </si>
  <si>
    <t>Charlotte's Web</t>
  </si>
  <si>
    <t>MPAA_D</t>
  </si>
  <si>
    <t>Known Story</t>
  </si>
  <si>
    <t>Summer</t>
  </si>
  <si>
    <t>Holiday</t>
  </si>
  <si>
    <t>Christmas</t>
  </si>
  <si>
    <t>Oscar Nominations</t>
  </si>
  <si>
    <t>Oscars Won</t>
  </si>
  <si>
    <t xml:space="preserve">Total U.S. Gross </t>
  </si>
  <si>
    <t xml:space="preserve">Total Non-U.S. Gross </t>
  </si>
  <si>
    <t xml:space="preserve"> Origin_United States</t>
  </si>
  <si>
    <t>MIN</t>
  </si>
  <si>
    <t xml:space="preserve">MAX </t>
  </si>
  <si>
    <t>AVERAGE</t>
  </si>
  <si>
    <t>OPENING GROSS</t>
  </si>
  <si>
    <t>US GROSS</t>
  </si>
  <si>
    <t>NON US GROSS</t>
  </si>
  <si>
    <t>OPENING THEATRES</t>
  </si>
  <si>
    <t>COMEDY MOVIES</t>
  </si>
  <si>
    <t>R - RATED MOVIES</t>
  </si>
  <si>
    <t>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</si>
</sst>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98" formatCode="#,##0\ _€"/>
  </numFmts>
  <fonts count="7" x14ac:knownFonts="1">
    <font>
      <sz val="10"/>
      <name val="Arial"/>
    </font>
    <font>
      <u/>
      <sz val="10"/>
      <color indexed="12"/>
      <name val="Arial"/>
      <family val="2"/>
    </font>
    <font>
      <sz val="10"/>
      <name val="Arial"/>
      <family val="2"/>
    </font>
    <font>
      <b/>
      <sz val="10"/>
      <name val="Arial"/>
      <family val="2"/>
    </font>
    <font>
      <sz val="8"/>
      <name val="Arial"/>
      <family val="2"/>
    </font>
    <font>
      <b/>
      <sz val="11"/>
      <color rgb="FFFA7D00"/>
      <name val="Calibri"/>
      <family val="2"/>
      <scheme val="minor"/>
    </font>
    <font>
      <b/>
      <sz val="11"/>
      <color theme="0"/>
      <name val="Calibri"/>
      <family val="2"/>
      <scheme val="minor"/>
    </font>
  </fonts>
  <fills count="4">
    <fill>
      <patternFill patternType="none"/>
    </fill>
    <fill>
      <patternFill patternType="gray125"/>
    </fill>
    <fill>
      <patternFill patternType="solid">
        <fgColor rgb="FFF2F2F2"/>
      </patternFill>
    </fill>
    <fill>
      <patternFill patternType="solid">
        <fgColor rgb="FFA5A5A5"/>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
    <xf numFmtId="0" fontId="0" fillId="0" borderId="0"/>
    <xf numFmtId="0" fontId="5" fillId="2" borderId="1" applyNumberFormat="0" applyAlignment="0" applyProtection="0"/>
    <xf numFmtId="0" fontId="6" fillId="3" borderId="2" applyNumberFormat="0" applyAlignment="0" applyProtection="0"/>
    <xf numFmtId="0" fontId="1" fillId="0" borderId="0" applyNumberFormat="0" applyFill="0" applyBorder="0" applyAlignment="0" applyProtection="0">
      <alignment vertical="top"/>
      <protection locked="0"/>
    </xf>
  </cellStyleXfs>
  <cellXfs count="26">
    <xf numFmtId="0" fontId="0" fillId="0" borderId="0" xfId="0"/>
    <xf numFmtId="0" fontId="3" fillId="0" borderId="0" xfId="0" applyFont="1" applyFill="1" applyAlignment="1">
      <alignment horizontal="center" wrapText="1"/>
    </xf>
    <xf numFmtId="0" fontId="2" fillId="0" borderId="0" xfId="0" applyFont="1" applyFill="1" applyAlignment="1">
      <alignment horizontal="left"/>
    </xf>
    <xf numFmtId="0" fontId="3" fillId="0" borderId="0" xfId="0" applyFont="1" applyFill="1" applyBorder="1" applyAlignment="1">
      <alignment horizontal="center" wrapText="1"/>
    </xf>
    <xf numFmtId="0" fontId="2" fillId="0" borderId="0" xfId="0" applyFont="1" applyFill="1" applyBorder="1"/>
    <xf numFmtId="0" fontId="2" fillId="0" borderId="0" xfId="0" applyFont="1"/>
    <xf numFmtId="0" fontId="2" fillId="0" borderId="0" xfId="3" applyFont="1" applyFill="1" applyBorder="1" applyAlignment="1" applyProtection="1">
      <alignment wrapText="1"/>
    </xf>
    <xf numFmtId="0" fontId="2" fillId="0" borderId="0" xfId="0" applyFont="1" applyFill="1" applyAlignment="1">
      <alignment horizontal="right" wrapText="1"/>
    </xf>
    <xf numFmtId="0" fontId="2" fillId="0" borderId="0" xfId="0" applyFont="1" applyFill="1"/>
    <xf numFmtId="0" fontId="2" fillId="0" borderId="0" xfId="0" applyFont="1" applyFill="1" applyAlignment="1">
      <alignment horizontal="left" wrapText="1"/>
    </xf>
    <xf numFmtId="3" fontId="2" fillId="0" borderId="0" xfId="0" applyNumberFormat="1" applyFont="1" applyFill="1" applyAlignment="1">
      <alignment horizontal="right" wrapText="1"/>
    </xf>
    <xf numFmtId="0" fontId="2" fillId="0" borderId="0" xfId="0" applyFont="1" applyFill="1" applyAlignment="1">
      <alignment horizontal="right"/>
    </xf>
    <xf numFmtId="0" fontId="2" fillId="0" borderId="0" xfId="3" applyFont="1" applyFill="1" applyAlignment="1" applyProtection="1">
      <alignment wrapText="1"/>
    </xf>
    <xf numFmtId="198" fontId="3" fillId="0" borderId="0" xfId="0" applyNumberFormat="1" applyFont="1" applyFill="1" applyAlignment="1">
      <alignment horizontal="center" wrapText="1"/>
    </xf>
    <xf numFmtId="198" fontId="2" fillId="0" borderId="0" xfId="0" applyNumberFormat="1" applyFont="1" applyFill="1" applyAlignment="1">
      <alignment horizontal="right" wrapText="1"/>
    </xf>
    <xf numFmtId="198" fontId="2" fillId="0" borderId="0" xfId="0" applyNumberFormat="1" applyFont="1" applyFill="1"/>
    <xf numFmtId="2" fontId="2" fillId="0" borderId="0" xfId="0" applyNumberFormat="1" applyFont="1" applyFill="1"/>
    <xf numFmtId="3" fontId="2" fillId="0" borderId="0" xfId="0" applyNumberFormat="1" applyFont="1" applyFill="1"/>
    <xf numFmtId="3" fontId="2" fillId="0" borderId="0" xfId="0" applyNumberFormat="1" applyFont="1"/>
    <xf numFmtId="3" fontId="2" fillId="0" borderId="0" xfId="0" applyNumberFormat="1" applyFont="1" applyFill="1" applyAlignment="1">
      <alignment horizontal="right"/>
    </xf>
    <xf numFmtId="3" fontId="3" fillId="0" borderId="0" xfId="0" applyNumberFormat="1" applyFont="1" applyFill="1" applyAlignment="1">
      <alignment horizontal="center" wrapText="1"/>
    </xf>
    <xf numFmtId="0" fontId="0" fillId="0" borderId="0" xfId="0" applyAlignment="1">
      <alignment horizontal="center" vertical="center"/>
    </xf>
    <xf numFmtId="0" fontId="6" fillId="3" borderId="2" xfId="2" applyAlignment="1">
      <alignment horizontal="center" vertical="center"/>
    </xf>
    <xf numFmtId="3" fontId="5" fillId="2" borderId="1" xfId="1" applyNumberFormat="1" applyAlignment="1">
      <alignment horizontal="center" vertical="center"/>
    </xf>
    <xf numFmtId="0" fontId="5" fillId="2" borderId="1" xfId="1"/>
    <xf numFmtId="10" fontId="2" fillId="0" borderId="0" xfId="0" applyNumberFormat="1" applyFont="1" applyFill="1"/>
  </cellXfs>
  <cellStyles count="4">
    <cellStyle name="Calculation" xfId="1" builtinId="22"/>
    <cellStyle name="Check Cell" xfId="2" builtinId="23"/>
    <cellStyle name="Hyperlink" xfId="3"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9525</xdr:colOff>
      <xdr:row>2</xdr:row>
      <xdr:rowOff>19050</xdr:rowOff>
    </xdr:from>
    <xdr:to>
      <xdr:col>10</xdr:col>
      <xdr:colOff>133350</xdr:colOff>
      <xdr:row>23</xdr:row>
      <xdr:rowOff>28575</xdr:rowOff>
    </xdr:to>
    <xdr:sp macro="" textlink="">
      <xdr:nvSpPr>
        <xdr:cNvPr id="6" name="Text Box 1">
          <a:extLst>
            <a:ext uri="{FF2B5EF4-FFF2-40B4-BE49-F238E27FC236}">
              <a16:creationId xmlns:a16="http://schemas.microsoft.com/office/drawing/2014/main" id="{31EE1711-9383-6B1B-A6DC-5B2D91EDE6A7}"/>
            </a:ext>
          </a:extLst>
        </xdr:cNvPr>
        <xdr:cNvSpPr txBox="1">
          <a:spLocks noChangeArrowheads="1"/>
        </xdr:cNvSpPr>
      </xdr:nvSpPr>
      <xdr:spPr bwMode="auto">
        <a:xfrm>
          <a:off x="619125" y="342900"/>
          <a:ext cx="5610225" cy="3409950"/>
        </a:xfrm>
        <a:prstGeom prst="rect">
          <a:avLst/>
        </a:prstGeom>
        <a:solidFill>
          <a:srgbClr val="FFFFFF"/>
        </a:solidFill>
        <a:ln w="9525">
          <a:solidFill>
            <a:srgbClr val="000000"/>
          </a:solidFill>
          <a:miter lim="800000"/>
          <a:headEnd/>
          <a:tailEnd/>
        </a:ln>
      </xdr:spPr>
      <xdr:txBody>
        <a:bodyPr vertOverflow="clip" wrap="square" lIns="91440" tIns="91440" rIns="91440" bIns="274320" anchor="t" upright="1"/>
        <a:lstStyle/>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r>
            <a:rPr lang="en-US" sz="1100" b="0" i="0" u="none" strike="noStrike" baseline="0">
              <a:solidFill>
                <a:srgbClr val="000000"/>
              </a:solidFill>
              <a:latin typeface="+mn-lt"/>
              <a:cs typeface="Arial"/>
            </a:rPr>
            <a:t>These spreadsheet exhibit relates to the case </a:t>
          </a:r>
          <a:r>
            <a:rPr lang="en-US" sz="1100" b="0" i="1">
              <a:latin typeface="+mn-lt"/>
              <a:ea typeface="+mn-ea"/>
              <a:cs typeface="+mn-cs"/>
            </a:rPr>
            <a:t>Hollywood Rules</a:t>
          </a:r>
          <a:r>
            <a:rPr lang="en-US" sz="1100" b="0" i="0" u="none" strike="noStrike" baseline="0">
              <a:solidFill>
                <a:srgbClr val="000000"/>
              </a:solidFill>
              <a:latin typeface="+mn-lt"/>
              <a:cs typeface="Arial"/>
            </a:rPr>
            <a:t> Case #</a:t>
          </a:r>
          <a:r>
            <a:rPr lang="en-US" sz="1100">
              <a:latin typeface="+mn-lt"/>
              <a:ea typeface="+mn-ea"/>
              <a:cs typeface="+mn-cs"/>
            </a:rPr>
            <a:t>KEL700</a:t>
          </a:r>
          <a:r>
            <a:rPr lang="en-US" sz="1100" b="0" i="0" u="none" strike="noStrike" baseline="0">
              <a:solidFill>
                <a:srgbClr val="000000"/>
              </a:solidFill>
              <a:latin typeface="+mn-lt"/>
              <a:cs typeface="Arial"/>
            </a:rPr>
            <a:t>.</a:t>
          </a:r>
        </a:p>
        <a:p>
          <a:pPr algn="l" rtl="0">
            <a:defRPr sz="1000"/>
          </a:pPr>
          <a:endParaRPr lang="en-US" sz="1100" b="0" i="0" u="none" strike="noStrike" baseline="0">
            <a:solidFill>
              <a:srgbClr val="000000"/>
            </a:solidFill>
            <a:latin typeface="+mn-lt"/>
            <a:cs typeface="Arial"/>
          </a:endParaRPr>
        </a:p>
        <a:p>
          <a:r>
            <a:rPr lang="en-US" sz="1100">
              <a:latin typeface="+mn-lt"/>
              <a:ea typeface="+mn-ea"/>
              <a:cs typeface="+mn-cs"/>
            </a:rPr>
            <a:t>©2011 by the Kellogg School of Management at Northwestern University. This case was prepared by</a:t>
          </a:r>
          <a:r>
            <a:rPr lang="en-US" sz="1100" baseline="0">
              <a:latin typeface="+mn-lt"/>
              <a:ea typeface="+mn-ea"/>
              <a:cs typeface="+mn-cs"/>
            </a:rPr>
            <a:t> </a:t>
          </a:r>
          <a:r>
            <a:rPr lang="en-US" sz="1100">
              <a:latin typeface="+mn-lt"/>
              <a:ea typeface="+mn-ea"/>
              <a:cs typeface="+mn-cs"/>
            </a:rPr>
            <a:t>Charlotte Snyder and Ute Schaedel under the supervision of Professor Karl Schmedders. Cases are developed solely as the basis for class discussion. Cases are not intended to serve as endorsements, sources of primary data, or illustrations of effective or ineffective management. To order copies or request permission to reproduce materials, call 800-545-7685 (or 617-783-7600 outside the United States or Canada) or e-mail custserv@hbsp.harvard.edu. No part of this publication may be reproduced, stored in a retrieval system, used in a spreadsheet, or transmitted in any form or by any means—electronic, mechanical, photocopying, recording, or otherwise—without the permission of the Kellogg School of Management.</a:t>
          </a:r>
        </a:p>
      </xdr:txBody>
    </xdr:sp>
    <xdr:clientData/>
  </xdr:twoCellAnchor>
  <xdr:twoCellAnchor editAs="oneCell">
    <xdr:from>
      <xdr:col>1</xdr:col>
      <xdr:colOff>190500</xdr:colOff>
      <xdr:row>2</xdr:row>
      <xdr:rowOff>167640</xdr:rowOff>
    </xdr:from>
    <xdr:to>
      <xdr:col>5</xdr:col>
      <xdr:colOff>525780</xdr:colOff>
      <xdr:row>7</xdr:row>
      <xdr:rowOff>129540</xdr:rowOff>
    </xdr:to>
    <xdr:pic>
      <xdr:nvPicPr>
        <xdr:cNvPr id="2058" name="Picture 2" descr="Kellogg_logo_01_300dpi_bw">
          <a:extLst>
            <a:ext uri="{FF2B5EF4-FFF2-40B4-BE49-F238E27FC236}">
              <a16:creationId xmlns:a16="http://schemas.microsoft.com/office/drawing/2014/main" id="{963B02B9-0112-F79F-723C-9CFD83E102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502920"/>
          <a:ext cx="277368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1A7D-1184-4572-A78A-2C4F5C143F10}">
  <dimension ref="A1"/>
  <sheetViews>
    <sheetView workbookViewId="0"/>
  </sheetViews>
  <sheetFormatPr defaultRowHeight="13.2"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BABF-64E0-4668-9BE8-9CD0CA6FB9FD}">
  <dimension ref="A1:S76"/>
  <sheetViews>
    <sheetView tabSelected="1" zoomScaleNormal="100" workbookViewId="0">
      <selection activeCell="T1" sqref="T1"/>
    </sheetView>
  </sheetViews>
  <sheetFormatPr defaultColWidth="11.44140625" defaultRowHeight="15" customHeight="1" x14ac:dyDescent="0.25"/>
  <cols>
    <col min="1" max="1" width="38.6640625" style="8" bestFit="1" customWidth="1"/>
    <col min="2" max="2" width="11.109375" style="8" bestFit="1" customWidth="1"/>
    <col min="3" max="4" width="14.6640625" style="15" customWidth="1"/>
    <col min="5" max="5" width="14.109375" style="19" customWidth="1"/>
    <col min="6" max="6" width="8.88671875" style="16" bestFit="1" customWidth="1"/>
    <col min="7" max="7" width="7.33203125" style="8" bestFit="1" customWidth="1"/>
    <col min="8" max="8" width="7.44140625" style="4" bestFit="1" customWidth="1"/>
    <col min="9" max="9" width="11.44140625" style="4" bestFit="1" customWidth="1"/>
    <col min="10" max="10" width="9.33203125" style="8" bestFit="1" customWidth="1"/>
    <col min="11" max="11" width="8.6640625" style="2" bestFit="1" customWidth="1"/>
    <col min="12" max="12" width="7.88671875" style="2" bestFit="1" customWidth="1"/>
    <col min="13" max="13" width="9.88671875" style="2" bestFit="1" customWidth="1"/>
    <col min="14" max="14" width="6.44140625" style="2" bestFit="1" customWidth="1"/>
    <col min="15" max="15" width="7.44140625" style="2" bestFit="1" customWidth="1"/>
    <col min="16" max="16" width="8.109375" style="11" bestFit="1" customWidth="1"/>
    <col min="17" max="17" width="12.33203125" style="11" bestFit="1" customWidth="1"/>
    <col min="18" max="18" width="7" style="11" bestFit="1" customWidth="1"/>
    <col min="19" max="16384" width="11.44140625" style="8"/>
  </cols>
  <sheetData>
    <row r="1" spans="1:19" s="1" customFormat="1" ht="30" customHeight="1" x14ac:dyDescent="0.25">
      <c r="A1" s="1" t="s">
        <v>90</v>
      </c>
      <c r="B1" s="1" t="s">
        <v>94</v>
      </c>
      <c r="C1" s="13" t="s">
        <v>103</v>
      </c>
      <c r="D1" s="13" t="s">
        <v>104</v>
      </c>
      <c r="E1" s="20" t="s">
        <v>93</v>
      </c>
      <c r="F1" s="1" t="s">
        <v>88</v>
      </c>
      <c r="G1" s="1" t="s">
        <v>97</v>
      </c>
      <c r="H1" s="3" t="s">
        <v>79</v>
      </c>
      <c r="I1" s="3" t="s">
        <v>105</v>
      </c>
      <c r="J1" s="1" t="s">
        <v>78</v>
      </c>
      <c r="K1" s="1" t="s">
        <v>98</v>
      </c>
      <c r="L1" s="1" t="s">
        <v>99</v>
      </c>
      <c r="M1" s="1" t="s">
        <v>100</v>
      </c>
      <c r="N1" s="1" t="s">
        <v>92</v>
      </c>
      <c r="O1" s="1" t="s">
        <v>96</v>
      </c>
      <c r="P1" s="1" t="s">
        <v>89</v>
      </c>
      <c r="Q1" s="1" t="s">
        <v>101</v>
      </c>
      <c r="R1" s="1" t="s">
        <v>102</v>
      </c>
      <c r="S1" s="1" t="s">
        <v>115</v>
      </c>
    </row>
    <row r="2" spans="1:19" ht="15" customHeight="1" x14ac:dyDescent="0.25">
      <c r="A2" s="12" t="s">
        <v>48</v>
      </c>
      <c r="B2" s="10">
        <v>11855260</v>
      </c>
      <c r="C2" s="14">
        <v>36895141</v>
      </c>
      <c r="D2" s="18">
        <v>65664721</v>
      </c>
      <c r="E2" s="19">
        <v>45000000</v>
      </c>
      <c r="F2" s="10">
        <v>2706</v>
      </c>
      <c r="G2" s="8">
        <v>0</v>
      </c>
      <c r="H2" s="6">
        <v>0</v>
      </c>
      <c r="I2" s="6">
        <v>1</v>
      </c>
      <c r="J2" s="5" t="s">
        <v>86</v>
      </c>
      <c r="K2" s="2">
        <v>1</v>
      </c>
      <c r="L2" s="2">
        <v>0</v>
      </c>
      <c r="M2" s="2">
        <v>0</v>
      </c>
      <c r="N2" s="2" t="s">
        <v>74</v>
      </c>
      <c r="O2" s="2">
        <v>0</v>
      </c>
      <c r="P2" s="11">
        <v>63</v>
      </c>
      <c r="Q2" s="11">
        <v>0</v>
      </c>
      <c r="R2" s="11">
        <v>0</v>
      </c>
      <c r="S2" s="25">
        <f>(C2-E2)/E2</f>
        <v>-0.18010797777777779</v>
      </c>
    </row>
    <row r="3" spans="1:19" ht="15" customHeight="1" x14ac:dyDescent="0.25">
      <c r="A3" s="12" t="s">
        <v>49</v>
      </c>
      <c r="B3" s="10">
        <v>10023835</v>
      </c>
      <c r="C3" s="14">
        <v>36323505</v>
      </c>
      <c r="D3" s="18">
        <v>2146261</v>
      </c>
      <c r="E3" s="19">
        <v>23000000</v>
      </c>
      <c r="F3" s="10">
        <v>2914</v>
      </c>
      <c r="G3" s="8">
        <v>0</v>
      </c>
      <c r="H3" s="6">
        <v>0</v>
      </c>
      <c r="I3" s="6">
        <v>1</v>
      </c>
      <c r="J3" s="5" t="s">
        <v>84</v>
      </c>
      <c r="K3" s="2">
        <v>0</v>
      </c>
      <c r="L3" s="2">
        <v>0</v>
      </c>
      <c r="M3" s="2">
        <v>0</v>
      </c>
      <c r="N3" s="2" t="s">
        <v>74</v>
      </c>
      <c r="O3" s="2">
        <v>0</v>
      </c>
      <c r="P3" s="11">
        <v>47</v>
      </c>
      <c r="Q3" s="11">
        <v>0</v>
      </c>
      <c r="R3" s="11">
        <v>0</v>
      </c>
      <c r="S3" s="25">
        <f t="shared" ref="S3:S66" si="0">(C3-E3)/E3</f>
        <v>0.57928282608695647</v>
      </c>
    </row>
    <row r="4" spans="1:19" ht="15" customHeight="1" x14ac:dyDescent="0.25">
      <c r="A4" s="12" t="s">
        <v>37</v>
      </c>
      <c r="B4" s="10">
        <v>15005604</v>
      </c>
      <c r="C4" s="14">
        <v>50866635</v>
      </c>
      <c r="D4" s="18">
        <v>69309076</v>
      </c>
      <c r="E4" s="19">
        <v>40000000</v>
      </c>
      <c r="F4" s="10">
        <v>2465</v>
      </c>
      <c r="G4" s="8">
        <v>0</v>
      </c>
      <c r="H4" s="6">
        <v>0</v>
      </c>
      <c r="I4" s="6">
        <v>1</v>
      </c>
      <c r="J4" s="5" t="s">
        <v>91</v>
      </c>
      <c r="K4" s="2">
        <v>0</v>
      </c>
      <c r="L4" s="2">
        <v>0</v>
      </c>
      <c r="M4" s="2">
        <v>0</v>
      </c>
      <c r="N4" s="2" t="s">
        <v>77</v>
      </c>
      <c r="O4" s="2">
        <v>1</v>
      </c>
      <c r="P4" s="11">
        <v>68</v>
      </c>
      <c r="Q4" s="11">
        <v>3</v>
      </c>
      <c r="R4" s="11">
        <v>0</v>
      </c>
      <c r="S4" s="25">
        <f t="shared" si="0"/>
        <v>0.271665875</v>
      </c>
    </row>
    <row r="5" spans="1:19" ht="15" customHeight="1" x14ac:dyDescent="0.25">
      <c r="A5" s="12" t="s">
        <v>71</v>
      </c>
      <c r="B5" s="17">
        <v>4294936</v>
      </c>
      <c r="C5" s="14">
        <v>15132763</v>
      </c>
      <c r="D5" s="18">
        <v>97854413</v>
      </c>
      <c r="E5" s="19">
        <v>86000000</v>
      </c>
      <c r="F5" s="10">
        <v>2247</v>
      </c>
      <c r="G5" s="8">
        <v>0</v>
      </c>
      <c r="H5" s="6">
        <v>0</v>
      </c>
      <c r="I5" s="6">
        <v>0</v>
      </c>
      <c r="J5" s="5" t="s">
        <v>80</v>
      </c>
      <c r="K5" s="2">
        <v>1</v>
      </c>
      <c r="L5" s="2">
        <v>0</v>
      </c>
      <c r="M5" s="2">
        <v>0</v>
      </c>
      <c r="N5" s="2" t="s">
        <v>75</v>
      </c>
      <c r="O5" s="2">
        <v>0</v>
      </c>
      <c r="P5" s="11">
        <v>39</v>
      </c>
      <c r="Q5" s="11">
        <v>0</v>
      </c>
      <c r="R5" s="11">
        <v>0</v>
      </c>
      <c r="S5" s="25">
        <f t="shared" si="0"/>
        <v>-0.82403763953488374</v>
      </c>
    </row>
    <row r="6" spans="1:19" ht="15" customHeight="1" x14ac:dyDescent="0.25">
      <c r="A6" s="12" t="s">
        <v>64</v>
      </c>
      <c r="B6" s="10">
        <v>11554404</v>
      </c>
      <c r="C6" s="14">
        <v>21170563</v>
      </c>
      <c r="D6" s="14">
        <v>0</v>
      </c>
      <c r="E6" s="19">
        <v>20000000</v>
      </c>
      <c r="F6" s="10">
        <v>1602</v>
      </c>
      <c r="G6" s="8">
        <v>0</v>
      </c>
      <c r="H6" s="6">
        <v>0</v>
      </c>
      <c r="I6" s="6">
        <v>1</v>
      </c>
      <c r="J6" s="5" t="s">
        <v>83</v>
      </c>
      <c r="K6" s="2">
        <v>0</v>
      </c>
      <c r="L6" s="2">
        <v>0</v>
      </c>
      <c r="M6" s="2">
        <v>0</v>
      </c>
      <c r="N6" s="2" t="s">
        <v>74</v>
      </c>
      <c r="O6" s="2">
        <v>0</v>
      </c>
      <c r="P6" s="11">
        <v>63</v>
      </c>
      <c r="Q6" s="11">
        <v>0</v>
      </c>
      <c r="R6" s="11">
        <v>0</v>
      </c>
      <c r="S6" s="25">
        <f t="shared" si="0"/>
        <v>5.8528150000000001E-2</v>
      </c>
    </row>
    <row r="7" spans="1:19" ht="15" customHeight="1" x14ac:dyDescent="0.25">
      <c r="A7" s="12" t="s">
        <v>53</v>
      </c>
      <c r="B7" s="17">
        <v>5558095</v>
      </c>
      <c r="C7" s="14">
        <v>34302837</v>
      </c>
      <c r="D7" s="18">
        <v>101027326</v>
      </c>
      <c r="E7" s="19">
        <v>20000000</v>
      </c>
      <c r="F7" s="10">
        <v>1251</v>
      </c>
      <c r="G7" s="8">
        <v>0</v>
      </c>
      <c r="H7" s="6">
        <v>0</v>
      </c>
      <c r="I7" s="6">
        <v>1</v>
      </c>
      <c r="J7" s="5" t="s">
        <v>83</v>
      </c>
      <c r="K7" s="2">
        <v>0</v>
      </c>
      <c r="L7" s="2">
        <v>0</v>
      </c>
      <c r="M7" s="2">
        <v>0</v>
      </c>
      <c r="N7" s="2" t="s">
        <v>77</v>
      </c>
      <c r="O7" s="2">
        <v>1</v>
      </c>
      <c r="P7" s="11">
        <v>69</v>
      </c>
      <c r="Q7" s="11">
        <v>7</v>
      </c>
      <c r="R7" s="11">
        <v>1</v>
      </c>
      <c r="S7" s="25">
        <f t="shared" si="0"/>
        <v>0.71514184999999997</v>
      </c>
    </row>
    <row r="8" spans="1:19" ht="15" customHeight="1" x14ac:dyDescent="0.25">
      <c r="A8" s="12" t="s">
        <v>19</v>
      </c>
      <c r="B8" s="10">
        <v>15820864</v>
      </c>
      <c r="C8" s="14">
        <v>72637803</v>
      </c>
      <c r="D8" s="18">
        <v>43272126</v>
      </c>
      <c r="E8" s="19">
        <v>51000000</v>
      </c>
      <c r="F8" s="10">
        <v>3311</v>
      </c>
      <c r="G8" s="8">
        <v>0</v>
      </c>
      <c r="H8" s="6">
        <v>0</v>
      </c>
      <c r="I8" s="6">
        <v>1</v>
      </c>
      <c r="J8" s="5" t="s">
        <v>80</v>
      </c>
      <c r="K8" s="2">
        <v>1</v>
      </c>
      <c r="L8" s="2">
        <v>0</v>
      </c>
      <c r="M8" s="2">
        <v>0</v>
      </c>
      <c r="N8" s="2" t="s">
        <v>75</v>
      </c>
      <c r="O8" s="2">
        <v>0</v>
      </c>
      <c r="P8" s="11">
        <v>42</v>
      </c>
      <c r="Q8" s="11">
        <v>0</v>
      </c>
      <c r="R8" s="11">
        <v>0</v>
      </c>
      <c r="S8" s="25">
        <f t="shared" si="0"/>
        <v>0.4242706470588235</v>
      </c>
    </row>
    <row r="9" spans="1:19" ht="15" customHeight="1" x14ac:dyDescent="0.25">
      <c r="A9" s="12" t="s">
        <v>24</v>
      </c>
      <c r="B9" s="10">
        <v>27736056</v>
      </c>
      <c r="C9" s="14">
        <v>70165972</v>
      </c>
      <c r="D9" s="18">
        <v>68079671</v>
      </c>
      <c r="E9" s="19">
        <v>40000000</v>
      </c>
      <c r="F9" s="10">
        <v>3261</v>
      </c>
      <c r="G9" s="8">
        <v>0</v>
      </c>
      <c r="H9" s="6">
        <v>1</v>
      </c>
      <c r="I9" s="6">
        <v>1</v>
      </c>
      <c r="J9" s="5" t="s">
        <v>84</v>
      </c>
      <c r="K9" s="2">
        <v>0</v>
      </c>
      <c r="L9" s="2">
        <v>1</v>
      </c>
      <c r="M9" s="2">
        <v>1</v>
      </c>
      <c r="N9" s="2" t="s">
        <v>74</v>
      </c>
      <c r="O9" s="2">
        <v>0</v>
      </c>
      <c r="P9" s="11">
        <v>34</v>
      </c>
      <c r="Q9" s="11">
        <v>0</v>
      </c>
      <c r="R9" s="11">
        <v>0</v>
      </c>
      <c r="S9" s="25">
        <f t="shared" si="0"/>
        <v>0.75414930000000002</v>
      </c>
    </row>
    <row r="10" spans="1:19" ht="15" customHeight="1" x14ac:dyDescent="0.25">
      <c r="A10" s="12" t="s">
        <v>32</v>
      </c>
      <c r="B10" s="10">
        <v>8648324</v>
      </c>
      <c r="C10" s="14">
        <v>57377916</v>
      </c>
      <c r="D10" s="18">
        <v>171407179</v>
      </c>
      <c r="E10" s="19">
        <v>100000000</v>
      </c>
      <c r="F10" s="10">
        <v>1910</v>
      </c>
      <c r="G10" s="8">
        <v>0</v>
      </c>
      <c r="H10" s="6">
        <v>0</v>
      </c>
      <c r="I10" s="6">
        <v>1</v>
      </c>
      <c r="J10" s="5" t="s">
        <v>83</v>
      </c>
      <c r="K10" s="2">
        <v>0</v>
      </c>
      <c r="L10" s="2">
        <v>0</v>
      </c>
      <c r="M10" s="2">
        <v>1</v>
      </c>
      <c r="N10" s="2" t="s">
        <v>77</v>
      </c>
      <c r="O10" s="2">
        <v>1</v>
      </c>
      <c r="P10" s="11">
        <v>63</v>
      </c>
      <c r="Q10" s="11">
        <v>5</v>
      </c>
      <c r="R10" s="11">
        <v>0</v>
      </c>
      <c r="S10" s="25">
        <f t="shared" si="0"/>
        <v>-0.42622083999999999</v>
      </c>
    </row>
    <row r="11" spans="1:19" ht="15" customHeight="1" x14ac:dyDescent="0.25">
      <c r="A11" s="12" t="s">
        <v>95</v>
      </c>
      <c r="B11" s="10">
        <v>11457353</v>
      </c>
      <c r="C11" s="14">
        <v>82599768</v>
      </c>
      <c r="D11" s="18">
        <v>61768463</v>
      </c>
      <c r="E11" s="19">
        <v>85000000</v>
      </c>
      <c r="F11" s="10">
        <v>3566</v>
      </c>
      <c r="G11" s="8">
        <v>1</v>
      </c>
      <c r="H11" s="6">
        <v>0</v>
      </c>
      <c r="I11" s="6">
        <v>1</v>
      </c>
      <c r="J11" s="5" t="s">
        <v>84</v>
      </c>
      <c r="K11" s="2">
        <v>0</v>
      </c>
      <c r="L11" s="2">
        <v>0</v>
      </c>
      <c r="M11" s="2">
        <v>0</v>
      </c>
      <c r="N11" s="2" t="s">
        <v>76</v>
      </c>
      <c r="O11" s="2">
        <v>0</v>
      </c>
      <c r="P11" s="11">
        <v>68</v>
      </c>
      <c r="Q11" s="11">
        <v>0</v>
      </c>
      <c r="R11" s="11">
        <v>0</v>
      </c>
      <c r="S11" s="25">
        <f t="shared" si="0"/>
        <v>-2.8238023529411765E-2</v>
      </c>
    </row>
    <row r="12" spans="1:19" ht="15" customHeight="1" x14ac:dyDescent="0.25">
      <c r="A12" s="12" t="s">
        <v>51</v>
      </c>
      <c r="B12" s="17">
        <v>10197775</v>
      </c>
      <c r="C12" s="14">
        <v>35327768</v>
      </c>
      <c r="D12" s="18">
        <v>33897819</v>
      </c>
      <c r="E12" s="19">
        <v>76000000</v>
      </c>
      <c r="F12" s="10">
        <v>1209</v>
      </c>
      <c r="G12" s="8">
        <v>1</v>
      </c>
      <c r="H12" s="6">
        <v>0</v>
      </c>
      <c r="I12" s="6">
        <v>0</v>
      </c>
      <c r="J12" s="5" t="s">
        <v>81</v>
      </c>
      <c r="K12" s="2">
        <v>0</v>
      </c>
      <c r="L12" s="2">
        <v>0</v>
      </c>
      <c r="M12" s="2">
        <v>0</v>
      </c>
      <c r="N12" s="2" t="s">
        <v>77</v>
      </c>
      <c r="O12" s="2">
        <v>1</v>
      </c>
      <c r="P12" s="11">
        <v>84</v>
      </c>
      <c r="Q12" s="11">
        <v>3</v>
      </c>
      <c r="R12" s="11">
        <v>0</v>
      </c>
      <c r="S12" s="25">
        <f t="shared" si="0"/>
        <v>-0.53516094736842101</v>
      </c>
    </row>
    <row r="13" spans="1:19" ht="15" customHeight="1" x14ac:dyDescent="0.25">
      <c r="A13" s="12" t="s">
        <v>4</v>
      </c>
      <c r="B13" s="10">
        <v>40011365</v>
      </c>
      <c r="C13" s="14">
        <v>137355633</v>
      </c>
      <c r="D13" s="18">
        <v>100325666</v>
      </c>
      <c r="E13" s="19">
        <v>82500000</v>
      </c>
      <c r="F13" s="10">
        <v>3749</v>
      </c>
      <c r="G13" s="8">
        <v>0</v>
      </c>
      <c r="H13" s="6">
        <v>0</v>
      </c>
      <c r="I13" s="6">
        <v>1</v>
      </c>
      <c r="J13" s="5" t="s">
        <v>84</v>
      </c>
      <c r="K13" s="2">
        <v>1</v>
      </c>
      <c r="L13" s="2">
        <v>0</v>
      </c>
      <c r="M13" s="2">
        <v>0</v>
      </c>
      <c r="N13" s="2" t="s">
        <v>74</v>
      </c>
      <c r="O13" s="2">
        <v>0</v>
      </c>
      <c r="P13" s="11">
        <v>45</v>
      </c>
      <c r="Q13" s="11">
        <v>1</v>
      </c>
      <c r="R13" s="11">
        <v>0</v>
      </c>
      <c r="S13" s="25">
        <f t="shared" si="0"/>
        <v>0.66491676363636365</v>
      </c>
    </row>
    <row r="14" spans="1:19" ht="15" customHeight="1" x14ac:dyDescent="0.25">
      <c r="A14" s="12" t="s">
        <v>31</v>
      </c>
      <c r="B14" s="10">
        <v>14703405</v>
      </c>
      <c r="C14" s="14">
        <v>58360760</v>
      </c>
      <c r="D14" s="18">
        <v>11474055</v>
      </c>
      <c r="E14" s="19">
        <v>50000000</v>
      </c>
      <c r="F14" s="10">
        <v>2566</v>
      </c>
      <c r="G14" s="8">
        <v>1</v>
      </c>
      <c r="H14" s="6">
        <v>0</v>
      </c>
      <c r="I14" s="6">
        <v>1</v>
      </c>
      <c r="J14" s="5" t="s">
        <v>80</v>
      </c>
      <c r="K14" s="2">
        <v>0</v>
      </c>
      <c r="L14" s="2">
        <v>0</v>
      </c>
      <c r="M14" s="2">
        <v>0</v>
      </c>
      <c r="N14" s="2" t="s">
        <v>76</v>
      </c>
      <c r="O14" s="2">
        <v>0</v>
      </c>
      <c r="P14" s="11">
        <v>62</v>
      </c>
      <c r="Q14" s="11">
        <v>0</v>
      </c>
      <c r="R14" s="11">
        <v>0</v>
      </c>
      <c r="S14" s="25">
        <f t="shared" si="0"/>
        <v>0.16721520000000001</v>
      </c>
    </row>
    <row r="15" spans="1:19" ht="15" customHeight="1" x14ac:dyDescent="0.25">
      <c r="A15" s="12" t="s">
        <v>38</v>
      </c>
      <c r="B15" s="10">
        <v>19076261</v>
      </c>
      <c r="C15" s="14">
        <v>48548426</v>
      </c>
      <c r="D15" s="18">
        <v>36247230</v>
      </c>
      <c r="E15" s="19">
        <v>20000000</v>
      </c>
      <c r="F15" s="10">
        <v>2896</v>
      </c>
      <c r="G15" s="8">
        <v>0</v>
      </c>
      <c r="H15" s="6">
        <v>0</v>
      </c>
      <c r="I15" s="6">
        <v>1</v>
      </c>
      <c r="J15" s="5" t="s">
        <v>84</v>
      </c>
      <c r="K15" s="9">
        <v>0</v>
      </c>
      <c r="L15" s="2">
        <v>0</v>
      </c>
      <c r="M15" s="2">
        <v>0</v>
      </c>
      <c r="N15" s="2" t="s">
        <v>74</v>
      </c>
      <c r="O15" s="2">
        <v>0</v>
      </c>
      <c r="P15" s="11">
        <v>11</v>
      </c>
      <c r="Q15" s="11">
        <v>0</v>
      </c>
      <c r="R15" s="11">
        <v>0</v>
      </c>
      <c r="S15" s="25">
        <f t="shared" si="0"/>
        <v>1.4274213</v>
      </c>
    </row>
    <row r="16" spans="1:19" ht="15" customHeight="1" x14ac:dyDescent="0.25">
      <c r="A16" s="12" t="s">
        <v>25</v>
      </c>
      <c r="B16" s="10">
        <v>20574802</v>
      </c>
      <c r="C16" s="14">
        <v>64038616</v>
      </c>
      <c r="D16" s="18">
        <v>116518934</v>
      </c>
      <c r="E16" s="19">
        <v>75000000</v>
      </c>
      <c r="F16" s="10">
        <v>3108</v>
      </c>
      <c r="G16" s="8">
        <v>0</v>
      </c>
      <c r="H16" s="6">
        <v>0</v>
      </c>
      <c r="I16" s="6">
        <v>1</v>
      </c>
      <c r="J16" s="5" t="s">
        <v>81</v>
      </c>
      <c r="K16" s="2">
        <v>1</v>
      </c>
      <c r="L16" s="2">
        <v>1</v>
      </c>
      <c r="M16" s="2">
        <v>0</v>
      </c>
      <c r="N16" s="2" t="s">
        <v>74</v>
      </c>
      <c r="O16" s="2">
        <v>0</v>
      </c>
      <c r="P16" s="11">
        <v>59</v>
      </c>
      <c r="Q16" s="11">
        <v>0</v>
      </c>
      <c r="R16" s="11">
        <v>0</v>
      </c>
      <c r="S16" s="25">
        <f t="shared" si="0"/>
        <v>-0.14615178666666667</v>
      </c>
    </row>
    <row r="17" spans="1:19" ht="15" customHeight="1" x14ac:dyDescent="0.25">
      <c r="A17" s="12" t="s">
        <v>8</v>
      </c>
      <c r="B17" s="17">
        <v>8953734</v>
      </c>
      <c r="C17" s="14">
        <v>103365956</v>
      </c>
      <c r="D17" s="18">
        <v>51200910</v>
      </c>
      <c r="E17" s="19">
        <v>75000000</v>
      </c>
      <c r="F17" s="7">
        <v>852</v>
      </c>
      <c r="G17" s="8">
        <v>0</v>
      </c>
      <c r="H17" s="6">
        <v>0</v>
      </c>
      <c r="I17" s="6">
        <v>1</v>
      </c>
      <c r="J17" s="5" t="s">
        <v>83</v>
      </c>
      <c r="K17" s="2">
        <v>0</v>
      </c>
      <c r="L17" s="2">
        <v>0</v>
      </c>
      <c r="M17" s="2">
        <v>0</v>
      </c>
      <c r="N17" s="2" t="s">
        <v>74</v>
      </c>
      <c r="O17" s="2">
        <v>0</v>
      </c>
      <c r="P17" s="11">
        <v>76</v>
      </c>
      <c r="Q17" s="11">
        <v>8</v>
      </c>
      <c r="R17" s="11">
        <v>2</v>
      </c>
      <c r="S17" s="25">
        <f t="shared" si="0"/>
        <v>0.37821274666666665</v>
      </c>
    </row>
    <row r="18" spans="1:19" ht="15" customHeight="1" x14ac:dyDescent="0.25">
      <c r="A18" s="12" t="s">
        <v>14</v>
      </c>
      <c r="B18" s="10">
        <v>20188176</v>
      </c>
      <c r="C18" s="14">
        <v>81612565</v>
      </c>
      <c r="D18" s="18">
        <v>38843429</v>
      </c>
      <c r="E18" s="19">
        <v>40000000</v>
      </c>
      <c r="F18" s="10">
        <v>3066</v>
      </c>
      <c r="G18" s="8">
        <v>1</v>
      </c>
      <c r="H18" s="6">
        <v>0</v>
      </c>
      <c r="I18" s="6">
        <v>1</v>
      </c>
      <c r="J18" s="5" t="s">
        <v>83</v>
      </c>
      <c r="K18" s="2">
        <v>0</v>
      </c>
      <c r="L18" s="2">
        <v>1</v>
      </c>
      <c r="M18" s="2">
        <v>0</v>
      </c>
      <c r="N18" s="2" t="s">
        <v>75</v>
      </c>
      <c r="O18" s="2">
        <v>0</v>
      </c>
      <c r="P18" s="11">
        <v>64</v>
      </c>
      <c r="Q18" s="11">
        <v>0</v>
      </c>
      <c r="R18" s="11">
        <v>0</v>
      </c>
      <c r="S18" s="25">
        <f t="shared" si="0"/>
        <v>1.0403141250000001</v>
      </c>
    </row>
    <row r="19" spans="1:19" ht="15" customHeight="1" x14ac:dyDescent="0.25">
      <c r="A19" s="12" t="s">
        <v>17</v>
      </c>
      <c r="B19" s="10">
        <v>23239907</v>
      </c>
      <c r="C19" s="14">
        <v>75030163</v>
      </c>
      <c r="D19" s="18">
        <v>174390688</v>
      </c>
      <c r="E19" s="19">
        <v>100000000</v>
      </c>
      <c r="F19" s="10">
        <v>3020</v>
      </c>
      <c r="G19" s="8">
        <v>1</v>
      </c>
      <c r="H19" s="6">
        <v>0</v>
      </c>
      <c r="I19" s="6">
        <v>1</v>
      </c>
      <c r="J19" s="5" t="s">
        <v>82</v>
      </c>
      <c r="K19" s="2">
        <v>0</v>
      </c>
      <c r="L19" s="2">
        <v>0</v>
      </c>
      <c r="M19" s="2">
        <v>0</v>
      </c>
      <c r="N19" s="2" t="s">
        <v>75</v>
      </c>
      <c r="O19" s="2">
        <v>0</v>
      </c>
      <c r="P19" s="11">
        <v>38</v>
      </c>
      <c r="Q19" s="11">
        <v>0</v>
      </c>
      <c r="R19" s="11">
        <v>0</v>
      </c>
      <c r="S19" s="25">
        <f t="shared" si="0"/>
        <v>-0.24969837</v>
      </c>
    </row>
    <row r="20" spans="1:19" ht="15" customHeight="1" x14ac:dyDescent="0.25">
      <c r="A20" s="12" t="s">
        <v>10</v>
      </c>
      <c r="B20" s="10">
        <v>24411322</v>
      </c>
      <c r="C20" s="14">
        <v>88715192</v>
      </c>
      <c r="D20" s="18">
        <v>39691695</v>
      </c>
      <c r="E20" s="19">
        <v>50000000</v>
      </c>
      <c r="F20" s="10">
        <v>3057</v>
      </c>
      <c r="G20" s="8">
        <v>0</v>
      </c>
      <c r="H20" s="6">
        <v>0</v>
      </c>
      <c r="I20" s="6">
        <v>1</v>
      </c>
      <c r="J20" s="5" t="s">
        <v>84</v>
      </c>
      <c r="K20" s="2">
        <v>0</v>
      </c>
      <c r="L20" s="2">
        <v>0</v>
      </c>
      <c r="M20" s="2">
        <v>0</v>
      </c>
      <c r="N20" s="2" t="s">
        <v>74</v>
      </c>
      <c r="O20" s="2">
        <v>0</v>
      </c>
      <c r="P20" s="11">
        <v>47</v>
      </c>
      <c r="Q20" s="11">
        <v>0</v>
      </c>
      <c r="R20" s="11">
        <v>0</v>
      </c>
      <c r="S20" s="25">
        <f t="shared" si="0"/>
        <v>0.77430383999999997</v>
      </c>
    </row>
    <row r="21" spans="1:19" ht="15" customHeight="1" x14ac:dyDescent="0.25">
      <c r="A21" s="12" t="s">
        <v>34</v>
      </c>
      <c r="B21" s="10">
        <v>19173094</v>
      </c>
      <c r="C21" s="14">
        <v>54098051</v>
      </c>
      <c r="D21" s="18">
        <v>59172557</v>
      </c>
      <c r="E21" s="19">
        <v>25000000</v>
      </c>
      <c r="F21" s="10">
        <v>2880</v>
      </c>
      <c r="G21" s="8">
        <v>0</v>
      </c>
      <c r="H21" s="6">
        <v>1</v>
      </c>
      <c r="I21" s="6">
        <v>1</v>
      </c>
      <c r="J21" s="5" t="s">
        <v>85</v>
      </c>
      <c r="K21" s="2">
        <v>0</v>
      </c>
      <c r="L21" s="2">
        <v>0</v>
      </c>
      <c r="M21" s="2">
        <v>0</v>
      </c>
      <c r="N21" s="2" t="s">
        <v>77</v>
      </c>
      <c r="O21" s="2">
        <v>1</v>
      </c>
      <c r="P21" s="11">
        <v>41</v>
      </c>
      <c r="Q21" s="11">
        <v>0</v>
      </c>
      <c r="R21" s="11">
        <v>0</v>
      </c>
      <c r="S21" s="25">
        <f t="shared" si="0"/>
        <v>1.1639220400000001</v>
      </c>
    </row>
    <row r="22" spans="1:19" ht="15" customHeight="1" x14ac:dyDescent="0.25">
      <c r="A22" s="12" t="s">
        <v>56</v>
      </c>
      <c r="B22" s="10">
        <v>10245190</v>
      </c>
      <c r="C22" s="14">
        <v>33602376</v>
      </c>
      <c r="D22" s="18">
        <v>32297873</v>
      </c>
      <c r="E22" s="19">
        <v>90000000</v>
      </c>
      <c r="F22" s="10">
        <v>1876</v>
      </c>
      <c r="G22" s="8">
        <v>1</v>
      </c>
      <c r="H22" s="6">
        <v>0</v>
      </c>
      <c r="I22" s="6">
        <v>1</v>
      </c>
      <c r="J22" s="5" t="s">
        <v>82</v>
      </c>
      <c r="K22" s="2">
        <v>1</v>
      </c>
      <c r="L22" s="2">
        <v>0</v>
      </c>
      <c r="M22" s="2">
        <v>0</v>
      </c>
      <c r="N22" s="2" t="s">
        <v>77</v>
      </c>
      <c r="O22" s="2">
        <v>1</v>
      </c>
      <c r="P22" s="11">
        <v>79</v>
      </c>
      <c r="Q22" s="11">
        <v>2</v>
      </c>
      <c r="R22" s="11">
        <v>0</v>
      </c>
      <c r="S22" s="25">
        <f t="shared" si="0"/>
        <v>-0.62664026666666661</v>
      </c>
    </row>
    <row r="23" spans="1:19" ht="15" customHeight="1" x14ac:dyDescent="0.25">
      <c r="A23" s="12" t="s">
        <v>73</v>
      </c>
      <c r="B23" s="10">
        <v>6004219</v>
      </c>
      <c r="C23" s="14">
        <v>13090630</v>
      </c>
      <c r="D23" s="18">
        <v>4679984</v>
      </c>
      <c r="E23" s="19">
        <v>60000000</v>
      </c>
      <c r="F23" s="10">
        <v>2033</v>
      </c>
      <c r="G23" s="8">
        <v>0</v>
      </c>
      <c r="H23" s="6">
        <v>0</v>
      </c>
      <c r="I23" s="6">
        <v>0</v>
      </c>
      <c r="J23" s="5" t="s">
        <v>82</v>
      </c>
      <c r="K23" s="2">
        <v>1</v>
      </c>
      <c r="L23" s="2">
        <v>0</v>
      </c>
      <c r="M23" s="2">
        <v>0</v>
      </c>
      <c r="N23" s="2" t="s">
        <v>74</v>
      </c>
      <c r="O23" s="2">
        <v>0</v>
      </c>
      <c r="P23" s="11">
        <v>47</v>
      </c>
      <c r="Q23" s="11">
        <v>0</v>
      </c>
      <c r="R23" s="11">
        <v>0</v>
      </c>
      <c r="S23" s="25">
        <f t="shared" si="0"/>
        <v>-0.78182283333333336</v>
      </c>
    </row>
    <row r="24" spans="1:19" ht="15" customHeight="1" x14ac:dyDescent="0.25">
      <c r="A24" s="12" t="s">
        <v>44</v>
      </c>
      <c r="B24" s="10">
        <v>14414630</v>
      </c>
      <c r="C24" s="14">
        <v>38432823</v>
      </c>
      <c r="D24" s="18">
        <v>3048028</v>
      </c>
      <c r="E24" s="19">
        <v>30000000</v>
      </c>
      <c r="F24" s="10">
        <v>3504</v>
      </c>
      <c r="G24" s="8">
        <v>0</v>
      </c>
      <c r="H24" s="6">
        <v>0</v>
      </c>
      <c r="I24" s="6">
        <v>1</v>
      </c>
      <c r="J24" s="5" t="s">
        <v>83</v>
      </c>
      <c r="K24" s="2">
        <v>0</v>
      </c>
      <c r="L24" s="2">
        <v>0</v>
      </c>
      <c r="M24" s="2">
        <v>0</v>
      </c>
      <c r="N24" s="2" t="s">
        <v>74</v>
      </c>
      <c r="O24" s="2">
        <v>0</v>
      </c>
      <c r="P24" s="11">
        <v>52</v>
      </c>
      <c r="Q24" s="11">
        <v>0</v>
      </c>
      <c r="R24" s="11">
        <v>0</v>
      </c>
      <c r="S24" s="25">
        <f t="shared" si="0"/>
        <v>0.28109410000000001</v>
      </c>
    </row>
    <row r="25" spans="1:19" ht="15" customHeight="1" x14ac:dyDescent="0.25">
      <c r="A25" s="12" t="s">
        <v>0</v>
      </c>
      <c r="B25" s="10">
        <v>41533432</v>
      </c>
      <c r="C25" s="14">
        <v>198000317</v>
      </c>
      <c r="D25" s="18">
        <v>186330162</v>
      </c>
      <c r="E25" s="19">
        <v>100000000</v>
      </c>
      <c r="F25" s="10">
        <v>3804</v>
      </c>
      <c r="G25" s="8">
        <v>0</v>
      </c>
      <c r="H25" s="6">
        <v>0</v>
      </c>
      <c r="I25" s="6">
        <v>0</v>
      </c>
      <c r="J25" s="5" t="s">
        <v>80</v>
      </c>
      <c r="K25" s="2">
        <v>1</v>
      </c>
      <c r="L25" s="2">
        <v>0</v>
      </c>
      <c r="M25" s="2">
        <v>0</v>
      </c>
      <c r="N25" s="2" t="s">
        <v>75</v>
      </c>
      <c r="O25" s="2">
        <v>0</v>
      </c>
      <c r="P25" s="11">
        <v>77</v>
      </c>
      <c r="Q25" s="11">
        <v>1</v>
      </c>
      <c r="R25" s="11">
        <v>1</v>
      </c>
      <c r="S25" s="25">
        <f t="shared" si="0"/>
        <v>0.98000317000000003</v>
      </c>
    </row>
    <row r="26" spans="1:19" ht="15" customHeight="1" x14ac:dyDescent="0.25">
      <c r="A26" s="12" t="s">
        <v>1</v>
      </c>
      <c r="B26" s="10">
        <v>68033544</v>
      </c>
      <c r="C26" s="14">
        <v>195330621</v>
      </c>
      <c r="D26" s="18">
        <v>456235122</v>
      </c>
      <c r="E26" s="19">
        <v>80000000</v>
      </c>
      <c r="F26" s="10">
        <v>3964</v>
      </c>
      <c r="G26" s="8">
        <v>0</v>
      </c>
      <c r="H26" s="6">
        <v>1</v>
      </c>
      <c r="I26" s="6">
        <v>1</v>
      </c>
      <c r="J26" s="5" t="s">
        <v>80</v>
      </c>
      <c r="K26" s="2">
        <v>0</v>
      </c>
      <c r="L26" s="2">
        <v>0</v>
      </c>
      <c r="M26" s="2">
        <v>0</v>
      </c>
      <c r="N26" s="2" t="s">
        <v>75</v>
      </c>
      <c r="O26" s="2">
        <v>0</v>
      </c>
      <c r="P26" s="11">
        <v>58</v>
      </c>
      <c r="Q26" s="11">
        <v>0</v>
      </c>
      <c r="R26" s="11">
        <v>0</v>
      </c>
      <c r="S26" s="25">
        <f t="shared" si="0"/>
        <v>1.4416327625000001</v>
      </c>
    </row>
    <row r="27" spans="1:19" ht="15" customHeight="1" x14ac:dyDescent="0.25">
      <c r="A27" s="12" t="s">
        <v>11</v>
      </c>
      <c r="B27" s="10">
        <v>28954945</v>
      </c>
      <c r="C27" s="14">
        <v>88513495</v>
      </c>
      <c r="D27" s="18">
        <v>95862759</v>
      </c>
      <c r="E27" s="19">
        <v>45000000</v>
      </c>
      <c r="F27" s="10">
        <v>2818</v>
      </c>
      <c r="G27" s="8">
        <v>0</v>
      </c>
      <c r="H27" s="6">
        <v>0</v>
      </c>
      <c r="I27" s="6">
        <v>1</v>
      </c>
      <c r="J27" s="5" t="s">
        <v>81</v>
      </c>
      <c r="K27" s="2">
        <v>0</v>
      </c>
      <c r="L27" s="2">
        <v>0</v>
      </c>
      <c r="M27" s="2">
        <v>0</v>
      </c>
      <c r="N27" s="2" t="s">
        <v>77</v>
      </c>
      <c r="O27" s="2">
        <v>1</v>
      </c>
      <c r="P27" s="11">
        <v>76</v>
      </c>
      <c r="Q27" s="11">
        <v>0</v>
      </c>
      <c r="R27" s="11">
        <v>0</v>
      </c>
      <c r="S27" s="25">
        <f t="shared" si="0"/>
        <v>0.96696655555555555</v>
      </c>
    </row>
    <row r="28" spans="1:19" ht="15" customHeight="1" x14ac:dyDescent="0.25">
      <c r="A28" s="12" t="s">
        <v>68</v>
      </c>
      <c r="B28" s="10">
        <v>5692285</v>
      </c>
      <c r="C28" s="14">
        <v>17326650</v>
      </c>
      <c r="D28" s="18">
        <v>20750723</v>
      </c>
      <c r="E28" s="19">
        <v>28000000</v>
      </c>
      <c r="F28" s="10">
        <v>2541</v>
      </c>
      <c r="G28" s="8">
        <v>0</v>
      </c>
      <c r="H28" s="6">
        <v>0</v>
      </c>
      <c r="I28" s="6">
        <v>1</v>
      </c>
      <c r="J28" s="5" t="s">
        <v>84</v>
      </c>
      <c r="K28" s="2">
        <v>1</v>
      </c>
      <c r="L28" s="2">
        <v>1</v>
      </c>
      <c r="M28" s="2">
        <v>0</v>
      </c>
      <c r="N28" s="2" t="s">
        <v>74</v>
      </c>
      <c r="O28" s="2">
        <v>0</v>
      </c>
      <c r="P28" s="11">
        <v>29</v>
      </c>
      <c r="Q28" s="11">
        <v>0</v>
      </c>
      <c r="R28" s="11">
        <v>0</v>
      </c>
      <c r="S28" s="25">
        <f t="shared" si="0"/>
        <v>-0.38119107142857145</v>
      </c>
    </row>
    <row r="29" spans="1:19" ht="15" customHeight="1" x14ac:dyDescent="0.25">
      <c r="A29" s="12" t="s">
        <v>41</v>
      </c>
      <c r="B29" s="10">
        <v>18044396</v>
      </c>
      <c r="C29" s="14">
        <v>42285169</v>
      </c>
      <c r="D29" s="18">
        <v>30500000</v>
      </c>
      <c r="E29" s="19">
        <v>70000000</v>
      </c>
      <c r="F29" s="10">
        <v>3235</v>
      </c>
      <c r="G29" s="8">
        <v>0</v>
      </c>
      <c r="H29" s="6">
        <v>0</v>
      </c>
      <c r="I29" s="6">
        <v>1</v>
      </c>
      <c r="J29" s="5" t="s">
        <v>83</v>
      </c>
      <c r="K29" s="2">
        <v>0</v>
      </c>
      <c r="L29" s="2">
        <v>0</v>
      </c>
      <c r="M29" s="2">
        <v>0</v>
      </c>
      <c r="N29" s="2" t="s">
        <v>74</v>
      </c>
      <c r="O29" s="2">
        <v>0</v>
      </c>
      <c r="P29" s="11">
        <v>36</v>
      </c>
      <c r="Q29" s="11">
        <v>0</v>
      </c>
      <c r="R29" s="11">
        <v>0</v>
      </c>
      <c r="S29" s="25">
        <f t="shared" si="0"/>
        <v>-0.39592615714285712</v>
      </c>
    </row>
    <row r="30" spans="1:19" ht="15" customHeight="1" x14ac:dyDescent="0.25">
      <c r="A30" s="12" t="s">
        <v>45</v>
      </c>
      <c r="B30" s="10">
        <v>12806188</v>
      </c>
      <c r="C30" s="14">
        <v>38399961</v>
      </c>
      <c r="D30" s="18">
        <v>4943287</v>
      </c>
      <c r="E30" s="19">
        <v>45000000</v>
      </c>
      <c r="F30" s="10">
        <v>2514</v>
      </c>
      <c r="G30" s="8">
        <v>1</v>
      </c>
      <c r="H30" s="6">
        <v>0</v>
      </c>
      <c r="I30" s="6">
        <v>1</v>
      </c>
      <c r="J30" s="5" t="s">
        <v>83</v>
      </c>
      <c r="K30" s="2">
        <v>0</v>
      </c>
      <c r="L30" s="2">
        <v>0</v>
      </c>
      <c r="M30" s="2">
        <v>1</v>
      </c>
      <c r="N30" s="2" t="s">
        <v>74</v>
      </c>
      <c r="O30" s="2">
        <v>0</v>
      </c>
      <c r="P30" s="11">
        <v>52</v>
      </c>
      <c r="Q30" s="11">
        <v>0</v>
      </c>
      <c r="R30" s="11">
        <v>0</v>
      </c>
      <c r="S30" s="25">
        <f t="shared" si="0"/>
        <v>-0.14666753333333332</v>
      </c>
    </row>
    <row r="31" spans="1:19" ht="15" customHeight="1" x14ac:dyDescent="0.25">
      <c r="A31" s="12" t="s">
        <v>30</v>
      </c>
      <c r="B31" s="10">
        <v>21613176</v>
      </c>
      <c r="C31" s="14">
        <v>58645052</v>
      </c>
      <c r="D31" s="18">
        <v>42950069</v>
      </c>
      <c r="E31" s="19">
        <v>64000000</v>
      </c>
      <c r="F31" s="10">
        <v>2533</v>
      </c>
      <c r="G31" s="8">
        <v>0</v>
      </c>
      <c r="H31" s="6">
        <v>0</v>
      </c>
      <c r="I31" s="6">
        <v>1</v>
      </c>
      <c r="J31" s="5" t="s">
        <v>84</v>
      </c>
      <c r="K31" s="2">
        <v>0</v>
      </c>
      <c r="L31" s="2">
        <v>0</v>
      </c>
      <c r="M31" s="2">
        <v>0</v>
      </c>
      <c r="N31" s="2" t="s">
        <v>74</v>
      </c>
      <c r="O31" s="2">
        <v>0</v>
      </c>
      <c r="P31" s="11">
        <v>26</v>
      </c>
      <c r="Q31" s="11">
        <v>0</v>
      </c>
      <c r="R31" s="11">
        <v>0</v>
      </c>
      <c r="S31" s="25">
        <f t="shared" si="0"/>
        <v>-8.3671062500000004E-2</v>
      </c>
    </row>
    <row r="32" spans="1:19" ht="15" customHeight="1" x14ac:dyDescent="0.25">
      <c r="A32" s="12" t="s">
        <v>63</v>
      </c>
      <c r="B32" s="10">
        <v>7031921</v>
      </c>
      <c r="C32" s="14">
        <v>22495466</v>
      </c>
      <c r="D32" s="18">
        <v>33813415</v>
      </c>
      <c r="E32" s="19">
        <v>27000000</v>
      </c>
      <c r="F32" s="10">
        <v>1984</v>
      </c>
      <c r="G32" s="8">
        <v>0</v>
      </c>
      <c r="H32" s="6">
        <v>0</v>
      </c>
      <c r="I32" s="6">
        <v>1</v>
      </c>
      <c r="J32" s="5" t="s">
        <v>81</v>
      </c>
      <c r="K32" s="2">
        <v>0</v>
      </c>
      <c r="L32" s="2">
        <v>0</v>
      </c>
      <c r="M32" s="2">
        <v>0</v>
      </c>
      <c r="N32" s="2" t="s">
        <v>77</v>
      </c>
      <c r="O32" s="2">
        <v>1</v>
      </c>
      <c r="P32" s="11">
        <v>53</v>
      </c>
      <c r="Q32" s="11">
        <v>0</v>
      </c>
      <c r="R32" s="11">
        <v>0</v>
      </c>
      <c r="S32" s="25">
        <f t="shared" si="0"/>
        <v>-0.16683459259259259</v>
      </c>
    </row>
    <row r="33" spans="1:19" ht="15" customHeight="1" x14ac:dyDescent="0.25">
      <c r="A33" s="12" t="s">
        <v>70</v>
      </c>
      <c r="B33" s="10">
        <v>5361050</v>
      </c>
      <c r="C33" s="14">
        <v>15962471</v>
      </c>
      <c r="D33" s="18">
        <v>44954718</v>
      </c>
      <c r="E33" s="19">
        <v>40000000</v>
      </c>
      <c r="F33" s="7">
        <v>859</v>
      </c>
      <c r="G33" s="8">
        <v>1</v>
      </c>
      <c r="H33" s="6">
        <v>0</v>
      </c>
      <c r="I33" s="6">
        <v>1</v>
      </c>
      <c r="J33" s="5" t="s">
        <v>83</v>
      </c>
      <c r="K33" s="2">
        <v>1</v>
      </c>
      <c r="L33" s="2">
        <v>0</v>
      </c>
      <c r="M33" s="2">
        <v>0</v>
      </c>
      <c r="N33" s="2" t="s">
        <v>74</v>
      </c>
      <c r="O33" s="2">
        <v>0</v>
      </c>
      <c r="P33" s="11">
        <v>65</v>
      </c>
      <c r="Q33" s="11">
        <v>1</v>
      </c>
      <c r="R33" s="11">
        <v>1</v>
      </c>
      <c r="S33" s="25">
        <f t="shared" si="0"/>
        <v>-0.60093822500000005</v>
      </c>
    </row>
    <row r="34" spans="1:19" ht="15" customHeight="1" x14ac:dyDescent="0.25">
      <c r="A34" s="12" t="s">
        <v>18</v>
      </c>
      <c r="B34" s="10">
        <v>22217226</v>
      </c>
      <c r="C34" s="14">
        <v>73661010</v>
      </c>
      <c r="D34" s="18">
        <v>66513996</v>
      </c>
      <c r="E34" s="19">
        <v>75000000</v>
      </c>
      <c r="F34" s="10">
        <v>3553</v>
      </c>
      <c r="G34" s="8">
        <v>0</v>
      </c>
      <c r="H34" s="6">
        <v>0</v>
      </c>
      <c r="I34" s="6">
        <v>1</v>
      </c>
      <c r="J34" s="5" t="s">
        <v>91</v>
      </c>
      <c r="K34" s="2">
        <v>1</v>
      </c>
      <c r="L34" s="2">
        <v>0</v>
      </c>
      <c r="M34" s="2">
        <v>0</v>
      </c>
      <c r="N34" s="2" t="s">
        <v>75</v>
      </c>
      <c r="O34" s="2">
        <v>0</v>
      </c>
      <c r="P34" s="11">
        <v>68</v>
      </c>
      <c r="Q34" s="11">
        <v>1</v>
      </c>
      <c r="R34" s="11">
        <v>0</v>
      </c>
      <c r="S34" s="25">
        <f t="shared" si="0"/>
        <v>-1.78532E-2</v>
      </c>
    </row>
    <row r="35" spans="1:19" ht="15" customHeight="1" x14ac:dyDescent="0.25">
      <c r="A35" s="12" t="s">
        <v>15</v>
      </c>
      <c r="B35" s="10">
        <v>28309599</v>
      </c>
      <c r="C35" s="14">
        <v>80197993</v>
      </c>
      <c r="D35" s="18">
        <v>19057467</v>
      </c>
      <c r="E35" s="19">
        <v>35000000</v>
      </c>
      <c r="F35" s="10">
        <v>3070</v>
      </c>
      <c r="G35" s="8">
        <v>0</v>
      </c>
      <c r="H35" s="6">
        <v>0</v>
      </c>
      <c r="I35" s="6">
        <v>1</v>
      </c>
      <c r="J35" s="5" t="s">
        <v>84</v>
      </c>
      <c r="K35" s="2">
        <v>0</v>
      </c>
      <c r="L35" s="2">
        <v>0</v>
      </c>
      <c r="M35" s="2">
        <v>0</v>
      </c>
      <c r="N35" s="2" t="s">
        <v>75</v>
      </c>
      <c r="O35" s="2">
        <v>0</v>
      </c>
      <c r="P35" s="11">
        <v>52</v>
      </c>
      <c r="Q35" s="11">
        <v>0</v>
      </c>
      <c r="R35" s="11">
        <v>0</v>
      </c>
      <c r="S35" s="25">
        <f t="shared" si="0"/>
        <v>1.2913712285714285</v>
      </c>
    </row>
    <row r="36" spans="1:19" ht="15" customHeight="1" x14ac:dyDescent="0.25">
      <c r="A36" s="12" t="s">
        <v>39</v>
      </c>
      <c r="B36" s="10">
        <v>14503650</v>
      </c>
      <c r="C36" s="14">
        <v>47144110</v>
      </c>
      <c r="D36" s="18">
        <v>75345712</v>
      </c>
      <c r="E36" s="19">
        <v>25000000</v>
      </c>
      <c r="F36" s="10">
        <v>1995</v>
      </c>
      <c r="G36" s="8">
        <v>1</v>
      </c>
      <c r="H36" s="6">
        <v>0</v>
      </c>
      <c r="I36" s="6">
        <v>0</v>
      </c>
      <c r="J36" s="5" t="s">
        <v>84</v>
      </c>
      <c r="K36" s="2">
        <v>0</v>
      </c>
      <c r="L36" s="2">
        <v>0</v>
      </c>
      <c r="M36" s="2">
        <v>0</v>
      </c>
      <c r="N36" s="2" t="s">
        <v>75</v>
      </c>
      <c r="O36" s="2">
        <v>0</v>
      </c>
      <c r="P36" s="11">
        <v>59</v>
      </c>
      <c r="Q36" s="11">
        <v>0</v>
      </c>
      <c r="R36" s="11">
        <v>0</v>
      </c>
      <c r="S36" s="25">
        <f t="shared" si="0"/>
        <v>0.88576440000000001</v>
      </c>
    </row>
    <row r="37" spans="1:19" ht="15" customHeight="1" x14ac:dyDescent="0.25">
      <c r="A37" s="12" t="s">
        <v>72</v>
      </c>
      <c r="B37" s="10">
        <v>4120497</v>
      </c>
      <c r="C37" s="14">
        <v>13395961</v>
      </c>
      <c r="D37" s="18">
        <v>142621</v>
      </c>
      <c r="E37" s="19">
        <v>20000000</v>
      </c>
      <c r="F37" s="7">
        <v>909</v>
      </c>
      <c r="G37" s="8">
        <v>1</v>
      </c>
      <c r="H37" s="6">
        <v>0</v>
      </c>
      <c r="I37" s="6">
        <v>1</v>
      </c>
      <c r="J37" s="5" t="s">
        <v>83</v>
      </c>
      <c r="K37" s="2">
        <v>0</v>
      </c>
      <c r="L37" s="2">
        <v>0</v>
      </c>
      <c r="M37" s="2">
        <v>0</v>
      </c>
      <c r="N37" s="2" t="s">
        <v>75</v>
      </c>
      <c r="O37" s="2">
        <v>0</v>
      </c>
      <c r="P37" s="11">
        <v>38</v>
      </c>
      <c r="Q37" s="11">
        <v>0</v>
      </c>
      <c r="R37" s="11">
        <v>0</v>
      </c>
      <c r="S37" s="25">
        <f t="shared" si="0"/>
        <v>-0.33020195000000002</v>
      </c>
    </row>
    <row r="38" spans="1:19" ht="15" customHeight="1" x14ac:dyDescent="0.25">
      <c r="A38" s="12" t="s">
        <v>12</v>
      </c>
      <c r="B38" s="10">
        <v>23624548</v>
      </c>
      <c r="C38" s="14">
        <v>84303558</v>
      </c>
      <c r="D38" s="18">
        <v>104784721</v>
      </c>
      <c r="E38" s="19">
        <v>85000000</v>
      </c>
      <c r="F38" s="10">
        <v>3833</v>
      </c>
      <c r="G38" s="8">
        <v>0</v>
      </c>
      <c r="H38" s="6">
        <v>0</v>
      </c>
      <c r="I38" s="6">
        <v>1</v>
      </c>
      <c r="J38" s="5" t="s">
        <v>80</v>
      </c>
      <c r="K38" s="2">
        <v>0</v>
      </c>
      <c r="L38" s="2">
        <v>0</v>
      </c>
      <c r="M38" s="2">
        <v>0</v>
      </c>
      <c r="N38" s="2" t="s">
        <v>75</v>
      </c>
      <c r="O38" s="2">
        <v>0</v>
      </c>
      <c r="P38" s="11">
        <v>49</v>
      </c>
      <c r="Q38" s="11">
        <v>0</v>
      </c>
      <c r="R38" s="11">
        <v>0</v>
      </c>
      <c r="S38" s="25">
        <f t="shared" si="0"/>
        <v>-8.1934352941176476E-3</v>
      </c>
    </row>
    <row r="39" spans="1:19" ht="15" customHeight="1" x14ac:dyDescent="0.25">
      <c r="A39" s="12" t="s">
        <v>65</v>
      </c>
      <c r="B39" s="10">
        <v>8203822</v>
      </c>
      <c r="C39" s="14">
        <v>20264436</v>
      </c>
      <c r="D39" s="18">
        <v>9507049</v>
      </c>
      <c r="E39" s="19">
        <v>20500000</v>
      </c>
      <c r="F39" s="10">
        <v>2323</v>
      </c>
      <c r="G39" s="8">
        <v>1</v>
      </c>
      <c r="H39" s="6">
        <v>0</v>
      </c>
      <c r="I39" s="6">
        <v>1</v>
      </c>
      <c r="J39" s="5" t="s">
        <v>85</v>
      </c>
      <c r="K39" s="2">
        <v>0</v>
      </c>
      <c r="L39" s="2">
        <v>1</v>
      </c>
      <c r="M39" s="2">
        <v>1</v>
      </c>
      <c r="N39" s="2" t="s">
        <v>74</v>
      </c>
      <c r="O39" s="2">
        <v>0</v>
      </c>
      <c r="P39" s="11">
        <v>27</v>
      </c>
      <c r="Q39" s="11">
        <v>0</v>
      </c>
      <c r="R39" s="11">
        <v>0</v>
      </c>
      <c r="S39" s="25">
        <f t="shared" si="0"/>
        <v>-1.1490926829268293E-2</v>
      </c>
    </row>
    <row r="40" spans="1:19" ht="15" customHeight="1" x14ac:dyDescent="0.25">
      <c r="A40" s="12" t="s">
        <v>23</v>
      </c>
      <c r="B40" s="10">
        <v>12158168</v>
      </c>
      <c r="C40" s="14">
        <v>70269899</v>
      </c>
      <c r="D40" s="18">
        <v>85418990</v>
      </c>
      <c r="E40" s="19">
        <v>24000000</v>
      </c>
      <c r="F40" s="10">
        <v>3017</v>
      </c>
      <c r="G40" s="8">
        <v>0</v>
      </c>
      <c r="H40" s="6">
        <v>1</v>
      </c>
      <c r="I40" s="6">
        <v>1</v>
      </c>
      <c r="J40" s="5" t="s">
        <v>83</v>
      </c>
      <c r="K40" s="2">
        <v>1</v>
      </c>
      <c r="L40" s="2">
        <v>0</v>
      </c>
      <c r="M40" s="2">
        <v>0</v>
      </c>
      <c r="N40" s="2" t="s">
        <v>75</v>
      </c>
      <c r="O40" s="2">
        <v>0</v>
      </c>
      <c r="P40" s="11">
        <v>63</v>
      </c>
      <c r="Q40" s="11">
        <v>0</v>
      </c>
      <c r="R40" s="11">
        <v>0</v>
      </c>
      <c r="S40" s="25">
        <f t="shared" si="0"/>
        <v>1.9279124583333334</v>
      </c>
    </row>
    <row r="41" spans="1:19" ht="15" customHeight="1" x14ac:dyDescent="0.25">
      <c r="A41" s="12" t="s">
        <v>20</v>
      </c>
      <c r="B41" s="10">
        <v>16414767</v>
      </c>
      <c r="C41" s="14">
        <v>71726025</v>
      </c>
      <c r="D41" s="18">
        <v>15802148</v>
      </c>
      <c r="E41" s="19">
        <v>50000000</v>
      </c>
      <c r="F41" s="10">
        <v>3639</v>
      </c>
      <c r="G41" s="8">
        <v>0</v>
      </c>
      <c r="H41" s="6">
        <v>0</v>
      </c>
      <c r="I41" s="6">
        <v>0</v>
      </c>
      <c r="J41" s="5" t="s">
        <v>84</v>
      </c>
      <c r="K41" s="2">
        <v>0</v>
      </c>
      <c r="L41" s="2">
        <v>0</v>
      </c>
      <c r="M41" s="2">
        <v>0</v>
      </c>
      <c r="N41" s="2" t="s">
        <v>75</v>
      </c>
      <c r="O41" s="2">
        <v>0</v>
      </c>
      <c r="P41" s="11">
        <v>33</v>
      </c>
      <c r="Q41" s="11">
        <v>0</v>
      </c>
      <c r="R41" s="11">
        <v>0</v>
      </c>
      <c r="S41" s="25">
        <f t="shared" si="0"/>
        <v>0.43452049999999998</v>
      </c>
    </row>
    <row r="42" spans="1:19" ht="15" customHeight="1" x14ac:dyDescent="0.25">
      <c r="A42" s="12" t="s">
        <v>9</v>
      </c>
      <c r="B42" s="10">
        <v>40222875</v>
      </c>
      <c r="C42" s="14">
        <v>90710620</v>
      </c>
      <c r="D42" s="18">
        <v>87552000</v>
      </c>
      <c r="E42" s="19">
        <v>45000000</v>
      </c>
      <c r="F42" s="10">
        <v>3602</v>
      </c>
      <c r="G42" s="8">
        <v>0</v>
      </c>
      <c r="H42" s="6">
        <v>1</v>
      </c>
      <c r="I42" s="6">
        <v>1</v>
      </c>
      <c r="J42" s="5" t="s">
        <v>87</v>
      </c>
      <c r="K42" s="2">
        <v>1</v>
      </c>
      <c r="L42" s="2">
        <v>0</v>
      </c>
      <c r="M42" s="2">
        <v>0</v>
      </c>
      <c r="N42" s="2" t="s">
        <v>74</v>
      </c>
      <c r="O42" s="2">
        <v>0</v>
      </c>
      <c r="P42" s="11">
        <v>40</v>
      </c>
      <c r="Q42" s="11">
        <v>0</v>
      </c>
      <c r="R42" s="11">
        <v>0</v>
      </c>
      <c r="S42" s="25">
        <f t="shared" si="0"/>
        <v>1.0157915555555554</v>
      </c>
    </row>
    <row r="43" spans="1:19" ht="15" customHeight="1" x14ac:dyDescent="0.25">
      <c r="A43" s="12" t="s">
        <v>67</v>
      </c>
      <c r="B43" s="10">
        <v>8602333</v>
      </c>
      <c r="C43" s="14">
        <v>17807569</v>
      </c>
      <c r="D43" s="18">
        <v>5826190</v>
      </c>
      <c r="E43" s="19">
        <v>35000000</v>
      </c>
      <c r="F43" s="10">
        <v>3004</v>
      </c>
      <c r="G43" s="8">
        <v>1</v>
      </c>
      <c r="H43" s="6">
        <v>0</v>
      </c>
      <c r="I43" s="6">
        <v>1</v>
      </c>
      <c r="J43" s="5" t="s">
        <v>84</v>
      </c>
      <c r="K43" s="2">
        <v>1</v>
      </c>
      <c r="L43" s="2">
        <v>0</v>
      </c>
      <c r="M43" s="2">
        <v>0</v>
      </c>
      <c r="N43" s="2" t="s">
        <v>74</v>
      </c>
      <c r="O43" s="2">
        <v>0</v>
      </c>
      <c r="P43" s="11">
        <v>44</v>
      </c>
      <c r="Q43" s="11">
        <v>0</v>
      </c>
      <c r="R43" s="11">
        <v>0</v>
      </c>
      <c r="S43" s="25">
        <f t="shared" si="0"/>
        <v>-0.49121231428571427</v>
      </c>
    </row>
    <row r="44" spans="1:19" ht="15" customHeight="1" x14ac:dyDescent="0.25">
      <c r="A44" s="12" t="s">
        <v>55</v>
      </c>
      <c r="B44" s="10">
        <v>10730372</v>
      </c>
      <c r="C44" s="14">
        <v>33741133</v>
      </c>
      <c r="D44" s="18">
        <v>23453534</v>
      </c>
      <c r="E44" s="19">
        <v>20000000</v>
      </c>
      <c r="F44" s="10">
        <v>2623</v>
      </c>
      <c r="G44" s="8">
        <v>1</v>
      </c>
      <c r="H44" s="6">
        <v>0</v>
      </c>
      <c r="I44" s="6">
        <v>1</v>
      </c>
      <c r="J44" s="5" t="s">
        <v>84</v>
      </c>
      <c r="K44" s="2">
        <v>0</v>
      </c>
      <c r="L44" s="2">
        <v>0</v>
      </c>
      <c r="M44" s="2">
        <v>0</v>
      </c>
      <c r="N44" s="2" t="s">
        <v>74</v>
      </c>
      <c r="O44" s="2">
        <v>0</v>
      </c>
      <c r="P44" s="11">
        <v>45</v>
      </c>
      <c r="Q44" s="11">
        <v>0</v>
      </c>
      <c r="R44" s="11">
        <v>0</v>
      </c>
      <c r="S44" s="25">
        <f t="shared" si="0"/>
        <v>0.68705665000000005</v>
      </c>
    </row>
    <row r="45" spans="1:19" ht="15" customHeight="1" x14ac:dyDescent="0.25">
      <c r="A45" s="12" t="s">
        <v>40</v>
      </c>
      <c r="B45" s="10">
        <v>20152598</v>
      </c>
      <c r="C45" s="14">
        <v>46982632</v>
      </c>
      <c r="D45" s="18">
        <v>50624821</v>
      </c>
      <c r="E45" s="19">
        <v>50000000</v>
      </c>
      <c r="F45" s="10">
        <v>2926</v>
      </c>
      <c r="G45" s="8">
        <v>1</v>
      </c>
      <c r="H45" s="6">
        <v>0</v>
      </c>
      <c r="I45" s="6">
        <v>0</v>
      </c>
      <c r="J45" s="5" t="s">
        <v>85</v>
      </c>
      <c r="K45" s="2">
        <v>0</v>
      </c>
      <c r="L45" s="2">
        <v>1</v>
      </c>
      <c r="M45" s="2">
        <v>1</v>
      </c>
      <c r="N45" s="2" t="s">
        <v>77</v>
      </c>
      <c r="O45" s="2">
        <v>1</v>
      </c>
      <c r="P45" s="11">
        <v>30</v>
      </c>
      <c r="Q45" s="11">
        <v>0</v>
      </c>
      <c r="R45" s="11">
        <v>0</v>
      </c>
      <c r="S45" s="25">
        <f t="shared" si="0"/>
        <v>-6.0347360000000003E-2</v>
      </c>
    </row>
    <row r="46" spans="1:19" ht="15" customHeight="1" x14ac:dyDescent="0.25">
      <c r="A46" s="12" t="s">
        <v>54</v>
      </c>
      <c r="B46" s="10">
        <v>13806311</v>
      </c>
      <c r="C46" s="14">
        <v>34020814</v>
      </c>
      <c r="D46" s="18">
        <v>28001200</v>
      </c>
      <c r="E46" s="19">
        <v>33000000</v>
      </c>
      <c r="F46" s="10">
        <v>3555</v>
      </c>
      <c r="G46" s="8">
        <v>0</v>
      </c>
      <c r="H46" s="6">
        <v>0</v>
      </c>
      <c r="I46" s="6">
        <v>1</v>
      </c>
      <c r="J46" s="5" t="s">
        <v>81</v>
      </c>
      <c r="K46" s="2">
        <v>1</v>
      </c>
      <c r="L46" s="2">
        <v>0</v>
      </c>
      <c r="M46" s="2">
        <v>0</v>
      </c>
      <c r="N46" s="2" t="s">
        <v>77</v>
      </c>
      <c r="O46" s="2">
        <v>1</v>
      </c>
      <c r="P46" s="11">
        <v>58</v>
      </c>
      <c r="Q46" s="11">
        <v>0</v>
      </c>
      <c r="R46" s="11">
        <v>0</v>
      </c>
      <c r="S46" s="25">
        <f t="shared" si="0"/>
        <v>3.0933757575757576E-2</v>
      </c>
    </row>
    <row r="47" spans="1:19" ht="15" customHeight="1" x14ac:dyDescent="0.25">
      <c r="A47" s="12" t="s">
        <v>61</v>
      </c>
      <c r="B47" s="10">
        <v>10726406</v>
      </c>
      <c r="C47" s="14">
        <v>23086480</v>
      </c>
      <c r="D47" s="18">
        <v>4018615</v>
      </c>
      <c r="E47" s="19">
        <v>20000000</v>
      </c>
      <c r="F47" s="10">
        <v>2009</v>
      </c>
      <c r="G47" s="8">
        <v>0</v>
      </c>
      <c r="H47" s="6">
        <v>0</v>
      </c>
      <c r="I47" s="6">
        <v>1</v>
      </c>
      <c r="J47" s="5" t="s">
        <v>85</v>
      </c>
      <c r="K47" s="2">
        <v>0</v>
      </c>
      <c r="L47" s="2">
        <v>0</v>
      </c>
      <c r="M47" s="2">
        <v>0</v>
      </c>
      <c r="N47" s="2" t="s">
        <v>74</v>
      </c>
      <c r="O47" s="2">
        <v>0</v>
      </c>
      <c r="P47" s="11">
        <v>24</v>
      </c>
      <c r="Q47" s="11">
        <v>0</v>
      </c>
      <c r="R47" s="11">
        <v>0</v>
      </c>
      <c r="S47" s="25">
        <f t="shared" si="0"/>
        <v>0.15432399999999999</v>
      </c>
    </row>
    <row r="48" spans="1:19" ht="15" customHeight="1" x14ac:dyDescent="0.25">
      <c r="A48" s="12" t="s">
        <v>58</v>
      </c>
      <c r="B48" s="10">
        <v>10803610</v>
      </c>
      <c r="C48" s="14">
        <v>26910736</v>
      </c>
      <c r="D48" s="18">
        <v>5066112</v>
      </c>
      <c r="E48" s="19">
        <v>20000000</v>
      </c>
      <c r="F48" s="10">
        <v>2038</v>
      </c>
      <c r="G48" s="8">
        <v>0</v>
      </c>
      <c r="H48" s="6">
        <v>0</v>
      </c>
      <c r="I48" s="6">
        <v>1</v>
      </c>
      <c r="J48" s="5" t="s">
        <v>82</v>
      </c>
      <c r="K48" s="2">
        <v>0</v>
      </c>
      <c r="L48" s="2">
        <v>0</v>
      </c>
      <c r="M48" s="2">
        <v>0</v>
      </c>
      <c r="N48" s="2" t="s">
        <v>74</v>
      </c>
      <c r="O48" s="2">
        <v>0</v>
      </c>
      <c r="P48" s="11">
        <v>53</v>
      </c>
      <c r="Q48" s="11">
        <v>0</v>
      </c>
      <c r="R48" s="11">
        <v>0</v>
      </c>
      <c r="S48" s="25">
        <f t="shared" si="0"/>
        <v>0.34553679999999998</v>
      </c>
    </row>
    <row r="49" spans="1:19" ht="15" customHeight="1" x14ac:dyDescent="0.25">
      <c r="A49" s="12" t="s">
        <v>42</v>
      </c>
      <c r="B49" s="10">
        <v>13411093</v>
      </c>
      <c r="C49" s="14">
        <v>40435190</v>
      </c>
      <c r="D49" s="18">
        <v>12992229</v>
      </c>
      <c r="E49" s="19">
        <v>30000000</v>
      </c>
      <c r="F49" s="10">
        <v>2264</v>
      </c>
      <c r="G49" s="8">
        <v>0</v>
      </c>
      <c r="H49" s="6">
        <v>0</v>
      </c>
      <c r="I49" s="6">
        <v>1</v>
      </c>
      <c r="J49" s="5" t="s">
        <v>84</v>
      </c>
      <c r="K49" s="2">
        <v>1</v>
      </c>
      <c r="L49" s="2">
        <v>0</v>
      </c>
      <c r="M49" s="2">
        <v>0</v>
      </c>
      <c r="N49" s="2" t="s">
        <v>75</v>
      </c>
      <c r="O49" s="2">
        <v>0</v>
      </c>
      <c r="P49" s="11">
        <v>67</v>
      </c>
      <c r="Q49" s="11">
        <v>0</v>
      </c>
      <c r="R49" s="11">
        <v>0</v>
      </c>
      <c r="S49" s="25">
        <f t="shared" si="0"/>
        <v>0.34783966666666666</v>
      </c>
    </row>
    <row r="50" spans="1:19" ht="15" customHeight="1" x14ac:dyDescent="0.25">
      <c r="A50" s="12" t="s">
        <v>52</v>
      </c>
      <c r="B50" s="10">
        <v>12051277</v>
      </c>
      <c r="C50" s="14">
        <v>34742066</v>
      </c>
      <c r="D50" s="18">
        <v>31000312</v>
      </c>
      <c r="E50" s="19">
        <v>30000000</v>
      </c>
      <c r="F50" s="10">
        <v>3009</v>
      </c>
      <c r="G50" s="8">
        <v>0</v>
      </c>
      <c r="H50" s="6">
        <v>0</v>
      </c>
      <c r="I50" s="6">
        <v>1</v>
      </c>
      <c r="J50" s="5" t="s">
        <v>83</v>
      </c>
      <c r="K50" s="2">
        <v>0</v>
      </c>
      <c r="L50" s="2">
        <v>0</v>
      </c>
      <c r="M50" s="2">
        <v>0</v>
      </c>
      <c r="N50" s="2" t="s">
        <v>74</v>
      </c>
      <c r="O50" s="2">
        <v>0</v>
      </c>
      <c r="P50" s="11">
        <v>55</v>
      </c>
      <c r="Q50" s="11">
        <v>0</v>
      </c>
      <c r="R50" s="11">
        <v>0</v>
      </c>
      <c r="S50" s="25">
        <f t="shared" si="0"/>
        <v>0.15806886666666667</v>
      </c>
    </row>
    <row r="51" spans="1:19" ht="15" customHeight="1" x14ac:dyDescent="0.25">
      <c r="A51" s="12" t="s">
        <v>3</v>
      </c>
      <c r="B51" s="10">
        <v>47042215</v>
      </c>
      <c r="C51" s="14">
        <v>148213377</v>
      </c>
      <c r="D51" s="18">
        <v>14752800</v>
      </c>
      <c r="E51" s="19">
        <v>72500000</v>
      </c>
      <c r="F51" s="10">
        <v>3803</v>
      </c>
      <c r="G51" s="8">
        <v>0</v>
      </c>
      <c r="H51" s="6">
        <v>0</v>
      </c>
      <c r="I51" s="6">
        <v>1</v>
      </c>
      <c r="J51" s="5" t="s">
        <v>84</v>
      </c>
      <c r="K51" s="2">
        <v>0</v>
      </c>
      <c r="L51" s="2">
        <v>0</v>
      </c>
      <c r="M51" s="2">
        <v>0</v>
      </c>
      <c r="N51" s="2" t="s">
        <v>74</v>
      </c>
      <c r="O51" s="2">
        <v>0</v>
      </c>
      <c r="P51" s="11">
        <v>66</v>
      </c>
      <c r="Q51" s="11">
        <v>0</v>
      </c>
      <c r="R51" s="11">
        <v>0</v>
      </c>
      <c r="S51" s="25">
        <f t="shared" si="0"/>
        <v>1.0443224413793104</v>
      </c>
    </row>
    <row r="52" spans="1:19" ht="15" customHeight="1" x14ac:dyDescent="0.25">
      <c r="A52" s="12" t="s">
        <v>57</v>
      </c>
      <c r="B52" s="10">
        <v>8432465</v>
      </c>
      <c r="C52" s="14">
        <v>28142535</v>
      </c>
      <c r="D52" s="18">
        <v>27038594</v>
      </c>
      <c r="E52" s="19">
        <v>50000000</v>
      </c>
      <c r="F52" s="10">
        <v>3050</v>
      </c>
      <c r="G52" s="8">
        <v>1</v>
      </c>
      <c r="H52" s="6">
        <v>0</v>
      </c>
      <c r="I52" s="6">
        <v>1</v>
      </c>
      <c r="J52" s="5" t="s">
        <v>80</v>
      </c>
      <c r="K52" s="2">
        <v>0</v>
      </c>
      <c r="L52" s="2">
        <v>0</v>
      </c>
      <c r="M52" s="2">
        <v>0</v>
      </c>
      <c r="N52" s="2" t="s">
        <v>75</v>
      </c>
      <c r="O52" s="2">
        <v>0</v>
      </c>
      <c r="P52" s="11">
        <v>59</v>
      </c>
      <c r="Q52" s="11">
        <v>0</v>
      </c>
      <c r="R52" s="11">
        <v>0</v>
      </c>
      <c r="S52" s="25">
        <f t="shared" si="0"/>
        <v>-0.43714930000000002</v>
      </c>
    </row>
    <row r="53" spans="1:19" ht="15" customHeight="1" x14ac:dyDescent="0.25">
      <c r="A53" s="12" t="s">
        <v>29</v>
      </c>
      <c r="B53" s="10">
        <v>19656429</v>
      </c>
      <c r="C53" s="14">
        <v>59843754</v>
      </c>
      <c r="D53" s="18">
        <v>5113537</v>
      </c>
      <c r="E53" s="19">
        <v>33000000</v>
      </c>
      <c r="F53" s="10">
        <v>3274</v>
      </c>
      <c r="G53" s="8">
        <v>0</v>
      </c>
      <c r="H53" s="6">
        <v>0</v>
      </c>
      <c r="I53" s="6">
        <v>1</v>
      </c>
      <c r="J53" s="5" t="s">
        <v>84</v>
      </c>
      <c r="K53" s="2">
        <v>0</v>
      </c>
      <c r="L53" s="2">
        <v>0</v>
      </c>
      <c r="M53" s="2">
        <v>0</v>
      </c>
      <c r="N53" s="2" t="s">
        <v>74</v>
      </c>
      <c r="O53" s="2">
        <v>0</v>
      </c>
      <c r="P53" s="11">
        <v>25</v>
      </c>
      <c r="Q53" s="11">
        <v>0</v>
      </c>
      <c r="R53" s="11">
        <v>0</v>
      </c>
      <c r="S53" s="25">
        <f t="shared" si="0"/>
        <v>0.81344709090909095</v>
      </c>
    </row>
    <row r="54" spans="1:19" ht="15" customHeight="1" x14ac:dyDescent="0.25">
      <c r="A54" s="12" t="s">
        <v>62</v>
      </c>
      <c r="B54" s="10">
        <v>10005895</v>
      </c>
      <c r="C54" s="14">
        <v>22545080</v>
      </c>
      <c r="D54" s="18">
        <v>26698333</v>
      </c>
      <c r="E54" s="19">
        <v>50000000</v>
      </c>
      <c r="F54" s="10">
        <v>2226</v>
      </c>
      <c r="G54" s="8">
        <v>1</v>
      </c>
      <c r="H54" s="6">
        <v>0</v>
      </c>
      <c r="I54" s="6">
        <v>0</v>
      </c>
      <c r="J54" s="5" t="s">
        <v>83</v>
      </c>
      <c r="K54" s="2">
        <v>0</v>
      </c>
      <c r="L54" s="2">
        <v>0</v>
      </c>
      <c r="M54" s="2">
        <v>0</v>
      </c>
      <c r="N54" s="2" t="s">
        <v>77</v>
      </c>
      <c r="O54" s="2">
        <v>1</v>
      </c>
      <c r="P54" s="11">
        <v>49</v>
      </c>
      <c r="Q54" s="11">
        <v>1</v>
      </c>
      <c r="R54" s="11">
        <v>0</v>
      </c>
      <c r="S54" s="25">
        <f t="shared" si="0"/>
        <v>-0.54909839999999999</v>
      </c>
    </row>
    <row r="55" spans="1:19" ht="15" customHeight="1" x14ac:dyDescent="0.25">
      <c r="A55" s="12" t="s">
        <v>7</v>
      </c>
      <c r="B55" s="10">
        <v>39172785</v>
      </c>
      <c r="C55" s="14">
        <v>118703275</v>
      </c>
      <c r="D55" s="18">
        <v>86259809</v>
      </c>
      <c r="E55" s="19">
        <v>52000000</v>
      </c>
      <c r="F55" s="10">
        <v>3070</v>
      </c>
      <c r="G55" s="8">
        <v>0</v>
      </c>
      <c r="H55" s="6">
        <v>0</v>
      </c>
      <c r="I55" s="6">
        <v>1</v>
      </c>
      <c r="J55" s="5" t="s">
        <v>84</v>
      </c>
      <c r="K55" s="2">
        <v>0</v>
      </c>
      <c r="L55" s="2">
        <v>0</v>
      </c>
      <c r="M55" s="2">
        <v>0</v>
      </c>
      <c r="N55" s="2" t="s">
        <v>74</v>
      </c>
      <c r="O55" s="2">
        <v>0</v>
      </c>
      <c r="P55" s="11">
        <v>45</v>
      </c>
      <c r="Q55" s="11">
        <v>0</v>
      </c>
      <c r="R55" s="11">
        <v>0</v>
      </c>
      <c r="S55" s="25">
        <f t="shared" si="0"/>
        <v>1.2827552884615385</v>
      </c>
    </row>
    <row r="56" spans="1:19" ht="15" customHeight="1" x14ac:dyDescent="0.25">
      <c r="A56" s="12" t="s">
        <v>60</v>
      </c>
      <c r="B56" s="10">
        <v>8852458</v>
      </c>
      <c r="C56" s="14">
        <v>23380495</v>
      </c>
      <c r="D56" s="18">
        <v>14216976</v>
      </c>
      <c r="E56" s="19">
        <v>20000000</v>
      </c>
      <c r="F56" s="10">
        <v>2681</v>
      </c>
      <c r="G56" s="8">
        <v>0</v>
      </c>
      <c r="H56" s="6">
        <v>0</v>
      </c>
      <c r="I56" s="6">
        <v>1</v>
      </c>
      <c r="J56" s="5" t="s">
        <v>85</v>
      </c>
      <c r="K56" s="2">
        <v>0</v>
      </c>
      <c r="L56" s="2">
        <v>0</v>
      </c>
      <c r="M56" s="2">
        <v>0</v>
      </c>
      <c r="N56" s="2" t="s">
        <v>74</v>
      </c>
      <c r="O56" s="2">
        <v>0</v>
      </c>
      <c r="P56" s="11">
        <v>19</v>
      </c>
      <c r="Q56" s="11">
        <v>0</v>
      </c>
      <c r="R56" s="11">
        <v>0</v>
      </c>
      <c r="S56" s="25">
        <f t="shared" si="0"/>
        <v>0.16902475</v>
      </c>
    </row>
    <row r="57" spans="1:19" ht="15" customHeight="1" x14ac:dyDescent="0.25">
      <c r="A57" s="12" t="s">
        <v>5</v>
      </c>
      <c r="B57" s="10">
        <v>26887467</v>
      </c>
      <c r="C57" s="14">
        <v>132384315</v>
      </c>
      <c r="D57" s="18">
        <v>157463039</v>
      </c>
      <c r="E57" s="19">
        <v>90000000</v>
      </c>
      <c r="F57" s="10">
        <v>3017</v>
      </c>
      <c r="G57" s="8">
        <v>1</v>
      </c>
      <c r="H57" s="6">
        <v>0</v>
      </c>
      <c r="I57" s="6">
        <v>1</v>
      </c>
      <c r="J57" s="5" t="s">
        <v>83</v>
      </c>
      <c r="K57" s="2">
        <v>0</v>
      </c>
      <c r="L57" s="2">
        <v>0</v>
      </c>
      <c r="M57" s="2">
        <v>1</v>
      </c>
      <c r="N57" s="2" t="s">
        <v>77</v>
      </c>
      <c r="O57" s="2">
        <v>1</v>
      </c>
      <c r="P57" s="11">
        <v>86</v>
      </c>
      <c r="Q57" s="11">
        <v>5</v>
      </c>
      <c r="R57" s="11">
        <v>4</v>
      </c>
      <c r="S57" s="25">
        <f t="shared" si="0"/>
        <v>0.47093683333333336</v>
      </c>
    </row>
    <row r="58" spans="1:19" ht="15" customHeight="1" x14ac:dyDescent="0.25">
      <c r="A58" s="12" t="s">
        <v>6</v>
      </c>
      <c r="B58" s="10">
        <v>27537244</v>
      </c>
      <c r="C58" s="14">
        <v>124740460</v>
      </c>
      <c r="D58" s="18">
        <v>201568618</v>
      </c>
      <c r="E58" s="19">
        <v>35000000</v>
      </c>
      <c r="F58" s="10">
        <v>2847</v>
      </c>
      <c r="G58" s="8">
        <v>1</v>
      </c>
      <c r="H58" s="6">
        <v>0</v>
      </c>
      <c r="I58" s="6">
        <v>1</v>
      </c>
      <c r="J58" s="5" t="s">
        <v>84</v>
      </c>
      <c r="K58" s="2">
        <v>0</v>
      </c>
      <c r="L58" s="2">
        <v>0</v>
      </c>
      <c r="M58" s="2">
        <v>0</v>
      </c>
      <c r="N58" s="2" t="s">
        <v>74</v>
      </c>
      <c r="O58" s="2">
        <v>0</v>
      </c>
      <c r="P58" s="11">
        <v>62</v>
      </c>
      <c r="Q58" s="11">
        <v>2</v>
      </c>
      <c r="R58" s="11">
        <v>0</v>
      </c>
      <c r="S58" s="25">
        <f t="shared" si="0"/>
        <v>2.5640131428571427</v>
      </c>
    </row>
    <row r="59" spans="1:19" ht="15" customHeight="1" x14ac:dyDescent="0.25">
      <c r="A59" s="12" t="s">
        <v>43</v>
      </c>
      <c r="B59" s="10">
        <v>20825300</v>
      </c>
      <c r="C59" s="14">
        <v>39143839</v>
      </c>
      <c r="D59" s="18">
        <v>31567336</v>
      </c>
      <c r="E59" s="19">
        <v>20000000</v>
      </c>
      <c r="F59" s="10">
        <v>3211</v>
      </c>
      <c r="G59" s="8">
        <v>0</v>
      </c>
      <c r="H59" s="6">
        <v>1</v>
      </c>
      <c r="I59" s="6">
        <v>0</v>
      </c>
      <c r="J59" s="5" t="s">
        <v>85</v>
      </c>
      <c r="K59" s="2">
        <v>1</v>
      </c>
      <c r="L59" s="2">
        <v>0</v>
      </c>
      <c r="M59" s="2">
        <v>0</v>
      </c>
      <c r="N59" s="2" t="s">
        <v>74</v>
      </c>
      <c r="O59" s="2">
        <v>0</v>
      </c>
      <c r="P59" s="11">
        <v>33</v>
      </c>
      <c r="Q59" s="11">
        <v>0</v>
      </c>
      <c r="R59" s="11">
        <v>0</v>
      </c>
      <c r="S59" s="25">
        <f t="shared" si="0"/>
        <v>0.95719195000000001</v>
      </c>
    </row>
    <row r="60" spans="1:19" ht="15" customHeight="1" x14ac:dyDescent="0.25">
      <c r="A60" s="12" t="s">
        <v>26</v>
      </c>
      <c r="B60" s="10">
        <v>12778913</v>
      </c>
      <c r="C60" s="14">
        <v>63224849</v>
      </c>
      <c r="D60" s="18">
        <v>141910326</v>
      </c>
      <c r="E60" s="19">
        <v>85000000</v>
      </c>
      <c r="F60" s="10">
        <v>2610</v>
      </c>
      <c r="G60" s="8">
        <v>0</v>
      </c>
      <c r="H60" s="6">
        <v>0</v>
      </c>
      <c r="I60" s="6">
        <v>1</v>
      </c>
      <c r="J60" s="5" t="s">
        <v>84</v>
      </c>
      <c r="K60" s="2">
        <v>1</v>
      </c>
      <c r="L60" s="2">
        <v>1</v>
      </c>
      <c r="M60" s="2">
        <v>0</v>
      </c>
      <c r="N60" s="2" t="s">
        <v>74</v>
      </c>
      <c r="O60" s="2">
        <v>0</v>
      </c>
      <c r="P60" s="11">
        <v>52</v>
      </c>
      <c r="Q60" s="11">
        <v>0</v>
      </c>
      <c r="R60" s="11">
        <v>0</v>
      </c>
      <c r="S60" s="25">
        <f t="shared" si="0"/>
        <v>-0.25617824705882353</v>
      </c>
    </row>
    <row r="61" spans="1:19" ht="15" customHeight="1" x14ac:dyDescent="0.25">
      <c r="A61" s="12" t="s">
        <v>36</v>
      </c>
      <c r="B61" s="10">
        <v>13616196</v>
      </c>
      <c r="C61" s="14">
        <v>52330111</v>
      </c>
      <c r="D61" s="18">
        <v>62500000</v>
      </c>
      <c r="E61" s="19">
        <v>40000000</v>
      </c>
      <c r="F61" s="10">
        <v>2645</v>
      </c>
      <c r="G61" s="8">
        <v>1</v>
      </c>
      <c r="H61" s="6">
        <v>0</v>
      </c>
      <c r="I61" s="6">
        <v>1</v>
      </c>
      <c r="J61" s="5" t="s">
        <v>83</v>
      </c>
      <c r="K61" s="2">
        <v>1</v>
      </c>
      <c r="L61" s="2">
        <v>0</v>
      </c>
      <c r="M61" s="2">
        <v>0</v>
      </c>
      <c r="N61" s="2" t="s">
        <v>75</v>
      </c>
      <c r="O61" s="2">
        <v>0</v>
      </c>
      <c r="P61" s="11">
        <v>52</v>
      </c>
      <c r="Q61" s="11">
        <v>0</v>
      </c>
      <c r="R61" s="11">
        <v>0</v>
      </c>
      <c r="S61" s="25">
        <f t="shared" si="0"/>
        <v>0.30825277499999998</v>
      </c>
    </row>
    <row r="62" spans="1:19" ht="15" customHeight="1" x14ac:dyDescent="0.25">
      <c r="A62" s="12" t="s">
        <v>46</v>
      </c>
      <c r="B62" s="10">
        <v>7849304</v>
      </c>
      <c r="C62" s="14">
        <v>37629831</v>
      </c>
      <c r="D62" s="18">
        <v>8799560</v>
      </c>
      <c r="E62" s="19">
        <v>35000000</v>
      </c>
      <c r="F62" s="10">
        <v>3083</v>
      </c>
      <c r="G62" s="8">
        <v>1</v>
      </c>
      <c r="H62" s="6">
        <v>0</v>
      </c>
      <c r="I62" s="6">
        <v>1</v>
      </c>
      <c r="J62" s="5" t="s">
        <v>83</v>
      </c>
      <c r="K62" s="2">
        <v>0</v>
      </c>
      <c r="L62" s="2">
        <v>0</v>
      </c>
      <c r="M62" s="2">
        <v>0</v>
      </c>
      <c r="N62" s="2" t="s">
        <v>75</v>
      </c>
      <c r="O62" s="2">
        <v>0</v>
      </c>
      <c r="P62" s="11">
        <v>52</v>
      </c>
      <c r="Q62" s="11">
        <v>0</v>
      </c>
      <c r="R62" s="11">
        <v>0</v>
      </c>
      <c r="S62" s="25">
        <f t="shared" si="0"/>
        <v>7.5138028571428567E-2</v>
      </c>
    </row>
    <row r="63" spans="1:19" ht="15" customHeight="1" x14ac:dyDescent="0.25">
      <c r="A63" s="12" t="s">
        <v>33</v>
      </c>
      <c r="B63" s="10">
        <v>16026496</v>
      </c>
      <c r="C63" s="14">
        <v>54607383</v>
      </c>
      <c r="D63" s="18">
        <v>64891526</v>
      </c>
      <c r="E63" s="19">
        <v>25000000</v>
      </c>
      <c r="F63" s="10">
        <v>2723</v>
      </c>
      <c r="G63" s="8">
        <v>1</v>
      </c>
      <c r="H63" s="6">
        <v>0</v>
      </c>
      <c r="I63" s="6">
        <v>1</v>
      </c>
      <c r="J63" s="5" t="s">
        <v>85</v>
      </c>
      <c r="K63" s="2">
        <v>0</v>
      </c>
      <c r="L63" s="2">
        <v>0</v>
      </c>
      <c r="M63" s="2">
        <v>0</v>
      </c>
      <c r="N63" s="2" t="s">
        <v>77</v>
      </c>
      <c r="O63" s="2">
        <v>1</v>
      </c>
      <c r="P63" s="11">
        <v>43</v>
      </c>
      <c r="Q63" s="11">
        <v>0</v>
      </c>
      <c r="R63" s="11">
        <v>0</v>
      </c>
      <c r="S63" s="25">
        <f t="shared" si="0"/>
        <v>1.1842953199999999</v>
      </c>
    </row>
    <row r="64" spans="1:19" ht="15" customHeight="1" x14ac:dyDescent="0.25">
      <c r="A64" s="12" t="s">
        <v>13</v>
      </c>
      <c r="B64" s="10">
        <v>20220412</v>
      </c>
      <c r="C64" s="14">
        <v>82226474</v>
      </c>
      <c r="D64" s="18">
        <v>76624883</v>
      </c>
      <c r="E64" s="19">
        <v>80000000</v>
      </c>
      <c r="F64" s="10">
        <v>3477</v>
      </c>
      <c r="G64" s="8">
        <v>1</v>
      </c>
      <c r="H64" s="6">
        <v>1</v>
      </c>
      <c r="I64" s="6">
        <v>1</v>
      </c>
      <c r="J64" s="5" t="s">
        <v>84</v>
      </c>
      <c r="K64" s="2">
        <v>0</v>
      </c>
      <c r="L64" s="2">
        <v>0</v>
      </c>
      <c r="M64" s="2">
        <v>0</v>
      </c>
      <c r="N64" s="2" t="s">
        <v>75</v>
      </c>
      <c r="O64" s="2">
        <v>0</v>
      </c>
      <c r="P64" s="11">
        <v>38</v>
      </c>
      <c r="Q64" s="11">
        <v>0</v>
      </c>
      <c r="R64" s="11">
        <v>0</v>
      </c>
      <c r="S64" s="25">
        <f t="shared" si="0"/>
        <v>2.7830924999999999E-2</v>
      </c>
    </row>
    <row r="65" spans="1:19" ht="15" customHeight="1" x14ac:dyDescent="0.25">
      <c r="A65" s="12" t="s">
        <v>35</v>
      </c>
      <c r="B65" s="10">
        <v>14801808</v>
      </c>
      <c r="C65" s="14">
        <v>53089891</v>
      </c>
      <c r="D65" s="18">
        <v>56586420</v>
      </c>
      <c r="E65" s="19">
        <v>40000000</v>
      </c>
      <c r="F65" s="10">
        <v>2281</v>
      </c>
      <c r="G65" s="8">
        <v>1</v>
      </c>
      <c r="H65" s="6">
        <v>0</v>
      </c>
      <c r="I65" s="6">
        <v>1</v>
      </c>
      <c r="J65" s="5" t="s">
        <v>83</v>
      </c>
      <c r="K65" s="2">
        <v>0</v>
      </c>
      <c r="L65" s="2">
        <v>0</v>
      </c>
      <c r="M65" s="2">
        <v>0</v>
      </c>
      <c r="N65" s="2" t="s">
        <v>74</v>
      </c>
      <c r="O65" s="2">
        <v>0</v>
      </c>
      <c r="P65" s="11">
        <v>66</v>
      </c>
      <c r="Q65" s="11">
        <v>2</v>
      </c>
      <c r="R65" s="11">
        <v>0</v>
      </c>
      <c r="S65" s="25">
        <f t="shared" si="0"/>
        <v>0.327247275</v>
      </c>
    </row>
    <row r="66" spans="1:19" ht="15" customHeight="1" x14ac:dyDescent="0.25">
      <c r="A66" s="12" t="s">
        <v>2</v>
      </c>
      <c r="B66" s="10">
        <v>26541709</v>
      </c>
      <c r="C66" s="14">
        <v>163566459</v>
      </c>
      <c r="D66" s="18">
        <v>143373994</v>
      </c>
      <c r="E66" s="19">
        <v>55000000</v>
      </c>
      <c r="F66" s="10">
        <v>2852</v>
      </c>
      <c r="G66" s="8">
        <v>0</v>
      </c>
      <c r="H66" s="6">
        <v>0</v>
      </c>
      <c r="I66" s="6">
        <v>1</v>
      </c>
      <c r="J66" s="5" t="s">
        <v>83</v>
      </c>
      <c r="K66" s="2">
        <v>1</v>
      </c>
      <c r="L66" s="2">
        <v>0</v>
      </c>
      <c r="M66" s="2">
        <v>0</v>
      </c>
      <c r="N66" s="2" t="s">
        <v>74</v>
      </c>
      <c r="O66" s="2">
        <v>0</v>
      </c>
      <c r="P66" s="11">
        <v>64</v>
      </c>
      <c r="Q66" s="11">
        <v>1</v>
      </c>
      <c r="R66" s="11">
        <v>0</v>
      </c>
      <c r="S66" s="25">
        <f t="shared" si="0"/>
        <v>1.9739356181818182</v>
      </c>
    </row>
    <row r="67" spans="1:19" ht="15" customHeight="1" x14ac:dyDescent="0.25">
      <c r="A67" s="12" t="s">
        <v>50</v>
      </c>
      <c r="B67" s="10">
        <v>14367854</v>
      </c>
      <c r="C67" s="14">
        <v>36280697</v>
      </c>
      <c r="D67" s="18">
        <v>41639649</v>
      </c>
      <c r="E67" s="19">
        <v>60000000</v>
      </c>
      <c r="F67" s="10">
        <v>2819</v>
      </c>
      <c r="G67" s="8">
        <v>1</v>
      </c>
      <c r="H67" s="6">
        <v>0</v>
      </c>
      <c r="I67" s="6">
        <v>1</v>
      </c>
      <c r="J67" s="5" t="s">
        <v>86</v>
      </c>
      <c r="K67" s="2">
        <v>1</v>
      </c>
      <c r="L67" s="2">
        <v>0</v>
      </c>
      <c r="M67" s="2">
        <v>0</v>
      </c>
      <c r="N67" s="2" t="s">
        <v>74</v>
      </c>
      <c r="O67" s="2">
        <v>0</v>
      </c>
      <c r="P67" s="11">
        <v>48</v>
      </c>
      <c r="Q67" s="11">
        <v>0</v>
      </c>
      <c r="R67" s="11">
        <v>0</v>
      </c>
      <c r="S67" s="25">
        <f t="shared" ref="S67:S76" si="1">(C67-E67)/E67</f>
        <v>-0.39532171666666666</v>
      </c>
    </row>
    <row r="68" spans="1:19" ht="15" customHeight="1" x14ac:dyDescent="0.25">
      <c r="A68" s="12" t="s">
        <v>28</v>
      </c>
      <c r="B68" s="10">
        <v>16310058</v>
      </c>
      <c r="C68" s="14">
        <v>61123569</v>
      </c>
      <c r="D68" s="18">
        <v>26010711</v>
      </c>
      <c r="E68" s="19">
        <v>60000000</v>
      </c>
      <c r="F68" s="10">
        <v>3501</v>
      </c>
      <c r="G68" s="8">
        <v>1</v>
      </c>
      <c r="H68" s="6">
        <v>0</v>
      </c>
      <c r="I68" s="6">
        <v>1</v>
      </c>
      <c r="J68" s="5" t="s">
        <v>84</v>
      </c>
      <c r="K68" s="2">
        <v>0</v>
      </c>
      <c r="L68" s="2">
        <v>0</v>
      </c>
      <c r="M68" s="2">
        <v>0</v>
      </c>
      <c r="N68" s="2" t="s">
        <v>75</v>
      </c>
      <c r="O68" s="2">
        <v>0</v>
      </c>
      <c r="P68" s="11">
        <v>43</v>
      </c>
      <c r="Q68" s="11">
        <v>0</v>
      </c>
      <c r="R68" s="11">
        <v>0</v>
      </c>
      <c r="S68" s="25">
        <f t="shared" si="1"/>
        <v>1.872615E-2</v>
      </c>
    </row>
    <row r="69" spans="1:19" ht="15" customHeight="1" x14ac:dyDescent="0.25">
      <c r="A69" s="12" t="s">
        <v>59</v>
      </c>
      <c r="B69" s="10">
        <v>9610204</v>
      </c>
      <c r="C69" s="14">
        <v>23649127</v>
      </c>
      <c r="D69" s="18">
        <v>15064046</v>
      </c>
      <c r="E69" s="19">
        <v>40000000</v>
      </c>
      <c r="F69" s="10">
        <v>2784</v>
      </c>
      <c r="G69" s="8">
        <v>1</v>
      </c>
      <c r="H69" s="6">
        <v>0</v>
      </c>
      <c r="I69" s="6">
        <v>1</v>
      </c>
      <c r="J69" s="5" t="s">
        <v>81</v>
      </c>
      <c r="K69" s="2">
        <v>1</v>
      </c>
      <c r="L69" s="2">
        <v>0</v>
      </c>
      <c r="M69" s="2">
        <v>0</v>
      </c>
      <c r="N69" s="2" t="s">
        <v>74</v>
      </c>
      <c r="O69" s="2">
        <v>0</v>
      </c>
      <c r="P69" s="11">
        <v>36</v>
      </c>
      <c r="Q69" s="11">
        <v>0</v>
      </c>
      <c r="R69" s="11">
        <v>0</v>
      </c>
      <c r="S69" s="25">
        <f t="shared" si="1"/>
        <v>-0.40877182499999998</v>
      </c>
    </row>
    <row r="70" spans="1:19" ht="15" customHeight="1" x14ac:dyDescent="0.25">
      <c r="A70" s="12" t="s">
        <v>47</v>
      </c>
      <c r="B70" s="10">
        <v>9684809</v>
      </c>
      <c r="C70" s="14">
        <v>37384046</v>
      </c>
      <c r="D70" s="18">
        <v>64954469</v>
      </c>
      <c r="E70" s="19">
        <v>80000000</v>
      </c>
      <c r="F70" s="10">
        <v>2854</v>
      </c>
      <c r="G70" s="8">
        <v>0</v>
      </c>
      <c r="H70" s="6">
        <v>0</v>
      </c>
      <c r="I70" s="6">
        <v>1</v>
      </c>
      <c r="J70" s="5" t="s">
        <v>80</v>
      </c>
      <c r="K70" s="2">
        <v>0</v>
      </c>
      <c r="L70" s="2">
        <v>0</v>
      </c>
      <c r="M70" s="2">
        <v>1</v>
      </c>
      <c r="N70" s="2" t="s">
        <v>76</v>
      </c>
      <c r="O70" s="2">
        <v>0</v>
      </c>
      <c r="P70" s="11">
        <v>47</v>
      </c>
      <c r="Q70" s="11">
        <v>0</v>
      </c>
      <c r="R70" s="11">
        <v>0</v>
      </c>
      <c r="S70" s="25">
        <f t="shared" si="1"/>
        <v>-0.532699425</v>
      </c>
    </row>
    <row r="71" spans="1:19" ht="15" customHeight="1" x14ac:dyDescent="0.25">
      <c r="A71" s="12" t="s">
        <v>66</v>
      </c>
      <c r="B71" s="10">
        <v>9064880</v>
      </c>
      <c r="C71" s="14">
        <v>18535812</v>
      </c>
      <c r="D71" s="18">
        <v>12534399</v>
      </c>
      <c r="E71" s="19">
        <v>30000000</v>
      </c>
      <c r="F71" s="10">
        <v>2558</v>
      </c>
      <c r="G71" s="8">
        <v>0</v>
      </c>
      <c r="H71" s="6">
        <v>0</v>
      </c>
      <c r="I71" s="6">
        <v>1</v>
      </c>
      <c r="J71" s="5" t="s">
        <v>82</v>
      </c>
      <c r="K71" s="2">
        <v>0</v>
      </c>
      <c r="L71" s="2">
        <v>0</v>
      </c>
      <c r="M71" s="2">
        <v>1</v>
      </c>
      <c r="N71" s="2" t="s">
        <v>74</v>
      </c>
      <c r="O71" s="2">
        <v>0</v>
      </c>
      <c r="P71" s="11">
        <v>18</v>
      </c>
      <c r="Q71" s="11">
        <v>0</v>
      </c>
      <c r="R71" s="11">
        <v>0</v>
      </c>
      <c r="S71" s="25">
        <f t="shared" si="1"/>
        <v>-0.38213960000000002</v>
      </c>
    </row>
    <row r="72" spans="1:19" ht="15" customHeight="1" x14ac:dyDescent="0.25">
      <c r="A72" s="12" t="s">
        <v>69</v>
      </c>
      <c r="B72" s="10">
        <v>5815474</v>
      </c>
      <c r="C72" s="14">
        <v>16655224</v>
      </c>
      <c r="D72" s="18">
        <v>5293990</v>
      </c>
      <c r="E72" s="19">
        <v>25000000</v>
      </c>
      <c r="F72" s="10">
        <v>2775</v>
      </c>
      <c r="G72" s="8">
        <v>0</v>
      </c>
      <c r="H72" s="6">
        <v>0</v>
      </c>
      <c r="I72" s="6">
        <v>1</v>
      </c>
      <c r="J72" s="5" t="s">
        <v>84</v>
      </c>
      <c r="K72" s="2">
        <v>1</v>
      </c>
      <c r="L72" s="2">
        <v>0</v>
      </c>
      <c r="M72" s="2">
        <v>0</v>
      </c>
      <c r="N72" s="2" t="s">
        <v>75</v>
      </c>
      <c r="O72" s="2">
        <v>0</v>
      </c>
      <c r="P72" s="11">
        <v>43</v>
      </c>
      <c r="Q72" s="11">
        <v>0</v>
      </c>
      <c r="R72" s="11">
        <v>0</v>
      </c>
      <c r="S72" s="25">
        <f t="shared" si="1"/>
        <v>-0.33379103999999998</v>
      </c>
    </row>
    <row r="73" spans="1:19" ht="15" customHeight="1" x14ac:dyDescent="0.25">
      <c r="A73" s="12" t="s">
        <v>27</v>
      </c>
      <c r="B73" s="10">
        <v>26857181</v>
      </c>
      <c r="C73" s="14">
        <v>62318875</v>
      </c>
      <c r="D73" s="18">
        <v>49021926</v>
      </c>
      <c r="E73" s="19">
        <v>45000000</v>
      </c>
      <c r="F73" s="10">
        <v>3207</v>
      </c>
      <c r="G73" s="8">
        <v>0</v>
      </c>
      <c r="H73" s="6">
        <v>1</v>
      </c>
      <c r="I73" s="6">
        <v>1</v>
      </c>
      <c r="J73" s="5" t="s">
        <v>85</v>
      </c>
      <c r="K73" s="2">
        <v>0</v>
      </c>
      <c r="L73" s="2">
        <v>0</v>
      </c>
      <c r="M73" s="2">
        <v>0</v>
      </c>
      <c r="N73" s="2" t="s">
        <v>77</v>
      </c>
      <c r="O73" s="2">
        <v>1</v>
      </c>
      <c r="P73" s="11">
        <v>36</v>
      </c>
      <c r="Q73" s="11">
        <v>0</v>
      </c>
      <c r="R73" s="11">
        <v>0</v>
      </c>
      <c r="S73" s="25">
        <f t="shared" si="1"/>
        <v>0.38486388888888889</v>
      </c>
    </row>
    <row r="74" spans="1:19" ht="15" customHeight="1" x14ac:dyDescent="0.25">
      <c r="A74" s="12" t="s">
        <v>21</v>
      </c>
      <c r="B74" s="10">
        <v>25642340</v>
      </c>
      <c r="C74" s="14">
        <v>70511035</v>
      </c>
      <c r="D74" s="18">
        <v>62000000</v>
      </c>
      <c r="E74" s="19">
        <v>54000000</v>
      </c>
      <c r="F74" s="10">
        <v>3365</v>
      </c>
      <c r="G74" s="8">
        <v>1</v>
      </c>
      <c r="H74" s="6">
        <v>0</v>
      </c>
      <c r="I74" s="6">
        <v>0</v>
      </c>
      <c r="J74" s="5" t="s">
        <v>86</v>
      </c>
      <c r="K74" s="2">
        <v>0</v>
      </c>
      <c r="L74" s="2">
        <v>0</v>
      </c>
      <c r="M74" s="2">
        <v>0</v>
      </c>
      <c r="N74" s="2" t="s">
        <v>77</v>
      </c>
      <c r="O74" s="2">
        <v>1</v>
      </c>
      <c r="P74" s="11">
        <v>62</v>
      </c>
      <c r="Q74" s="11">
        <v>0</v>
      </c>
      <c r="R74" s="11">
        <v>0</v>
      </c>
      <c r="S74" s="25">
        <f t="shared" si="1"/>
        <v>0.30575990740740738</v>
      </c>
    </row>
    <row r="75" spans="1:19" ht="15" customHeight="1" x14ac:dyDescent="0.25">
      <c r="A75" s="12" t="s">
        <v>22</v>
      </c>
      <c r="B75" s="10">
        <v>18730762</v>
      </c>
      <c r="C75" s="14">
        <v>70278893</v>
      </c>
      <c r="D75" s="18">
        <v>92691347</v>
      </c>
      <c r="E75" s="19">
        <v>65000000</v>
      </c>
      <c r="F75" s="10">
        <v>2957</v>
      </c>
      <c r="G75" s="8">
        <v>0</v>
      </c>
      <c r="H75" s="6">
        <v>0</v>
      </c>
      <c r="I75" s="6">
        <v>1</v>
      </c>
      <c r="J75" s="5" t="s">
        <v>83</v>
      </c>
      <c r="K75" s="2">
        <v>0</v>
      </c>
      <c r="L75" s="2">
        <v>0</v>
      </c>
      <c r="M75" s="2">
        <v>0</v>
      </c>
      <c r="N75" s="2" t="s">
        <v>74</v>
      </c>
      <c r="O75" s="2">
        <v>0</v>
      </c>
      <c r="P75" s="11">
        <v>66</v>
      </c>
      <c r="Q75" s="11">
        <v>0</v>
      </c>
      <c r="R75" s="11">
        <v>0</v>
      </c>
      <c r="S75" s="25">
        <f t="shared" si="1"/>
        <v>8.1213738461538468E-2</v>
      </c>
    </row>
    <row r="76" spans="1:19" ht="15" customHeight="1" x14ac:dyDescent="0.25">
      <c r="A76" s="12" t="s">
        <v>16</v>
      </c>
      <c r="B76" s="10">
        <v>21525560</v>
      </c>
      <c r="C76" s="14">
        <v>75628110</v>
      </c>
      <c r="D76" s="18">
        <v>54731328</v>
      </c>
      <c r="E76" s="19">
        <v>54000000</v>
      </c>
      <c r="F76" s="10">
        <v>3131</v>
      </c>
      <c r="G76" s="8">
        <v>0</v>
      </c>
      <c r="H76" s="6">
        <v>0</v>
      </c>
      <c r="I76" s="6">
        <v>1</v>
      </c>
      <c r="J76" s="5" t="s">
        <v>84</v>
      </c>
      <c r="K76" s="2">
        <v>0</v>
      </c>
      <c r="L76" s="2">
        <v>0</v>
      </c>
      <c r="M76" s="2">
        <v>0</v>
      </c>
      <c r="N76" s="2" t="s">
        <v>74</v>
      </c>
      <c r="O76" s="2">
        <v>0</v>
      </c>
      <c r="P76" s="11">
        <v>46</v>
      </c>
      <c r="Q76" s="11">
        <v>0</v>
      </c>
      <c r="R76" s="11">
        <v>0</v>
      </c>
      <c r="S76" s="25">
        <f t="shared" si="1"/>
        <v>0.40052055555555555</v>
      </c>
    </row>
  </sheetData>
  <phoneticPr fontId="4" type="noConversion"/>
  <pageMargins left="0.75" right="0.75" top="1" bottom="1" header="0.4921259845" footer="0.492125984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C4F0-F061-452D-ADC6-AAFD1C0482B6}">
  <dimension ref="E2:H12"/>
  <sheetViews>
    <sheetView workbookViewId="0">
      <selection activeCell="G12" sqref="G12"/>
    </sheetView>
  </sheetViews>
  <sheetFormatPr defaultRowHeight="13.2" x14ac:dyDescent="0.25"/>
  <cols>
    <col min="1" max="1" width="19.21875" bestFit="1" customWidth="1"/>
    <col min="2" max="2" width="10.109375" bestFit="1" customWidth="1"/>
    <col min="3" max="3" width="11.109375" bestFit="1" customWidth="1"/>
    <col min="4" max="4" width="10.109375" bestFit="1" customWidth="1"/>
    <col min="5" max="5" width="19.21875" bestFit="1" customWidth="1"/>
    <col min="6" max="6" width="10.109375" bestFit="1" customWidth="1"/>
    <col min="7" max="7" width="11.109375" bestFit="1" customWidth="1"/>
    <col min="8" max="8" width="10.109375" bestFit="1" customWidth="1"/>
  </cols>
  <sheetData>
    <row r="2" spans="5:8" ht="13.8" thickBot="1" x14ac:dyDescent="0.3"/>
    <row r="3" spans="5:8" ht="15.6" thickTop="1" thickBot="1" x14ac:dyDescent="0.3">
      <c r="E3" s="21"/>
      <c r="F3" s="22" t="s">
        <v>106</v>
      </c>
      <c r="G3" s="22" t="s">
        <v>107</v>
      </c>
      <c r="H3" s="22" t="s">
        <v>108</v>
      </c>
    </row>
    <row r="4" spans="5:8" ht="15.6" thickTop="1" thickBot="1" x14ac:dyDescent="0.3">
      <c r="E4" s="22" t="s">
        <v>109</v>
      </c>
      <c r="F4" s="23">
        <f>MIN('Exhibit 1'!$B:$B)</f>
        <v>4120497</v>
      </c>
      <c r="G4" s="23">
        <f>MAX('Exhibit 1'!$B:$B)</f>
        <v>68033544</v>
      </c>
      <c r="H4" s="23">
        <f>AVERAGE('Exhibit 1'!$B:$B)</f>
        <v>17468465.573333334</v>
      </c>
    </row>
    <row r="5" spans="5:8" ht="15.6" thickTop="1" thickBot="1" x14ac:dyDescent="0.3">
      <c r="E5" s="22" t="s">
        <v>110</v>
      </c>
      <c r="F5" s="23">
        <f>MIN('Exhibit 1'!$C:$C)</f>
        <v>13090630</v>
      </c>
      <c r="G5" s="23">
        <f>MAX('Exhibit 1'!$C:$C)</f>
        <v>198000317</v>
      </c>
      <c r="H5" s="23">
        <f>AVERAGE('Exhibit 1'!$C:$C)</f>
        <v>59620650.826666668</v>
      </c>
    </row>
    <row r="6" spans="5:8" ht="15.6" thickTop="1" thickBot="1" x14ac:dyDescent="0.3">
      <c r="E6" s="22" t="s">
        <v>111</v>
      </c>
      <c r="F6" s="23">
        <f>MIN('Exhibit 1'!$D:$D)</f>
        <v>0</v>
      </c>
      <c r="G6" s="23">
        <f>MAX('Exhibit 1'!$D:$D)</f>
        <v>456235122</v>
      </c>
      <c r="H6" s="23">
        <f>AVERAGE('Exhibit 1'!$D:$D)</f>
        <v>59560982.560000002</v>
      </c>
    </row>
    <row r="7" spans="5:8" ht="15.6" thickTop="1" thickBot="1" x14ac:dyDescent="0.3">
      <c r="E7" s="22" t="s">
        <v>112</v>
      </c>
      <c r="F7" s="23">
        <f>MIN('Exhibit 1'!$F:$F)</f>
        <v>852</v>
      </c>
      <c r="G7" s="23">
        <f>MAX('Exhibit 1'!$F:$F)</f>
        <v>3964</v>
      </c>
      <c r="H7" s="23">
        <f>AVERAGE('Exhibit 1'!$F:$F)</f>
        <v>2766.28</v>
      </c>
    </row>
    <row r="8" spans="5:8" ht="13.8" thickTop="1" x14ac:dyDescent="0.25"/>
    <row r="9" spans="5:8" ht="13.8" thickBot="1" x14ac:dyDescent="0.3"/>
    <row r="10" spans="5:8" ht="15.6" thickTop="1" thickBot="1" x14ac:dyDescent="0.35">
      <c r="E10" s="22" t="s">
        <v>113</v>
      </c>
      <c r="F10" s="24">
        <f>COUNTIF('Exhibit 1'!J2:J76,"Comedy")</f>
        <v>23</v>
      </c>
    </row>
    <row r="11" spans="5:8" ht="15.6" thickTop="1" thickBot="1" x14ac:dyDescent="0.35">
      <c r="E11" s="22" t="s">
        <v>114</v>
      </c>
      <c r="F11" s="24">
        <f>COUNTIF('Exhibit 1'!N2:N76,"R")</f>
        <v>15</v>
      </c>
    </row>
    <row r="12" spans="5:8" ht="13.8" thickTop="1" x14ac:dyDescent="0.25"/>
  </sheetData>
  <sheetCalcPr fullCalcOnLoa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7EF7-894C-4539-AB3A-21E8D34B14A0}">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Copyright</vt:lpstr>
      <vt:lpstr>Exhibit 1</vt:lpstr>
      <vt:lpstr>QUESTION 1</vt:lpstr>
      <vt:lpstr>QUESTION 2</vt:lpstr>
    </vt:vector>
  </TitlesOfParts>
  <Company>Hamburg Media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ROHIT GHOSH</cp:lastModifiedBy>
  <dcterms:created xsi:type="dcterms:W3CDTF">2007-09-01T03:44:28Z</dcterms:created>
  <dcterms:modified xsi:type="dcterms:W3CDTF">2025-11-28T19:48:57Z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hinkcellXlWorkbookDoNotDelete" linkTarget="&lt;?xml version=&quot;1.0&quot; encoding=&quot;UTF-16&quot; standalone=&quot;yes&quot;?&gt;&#10;&lt;root&gt;&lt;version val=&quot;16204&quot;/&gt;&lt;partner val=&quot;530&quot;/&gt;&lt;CXlWorkbook id=&quot;1&quot;&gt;&lt;m_cxllink/&gt;&lt;/CXlWorkbook&gt;&lt;/root&gt;">
    <vt:bool>false</vt:bool>
  </property>
</Properties>
</file>