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MBA\Courses\Term 2\QAM-II\"/>
    </mc:Choice>
  </mc:AlternateContent>
  <xr:revisionPtr revIDLastSave="0" documentId="13_ncr:1_{A3A02D93-E231-4309-8F36-D505F9CA94B8}" xr6:coauthVersionLast="47" xr6:coauthVersionMax="47" xr10:uidLastSave="{00000000-0000-0000-0000-000000000000}"/>
  <bookViews>
    <workbookView xWindow="-108" yWindow="-108" windowWidth="23256" windowHeight="13176" firstSheet="4" activeTab="10" xr2:uid="{298828CD-1B0C-43EA-858A-B3C0B4757547}"/>
  </bookViews>
  <sheets>
    <sheet name="Copyright" sheetId="2" r:id="rId1"/>
    <sheet name="Exhibit 1" sheetId="1" r:id="rId2"/>
    <sheet name="QUESTION 1" sheetId="3" r:id="rId3"/>
    <sheet name="QUESTION 2" sheetId="4" r:id="rId4"/>
    <sheet name="QUESTION 3" sheetId="5" r:id="rId5"/>
    <sheet name="QUESTION 4" sheetId="6" r:id="rId6"/>
    <sheet name="QUESTION 5" sheetId="7" r:id="rId7"/>
    <sheet name="QUESTION 6" sheetId="8" r:id="rId8"/>
    <sheet name="QUESTION 7" sheetId="9" r:id="rId9"/>
    <sheet name="QUESTION 8" sheetId="11" r:id="rId10"/>
    <sheet name="QUESTION 9" sheetId="12" r:id="rId11"/>
    <sheet name="QUESTION 10" sheetId="13" r:id="rId1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0" i="12" l="1"/>
  <c r="C175" i="11"/>
  <c r="C176" i="11" s="1"/>
  <c r="C173" i="11"/>
  <c r="C165" i="11"/>
  <c r="C164" i="11"/>
  <c r="C159" i="11"/>
  <c r="C156" i="11"/>
  <c r="C115" i="9"/>
  <c r="C113" i="9"/>
  <c r="C174" i="8"/>
  <c r="C173" i="8"/>
  <c r="C169" i="8"/>
  <c r="C167" i="8"/>
  <c r="C166" i="8"/>
  <c r="C165" i="8"/>
  <c r="C164" i="8"/>
  <c r="C163" i="8"/>
  <c r="C113" i="8"/>
  <c r="C114" i="8"/>
  <c r="C115" i="8"/>
  <c r="C116" i="8"/>
  <c r="C117" i="8"/>
  <c r="C118" i="8"/>
  <c r="C112" i="8"/>
  <c r="C140" i="9"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2" i="1"/>
  <c r="C166" i="11"/>
  <c r="C157" i="11"/>
  <c r="C155" i="11"/>
  <c r="C110" i="11"/>
  <c r="C116" i="11"/>
  <c r="C112" i="11"/>
  <c r="C113" i="11"/>
  <c r="C114" i="11"/>
  <c r="C115" i="11"/>
  <c r="C111" i="11"/>
  <c r="C157" i="9"/>
  <c r="C158" i="9"/>
  <c r="C146" i="9"/>
  <c r="C148" i="9"/>
  <c r="C143" i="9"/>
  <c r="C136" i="9"/>
  <c r="C141" i="9" s="1"/>
  <c r="C135" i="9"/>
  <c r="C126" i="9"/>
  <c r="C128" i="9" s="1"/>
  <c r="C125" i="9"/>
  <c r="C103" i="9"/>
  <c r="C114" i="9" s="1"/>
  <c r="C120" i="9"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2" i="1"/>
  <c r="B114" i="7"/>
  <c r="B111" i="7"/>
  <c r="B112" i="7"/>
  <c r="B113" i="7"/>
  <c r="B110" i="7"/>
  <c r="D6" i="6" a="1"/>
  <c r="D6" i="6"/>
  <c r="D11" i="6"/>
  <c r="D4" i="6"/>
  <c r="D3" i="6"/>
  <c r="D26" i="5" a="1"/>
  <c r="D26" i="5"/>
  <c r="D31" i="5"/>
  <c r="D24" i="5" a="1"/>
  <c r="D24" i="5"/>
  <c r="D23" i="5" a="1"/>
  <c r="D23" i="5"/>
  <c r="D13" i="5" a="1"/>
  <c r="D13" i="5"/>
  <c r="D18" i="5"/>
  <c r="D11" i="5"/>
  <c r="D10" i="5"/>
  <c r="D98" i="4"/>
  <c r="D85" i="4"/>
  <c r="D95" i="4"/>
  <c r="D96" i="4"/>
  <c r="D86" i="4"/>
  <c r="D84" i="4"/>
  <c r="D83" i="4"/>
  <c r="D8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2" i="4"/>
  <c r="C14" i="3"/>
  <c r="C13" i="3"/>
  <c r="E7" i="3"/>
  <c r="D7" i="3"/>
  <c r="C7" i="3"/>
  <c r="E6" i="3"/>
  <c r="D6" i="3"/>
  <c r="C6" i="3"/>
  <c r="E5" i="3"/>
  <c r="D5" i="3"/>
  <c r="C5" i="3"/>
  <c r="E4" i="3"/>
  <c r="D4" i="3"/>
  <c r="C4" i="3"/>
  <c r="D89" i="4"/>
  <c r="D88" i="4"/>
  <c r="C167" i="11" l="1"/>
  <c r="C147" i="9"/>
  <c r="C149" i="9" s="1"/>
  <c r="C150" i="9" s="1"/>
  <c r="C151" i="9" s="1"/>
  <c r="C168"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<sst xmlns="http://schemas.openxmlformats.org/spreadsheetml/2006/main" count="792" uniqueCount="303">
  <si>
    <t>Happy Feet</t>
  </si>
  <si>
    <t>Ice Age: The Meltdown</t>
  </si>
  <si>
    <t>The Pursuit of Happyness</t>
  </si>
  <si>
    <t>Talladega Nights: The Ballad of Ricky Bobby</t>
  </si>
  <si>
    <t>Click</t>
  </si>
  <si>
    <t>The Departed</t>
  </si>
  <si>
    <t>The Devil Wears Prada</t>
  </si>
  <si>
    <t>The Break-Up</t>
  </si>
  <si>
    <t>Dreamgirls</t>
  </si>
  <si>
    <t>Scary Movie 4</t>
  </si>
  <si>
    <t>Failure to Launch</t>
  </si>
  <si>
    <t>Inside Man</t>
  </si>
  <si>
    <t>Open Season</t>
  </si>
  <si>
    <t>The Pink Panther</t>
  </si>
  <si>
    <t>Eight Below</t>
  </si>
  <si>
    <t>Nacho Libre</t>
  </si>
  <si>
    <t>You, Me and Dupree</t>
  </si>
  <si>
    <t>Eragon</t>
  </si>
  <si>
    <t>Monster House</t>
  </si>
  <si>
    <t>Barnyard: The Original Party Animals</t>
  </si>
  <si>
    <t>RV</t>
  </si>
  <si>
    <t>V for Vendetta</t>
  </si>
  <si>
    <t>World Trade Center</t>
  </si>
  <si>
    <t>Rocky Balboa</t>
  </si>
  <si>
    <t>Big Momma's House 2</t>
  </si>
  <si>
    <t>Deja Vu</t>
  </si>
  <si>
    <t>The Holiday</t>
  </si>
  <si>
    <t>Underworld: Evolution</t>
  </si>
  <si>
    <t>The Shaggy Dog</t>
  </si>
  <si>
    <t>The Benchwarmers</t>
  </si>
  <si>
    <t>Little Man</t>
  </si>
  <si>
    <t>Curious George</t>
  </si>
  <si>
    <t>Blood Diamond</t>
  </si>
  <si>
    <t>The Omen (2006)</t>
  </si>
  <si>
    <t>Final Destination 3</t>
  </si>
  <si>
    <t>The Prestige</t>
  </si>
  <si>
    <t>The Lake House</t>
  </si>
  <si>
    <t>Apocalypto</t>
  </si>
  <si>
    <t>Date Movie</t>
  </si>
  <si>
    <t>Nanny McPhee</t>
  </si>
  <si>
    <t>Silent Hill</t>
  </si>
  <si>
    <t>Lady in the Water</t>
  </si>
  <si>
    <t>Stranger Than Fiction</t>
  </si>
  <si>
    <t>The Grudge 2</t>
  </si>
  <si>
    <t>Gridiron Gang</t>
  </si>
  <si>
    <t>Last Holiday</t>
  </si>
  <si>
    <t>The Nativity Story</t>
  </si>
  <si>
    <t>The Wild</t>
  </si>
  <si>
    <t>16 Blocks</t>
  </si>
  <si>
    <t>Accepted</t>
  </si>
  <si>
    <t>The Sentinel</t>
  </si>
  <si>
    <t>Children of Men</t>
  </si>
  <si>
    <t>Take the Lead</t>
  </si>
  <si>
    <t>Babel</t>
  </si>
  <si>
    <t>Snakes on a Plane</t>
  </si>
  <si>
    <t>She's the Man</t>
  </si>
  <si>
    <t>Flags of Our Fathers</t>
  </si>
  <si>
    <t>The Ant Bully</t>
  </si>
  <si>
    <t>Stick It</t>
  </si>
  <si>
    <t>The Wicker Man</t>
  </si>
  <si>
    <t>The Covenant</t>
  </si>
  <si>
    <t>Stay Alive</t>
  </si>
  <si>
    <t>The Black Dahlia</t>
  </si>
  <si>
    <t>Lucky Number Slevin</t>
  </si>
  <si>
    <t>ATL</t>
  </si>
  <si>
    <t>Pulse</t>
  </si>
  <si>
    <t>Ultraviolet</t>
  </si>
  <si>
    <t>School for Scoundrels</t>
  </si>
  <si>
    <t>Just My Luck</t>
  </si>
  <si>
    <t>Unaccompanied Minors</t>
  </si>
  <si>
    <t>Marie Antoinette</t>
  </si>
  <si>
    <t>Arthur and the Invisibles</t>
  </si>
  <si>
    <t>One Night with the King</t>
  </si>
  <si>
    <t>Flyboys</t>
  </si>
  <si>
    <t>PG-13</t>
  </si>
  <si>
    <t>PG</t>
  </si>
  <si>
    <t>G</t>
  </si>
  <si>
    <t>R</t>
  </si>
  <si>
    <t>Genre</t>
  </si>
  <si>
    <t>Sequel</t>
  </si>
  <si>
    <t>Animation</t>
  </si>
  <si>
    <t>Thriller</t>
  </si>
  <si>
    <t>Action</t>
  </si>
  <si>
    <t>Drama</t>
  </si>
  <si>
    <t>Comedy</t>
  </si>
  <si>
    <t>Horror</t>
  </si>
  <si>
    <t xml:space="preserve">Action </t>
  </si>
  <si>
    <t xml:space="preserve">Horror </t>
  </si>
  <si>
    <t>Opening Theatres</t>
  </si>
  <si>
    <t>Critics´ Opinion</t>
  </si>
  <si>
    <t xml:space="preserve">Movie </t>
  </si>
  <si>
    <t>Adventure</t>
  </si>
  <si>
    <t>MPAA</t>
  </si>
  <si>
    <t>Budget</t>
  </si>
  <si>
    <t xml:space="preserve">Opening Gross </t>
  </si>
  <si>
    <t>Charlotte's Web</t>
  </si>
  <si>
    <t>MPAA_D</t>
  </si>
  <si>
    <t>Known Story</t>
  </si>
  <si>
    <t>Summer</t>
  </si>
  <si>
    <t>Holiday</t>
  </si>
  <si>
    <t>Christmas</t>
  </si>
  <si>
    <t>Oscar Nominations</t>
  </si>
  <si>
    <t>Oscars Won</t>
  </si>
  <si>
    <t xml:space="preserve">Total U.S. Gross </t>
  </si>
  <si>
    <t xml:space="preserve">Total Non-U.S. Gross </t>
  </si>
  <si>
    <t xml:space="preserve"> Origin_United States</t>
  </si>
  <si>
    <t>MIN</t>
  </si>
  <si>
    <t>AVERAGE</t>
  </si>
  <si>
    <t>MAX</t>
  </si>
  <si>
    <t>TOTAL US GROSS</t>
  </si>
  <si>
    <t>TOTAL NON US GROSS</t>
  </si>
  <si>
    <t>OPENING THEATRES</t>
  </si>
  <si>
    <t>NUMBER OF COMEDIES</t>
  </si>
  <si>
    <t>NUMBER OF R RATED MOVIES</t>
  </si>
  <si>
    <t>OPENING GROSS</t>
  </si>
  <si>
    <t>QUESTION 2 A</t>
  </si>
  <si>
    <t>ROI</t>
  </si>
  <si>
    <t xml:space="preserve">TOTAL US GROSS </t>
  </si>
  <si>
    <t>BUDGET</t>
  </si>
  <si>
    <t>MEAN ROI</t>
  </si>
  <si>
    <t>SAMPLE STANDARD DEVIATION</t>
  </si>
  <si>
    <t>SAMPLE SIZE</t>
  </si>
  <si>
    <t>STANDARD ERROR</t>
  </si>
  <si>
    <t>CONFIDENCE LEVEL</t>
  </si>
  <si>
    <t>SIGNIFICANCE LEVEL</t>
  </si>
  <si>
    <t>T CRITICAL</t>
  </si>
  <si>
    <t>CI UPPER</t>
  </si>
  <si>
    <t>CI LOWER</t>
  </si>
  <si>
    <t>QUESTION 2 B</t>
  </si>
  <si>
    <t>QUESTION 2 C</t>
  </si>
  <si>
    <t>NULL HYPOTHESIS</t>
  </si>
  <si>
    <t>ALTERNATE HYPOTHESIS</t>
  </si>
  <si>
    <t>MEAN ROI &lt;.12</t>
  </si>
  <si>
    <t>MEAN ROI &gt;.12</t>
  </si>
  <si>
    <t>T-STAT</t>
  </si>
  <si>
    <t>ONE-TAILED P-VALUE</t>
  </si>
  <si>
    <t>P-VALUE &lt; SIGNIFICANCE LEVEL</t>
  </si>
  <si>
    <t>CONCLUSION</t>
  </si>
  <si>
    <t>REJECT NULL HYPOTHESIS, MEAN ROI SIGNIFICANTLY GREATER THAN 12%</t>
  </si>
  <si>
    <t>QUESTION 3 A</t>
  </si>
  <si>
    <t>Observations</t>
  </si>
  <si>
    <t>df</t>
  </si>
  <si>
    <t>t Stat</t>
  </si>
  <si>
    <t>MEAN TOTAL US GROSS - COMEDY MOVIES</t>
  </si>
  <si>
    <t>MEAN TOTAL US GROSS - NON COMEDY MOVIES</t>
  </si>
  <si>
    <t>NO SIGNIFICANT STATISTICAL DIFFERENCE BETWEEN US GROSS OF COMEDY AND NON COMEDY MOVIES</t>
  </si>
  <si>
    <t>SIGNIFICANT STATISTICAL DIFFERENCE BETWEEN US GROSS OF COMEDY AND NON COMEDY MOVIES</t>
  </si>
  <si>
    <t>T- TEST P-VALUE</t>
  </si>
  <si>
    <t>QUESTION 3B</t>
  </si>
  <si>
    <t>MEAN ROI - COMEDY MOVIES</t>
  </si>
  <si>
    <t>MEAN ROI - NON COMEDY MOVIES</t>
  </si>
  <si>
    <t>T - TEST P - VALUE</t>
  </si>
  <si>
    <t>COMEDY MEAN ROI &gt; NON COMEDY MEAN ROI</t>
  </si>
  <si>
    <t>COMEDY MEAN ROI &lt; NON COMEDY MEAN ROI</t>
  </si>
  <si>
    <t>QUESTION 4A</t>
  </si>
  <si>
    <t>MEAN TOTAL US GROSS - R RATED MOVIES</t>
  </si>
  <si>
    <t>MEAN TOTAL US GROSS - NON R RATED MOVIES</t>
  </si>
  <si>
    <t>NO SIGNIFICANT STATISTICAL DIFFERENCE BETWEEN US GROSS OF R AND NON R RATED MOVIES</t>
  </si>
  <si>
    <t>SIGNIFICANT STATISTICAL DIFFERENCE BETWEEN US GROSS OF R AND NON R RATED MOVIES</t>
  </si>
  <si>
    <t>COMEDY DUMMY</t>
  </si>
  <si>
    <t>QUESTION 5A</t>
  </si>
  <si>
    <t>QUESTION 5B</t>
  </si>
  <si>
    <t>QUESTION 5C</t>
  </si>
  <si>
    <t>QUESTION 6A</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</si>
  <si>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</si>
  <si>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</si>
  <si>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</si>
  <si>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</si>
  <si>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</si>
  <si>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</si>
  <si>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</si>
  <si>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</si>
  <si>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</si>
  <si>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</si>
  <si>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</si>
  <si>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</si>
  <si>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</si>
  <si>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</si>
  <si>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</si>
  <si>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</si>
  <si>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</si>
  <si>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</si>
  <si>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</si>
  <si>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90.0%</t>
  </si>
  <si>
    <t>Upper 90.0%</t>
  </si>
  <si>
    <t>SIGNIFICANT LEVEL</t>
  </si>
  <si>
    <t>P-VALUE &lt; SIGNIFICANT LEVEL</t>
  </si>
  <si>
    <t>Conclusion for model simplification</t>
  </si>
  <si>
    <t>If p-value &lt; 0.10 → variable is statistically significant at 10% level.
If p-value &gt; 0.10 → remove from regression.</t>
  </si>
  <si>
    <t>KEEP</t>
  </si>
  <si>
    <t>REMOVE</t>
  </si>
  <si>
    <t>Holding all other explanatory variables constant, sequel movies have higher</t>
  </si>
  <si>
    <t>total U.S. box-office gross than non-sequels, because the coefficient for</t>
  </si>
  <si>
    <t>Sequel in the regression is positive and statistically significant.</t>
  </si>
  <si>
    <t xml:space="preserve">At the 10% significance level, only Budget and Sequel have statistically </t>
  </si>
  <si>
    <t xml:space="preserve">significant p-values. Therefore, the reduced regression model retains </t>
  </si>
  <si>
    <t>Budget and Sequel and removes Known Story, Comedy Dummy, and MPAA_D.</t>
  </si>
  <si>
    <t>QUESTION 6B</t>
  </si>
  <si>
    <t>QUESTION 7A</t>
  </si>
  <si>
    <t>Lower 95.0%</t>
  </si>
  <si>
    <t>Upper 95.0%</t>
  </si>
  <si>
    <t>QUESTION 7B</t>
  </si>
  <si>
    <t>SLOPE IF 25% RULE WERE TRUE:</t>
  </si>
  <si>
    <t>AS TOTAL = 1/0.25 x OPENING</t>
  </si>
  <si>
    <t>QUESTION 7C</t>
  </si>
  <si>
    <t>QUESTION 7D</t>
  </si>
  <si>
    <t>QUESTION 7E</t>
  </si>
  <si>
    <t>ACTUAL MULTIPLIER</t>
  </si>
  <si>
    <t>CONCLUSION:</t>
  </si>
  <si>
    <t>If the age-old wisdom were that 25% of the total gross comes from</t>
  </si>
  <si>
    <t>the opening weekend, the relationship would be: Opening=0.25xTotal.</t>
  </si>
  <si>
    <t>So the slope coefficient would have to be 4.</t>
  </si>
  <si>
    <t>HYPOTHESIZED SLOPE</t>
  </si>
  <si>
    <t>T-STATISTICS</t>
  </si>
  <si>
    <t>P-VALUE</t>
  </si>
  <si>
    <t>H0​:β1​=4</t>
  </si>
  <si>
    <t>H1​:β1​≠4</t>
  </si>
  <si>
    <t>We reject the null hypothesis</t>
  </si>
  <si>
    <t>INTERCEPT COEFFICIENT</t>
  </si>
  <si>
    <t>INTERCEPT P-VALUE</t>
  </si>
  <si>
    <t xml:space="preserve">The regression shows a statistically significant intercept. This is logically flawed </t>
  </si>
  <si>
    <t xml:space="preserve">because it implies that a movie with an Opening Gross of $0 would still earn some </t>
  </si>
  <si>
    <t>ammount. While the model fits the data well, the intercept is not logically possible.</t>
  </si>
  <si>
    <t>SLOPE P-VALUE</t>
  </si>
  <si>
    <t>MODEL EQUATION</t>
  </si>
  <si>
    <t>Opening</t>
  </si>
  <si>
    <t>QUESTION 7F</t>
  </si>
  <si>
    <t>REGRESSION SLOPE</t>
  </si>
  <si>
    <t>IMPLIED SLOPE</t>
  </si>
  <si>
    <t>DIFFERENCE</t>
  </si>
  <si>
    <t>VALIDITY</t>
  </si>
  <si>
    <t>ACTUAL SHARE %</t>
  </si>
  <si>
    <t>IMPLIED SHARE %</t>
  </si>
  <si>
    <t>The age-old wisdom is invalid for this dataset. The actual multiplier is ~3.12,</t>
  </si>
  <si>
    <t>meaning Opening Weekend accounts for ~32% of toal gross, not 25%</t>
  </si>
  <si>
    <t>QUESTION 7G</t>
  </si>
  <si>
    <t>R SQUARE</t>
  </si>
  <si>
    <t>EXPLAINED VARIATION %</t>
  </si>
  <si>
    <t>Approximately 73% of the variation in the Total U.S. Box Office Gross is explained</t>
  </si>
  <si>
    <t>by the variation in the Opening Weekend Gross.</t>
  </si>
  <si>
    <t xml:space="preserve">Opening  Gross </t>
  </si>
  <si>
    <t>QUESTION 8A</t>
  </si>
  <si>
    <t>QUESTION 8B</t>
  </si>
  <si>
    <t>Opening Gross</t>
  </si>
  <si>
    <t>Opening Theaters</t>
  </si>
  <si>
    <t>Critics Opinion</t>
  </si>
  <si>
    <t>COMMEDY DUMMY</t>
  </si>
  <si>
    <t>If p-value &lt; 0.10 → variable is statistically significant at 10% level.</t>
  </si>
  <si>
    <t>If p-value &gt; 0.10 → remove from regression.</t>
  </si>
  <si>
    <t>Opening Theater</t>
  </si>
  <si>
    <t>QUESTION 8C</t>
  </si>
  <si>
    <t>MOVIE TITLE</t>
  </si>
  <si>
    <t>CRITICS SCORE</t>
  </si>
  <si>
    <t>FLAG OF OUR FATHERS</t>
  </si>
  <si>
    <t>POINT ESTIMATE:</t>
  </si>
  <si>
    <t>FOR 95% PREDICTION INTERVAL</t>
  </si>
  <si>
    <t>T-VALUE</t>
  </si>
  <si>
    <t>MARGIN OF ERROR</t>
  </si>
  <si>
    <t>LOWER BOUND</t>
  </si>
  <si>
    <t>UPPER BOUND</t>
  </si>
  <si>
    <t>QUESTION 8D</t>
  </si>
  <si>
    <t>CRITICS COEFFICIENT</t>
  </si>
  <si>
    <t>COMMEDY x CRITICS</t>
  </si>
  <si>
    <t>QUESTION 9</t>
  </si>
  <si>
    <t>QUESTION 10</t>
  </si>
  <si>
    <r>
      <t xml:space="preserve">The regression above shows </t>
    </r>
    <r>
      <rPr>
        <sz val="10"/>
        <rFont val="Arial Unicode MS"/>
      </rPr>
      <t>Budget</t>
    </r>
    <r>
      <rPr>
        <sz val="10"/>
        <rFont val="Arial"/>
        <family val="2"/>
      </rPr>
      <t xml:space="preserve"> has a coefficient of </t>
    </r>
    <r>
      <rPr>
        <b/>
        <sz val="10"/>
        <rFont val="Arial"/>
        <family val="2"/>
      </rPr>
      <t>0.27</t>
    </r>
    <r>
      <rPr>
        <sz val="10"/>
        <rFont val="Arial"/>
        <family val="2"/>
      </rPr>
      <t xml:space="preserve"> and is statistically significant (</t>
    </r>
    <r>
      <rPr>
        <b/>
        <sz val="10"/>
        <rFont val="Arial"/>
        <family val="2"/>
      </rPr>
      <t>p=0.007</t>
    </r>
    <r>
      <rPr>
        <sz val="10"/>
        <rFont val="Arial"/>
        <family val="2"/>
      </rPr>
      <t>). This suggests every $1 of budget adds $0.27 to the gross.</t>
    </r>
  </si>
  <si>
    <r>
      <t xml:space="preserve">He claims </t>
    </r>
    <r>
      <rPr>
        <sz val="10"/>
        <rFont val="Arial Unicode MS"/>
      </rPr>
      <t>Star Power</t>
    </r>
    <r>
      <rPr>
        <sz val="10"/>
        <rFont val="Arial"/>
        <family val="2"/>
      </rPr>
      <t xml:space="preserve"> (missing from data) is the real driver. </t>
    </r>
    <r>
      <rPr>
        <sz val="10"/>
        <rFont val="Arial Unicode MS"/>
      </rPr>
      <t>Star Power</t>
    </r>
    <r>
      <rPr>
        <sz val="10"/>
        <rFont val="Arial"/>
        <family val="2"/>
      </rPr>
      <t xml:space="preserve"> is positively correlated with </t>
    </r>
    <r>
      <rPr>
        <sz val="10"/>
        <rFont val="Arial Unicode MS"/>
      </rPr>
      <t>Budget</t>
    </r>
    <r>
      <rPr>
        <sz val="10"/>
        <rFont val="Arial"/>
        <family val="2"/>
      </rPr>
      <t xml:space="preserve"> (stars cost money) and positively correlated with </t>
    </r>
    <r>
      <rPr>
        <sz val="10"/>
        <rFont val="Arial Unicode MS"/>
      </rPr>
      <t>Gross</t>
    </r>
    <r>
      <rPr>
        <sz val="10"/>
        <rFont val="Arial"/>
        <family val="2"/>
      </rPr>
      <t xml:space="preserve"> (stars attract viewers).</t>
    </r>
  </si>
  <si>
    <r>
      <t xml:space="preserve">If we </t>
    </r>
    <r>
      <rPr>
        <i/>
        <sz val="10"/>
        <rFont val="Arial"/>
        <family val="2"/>
      </rPr>
      <t>could</t>
    </r>
    <r>
      <rPr>
        <sz val="10"/>
        <rFont val="Arial"/>
        <family val="2"/>
      </rPr>
      <t xml:space="preserve"> add </t>
    </r>
    <r>
      <rPr>
        <sz val="10"/>
        <rFont val="Arial Unicode MS"/>
      </rPr>
      <t>Star Power</t>
    </r>
    <r>
      <rPr>
        <sz val="10"/>
        <rFont val="Arial"/>
        <family val="2"/>
      </rPr>
      <t xml:space="preserve"> to this calculation, the </t>
    </r>
    <r>
      <rPr>
        <b/>
        <sz val="10"/>
        <rFont val="Arial"/>
        <family val="2"/>
      </rPr>
      <t>Budget coefficient</t>
    </r>
    <r>
      <rPr>
        <sz val="10"/>
        <rFont val="Arial"/>
        <family val="2"/>
      </rPr>
      <t xml:space="preserve"> (currently 0.27) would </t>
    </r>
    <r>
      <rPr>
        <b/>
        <sz val="10"/>
        <rFont val="Arial"/>
        <family val="2"/>
      </rPr>
      <t>decrease</t>
    </r>
    <r>
      <rPr>
        <sz val="10"/>
        <rFont val="Arial"/>
        <family val="2"/>
      </rPr>
      <t xml:space="preserve"> (likely becoming insignificant). The current 0.27 value is "biased upwards" because it is stealing credit from the missing Star Power variable.</t>
    </r>
  </si>
  <si>
    <t>CURRENT STATE:</t>
  </si>
  <si>
    <t>GRIFITH THEORY:</t>
  </si>
  <si>
    <t>VARIABLES</t>
  </si>
  <si>
    <t>VARIABLES TO BE DROPPED</t>
  </si>
  <si>
    <t>FINAL REGRESSION</t>
  </si>
  <si>
    <t>QUESTION 6C</t>
  </si>
  <si>
    <t>Variable</t>
  </si>
  <si>
    <t>Coefficient</t>
  </si>
  <si>
    <t>Interpretation</t>
  </si>
  <si>
    <t>Predicted revenue when all predictors = 0 (not practically meaningful)</t>
  </si>
  <si>
    <t>Sequel (1=yes)</t>
  </si>
  <si>
    <t>Comedy (1=yes)</t>
  </si>
  <si>
    <t>For every $1 million increase in Budget, revenue increases by approximately $118,617</t>
  </si>
  <si>
    <t>Each additional Opening Theatre increases revenue by about $7,325</t>
  </si>
  <si>
    <t>Sequels earn about $9.45 million more than non-sequels</t>
  </si>
  <si>
    <t>Comedies earn about $1.67 million more than non-comedies</t>
  </si>
  <si>
    <t>QUESTION 6D</t>
  </si>
  <si>
    <t>OPENING THEATRE</t>
  </si>
  <si>
    <t>Statistic</t>
  </si>
  <si>
    <t>Value</t>
  </si>
  <si>
    <t>95% CI Lower bound (per theatre)</t>
  </si>
  <si>
    <t>95% CI Upper bound (per theatre)</t>
  </si>
  <si>
    <t>POINT ESTIMATE</t>
  </si>
  <si>
    <t>95 % CONFIDENCE INTERVAL</t>
  </si>
  <si>
    <t xml:space="preserve">SIGNIFICANCE INTERVAL </t>
  </si>
  <si>
    <t>DESCRIPTION</t>
  </si>
  <si>
    <t>VALUE</t>
  </si>
  <si>
    <t>INCREASE IN SCORE</t>
  </si>
  <si>
    <t>INCREASE IN US GROSS</t>
  </si>
  <si>
    <t>MAX INVESTMENT</t>
  </si>
  <si>
    <t>DO NOT SPEND MORE THAN 5.04 MILLION DOLLARS TO INFLUENCE CRITICS SCORE BY 10</t>
  </si>
  <si>
    <t>SIGNIFICANT VALUE</t>
  </si>
  <si>
    <t>CRITICS SCORE AFFECT COMEDY AND NON COMEDY MOVIES EQUALLY</t>
  </si>
  <si>
    <t>CRITICS SCORE MATTER LESS FOR COMEDIES</t>
  </si>
  <si>
    <t>P-VALUE OF COMEDY X CRITICS &lt; SIGNIFICANT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</si>
</sst>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 _€"/>
    <numFmt numFmtId="165" formatCode="0.0000"/>
    <numFmt numFmtId="166" formatCode="#,##0.0000"/>
    <numFmt numFmtId="167" formatCode="#,##0.00_ ;\-#,##0.00\ "/>
    <numFmt numFmtId="168" formatCode="#,##0.0000_ ;\-#,##0.0000\ "/>
  </numFmts>
  <fonts count="21">
    <font>
      <sz val="10"/>
      <name val="Arial"/>
    </font>
    <font>
      <u/>
      <sz val="10"/>
      <color indexed="12"/>
      <name val="Arial"/>
      <family val="2"/>
    </font>
    <font>
      <sz val="10"/>
      <name val="Arial"/>
      <family val="2"/>
    </font>
    <font>
      <b/>
      <sz val="10"/>
      <name val="Arial"/>
      <family val="2"/>
    </font>
    <font>
      <sz val="8"/>
      <name val="Arial"/>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i/>
      <sz val="10"/>
      <name val="Arial"/>
      <family val="2"/>
    </font>
    <font>
      <b/>
      <sz val="13.5"/>
      <name val="Arial"/>
      <family val="2"/>
    </font>
    <font>
      <b/>
      <sz val="14"/>
      <color theme="3"/>
      <name val="Calibri"/>
      <family val="2"/>
      <scheme val="minor"/>
    </font>
    <font>
      <b/>
      <sz val="10"/>
      <color theme="3"/>
      <name val="Calibri"/>
      <family val="2"/>
      <scheme val="minor"/>
    </font>
    <font>
      <b/>
      <sz val="11"/>
      <name val="Calibri"/>
      <family val="2"/>
      <scheme val="minor"/>
    </font>
    <font>
      <sz val="10"/>
      <name val="Arial Unicode MS"/>
    </font>
    <font>
      <b/>
      <sz val="11"/>
      <name val="Arial"/>
      <family val="2"/>
    </font>
    <font>
      <sz val="11"/>
      <color theme="0"/>
      <name val="Calibri"/>
      <family val="2"/>
      <scheme val="minor"/>
    </font>
  </fonts>
  <fills count="7">
    <fill>
      <patternFill patternType="none"/>
    </fill>
    <fill>
      <patternFill patternType="gray125"/>
    </fill>
    <fill>
      <patternFill patternType="solid">
        <fgColor rgb="FFF2F2F2"/>
      </patternFill>
    </fill>
    <fill>
      <patternFill patternType="solid">
        <fgColor rgb="FFA5A5A5"/>
      </patternFill>
    </fill>
    <fill>
      <patternFill patternType="solid">
        <fgColor rgb="FFFFFFCC"/>
      </patternFill>
    </fill>
    <fill>
      <patternFill patternType="solid">
        <fgColor rgb="FFFFFFCC"/>
        <bgColor indexed="64"/>
      </patternFill>
    </fill>
    <fill>
      <patternFill patternType="solid">
        <fgColor theme="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3F3F3F"/>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2">
    <xf numFmtId="0" fontId="0" fillId="0" borderId="0"/>
    <xf numFmtId="0" fontId="1" fillId="0" borderId="0" applyNumberFormat="0" applyFill="0" applyBorder="0" applyAlignment="0" applyProtection="0">
      <alignment vertical="top"/>
      <protection locked="0"/>
    </xf>
    <xf numFmtId="43" fontId="5" fillId="0" borderId="0" applyFont="0" applyFill="0" applyBorder="0" applyAlignment="0" applyProtection="0"/>
    <xf numFmtId="9" fontId="5" fillId="0" borderId="0" applyFon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9" fillId="2" borderId="5" applyNumberFormat="0" applyAlignment="0" applyProtection="0"/>
    <xf numFmtId="0" fontId="10" fillId="2" borderId="4" applyNumberFormat="0" applyAlignment="0" applyProtection="0"/>
    <xf numFmtId="0" fontId="11" fillId="3" borderId="6" applyNumberFormat="0" applyAlignment="0" applyProtection="0"/>
    <xf numFmtId="0" fontId="5" fillId="4" borderId="7" applyNumberFormat="0" applyFont="0" applyAlignment="0" applyProtection="0"/>
    <xf numFmtId="0" fontId="20" fillId="6" borderId="0" applyNumberFormat="0" applyBorder="0" applyAlignment="0" applyProtection="0"/>
  </cellStyleXfs>
  <cellXfs count="153">
    <xf numFmtId="0" fontId="0" fillId="0" borderId="0" xfId="0"/>
    <xf numFmtId="0" fontId="3" fillId="0" borderId="0" xfId="0" applyFont="1" applyAlignment="1">
      <alignment horizontal="center" wrapText="1"/>
    </xf>
    <xf numFmtId="0" fontId="2" fillId="0" borderId="0" xfId="0" applyFont="1" applyAlignment="1">
      <alignment horizontal="left"/>
    </xf>
    <xf numFmtId="0" fontId="2" fillId="0" borderId="0" xfId="0" applyFont="1"/>
    <xf numFmtId="0" fontId="2" fillId="0" borderId="0" xfId="0" applyFont="1" applyAlignment="1">
      <alignment horizontal="right"/>
    </xf>
    <xf numFmtId="164" fontId="2" fillId="0" borderId="0" xfId="0" applyNumberFormat="1" applyFont="1"/>
    <xf numFmtId="2" fontId="2" fillId="0" borderId="0" xfId="0" applyNumberFormat="1" applyFont="1"/>
    <xf numFmtId="3" fontId="2" fillId="0" borderId="0" xfId="0" applyNumberFormat="1" applyFont="1" applyAlignment="1">
      <alignment horizontal="right"/>
    </xf>
    <xf numFmtId="0" fontId="7" fillId="0" borderId="2" xfId="5"/>
    <xf numFmtId="0" fontId="9" fillId="2" borderId="5" xfId="7"/>
    <xf numFmtId="3" fontId="10" fillId="2" borderId="4" xfId="8" applyNumberFormat="1"/>
    <xf numFmtId="0" fontId="11" fillId="3" borderId="6" xfId="9"/>
    <xf numFmtId="0" fontId="10" fillId="2" borderId="4" xfId="8"/>
    <xf numFmtId="164" fontId="6" fillId="0" borderId="1" xfId="4" applyNumberFormat="1" applyAlignment="1">
      <alignment horizontal="center" vertical="center" wrapText="1"/>
    </xf>
    <xf numFmtId="3" fontId="6" fillId="0" borderId="1" xfId="4" applyNumberFormat="1" applyAlignment="1">
      <alignment horizontal="center" vertical="center" wrapText="1"/>
    </xf>
    <xf numFmtId="0" fontId="6" fillId="0" borderId="1" xfId="4" applyAlignment="1">
      <alignment horizontal="center" vertical="center"/>
    </xf>
    <xf numFmtId="164" fontId="2" fillId="0" borderId="0" xfId="0" applyNumberFormat="1" applyFont="1" applyAlignment="1">
      <alignment horizontal="center" vertical="center" wrapText="1"/>
    </xf>
    <xf numFmtId="3" fontId="2" fillId="0" borderId="0" xfId="0" applyNumberFormat="1" applyFont="1" applyAlignment="1">
      <alignment horizontal="center" vertical="center"/>
    </xf>
    <xf numFmtId="0" fontId="0" fillId="0" borderId="0" xfId="0" applyAlignment="1">
      <alignment horizontal="center" vertical="center"/>
    </xf>
    <xf numFmtId="10" fontId="10" fillId="2" borderId="4" xfId="8" applyNumberFormat="1" applyAlignment="1">
      <alignment horizontal="center" vertical="center"/>
    </xf>
    <xf numFmtId="164" fontId="9" fillId="4" borderId="7" xfId="10" applyNumberFormat="1" applyFont="1" applyAlignment="1">
      <alignment horizontal="center" vertical="center"/>
    </xf>
    <xf numFmtId="9" fontId="2" fillId="4" borderId="7" xfId="10" applyNumberFormat="1" applyFont="1" applyAlignment="1">
      <alignment horizontal="center" vertical="center"/>
    </xf>
    <xf numFmtId="2" fontId="2" fillId="4" borderId="7" xfId="10" applyNumberFormat="1" applyFont="1" applyAlignment="1">
      <alignment horizontal="center" vertical="center"/>
    </xf>
    <xf numFmtId="164" fontId="9" fillId="2" borderId="5" xfId="7" applyNumberFormat="1" applyAlignment="1">
      <alignment horizontal="center" vertical="center"/>
    </xf>
    <xf numFmtId="165" fontId="10" fillId="2" borderId="4" xfId="8" applyNumberFormat="1" applyAlignment="1">
      <alignment horizontal="center" vertical="center"/>
    </xf>
    <xf numFmtId="3" fontId="10" fillId="2" borderId="4" xfId="8" applyNumberFormat="1" applyAlignment="1">
      <alignment horizontal="center" vertical="center"/>
    </xf>
    <xf numFmtId="164" fontId="2" fillId="0" borderId="0" xfId="0" applyNumberFormat="1" applyFont="1" applyAlignment="1">
      <alignment horizontal="center" vertical="center"/>
    </xf>
    <xf numFmtId="164" fontId="2" fillId="4" borderId="7" xfId="10" applyNumberFormat="1" applyFont="1" applyAlignment="1">
      <alignment horizontal="center" vertical="center"/>
    </xf>
    <xf numFmtId="3" fontId="2" fillId="4" borderId="7" xfId="10" applyNumberFormat="1" applyFont="1" applyAlignment="1">
      <alignment horizontal="center" vertical="center"/>
    </xf>
    <xf numFmtId="166" fontId="2" fillId="0" borderId="0" xfId="0" applyNumberFormat="1" applyFont="1" applyAlignment="1">
      <alignment horizontal="center" vertical="center"/>
    </xf>
    <xf numFmtId="9" fontId="10" fillId="2" borderId="4" xfId="3" applyFont="1" applyFill="1" applyBorder="1" applyAlignment="1">
      <alignment horizontal="center" vertical="center"/>
    </xf>
    <xf numFmtId="0" fontId="2" fillId="0" borderId="0" xfId="0" applyFont="1" applyAlignment="1">
      <alignment horizontal="center" vertical="center"/>
    </xf>
    <xf numFmtId="0" fontId="9" fillId="2" borderId="5" xfId="7" applyAlignment="1"/>
    <xf numFmtId="0" fontId="9" fillId="2" borderId="5" xfId="7" applyAlignment="1">
      <alignment horizontal="center"/>
    </xf>
    <xf numFmtId="2" fontId="2" fillId="0" borderId="0" xfId="0" applyNumberFormat="1" applyFont="1" applyAlignment="1">
      <alignment horizontal="center" vertical="center"/>
    </xf>
    <xf numFmtId="2" fontId="7" fillId="0" borderId="2" xfId="5" applyNumberFormat="1" applyAlignment="1">
      <alignment horizontal="center" vertical="center"/>
    </xf>
    <xf numFmtId="43" fontId="0" fillId="0" borderId="0" xfId="2" applyFont="1" applyAlignment="1">
      <alignment horizontal="center" vertical="center"/>
    </xf>
    <xf numFmtId="4" fontId="0" fillId="0" borderId="0" xfId="2" applyNumberFormat="1" applyFont="1" applyAlignment="1">
      <alignment horizontal="center"/>
    </xf>
    <xf numFmtId="43" fontId="2" fillId="0" borderId="0" xfId="2" applyFont="1" applyAlignment="1">
      <alignment horizontal="center" vertical="center"/>
    </xf>
    <xf numFmtId="167" fontId="0" fillId="0" borderId="0" xfId="2" applyNumberFormat="1" applyFont="1" applyAlignment="1">
      <alignment horizontal="center" vertical="center"/>
    </xf>
    <xf numFmtId="43" fontId="7" fillId="0" borderId="2" xfId="5" applyNumberFormat="1" applyAlignment="1">
      <alignment horizontal="center" vertical="center"/>
    </xf>
    <xf numFmtId="0" fontId="0" fillId="0" borderId="8" xfId="0" applyBorder="1"/>
    <xf numFmtId="0" fontId="13" fillId="0" borderId="9" xfId="0" applyFont="1" applyBorder="1" applyAlignment="1">
      <alignment horizontal="center"/>
    </xf>
    <xf numFmtId="4" fontId="2" fillId="0" borderId="0" xfId="2" applyNumberFormat="1" applyFont="1" applyAlignment="1">
      <alignment horizontal="center"/>
    </xf>
    <xf numFmtId="4" fontId="9" fillId="2" borderId="5" xfId="7" applyNumberFormat="1" applyAlignment="1">
      <alignment horizontal="center"/>
    </xf>
    <xf numFmtId="167" fontId="10" fillId="2" borderId="4" xfId="8" applyNumberFormat="1" applyAlignment="1">
      <alignment horizontal="center" vertical="center"/>
    </xf>
    <xf numFmtId="4" fontId="2" fillId="4" borderId="7" xfId="10" applyNumberFormat="1" applyFont="1" applyAlignment="1">
      <alignment horizontal="center"/>
    </xf>
    <xf numFmtId="167" fontId="2" fillId="4" borderId="7" xfId="10" applyNumberFormat="1" applyFont="1" applyAlignment="1">
      <alignment horizontal="center" vertical="center"/>
    </xf>
    <xf numFmtId="4" fontId="7" fillId="0" borderId="2" xfId="5" applyNumberFormat="1" applyAlignment="1">
      <alignment horizontal="center"/>
    </xf>
    <xf numFmtId="167" fontId="7" fillId="4" borderId="2" xfId="5" applyNumberFormat="1" applyFill="1" applyAlignment="1">
      <alignment horizontal="center" vertical="center"/>
    </xf>
    <xf numFmtId="168" fontId="10" fillId="2" borderId="4" xfId="8" applyNumberFormat="1" applyAlignment="1">
      <alignment horizontal="center" vertical="center"/>
    </xf>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0" fontId="2" fillId="0" borderId="0" xfId="1" applyFont="1" applyFill="1" applyAlignment="1" applyProtection="1">
      <alignment horizontal="center" vertical="center" wrapText="1"/>
    </xf>
    <xf numFmtId="3" fontId="2" fillId="0" borderId="0" xfId="0" applyNumberFormat="1" applyFont="1" applyAlignment="1">
      <alignment horizontal="center" vertical="center" wrapText="1"/>
    </xf>
    <xf numFmtId="0" fontId="2" fillId="0" borderId="0" xfId="1" applyFont="1" applyFill="1" applyBorder="1" applyAlignment="1" applyProtection="1">
      <alignment horizontal="center" vertical="center" wrapText="1"/>
    </xf>
    <xf numFmtId="0" fontId="2" fillId="0" borderId="0" xfId="0" applyFont="1" applyAlignment="1">
      <alignment horizontal="center" vertical="center" wrapText="1"/>
    </xf>
    <xf numFmtId="0" fontId="11" fillId="3" borderId="6" xfId="9" applyAlignment="1"/>
    <xf numFmtId="0" fontId="7" fillId="0" borderId="2" xfId="5" applyFill="1" applyAlignment="1">
      <alignment horizontal="centerContinuous"/>
    </xf>
    <xf numFmtId="0" fontId="10" fillId="2" borderId="4" xfId="8" applyAlignment="1"/>
    <xf numFmtId="0" fontId="2" fillId="4" borderId="7" xfId="10" applyFont="1" applyAlignment="1">
      <alignment wrapText="1"/>
    </xf>
    <xf numFmtId="0" fontId="14" fillId="4" borderId="7" xfId="10" applyFont="1" applyAlignment="1">
      <alignment vertical="center"/>
    </xf>
    <xf numFmtId="0" fontId="0" fillId="4" borderId="7" xfId="10" applyFont="1"/>
    <xf numFmtId="0" fontId="2" fillId="4" borderId="7" xfId="10" applyFont="1"/>
    <xf numFmtId="0" fontId="12" fillId="4" borderId="7" xfId="10" applyFont="1" applyAlignment="1"/>
    <xf numFmtId="0" fontId="12" fillId="4" borderId="7" xfId="10" applyFont="1"/>
    <xf numFmtId="0" fontId="9" fillId="2" borderId="5" xfId="7" applyAlignment="1">
      <alignment horizontal="centerContinuous"/>
    </xf>
    <xf numFmtId="0" fontId="9" fillId="2" borderId="0" xfId="7" applyBorder="1" applyAlignment="1"/>
    <xf numFmtId="0" fontId="3" fillId="4" borderId="7" xfId="10" applyFont="1"/>
    <xf numFmtId="3" fontId="6" fillId="0" borderId="1" xfId="4" applyNumberFormat="1" applyAlignment="1">
      <alignment horizontal="center" vertical="center"/>
    </xf>
    <xf numFmtId="164" fontId="6" fillId="0" borderId="1" xfId="4" applyNumberFormat="1" applyAlignment="1">
      <alignment horizontal="center" vertical="center"/>
    </xf>
    <xf numFmtId="0" fontId="0" fillId="0" borderId="0" xfId="0" applyAlignment="1">
      <alignment wrapText="1"/>
    </xf>
    <xf numFmtId="0" fontId="2" fillId="5" borderId="10" xfId="0" applyFont="1" applyFill="1" applyBorder="1" applyAlignment="1">
      <alignment horizontal="center" vertical="center"/>
    </xf>
    <xf numFmtId="0" fontId="2" fillId="0" borderId="0" xfId="0" applyFont="1" applyAlignment="1">
      <alignment vertical="center"/>
    </xf>
    <xf numFmtId="0" fontId="0" fillId="5" borderId="10" xfId="0" applyFill="1" applyBorder="1" applyAlignment="1">
      <alignment horizontal="center" vertical="center"/>
    </xf>
    <xf numFmtId="0" fontId="7" fillId="0" borderId="2" xfId="5" applyAlignment="1">
      <alignment horizontal="center"/>
    </xf>
    <xf numFmtId="0" fontId="13" fillId="0" borderId="9" xfId="0" applyFont="1" applyBorder="1" applyAlignment="1">
      <alignment horizontal="centerContinuous"/>
    </xf>
    <xf numFmtId="0" fontId="2" fillId="0" borderId="8" xfId="0" applyFont="1" applyBorder="1"/>
    <xf numFmtId="164" fontId="15" fillId="0" borderId="1" xfId="4" applyNumberFormat="1" applyFont="1" applyAlignment="1">
      <alignment horizontal="center" vertical="center"/>
    </xf>
    <xf numFmtId="0" fontId="3" fillId="5" borderId="10" xfId="0" applyFont="1" applyFill="1" applyBorder="1" applyAlignment="1">
      <alignment horizontal="center" vertical="center"/>
    </xf>
    <xf numFmtId="3" fontId="3" fillId="5" borderId="10" xfId="0" applyNumberFormat="1" applyFont="1" applyFill="1" applyBorder="1" applyAlignment="1">
      <alignment horizontal="center" vertical="center"/>
    </xf>
    <xf numFmtId="0" fontId="19" fillId="5" borderId="10" xfId="0" applyFont="1" applyFill="1" applyBorder="1" applyAlignment="1">
      <alignment horizontal="center" vertical="center"/>
    </xf>
    <xf numFmtId="0" fontId="8" fillId="0" borderId="0" xfId="6" applyBorder="1" applyAlignment="1">
      <alignment horizontal="center"/>
    </xf>
    <xf numFmtId="0" fontId="2" fillId="5" borderId="10" xfId="0" applyFont="1" applyFill="1" applyBorder="1" applyAlignment="1">
      <alignment horizontal="center" vertical="center"/>
    </xf>
    <xf numFmtId="0" fontId="2" fillId="4" borderId="10" xfId="10" applyFont="1" applyBorder="1" applyAlignment="1">
      <alignment horizontal="center" wrapText="1"/>
    </xf>
    <xf numFmtId="0" fontId="0" fillId="5" borderId="10" xfId="0" applyFill="1" applyBorder="1" applyAlignment="1">
      <alignment horizontal="center"/>
    </xf>
    <xf numFmtId="0" fontId="2" fillId="5" borderId="1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8" xfId="0" applyFill="1" applyBorder="1" applyAlignment="1">
      <alignment horizontal="center" vertical="center"/>
    </xf>
    <xf numFmtId="0" fontId="13" fillId="0" borderId="9" xfId="0" applyFont="1" applyFill="1" applyBorder="1" applyAlignment="1">
      <alignment horizontal="center" vertical="center"/>
    </xf>
    <xf numFmtId="0" fontId="3" fillId="4" borderId="7" xfId="1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4" fontId="2" fillId="0" borderId="0" xfId="0" applyNumberFormat="1" applyFont="1" applyAlignment="1">
      <alignment horizontal="center" vertical="center" wrapText="1"/>
    </xf>
    <xf numFmtId="2" fontId="6" fillId="0" borderId="1" xfId="4" applyNumberFormat="1" applyAlignment="1">
      <alignment horizontal="center" vertical="center" wrapText="1"/>
    </xf>
    <xf numFmtId="2" fontId="0" fillId="0" borderId="0" xfId="0" applyNumberFormat="1" applyAlignment="1">
      <alignment horizontal="center" vertical="center" wrapText="1"/>
    </xf>
    <xf numFmtId="2" fontId="2" fillId="0" borderId="0" xfId="0" applyNumberFormat="1" applyFont="1" applyAlignment="1">
      <alignment horizontal="center" vertical="center" wrapText="1"/>
    </xf>
    <xf numFmtId="2" fontId="2" fillId="0" borderId="0" xfId="1" applyNumberFormat="1" applyFont="1" applyFill="1" applyBorder="1" applyAlignment="1" applyProtection="1">
      <alignment horizontal="center" vertical="center" wrapText="1"/>
    </xf>
    <xf numFmtId="0" fontId="13" fillId="0" borderId="9"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8" xfId="0" applyFill="1" applyBorder="1" applyAlignment="1">
      <alignment horizontal="center" vertical="center" wrapText="1"/>
    </xf>
    <xf numFmtId="0" fontId="3" fillId="4" borderId="7" xfId="10" applyFont="1" applyAlignment="1">
      <alignment horizontal="center" vertical="center" wrapText="1"/>
    </xf>
    <xf numFmtId="0" fontId="3" fillId="4" borderId="7" xfId="10" applyFont="1" applyAlignment="1">
      <alignment horizontal="center" vertical="center" wrapText="1"/>
    </xf>
    <xf numFmtId="0" fontId="13" fillId="0" borderId="9" xfId="0" applyFont="1" applyFill="1" applyBorder="1" applyAlignment="1">
      <alignment horizontal="centerContinuous" wrapText="1"/>
    </xf>
    <xf numFmtId="0" fontId="0" fillId="0" borderId="0" xfId="0" applyFill="1" applyBorder="1" applyAlignment="1">
      <alignment wrapText="1"/>
    </xf>
    <xf numFmtId="0" fontId="0" fillId="0" borderId="8" xfId="0" applyFill="1" applyBorder="1" applyAlignment="1">
      <alignment wrapText="1"/>
    </xf>
    <xf numFmtId="0" fontId="13" fillId="0" borderId="9" xfId="0" applyFont="1" applyFill="1" applyBorder="1" applyAlignment="1">
      <alignment horizontal="center" wrapText="1"/>
    </xf>
    <xf numFmtId="0" fontId="0" fillId="0" borderId="0" xfId="0" applyAlignment="1">
      <alignment horizontal="center" wrapText="1"/>
    </xf>
    <xf numFmtId="4" fontId="3" fillId="0" borderId="0" xfId="0" applyNumberFormat="1" applyFont="1" applyAlignment="1">
      <alignment horizontal="center" vertical="center"/>
    </xf>
    <xf numFmtId="2" fontId="10" fillId="2" borderId="4" xfId="8" applyNumberFormat="1" applyAlignment="1">
      <alignment horizontal="center" vertical="center" wrapText="1"/>
    </xf>
    <xf numFmtId="2" fontId="2" fillId="4" borderId="7" xfId="10" applyNumberFormat="1" applyFont="1" applyAlignment="1">
      <alignment horizontal="center" vertical="center" wrapText="1"/>
    </xf>
    <xf numFmtId="0" fontId="2" fillId="4" borderId="7" xfId="10" applyFont="1" applyAlignment="1">
      <alignment horizontal="center" vertical="center"/>
    </xf>
    <xf numFmtId="166" fontId="3" fillId="4" borderId="7" xfId="10" applyNumberFormat="1" applyFont="1" applyAlignment="1">
      <alignment horizontal="center" vertical="center"/>
    </xf>
    <xf numFmtId="2" fontId="9" fillId="2" borderId="12" xfId="7" applyNumberFormat="1" applyBorder="1" applyAlignment="1">
      <alignment horizontal="center" vertical="center" wrapText="1"/>
    </xf>
    <xf numFmtId="2" fontId="9" fillId="2" borderId="0" xfId="7" applyNumberFormat="1" applyBorder="1" applyAlignment="1">
      <alignment horizontal="center" vertical="center" wrapText="1"/>
    </xf>
    <xf numFmtId="0" fontId="0" fillId="0" borderId="0" xfId="0" applyAlignment="1">
      <alignment vertical="center"/>
    </xf>
    <xf numFmtId="2" fontId="3" fillId="0" borderId="0" xfId="0" applyNumberFormat="1" applyFont="1" applyAlignment="1">
      <alignment horizontal="center" vertical="center" wrapText="1"/>
    </xf>
    <xf numFmtId="0" fontId="20" fillId="6" borderId="0" xfId="11" applyAlignment="1">
      <alignment horizontal="center" vertical="center" wrapText="1"/>
    </xf>
    <xf numFmtId="2" fontId="20" fillId="6" borderId="0" xfId="11" applyNumberFormat="1" applyAlignment="1">
      <alignment horizontal="center" vertical="center" wrapText="1"/>
    </xf>
    <xf numFmtId="0" fontId="13" fillId="0" borderId="9" xfId="0" applyFont="1" applyBorder="1" applyAlignment="1">
      <alignment horizontal="centerContinuous" vertical="center"/>
    </xf>
    <xf numFmtId="0" fontId="0" fillId="0" borderId="8" xfId="0" applyBorder="1" applyAlignment="1">
      <alignment horizontal="center" vertical="center"/>
    </xf>
    <xf numFmtId="0" fontId="13" fillId="0" borderId="9" xfId="0" applyFont="1" applyBorder="1" applyAlignment="1">
      <alignment horizontal="center" vertical="center"/>
    </xf>
    <xf numFmtId="0" fontId="2" fillId="0" borderId="8" xfId="0" applyFont="1" applyBorder="1" applyAlignment="1">
      <alignment horizontal="center" vertical="center"/>
    </xf>
    <xf numFmtId="4" fontId="2" fillId="0" borderId="0" xfId="2" applyNumberFormat="1" applyFont="1" applyAlignment="1">
      <alignment horizontal="center" vertical="center"/>
    </xf>
    <xf numFmtId="0" fontId="8" fillId="0" borderId="0" xfId="6" applyBorder="1" applyAlignment="1">
      <alignment horizontal="center" vertical="center"/>
    </xf>
    <xf numFmtId="0" fontId="11" fillId="3" borderId="6" xfId="9" applyAlignment="1">
      <alignment vertical="center"/>
    </xf>
    <xf numFmtId="0" fontId="2" fillId="5" borderId="13"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3" fillId="4" borderId="10" xfId="10" applyFont="1" applyBorder="1" applyAlignment="1">
      <alignment horizontal="center" vertical="center"/>
    </xf>
    <xf numFmtId="0" fontId="16" fillId="0" borderId="2" xfId="5" applyFont="1" applyAlignment="1">
      <alignment horizontal="center" vertical="center"/>
    </xf>
    <xf numFmtId="0" fontId="11" fillId="3" borderId="6" xfId="9" applyAlignment="1">
      <alignment horizontal="center" vertical="center"/>
    </xf>
    <xf numFmtId="0" fontId="2" fillId="4" borderId="10" xfId="10" applyFont="1" applyBorder="1" applyAlignment="1">
      <alignment horizontal="center" vertical="center" wrapText="1"/>
    </xf>
    <xf numFmtId="0" fontId="0" fillId="5" borderId="10" xfId="0" applyFill="1" applyBorder="1" applyAlignment="1">
      <alignment horizontal="center" vertical="center"/>
    </xf>
    <xf numFmtId="0" fontId="12" fillId="4" borderId="10" xfId="10" applyFont="1" applyBorder="1" applyAlignment="1">
      <alignment horizontal="center" vertical="center"/>
    </xf>
    <xf numFmtId="3" fontId="17" fillId="5" borderId="10" xfId="0" applyNumberFormat="1" applyFont="1" applyFill="1" applyBorder="1" applyAlignment="1">
      <alignment horizontal="center" vertical="center"/>
    </xf>
    <xf numFmtId="3" fontId="2" fillId="0" borderId="10" xfId="0" applyNumberFormat="1" applyFont="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13" fillId="0" borderId="0" xfId="0" applyFont="1" applyAlignment="1">
      <alignment horizontal="center" vertical="center" wrapText="1"/>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0" fontId="9" fillId="2" borderId="5" xfId="7" applyAlignment="1">
      <alignment horizontal="center" vertical="center" wrapText="1"/>
    </xf>
    <xf numFmtId="0" fontId="10" fillId="2" borderId="4" xfId="8" applyAlignment="1">
      <alignment horizontal="center" vertical="center" wrapText="1"/>
    </xf>
    <xf numFmtId="4" fontId="10" fillId="2" borderId="4" xfId="8" applyNumberFormat="1" applyAlignment="1">
      <alignment horizontal="center" vertical="center" wrapText="1"/>
    </xf>
    <xf numFmtId="0" fontId="9" fillId="2" borderId="5" xfId="7" applyAlignment="1">
      <alignment horizontal="center" vertical="center"/>
    </xf>
    <xf numFmtId="166" fontId="10" fillId="2" borderId="4" xfId="8" applyNumberFormat="1" applyAlignment="1">
      <alignment horizontal="center" vertical="center"/>
    </xf>
    <xf numFmtId="0" fontId="9" fillId="4" borderId="7" xfId="10" applyFont="1" applyAlignment="1">
      <alignment horizontal="center" vertical="center" wrapText="1"/>
    </xf>
    <xf numFmtId="0" fontId="7" fillId="0" borderId="2" xfId="5" applyAlignment="1">
      <alignment horizontal="center" vertical="center"/>
    </xf>
  </cellXfs>
  <cellStyles count="12">
    <cellStyle name="Accent1" xfId="11" builtinId="29"/>
    <cellStyle name="Calculation" xfId="8" builtinId="22"/>
    <cellStyle name="Check Cell" xfId="9" builtinId="23"/>
    <cellStyle name="Comma" xfId="2" builtinId="3"/>
    <cellStyle name="Heading 1" xfId="4" builtinId="16"/>
    <cellStyle name="Heading 2" xfId="5" builtinId="17"/>
    <cellStyle name="Heading 3" xfId="6" builtinId="18"/>
    <cellStyle name="Hyperlink" xfId="1" builtinId="8"/>
    <cellStyle name="Normal" xfId="0" builtinId="0"/>
    <cellStyle name="Note" xfId="10" builtinId="10"/>
    <cellStyle name="Output" xfId="7" builtinId="21"/>
    <cellStyle name="Percent" xfId="3" builtinId="5"/>
  </cellStyles>
  <dxfs count="2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trike val="0"/>
        <color theme="1"/>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FFCC"/>
      <color rgb="FFF6E2A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9525</xdr:colOff>
      <xdr:row>2</xdr:row>
      <xdr:rowOff>19050</xdr:rowOff>
    </xdr:from>
    <xdr:to>
      <xdr:col>10</xdr:col>
      <xdr:colOff>133350</xdr:colOff>
      <xdr:row>23</xdr:row>
      <xdr:rowOff>28575</xdr:rowOff>
    </xdr:to>
    <xdr:sp macro="" textlink="">
      <xdr:nvSpPr>
        <xdr:cNvPr id="6" name="Text Box 1">
          <a:extLst>
            <a:ext uri="{FF2B5EF4-FFF2-40B4-BE49-F238E27FC236}">
              <a16:creationId xmlns:a16="http://schemas.microsoft.com/office/drawing/2014/main" id="{CE303071-7066-99C5-9574-FA0F4EE18D1D}"/>
            </a:ext>
          </a:extLst>
        </xdr:cNvPr>
        <xdr:cNvSpPr txBox="1">
          <a:spLocks noChangeArrowheads="1"/>
        </xdr:cNvSpPr>
      </xdr:nvSpPr>
      <xdr:spPr bwMode="auto">
        <a:xfrm>
          <a:off x="619125" y="342900"/>
          <a:ext cx="5610225" cy="3409950"/>
        </a:xfrm>
        <a:prstGeom prst="rect">
          <a:avLst/>
        </a:prstGeom>
        <a:solidFill>
          <a:srgbClr val="FFFFFF"/>
        </a:solidFill>
        <a:ln w="9525">
          <a:solidFill>
            <a:srgbClr val="000000"/>
          </a:solidFill>
          <a:miter lim="800000"/>
          <a:headEnd/>
          <a:tailEnd/>
        </a:ln>
      </xdr:spPr>
      <xdr:txBody>
        <a:bodyPr vertOverflow="clip" wrap="square" lIns="91440" tIns="91440" rIns="91440" bIns="27432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r>
            <a:rPr lang="en-US" sz="1100" b="0" i="0" u="none" strike="noStrike" baseline="0">
              <a:solidFill>
                <a:srgbClr val="000000"/>
              </a:solidFill>
              <a:latin typeface="+mn-lt"/>
              <a:cs typeface="Arial"/>
            </a:rPr>
            <a:t>These spreadsheet exhibit relates to the case </a:t>
          </a:r>
          <a:r>
            <a:rPr lang="en-US" sz="1100" b="0" i="1">
              <a:latin typeface="+mn-lt"/>
              <a:ea typeface="+mn-ea"/>
              <a:cs typeface="+mn-cs"/>
            </a:rPr>
            <a:t>Hollywood Rules</a:t>
          </a:r>
          <a:r>
            <a:rPr lang="en-US" sz="1100" b="0" i="0" u="none" strike="noStrike" baseline="0">
              <a:solidFill>
                <a:srgbClr val="000000"/>
              </a:solidFill>
              <a:latin typeface="+mn-lt"/>
              <a:cs typeface="Arial"/>
            </a:rPr>
            <a:t> Case #</a:t>
          </a:r>
          <a:r>
            <a:rPr lang="en-US" sz="1100">
              <a:latin typeface="+mn-lt"/>
              <a:ea typeface="+mn-ea"/>
              <a:cs typeface="+mn-cs"/>
            </a:rPr>
            <a:t>KEL700</a:t>
          </a:r>
          <a:r>
            <a:rPr lang="en-US" sz="1100" b="0" i="0" u="none" strike="noStrike" baseline="0">
              <a:solidFill>
                <a:srgbClr val="000000"/>
              </a:solidFill>
              <a:latin typeface="+mn-lt"/>
              <a:cs typeface="Arial"/>
            </a:rPr>
            <a:t>.</a:t>
          </a:r>
        </a:p>
        <a:p>
          <a:pPr algn="l" rtl="0">
            <a:defRPr sz="1000"/>
          </a:pPr>
          <a:endParaRPr lang="en-US" sz="1100" b="0" i="0" u="none" strike="noStrike" baseline="0">
            <a:solidFill>
              <a:srgbClr val="000000"/>
            </a:solidFill>
            <a:latin typeface="+mn-lt"/>
            <a:cs typeface="Arial"/>
          </a:endParaRPr>
        </a:p>
        <a:p>
          <a:r>
            <a:rPr lang="en-US" sz="1100">
              <a:latin typeface="+mn-lt"/>
              <a:ea typeface="+mn-ea"/>
              <a:cs typeface="+mn-cs"/>
            </a:rPr>
            <a:t>©2011 by the Kellogg School of Management at Northwestern University. This case was prepared by</a:t>
          </a:r>
          <a:r>
            <a:rPr lang="en-US" sz="1100" baseline="0">
              <a:latin typeface="+mn-lt"/>
              <a:ea typeface="+mn-ea"/>
              <a:cs typeface="+mn-cs"/>
            </a:rPr>
            <a:t> </a:t>
          </a:r>
          <a:r>
            <a:rPr lang="en-US" sz="1100">
              <a:latin typeface="+mn-lt"/>
              <a:ea typeface="+mn-ea"/>
              <a:cs typeface="+mn-cs"/>
            </a:rPr>
            <a:t>Charlotte Snyder and Ute Schaedel under the supervision of Professor Karl Schmedders. Cases are developed solely as the basis for class discussion. Cases are not intended to serve as endorsements, sources of primary data, or illustrations of effective or ineffective management. To order copies or request permission to reproduce materials, call 800-545-7685 (or 617-783-7600 outside the United States or Canada) or e-mail custserv@hbsp.harvard.edu. No part of this publication may be reproduced, stored in a retrieval system, used in a spreadsheet, or transmitted in any form or by any means—electronic, mechanical, photocopying, recording, or otherwise—without the permission of the Kellogg School of Management.</a:t>
          </a:r>
        </a:p>
      </xdr:txBody>
    </xdr:sp>
    <xdr:clientData/>
  </xdr:twoCellAnchor>
  <xdr:twoCellAnchor editAs="oneCell">
    <xdr:from>
      <xdr:col>1</xdr:col>
      <xdr:colOff>190500</xdr:colOff>
      <xdr:row>2</xdr:row>
      <xdr:rowOff>167640</xdr:rowOff>
    </xdr:from>
    <xdr:to>
      <xdr:col>5</xdr:col>
      <xdr:colOff>525780</xdr:colOff>
      <xdr:row>7</xdr:row>
      <xdr:rowOff>129540</xdr:rowOff>
    </xdr:to>
    <xdr:pic>
      <xdr:nvPicPr>
        <xdr:cNvPr id="2058" name="Picture 2" descr="Kellogg_logo_01_300dpi_bw">
          <a:extLst>
            <a:ext uri="{FF2B5EF4-FFF2-40B4-BE49-F238E27FC236}">
              <a16:creationId xmlns:a16="http://schemas.microsoft.com/office/drawing/2014/main" id="{F75F6A8F-2C42-C638-F351-22B2FEF00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502920"/>
          <a:ext cx="277368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BF40-2ABD-4CE2-B20C-9045942BEF26}">
  <dimension ref="A1"/>
  <sheetViews>
    <sheetView workbookViewId="0"/>
  </sheetViews>
  <sheetFormatPr defaultRowHeight="13.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E3B9-5062-441A-A0F9-5BD2FC6CFA68}">
  <dimension ref="A1:T76"/>
  <sheetViews>
    <sheetView zoomScaleNormal="100" workbookViewId="0">
      <selection activeCell="A22" sqref="A1:T76"/>
    </sheetView>
  </sheetViews>
  <sheetFormatPr defaultColWidth="11.44140625" defaultRowHeight="15" customHeight="1"/>
  <cols>
    <col min="1" max="1" width="38.6640625" style="3" customWidth="1"/>
    <col min="2" max="2" width="13.109375" style="3" customWidth="1"/>
    <col min="3" max="3" width="15.21875" style="5" customWidth="1"/>
    <col min="4" max="4" width="19.77734375" style="5" bestFit="1" customWidth="1"/>
    <col min="5" max="5" width="13.109375" style="7" customWidth="1"/>
    <col min="6" max="6" width="13.109375" style="6" customWidth="1"/>
    <col min="7" max="7" width="7.109375" style="3" bestFit="1" customWidth="1"/>
    <col min="8" max="8" width="13.109375" style="3" customWidth="1"/>
    <col min="9" max="9" width="13.6640625" style="3" bestFit="1" customWidth="1"/>
    <col min="10" max="10" width="9.21875" style="3" bestFit="1" customWidth="1"/>
    <col min="11" max="13" width="13.109375" style="2" customWidth="1"/>
    <col min="14" max="14" width="6.21875" style="2" bestFit="1" customWidth="1"/>
    <col min="15" max="15" width="7.109375" style="2" bestFit="1" customWidth="1"/>
    <col min="16" max="16" width="7.77734375" style="4" bestFit="1" customWidth="1"/>
    <col min="17" max="17" width="11.88671875" style="4" bestFit="1" customWidth="1"/>
    <col min="18" max="18" width="6.5546875" style="4" bestFit="1" customWidth="1"/>
    <col min="19" max="19" width="13.109375" style="3" customWidth="1"/>
    <col min="20" max="16384" width="11.44140625" style="3"/>
  </cols>
  <sheetData>
    <row r="1" spans="1:20" s="1" customFormat="1" ht="30" customHeight="1">
      <c r="A1" s="51" t="s">
        <v>90</v>
      </c>
      <c r="B1" s="51" t="s">
        <v>94</v>
      </c>
      <c r="C1" s="52" t="s">
        <v>103</v>
      </c>
      <c r="D1" s="52" t="s">
        <v>104</v>
      </c>
      <c r="E1" s="53" t="s">
        <v>93</v>
      </c>
      <c r="F1" s="51" t="s">
        <v>88</v>
      </c>
      <c r="G1" s="51" t="s">
        <v>97</v>
      </c>
      <c r="H1" s="51" t="s">
        <v>79</v>
      </c>
      <c r="I1" s="51" t="s">
        <v>105</v>
      </c>
      <c r="J1" s="51" t="s">
        <v>78</v>
      </c>
      <c r="K1" s="51" t="s">
        <v>98</v>
      </c>
      <c r="L1" s="51" t="s">
        <v>99</v>
      </c>
      <c r="M1" s="51" t="s">
        <v>100</v>
      </c>
      <c r="N1" s="51" t="s">
        <v>92</v>
      </c>
      <c r="O1" s="51" t="s">
        <v>96</v>
      </c>
      <c r="P1" s="51" t="s">
        <v>89</v>
      </c>
      <c r="Q1" s="51" t="s">
        <v>101</v>
      </c>
      <c r="R1" s="51" t="s">
        <v>102</v>
      </c>
      <c r="S1" s="1" t="s">
        <v>159</v>
      </c>
      <c r="T1" s="1" t="s">
        <v>262</v>
      </c>
    </row>
    <row r="2" spans="1:20" ht="15" customHeight="1">
      <c r="A2" s="54" t="s">
        <v>48</v>
      </c>
      <c r="B2" s="55">
        <v>11855260</v>
      </c>
      <c r="C2" s="16">
        <v>36895141</v>
      </c>
      <c r="D2" s="17">
        <v>65664721</v>
      </c>
      <c r="E2" s="17">
        <v>45000000</v>
      </c>
      <c r="F2" s="55">
        <v>2706</v>
      </c>
      <c r="G2" s="31">
        <v>0</v>
      </c>
      <c r="H2" s="56">
        <v>0</v>
      </c>
      <c r="I2" s="56">
        <v>1</v>
      </c>
      <c r="J2" s="31" t="s">
        <v>86</v>
      </c>
      <c r="K2" s="31">
        <v>1</v>
      </c>
      <c r="L2" s="31">
        <v>0</v>
      </c>
      <c r="M2" s="31">
        <v>0</v>
      </c>
      <c r="N2" s="31" t="s">
        <v>74</v>
      </c>
      <c r="O2" s="31">
        <v>0</v>
      </c>
      <c r="P2" s="31">
        <v>63</v>
      </c>
      <c r="Q2" s="31">
        <v>0</v>
      </c>
      <c r="R2" s="31">
        <v>0</v>
      </c>
      <c r="S2" s="3">
        <f>IF(J2="Comedy",1,0)</f>
        <v>0</v>
      </c>
      <c r="T2" s="3">
        <f>S2*P2</f>
        <v>0</v>
      </c>
    </row>
    <row r="3" spans="1:20" ht="15" customHeight="1">
      <c r="A3" s="54" t="s">
        <v>49</v>
      </c>
      <c r="B3" s="55">
        <v>10023835</v>
      </c>
      <c r="C3" s="16">
        <v>36323505</v>
      </c>
      <c r="D3" s="17">
        <v>2146261</v>
      </c>
      <c r="E3" s="17">
        <v>23000000</v>
      </c>
      <c r="F3" s="55">
        <v>2914</v>
      </c>
      <c r="G3" s="31">
        <v>0</v>
      </c>
      <c r="H3" s="56">
        <v>0</v>
      </c>
      <c r="I3" s="56">
        <v>1</v>
      </c>
      <c r="J3" s="31" t="s">
        <v>84</v>
      </c>
      <c r="K3" s="31">
        <v>0</v>
      </c>
      <c r="L3" s="31">
        <v>0</v>
      </c>
      <c r="M3" s="31">
        <v>0</v>
      </c>
      <c r="N3" s="31" t="s">
        <v>74</v>
      </c>
      <c r="O3" s="31">
        <v>0</v>
      </c>
      <c r="P3" s="31">
        <v>47</v>
      </c>
      <c r="Q3" s="31">
        <v>0</v>
      </c>
      <c r="R3" s="31">
        <v>0</v>
      </c>
      <c r="S3" s="3">
        <f t="shared" ref="S3:S66" si="0">IF(J3="Comedy",1,0)</f>
        <v>1</v>
      </c>
      <c r="T3" s="3">
        <f t="shared" ref="T3:T66" si="1">S3*P3</f>
        <v>47</v>
      </c>
    </row>
    <row r="4" spans="1:20" ht="15" customHeight="1">
      <c r="A4" s="54" t="s">
        <v>37</v>
      </c>
      <c r="B4" s="55">
        <v>15005604</v>
      </c>
      <c r="C4" s="16">
        <v>50866635</v>
      </c>
      <c r="D4" s="17">
        <v>69309076</v>
      </c>
      <c r="E4" s="17">
        <v>40000000</v>
      </c>
      <c r="F4" s="55">
        <v>2465</v>
      </c>
      <c r="G4" s="31">
        <v>0</v>
      </c>
      <c r="H4" s="56">
        <v>0</v>
      </c>
      <c r="I4" s="56">
        <v>1</v>
      </c>
      <c r="J4" s="31" t="s">
        <v>91</v>
      </c>
      <c r="K4" s="31">
        <v>0</v>
      </c>
      <c r="L4" s="31">
        <v>0</v>
      </c>
      <c r="M4" s="31">
        <v>0</v>
      </c>
      <c r="N4" s="31" t="s">
        <v>77</v>
      </c>
      <c r="O4" s="31">
        <v>1</v>
      </c>
      <c r="P4" s="31">
        <v>68</v>
      </c>
      <c r="Q4" s="31">
        <v>3</v>
      </c>
      <c r="R4" s="31">
        <v>0</v>
      </c>
      <c r="S4" s="3">
        <f t="shared" si="0"/>
        <v>0</v>
      </c>
      <c r="T4" s="3">
        <f t="shared" si="1"/>
        <v>0</v>
      </c>
    </row>
    <row r="5" spans="1:20" ht="15" customHeight="1">
      <c r="A5" s="54" t="s">
        <v>71</v>
      </c>
      <c r="B5" s="17">
        <v>4294936</v>
      </c>
      <c r="C5" s="16">
        <v>15132763</v>
      </c>
      <c r="D5" s="17">
        <v>97854413</v>
      </c>
      <c r="E5" s="17">
        <v>86000000</v>
      </c>
      <c r="F5" s="55">
        <v>2247</v>
      </c>
      <c r="G5" s="31">
        <v>0</v>
      </c>
      <c r="H5" s="56">
        <v>0</v>
      </c>
      <c r="I5" s="56">
        <v>0</v>
      </c>
      <c r="J5" s="31" t="s">
        <v>80</v>
      </c>
      <c r="K5" s="31">
        <v>1</v>
      </c>
      <c r="L5" s="31">
        <v>0</v>
      </c>
      <c r="M5" s="31">
        <v>0</v>
      </c>
      <c r="N5" s="31" t="s">
        <v>75</v>
      </c>
      <c r="O5" s="31">
        <v>0</v>
      </c>
      <c r="P5" s="31">
        <v>39</v>
      </c>
      <c r="Q5" s="31">
        <v>0</v>
      </c>
      <c r="R5" s="31">
        <v>0</v>
      </c>
      <c r="S5" s="3">
        <f t="shared" si="0"/>
        <v>0</v>
      </c>
      <c r="T5" s="3">
        <f t="shared" si="1"/>
        <v>0</v>
      </c>
    </row>
    <row r="6" spans="1:20" ht="15" customHeight="1">
      <c r="A6" s="54" t="s">
        <v>64</v>
      </c>
      <c r="B6" s="55">
        <v>11554404</v>
      </c>
      <c r="C6" s="16">
        <v>21170563</v>
      </c>
      <c r="D6" s="16">
        <v>0</v>
      </c>
      <c r="E6" s="17">
        <v>20000000</v>
      </c>
      <c r="F6" s="55">
        <v>1602</v>
      </c>
      <c r="G6" s="31">
        <v>0</v>
      </c>
      <c r="H6" s="56">
        <v>0</v>
      </c>
      <c r="I6" s="56">
        <v>1</v>
      </c>
      <c r="J6" s="31" t="s">
        <v>83</v>
      </c>
      <c r="K6" s="31">
        <v>0</v>
      </c>
      <c r="L6" s="31">
        <v>0</v>
      </c>
      <c r="M6" s="31">
        <v>0</v>
      </c>
      <c r="N6" s="31" t="s">
        <v>74</v>
      </c>
      <c r="O6" s="31">
        <v>0</v>
      </c>
      <c r="P6" s="31">
        <v>63</v>
      </c>
      <c r="Q6" s="31">
        <v>0</v>
      </c>
      <c r="R6" s="31">
        <v>0</v>
      </c>
      <c r="S6" s="3">
        <f t="shared" si="0"/>
        <v>0</v>
      </c>
      <c r="T6" s="3">
        <f t="shared" si="1"/>
        <v>0</v>
      </c>
    </row>
    <row r="7" spans="1:20" ht="15" customHeight="1">
      <c r="A7" s="54" t="s">
        <v>53</v>
      </c>
      <c r="B7" s="17">
        <v>5558095</v>
      </c>
      <c r="C7" s="16">
        <v>34302837</v>
      </c>
      <c r="D7" s="17">
        <v>101027326</v>
      </c>
      <c r="E7" s="17">
        <v>20000000</v>
      </c>
      <c r="F7" s="55">
        <v>1251</v>
      </c>
      <c r="G7" s="31">
        <v>0</v>
      </c>
      <c r="H7" s="56">
        <v>0</v>
      </c>
      <c r="I7" s="56">
        <v>1</v>
      </c>
      <c r="J7" s="31" t="s">
        <v>83</v>
      </c>
      <c r="K7" s="31">
        <v>0</v>
      </c>
      <c r="L7" s="31">
        <v>0</v>
      </c>
      <c r="M7" s="31">
        <v>0</v>
      </c>
      <c r="N7" s="31" t="s">
        <v>77</v>
      </c>
      <c r="O7" s="31">
        <v>1</v>
      </c>
      <c r="P7" s="31">
        <v>69</v>
      </c>
      <c r="Q7" s="31">
        <v>7</v>
      </c>
      <c r="R7" s="31">
        <v>1</v>
      </c>
      <c r="S7" s="3">
        <f t="shared" si="0"/>
        <v>0</v>
      </c>
      <c r="T7" s="3">
        <f t="shared" si="1"/>
        <v>0</v>
      </c>
    </row>
    <row r="8" spans="1:20" ht="15" customHeight="1">
      <c r="A8" s="54" t="s">
        <v>19</v>
      </c>
      <c r="B8" s="55">
        <v>15820864</v>
      </c>
      <c r="C8" s="16">
        <v>72637803</v>
      </c>
      <c r="D8" s="17">
        <v>43272126</v>
      </c>
      <c r="E8" s="17">
        <v>51000000</v>
      </c>
      <c r="F8" s="55">
        <v>3311</v>
      </c>
      <c r="G8" s="31">
        <v>0</v>
      </c>
      <c r="H8" s="56">
        <v>0</v>
      </c>
      <c r="I8" s="56">
        <v>1</v>
      </c>
      <c r="J8" s="31" t="s">
        <v>80</v>
      </c>
      <c r="K8" s="31">
        <v>1</v>
      </c>
      <c r="L8" s="31">
        <v>0</v>
      </c>
      <c r="M8" s="31">
        <v>0</v>
      </c>
      <c r="N8" s="31" t="s">
        <v>75</v>
      </c>
      <c r="O8" s="31">
        <v>0</v>
      </c>
      <c r="P8" s="31">
        <v>42</v>
      </c>
      <c r="Q8" s="31">
        <v>0</v>
      </c>
      <c r="R8" s="31">
        <v>0</v>
      </c>
      <c r="S8" s="3">
        <f t="shared" si="0"/>
        <v>0</v>
      </c>
      <c r="T8" s="3">
        <f t="shared" si="1"/>
        <v>0</v>
      </c>
    </row>
    <row r="9" spans="1:20" ht="15" customHeight="1">
      <c r="A9" s="54" t="s">
        <v>24</v>
      </c>
      <c r="B9" s="55">
        <v>27736056</v>
      </c>
      <c r="C9" s="16">
        <v>70165972</v>
      </c>
      <c r="D9" s="17">
        <v>68079671</v>
      </c>
      <c r="E9" s="17">
        <v>40000000</v>
      </c>
      <c r="F9" s="55">
        <v>3261</v>
      </c>
      <c r="G9" s="31">
        <v>0</v>
      </c>
      <c r="H9" s="56">
        <v>1</v>
      </c>
      <c r="I9" s="56">
        <v>1</v>
      </c>
      <c r="J9" s="31" t="s">
        <v>84</v>
      </c>
      <c r="K9" s="31">
        <v>0</v>
      </c>
      <c r="L9" s="31">
        <v>1</v>
      </c>
      <c r="M9" s="31">
        <v>1</v>
      </c>
      <c r="N9" s="31" t="s">
        <v>74</v>
      </c>
      <c r="O9" s="31">
        <v>0</v>
      </c>
      <c r="P9" s="31">
        <v>34</v>
      </c>
      <c r="Q9" s="31">
        <v>0</v>
      </c>
      <c r="R9" s="31">
        <v>0</v>
      </c>
      <c r="S9" s="3">
        <f t="shared" si="0"/>
        <v>1</v>
      </c>
      <c r="T9" s="3">
        <f t="shared" si="1"/>
        <v>34</v>
      </c>
    </row>
    <row r="10" spans="1:20" ht="15" customHeight="1">
      <c r="A10" s="54" t="s">
        <v>32</v>
      </c>
      <c r="B10" s="55">
        <v>8648324</v>
      </c>
      <c r="C10" s="16">
        <v>57377916</v>
      </c>
      <c r="D10" s="17">
        <v>171407179</v>
      </c>
      <c r="E10" s="17">
        <v>100000000</v>
      </c>
      <c r="F10" s="55">
        <v>1910</v>
      </c>
      <c r="G10" s="31">
        <v>0</v>
      </c>
      <c r="H10" s="56">
        <v>0</v>
      </c>
      <c r="I10" s="56">
        <v>1</v>
      </c>
      <c r="J10" s="31" t="s">
        <v>83</v>
      </c>
      <c r="K10" s="31">
        <v>0</v>
      </c>
      <c r="L10" s="31">
        <v>0</v>
      </c>
      <c r="M10" s="31">
        <v>1</v>
      </c>
      <c r="N10" s="31" t="s">
        <v>77</v>
      </c>
      <c r="O10" s="31">
        <v>1</v>
      </c>
      <c r="P10" s="31">
        <v>63</v>
      </c>
      <c r="Q10" s="31">
        <v>5</v>
      </c>
      <c r="R10" s="31">
        <v>0</v>
      </c>
      <c r="S10" s="3">
        <f t="shared" si="0"/>
        <v>0</v>
      </c>
      <c r="T10" s="3">
        <f t="shared" si="1"/>
        <v>0</v>
      </c>
    </row>
    <row r="11" spans="1:20" ht="15" customHeight="1">
      <c r="A11" s="54" t="s">
        <v>95</v>
      </c>
      <c r="B11" s="55">
        <v>11457353</v>
      </c>
      <c r="C11" s="16">
        <v>82599768</v>
      </c>
      <c r="D11" s="17">
        <v>61768463</v>
      </c>
      <c r="E11" s="17">
        <v>85000000</v>
      </c>
      <c r="F11" s="55">
        <v>3566</v>
      </c>
      <c r="G11" s="31">
        <v>1</v>
      </c>
      <c r="H11" s="56">
        <v>0</v>
      </c>
      <c r="I11" s="56">
        <v>1</v>
      </c>
      <c r="J11" s="31" t="s">
        <v>84</v>
      </c>
      <c r="K11" s="31">
        <v>0</v>
      </c>
      <c r="L11" s="31">
        <v>0</v>
      </c>
      <c r="M11" s="31">
        <v>0</v>
      </c>
      <c r="N11" s="31" t="s">
        <v>76</v>
      </c>
      <c r="O11" s="31">
        <v>0</v>
      </c>
      <c r="P11" s="31">
        <v>68</v>
      </c>
      <c r="Q11" s="31">
        <v>0</v>
      </c>
      <c r="R11" s="31">
        <v>0</v>
      </c>
      <c r="S11" s="3">
        <f t="shared" si="0"/>
        <v>1</v>
      </c>
      <c r="T11" s="3">
        <f t="shared" si="1"/>
        <v>68</v>
      </c>
    </row>
    <row r="12" spans="1:20" ht="15" customHeight="1">
      <c r="A12" s="54" t="s">
        <v>51</v>
      </c>
      <c r="B12" s="17">
        <v>10197775</v>
      </c>
      <c r="C12" s="16">
        <v>35327768</v>
      </c>
      <c r="D12" s="17">
        <v>33897819</v>
      </c>
      <c r="E12" s="17">
        <v>76000000</v>
      </c>
      <c r="F12" s="55">
        <v>1209</v>
      </c>
      <c r="G12" s="31">
        <v>1</v>
      </c>
      <c r="H12" s="56">
        <v>0</v>
      </c>
      <c r="I12" s="56">
        <v>0</v>
      </c>
      <c r="J12" s="31" t="s">
        <v>81</v>
      </c>
      <c r="K12" s="31">
        <v>0</v>
      </c>
      <c r="L12" s="31">
        <v>0</v>
      </c>
      <c r="M12" s="31">
        <v>0</v>
      </c>
      <c r="N12" s="31" t="s">
        <v>77</v>
      </c>
      <c r="O12" s="31">
        <v>1</v>
      </c>
      <c r="P12" s="31">
        <v>84</v>
      </c>
      <c r="Q12" s="31">
        <v>3</v>
      </c>
      <c r="R12" s="31">
        <v>0</v>
      </c>
      <c r="S12" s="3">
        <f t="shared" si="0"/>
        <v>0</v>
      </c>
      <c r="T12" s="3">
        <f t="shared" si="1"/>
        <v>0</v>
      </c>
    </row>
    <row r="13" spans="1:20" ht="15" customHeight="1">
      <c r="A13" s="54" t="s">
        <v>4</v>
      </c>
      <c r="B13" s="55">
        <v>40011365</v>
      </c>
      <c r="C13" s="16">
        <v>137355633</v>
      </c>
      <c r="D13" s="17">
        <v>100325666</v>
      </c>
      <c r="E13" s="17">
        <v>82500000</v>
      </c>
      <c r="F13" s="55">
        <v>3749</v>
      </c>
      <c r="G13" s="31">
        <v>0</v>
      </c>
      <c r="H13" s="56">
        <v>0</v>
      </c>
      <c r="I13" s="56">
        <v>1</v>
      </c>
      <c r="J13" s="31" t="s">
        <v>84</v>
      </c>
      <c r="K13" s="31">
        <v>1</v>
      </c>
      <c r="L13" s="31">
        <v>0</v>
      </c>
      <c r="M13" s="31">
        <v>0</v>
      </c>
      <c r="N13" s="31" t="s">
        <v>74</v>
      </c>
      <c r="O13" s="31">
        <v>0</v>
      </c>
      <c r="P13" s="31">
        <v>45</v>
      </c>
      <c r="Q13" s="31">
        <v>1</v>
      </c>
      <c r="R13" s="31">
        <v>0</v>
      </c>
      <c r="S13" s="3">
        <f t="shared" si="0"/>
        <v>1</v>
      </c>
      <c r="T13" s="3">
        <f t="shared" si="1"/>
        <v>45</v>
      </c>
    </row>
    <row r="14" spans="1:20" ht="15" customHeight="1">
      <c r="A14" s="54" t="s">
        <v>31</v>
      </c>
      <c r="B14" s="55">
        <v>14703405</v>
      </c>
      <c r="C14" s="16">
        <v>58360760</v>
      </c>
      <c r="D14" s="17">
        <v>11474055</v>
      </c>
      <c r="E14" s="17">
        <v>50000000</v>
      </c>
      <c r="F14" s="55">
        <v>2566</v>
      </c>
      <c r="G14" s="31">
        <v>1</v>
      </c>
      <c r="H14" s="56">
        <v>0</v>
      </c>
      <c r="I14" s="56">
        <v>1</v>
      </c>
      <c r="J14" s="31" t="s">
        <v>80</v>
      </c>
      <c r="K14" s="31">
        <v>0</v>
      </c>
      <c r="L14" s="31">
        <v>0</v>
      </c>
      <c r="M14" s="31">
        <v>0</v>
      </c>
      <c r="N14" s="31" t="s">
        <v>76</v>
      </c>
      <c r="O14" s="31">
        <v>0</v>
      </c>
      <c r="P14" s="31">
        <v>62</v>
      </c>
      <c r="Q14" s="31">
        <v>0</v>
      </c>
      <c r="R14" s="31">
        <v>0</v>
      </c>
      <c r="S14" s="3">
        <f t="shared" si="0"/>
        <v>0</v>
      </c>
      <c r="T14" s="3">
        <f t="shared" si="1"/>
        <v>0</v>
      </c>
    </row>
    <row r="15" spans="1:20" ht="15" customHeight="1">
      <c r="A15" s="54" t="s">
        <v>38</v>
      </c>
      <c r="B15" s="55">
        <v>19076261</v>
      </c>
      <c r="C15" s="16">
        <v>48548426</v>
      </c>
      <c r="D15" s="17">
        <v>36247230</v>
      </c>
      <c r="E15" s="17">
        <v>20000000</v>
      </c>
      <c r="F15" s="55">
        <v>2896</v>
      </c>
      <c r="G15" s="31">
        <v>0</v>
      </c>
      <c r="H15" s="56">
        <v>0</v>
      </c>
      <c r="I15" s="56">
        <v>1</v>
      </c>
      <c r="J15" s="31" t="s">
        <v>84</v>
      </c>
      <c r="K15" s="57">
        <v>0</v>
      </c>
      <c r="L15" s="31">
        <v>0</v>
      </c>
      <c r="M15" s="31">
        <v>0</v>
      </c>
      <c r="N15" s="31" t="s">
        <v>74</v>
      </c>
      <c r="O15" s="31">
        <v>0</v>
      </c>
      <c r="P15" s="31">
        <v>11</v>
      </c>
      <c r="Q15" s="31">
        <v>0</v>
      </c>
      <c r="R15" s="31">
        <v>0</v>
      </c>
      <c r="S15" s="3">
        <f t="shared" si="0"/>
        <v>1</v>
      </c>
      <c r="T15" s="3">
        <f t="shared" si="1"/>
        <v>11</v>
      </c>
    </row>
    <row r="16" spans="1:20" ht="15" customHeight="1">
      <c r="A16" s="54" t="s">
        <v>25</v>
      </c>
      <c r="B16" s="55">
        <v>20574802</v>
      </c>
      <c r="C16" s="16">
        <v>64038616</v>
      </c>
      <c r="D16" s="17">
        <v>116518934</v>
      </c>
      <c r="E16" s="17">
        <v>75000000</v>
      </c>
      <c r="F16" s="55">
        <v>3108</v>
      </c>
      <c r="G16" s="31">
        <v>0</v>
      </c>
      <c r="H16" s="56">
        <v>0</v>
      </c>
      <c r="I16" s="56">
        <v>1</v>
      </c>
      <c r="J16" s="31" t="s">
        <v>81</v>
      </c>
      <c r="K16" s="31">
        <v>1</v>
      </c>
      <c r="L16" s="31">
        <v>1</v>
      </c>
      <c r="M16" s="31">
        <v>0</v>
      </c>
      <c r="N16" s="31" t="s">
        <v>74</v>
      </c>
      <c r="O16" s="31">
        <v>0</v>
      </c>
      <c r="P16" s="31">
        <v>59</v>
      </c>
      <c r="Q16" s="31">
        <v>0</v>
      </c>
      <c r="R16" s="31">
        <v>0</v>
      </c>
      <c r="S16" s="3">
        <f t="shared" si="0"/>
        <v>0</v>
      </c>
      <c r="T16" s="3">
        <f t="shared" si="1"/>
        <v>0</v>
      </c>
    </row>
    <row r="17" spans="1:20" ht="15" customHeight="1">
      <c r="A17" s="54" t="s">
        <v>8</v>
      </c>
      <c r="B17" s="17">
        <v>8953734</v>
      </c>
      <c r="C17" s="16">
        <v>103365956</v>
      </c>
      <c r="D17" s="17">
        <v>51200910</v>
      </c>
      <c r="E17" s="17">
        <v>75000000</v>
      </c>
      <c r="F17" s="57">
        <v>852</v>
      </c>
      <c r="G17" s="31">
        <v>0</v>
      </c>
      <c r="H17" s="56">
        <v>0</v>
      </c>
      <c r="I17" s="56">
        <v>1</v>
      </c>
      <c r="J17" s="31" t="s">
        <v>83</v>
      </c>
      <c r="K17" s="31">
        <v>0</v>
      </c>
      <c r="L17" s="31">
        <v>0</v>
      </c>
      <c r="M17" s="31">
        <v>0</v>
      </c>
      <c r="N17" s="31" t="s">
        <v>74</v>
      </c>
      <c r="O17" s="31">
        <v>0</v>
      </c>
      <c r="P17" s="31">
        <v>76</v>
      </c>
      <c r="Q17" s="31">
        <v>8</v>
      </c>
      <c r="R17" s="31">
        <v>2</v>
      </c>
      <c r="S17" s="3">
        <f t="shared" si="0"/>
        <v>0</v>
      </c>
      <c r="T17" s="3">
        <f t="shared" si="1"/>
        <v>0</v>
      </c>
    </row>
    <row r="18" spans="1:20" ht="15" customHeight="1">
      <c r="A18" s="54" t="s">
        <v>14</v>
      </c>
      <c r="B18" s="55">
        <v>20188176</v>
      </c>
      <c r="C18" s="16">
        <v>81612565</v>
      </c>
      <c r="D18" s="17">
        <v>38843429</v>
      </c>
      <c r="E18" s="17">
        <v>40000000</v>
      </c>
      <c r="F18" s="55">
        <v>3066</v>
      </c>
      <c r="G18" s="31">
        <v>1</v>
      </c>
      <c r="H18" s="56">
        <v>0</v>
      </c>
      <c r="I18" s="56">
        <v>1</v>
      </c>
      <c r="J18" s="31" t="s">
        <v>83</v>
      </c>
      <c r="K18" s="31">
        <v>0</v>
      </c>
      <c r="L18" s="31">
        <v>1</v>
      </c>
      <c r="M18" s="31">
        <v>0</v>
      </c>
      <c r="N18" s="31" t="s">
        <v>75</v>
      </c>
      <c r="O18" s="31">
        <v>0</v>
      </c>
      <c r="P18" s="31">
        <v>64</v>
      </c>
      <c r="Q18" s="31">
        <v>0</v>
      </c>
      <c r="R18" s="31">
        <v>0</v>
      </c>
      <c r="S18" s="3">
        <f t="shared" si="0"/>
        <v>0</v>
      </c>
      <c r="T18" s="3">
        <f t="shared" si="1"/>
        <v>0</v>
      </c>
    </row>
    <row r="19" spans="1:20" ht="15" customHeight="1">
      <c r="A19" s="54" t="s">
        <v>17</v>
      </c>
      <c r="B19" s="55">
        <v>23239907</v>
      </c>
      <c r="C19" s="16">
        <v>75030163</v>
      </c>
      <c r="D19" s="17">
        <v>174390688</v>
      </c>
      <c r="E19" s="17">
        <v>100000000</v>
      </c>
      <c r="F19" s="55">
        <v>3020</v>
      </c>
      <c r="G19" s="31">
        <v>1</v>
      </c>
      <c r="H19" s="56">
        <v>0</v>
      </c>
      <c r="I19" s="56">
        <v>1</v>
      </c>
      <c r="J19" s="31" t="s">
        <v>82</v>
      </c>
      <c r="K19" s="31">
        <v>0</v>
      </c>
      <c r="L19" s="31">
        <v>0</v>
      </c>
      <c r="M19" s="31">
        <v>0</v>
      </c>
      <c r="N19" s="31" t="s">
        <v>75</v>
      </c>
      <c r="O19" s="31">
        <v>0</v>
      </c>
      <c r="P19" s="31">
        <v>38</v>
      </c>
      <c r="Q19" s="31">
        <v>0</v>
      </c>
      <c r="R19" s="31">
        <v>0</v>
      </c>
      <c r="S19" s="3">
        <f t="shared" si="0"/>
        <v>0</v>
      </c>
      <c r="T19" s="3">
        <f t="shared" si="1"/>
        <v>0</v>
      </c>
    </row>
    <row r="20" spans="1:20" ht="15" customHeight="1">
      <c r="A20" s="54" t="s">
        <v>10</v>
      </c>
      <c r="B20" s="55">
        <v>24411322</v>
      </c>
      <c r="C20" s="16">
        <v>88715192</v>
      </c>
      <c r="D20" s="17">
        <v>39691695</v>
      </c>
      <c r="E20" s="17">
        <v>50000000</v>
      </c>
      <c r="F20" s="55">
        <v>3057</v>
      </c>
      <c r="G20" s="31">
        <v>0</v>
      </c>
      <c r="H20" s="56">
        <v>0</v>
      </c>
      <c r="I20" s="56">
        <v>1</v>
      </c>
      <c r="J20" s="31" t="s">
        <v>84</v>
      </c>
      <c r="K20" s="31">
        <v>0</v>
      </c>
      <c r="L20" s="31">
        <v>0</v>
      </c>
      <c r="M20" s="31">
        <v>0</v>
      </c>
      <c r="N20" s="31" t="s">
        <v>74</v>
      </c>
      <c r="O20" s="31">
        <v>0</v>
      </c>
      <c r="P20" s="31">
        <v>47</v>
      </c>
      <c r="Q20" s="31">
        <v>0</v>
      </c>
      <c r="R20" s="31">
        <v>0</v>
      </c>
      <c r="S20" s="3">
        <f t="shared" si="0"/>
        <v>1</v>
      </c>
      <c r="T20" s="3">
        <f t="shared" si="1"/>
        <v>47</v>
      </c>
    </row>
    <row r="21" spans="1:20" ht="15" customHeight="1">
      <c r="A21" s="54" t="s">
        <v>34</v>
      </c>
      <c r="B21" s="55">
        <v>19173094</v>
      </c>
      <c r="C21" s="16">
        <v>54098051</v>
      </c>
      <c r="D21" s="17">
        <v>59172557</v>
      </c>
      <c r="E21" s="17">
        <v>25000000</v>
      </c>
      <c r="F21" s="55">
        <v>2880</v>
      </c>
      <c r="G21" s="31">
        <v>0</v>
      </c>
      <c r="H21" s="56">
        <v>1</v>
      </c>
      <c r="I21" s="56">
        <v>1</v>
      </c>
      <c r="J21" s="31" t="s">
        <v>85</v>
      </c>
      <c r="K21" s="31">
        <v>0</v>
      </c>
      <c r="L21" s="31">
        <v>0</v>
      </c>
      <c r="M21" s="31">
        <v>0</v>
      </c>
      <c r="N21" s="31" t="s">
        <v>77</v>
      </c>
      <c r="O21" s="31">
        <v>1</v>
      </c>
      <c r="P21" s="31">
        <v>41</v>
      </c>
      <c r="Q21" s="31">
        <v>0</v>
      </c>
      <c r="R21" s="31">
        <v>0</v>
      </c>
      <c r="S21" s="3">
        <f t="shared" si="0"/>
        <v>0</v>
      </c>
      <c r="T21" s="3">
        <f t="shared" si="1"/>
        <v>0</v>
      </c>
    </row>
    <row r="22" spans="1:20" ht="15" customHeight="1">
      <c r="A22" s="54" t="s">
        <v>56</v>
      </c>
      <c r="B22" s="55">
        <v>10245190</v>
      </c>
      <c r="C22" s="16">
        <v>33602376</v>
      </c>
      <c r="D22" s="17">
        <v>32297873</v>
      </c>
      <c r="E22" s="17">
        <v>90000000</v>
      </c>
      <c r="F22" s="55">
        <v>1876</v>
      </c>
      <c r="G22" s="31">
        <v>1</v>
      </c>
      <c r="H22" s="56">
        <v>0</v>
      </c>
      <c r="I22" s="56">
        <v>1</v>
      </c>
      <c r="J22" s="31" t="s">
        <v>82</v>
      </c>
      <c r="K22" s="31">
        <v>1</v>
      </c>
      <c r="L22" s="31">
        <v>0</v>
      </c>
      <c r="M22" s="31">
        <v>0</v>
      </c>
      <c r="N22" s="31" t="s">
        <v>77</v>
      </c>
      <c r="O22" s="31">
        <v>1</v>
      </c>
      <c r="P22" s="31">
        <v>79</v>
      </c>
      <c r="Q22" s="31">
        <v>2</v>
      </c>
      <c r="R22" s="31">
        <v>0</v>
      </c>
      <c r="S22" s="3">
        <f t="shared" si="0"/>
        <v>0</v>
      </c>
      <c r="T22" s="3">
        <f t="shared" si="1"/>
        <v>0</v>
      </c>
    </row>
    <row r="23" spans="1:20" ht="15" customHeight="1">
      <c r="A23" s="54" t="s">
        <v>73</v>
      </c>
      <c r="B23" s="55">
        <v>6004219</v>
      </c>
      <c r="C23" s="16">
        <v>13090630</v>
      </c>
      <c r="D23" s="17">
        <v>4679984</v>
      </c>
      <c r="E23" s="17">
        <v>60000000</v>
      </c>
      <c r="F23" s="55">
        <v>2033</v>
      </c>
      <c r="G23" s="31">
        <v>0</v>
      </c>
      <c r="H23" s="56">
        <v>0</v>
      </c>
      <c r="I23" s="56">
        <v>0</v>
      </c>
      <c r="J23" s="31" t="s">
        <v>82</v>
      </c>
      <c r="K23" s="31">
        <v>1</v>
      </c>
      <c r="L23" s="31">
        <v>0</v>
      </c>
      <c r="M23" s="31">
        <v>0</v>
      </c>
      <c r="N23" s="31" t="s">
        <v>74</v>
      </c>
      <c r="O23" s="31">
        <v>0</v>
      </c>
      <c r="P23" s="31">
        <v>47</v>
      </c>
      <c r="Q23" s="31">
        <v>0</v>
      </c>
      <c r="R23" s="31">
        <v>0</v>
      </c>
      <c r="S23" s="3">
        <f t="shared" si="0"/>
        <v>0</v>
      </c>
      <c r="T23" s="3">
        <f t="shared" si="1"/>
        <v>0</v>
      </c>
    </row>
    <row r="24" spans="1:20" ht="15" customHeight="1">
      <c r="A24" s="54" t="s">
        <v>44</v>
      </c>
      <c r="B24" s="55">
        <v>14414630</v>
      </c>
      <c r="C24" s="16">
        <v>38432823</v>
      </c>
      <c r="D24" s="17">
        <v>3048028</v>
      </c>
      <c r="E24" s="17">
        <v>30000000</v>
      </c>
      <c r="F24" s="55">
        <v>3504</v>
      </c>
      <c r="G24" s="31">
        <v>0</v>
      </c>
      <c r="H24" s="56">
        <v>0</v>
      </c>
      <c r="I24" s="56">
        <v>1</v>
      </c>
      <c r="J24" s="31" t="s">
        <v>83</v>
      </c>
      <c r="K24" s="31">
        <v>0</v>
      </c>
      <c r="L24" s="31">
        <v>0</v>
      </c>
      <c r="M24" s="31">
        <v>0</v>
      </c>
      <c r="N24" s="31" t="s">
        <v>74</v>
      </c>
      <c r="O24" s="31">
        <v>0</v>
      </c>
      <c r="P24" s="31">
        <v>52</v>
      </c>
      <c r="Q24" s="31">
        <v>0</v>
      </c>
      <c r="R24" s="31">
        <v>0</v>
      </c>
      <c r="S24" s="3">
        <f t="shared" si="0"/>
        <v>0</v>
      </c>
      <c r="T24" s="3">
        <f t="shared" si="1"/>
        <v>0</v>
      </c>
    </row>
    <row r="25" spans="1:20" ht="15" customHeight="1">
      <c r="A25" s="54" t="s">
        <v>0</v>
      </c>
      <c r="B25" s="55">
        <v>41533432</v>
      </c>
      <c r="C25" s="16">
        <v>198000317</v>
      </c>
      <c r="D25" s="17">
        <v>186330162</v>
      </c>
      <c r="E25" s="17">
        <v>100000000</v>
      </c>
      <c r="F25" s="55">
        <v>3804</v>
      </c>
      <c r="G25" s="31">
        <v>0</v>
      </c>
      <c r="H25" s="56">
        <v>0</v>
      </c>
      <c r="I25" s="56">
        <v>0</v>
      </c>
      <c r="J25" s="31" t="s">
        <v>80</v>
      </c>
      <c r="K25" s="31">
        <v>1</v>
      </c>
      <c r="L25" s="31">
        <v>0</v>
      </c>
      <c r="M25" s="31">
        <v>0</v>
      </c>
      <c r="N25" s="31" t="s">
        <v>75</v>
      </c>
      <c r="O25" s="31">
        <v>0</v>
      </c>
      <c r="P25" s="31">
        <v>77</v>
      </c>
      <c r="Q25" s="31">
        <v>1</v>
      </c>
      <c r="R25" s="31">
        <v>1</v>
      </c>
      <c r="S25" s="3">
        <f t="shared" si="0"/>
        <v>0</v>
      </c>
      <c r="T25" s="3">
        <f t="shared" si="1"/>
        <v>0</v>
      </c>
    </row>
    <row r="26" spans="1:20" ht="15" customHeight="1">
      <c r="A26" s="54" t="s">
        <v>1</v>
      </c>
      <c r="B26" s="55">
        <v>68033544</v>
      </c>
      <c r="C26" s="16">
        <v>195330621</v>
      </c>
      <c r="D26" s="17">
        <v>456235122</v>
      </c>
      <c r="E26" s="17">
        <v>80000000</v>
      </c>
      <c r="F26" s="55">
        <v>3964</v>
      </c>
      <c r="G26" s="31">
        <v>0</v>
      </c>
      <c r="H26" s="56">
        <v>1</v>
      </c>
      <c r="I26" s="56">
        <v>1</v>
      </c>
      <c r="J26" s="31" t="s">
        <v>80</v>
      </c>
      <c r="K26" s="31">
        <v>0</v>
      </c>
      <c r="L26" s="31">
        <v>0</v>
      </c>
      <c r="M26" s="31">
        <v>0</v>
      </c>
      <c r="N26" s="31" t="s">
        <v>75</v>
      </c>
      <c r="O26" s="31">
        <v>0</v>
      </c>
      <c r="P26" s="31">
        <v>58</v>
      </c>
      <c r="Q26" s="31">
        <v>0</v>
      </c>
      <c r="R26" s="31">
        <v>0</v>
      </c>
      <c r="S26" s="3">
        <f t="shared" si="0"/>
        <v>0</v>
      </c>
      <c r="T26" s="3">
        <f t="shared" si="1"/>
        <v>0</v>
      </c>
    </row>
    <row r="27" spans="1:20" ht="15" customHeight="1">
      <c r="A27" s="54" t="s">
        <v>11</v>
      </c>
      <c r="B27" s="55">
        <v>28954945</v>
      </c>
      <c r="C27" s="16">
        <v>88513495</v>
      </c>
      <c r="D27" s="17">
        <v>95862759</v>
      </c>
      <c r="E27" s="17">
        <v>45000000</v>
      </c>
      <c r="F27" s="55">
        <v>2818</v>
      </c>
      <c r="G27" s="31">
        <v>0</v>
      </c>
      <c r="H27" s="56">
        <v>0</v>
      </c>
      <c r="I27" s="56">
        <v>1</v>
      </c>
      <c r="J27" s="31" t="s">
        <v>81</v>
      </c>
      <c r="K27" s="31">
        <v>0</v>
      </c>
      <c r="L27" s="31">
        <v>0</v>
      </c>
      <c r="M27" s="31">
        <v>0</v>
      </c>
      <c r="N27" s="31" t="s">
        <v>77</v>
      </c>
      <c r="O27" s="31">
        <v>1</v>
      </c>
      <c r="P27" s="31">
        <v>76</v>
      </c>
      <c r="Q27" s="31">
        <v>0</v>
      </c>
      <c r="R27" s="31">
        <v>0</v>
      </c>
      <c r="S27" s="3">
        <f t="shared" si="0"/>
        <v>0</v>
      </c>
      <c r="T27" s="3">
        <f t="shared" si="1"/>
        <v>0</v>
      </c>
    </row>
    <row r="28" spans="1:20" ht="15" customHeight="1">
      <c r="A28" s="54" t="s">
        <v>68</v>
      </c>
      <c r="B28" s="55">
        <v>5692285</v>
      </c>
      <c r="C28" s="16">
        <v>17326650</v>
      </c>
      <c r="D28" s="17">
        <v>20750723</v>
      </c>
      <c r="E28" s="17">
        <v>28000000</v>
      </c>
      <c r="F28" s="55">
        <v>2541</v>
      </c>
      <c r="G28" s="31">
        <v>0</v>
      </c>
      <c r="H28" s="56">
        <v>0</v>
      </c>
      <c r="I28" s="56">
        <v>1</v>
      </c>
      <c r="J28" s="31" t="s">
        <v>84</v>
      </c>
      <c r="K28" s="31">
        <v>1</v>
      </c>
      <c r="L28" s="31">
        <v>1</v>
      </c>
      <c r="M28" s="31">
        <v>0</v>
      </c>
      <c r="N28" s="31" t="s">
        <v>74</v>
      </c>
      <c r="O28" s="31">
        <v>0</v>
      </c>
      <c r="P28" s="31">
        <v>29</v>
      </c>
      <c r="Q28" s="31">
        <v>0</v>
      </c>
      <c r="R28" s="31">
        <v>0</v>
      </c>
      <c r="S28" s="3">
        <f t="shared" si="0"/>
        <v>1</v>
      </c>
      <c r="T28" s="3">
        <f t="shared" si="1"/>
        <v>29</v>
      </c>
    </row>
    <row r="29" spans="1:20" ht="15" customHeight="1">
      <c r="A29" s="54" t="s">
        <v>41</v>
      </c>
      <c r="B29" s="55">
        <v>18044396</v>
      </c>
      <c r="C29" s="16">
        <v>42285169</v>
      </c>
      <c r="D29" s="17">
        <v>30500000</v>
      </c>
      <c r="E29" s="17">
        <v>70000000</v>
      </c>
      <c r="F29" s="55">
        <v>3235</v>
      </c>
      <c r="G29" s="31">
        <v>0</v>
      </c>
      <c r="H29" s="56">
        <v>0</v>
      </c>
      <c r="I29" s="56">
        <v>1</v>
      </c>
      <c r="J29" s="31" t="s">
        <v>83</v>
      </c>
      <c r="K29" s="31">
        <v>0</v>
      </c>
      <c r="L29" s="31">
        <v>0</v>
      </c>
      <c r="M29" s="31">
        <v>0</v>
      </c>
      <c r="N29" s="31" t="s">
        <v>74</v>
      </c>
      <c r="O29" s="31">
        <v>0</v>
      </c>
      <c r="P29" s="31">
        <v>36</v>
      </c>
      <c r="Q29" s="31">
        <v>0</v>
      </c>
      <c r="R29" s="31">
        <v>0</v>
      </c>
      <c r="S29" s="3">
        <f t="shared" si="0"/>
        <v>0</v>
      </c>
      <c r="T29" s="3">
        <f t="shared" si="1"/>
        <v>0</v>
      </c>
    </row>
    <row r="30" spans="1:20" ht="15" customHeight="1">
      <c r="A30" s="54" t="s">
        <v>45</v>
      </c>
      <c r="B30" s="55">
        <v>12806188</v>
      </c>
      <c r="C30" s="16">
        <v>38399961</v>
      </c>
      <c r="D30" s="17">
        <v>4943287</v>
      </c>
      <c r="E30" s="17">
        <v>45000000</v>
      </c>
      <c r="F30" s="55">
        <v>2514</v>
      </c>
      <c r="G30" s="31">
        <v>1</v>
      </c>
      <c r="H30" s="56">
        <v>0</v>
      </c>
      <c r="I30" s="56">
        <v>1</v>
      </c>
      <c r="J30" s="31" t="s">
        <v>83</v>
      </c>
      <c r="K30" s="31">
        <v>0</v>
      </c>
      <c r="L30" s="31">
        <v>0</v>
      </c>
      <c r="M30" s="31">
        <v>1</v>
      </c>
      <c r="N30" s="31" t="s">
        <v>74</v>
      </c>
      <c r="O30" s="31">
        <v>0</v>
      </c>
      <c r="P30" s="31">
        <v>52</v>
      </c>
      <c r="Q30" s="31">
        <v>0</v>
      </c>
      <c r="R30" s="31">
        <v>0</v>
      </c>
      <c r="S30" s="3">
        <f t="shared" si="0"/>
        <v>0</v>
      </c>
      <c r="T30" s="3">
        <f t="shared" si="1"/>
        <v>0</v>
      </c>
    </row>
    <row r="31" spans="1:20" ht="15" customHeight="1">
      <c r="A31" s="54" t="s">
        <v>30</v>
      </c>
      <c r="B31" s="55">
        <v>21613176</v>
      </c>
      <c r="C31" s="16">
        <v>58645052</v>
      </c>
      <c r="D31" s="17">
        <v>42950069</v>
      </c>
      <c r="E31" s="17">
        <v>64000000</v>
      </c>
      <c r="F31" s="55">
        <v>2533</v>
      </c>
      <c r="G31" s="31">
        <v>0</v>
      </c>
      <c r="H31" s="56">
        <v>0</v>
      </c>
      <c r="I31" s="56">
        <v>1</v>
      </c>
      <c r="J31" s="31" t="s">
        <v>84</v>
      </c>
      <c r="K31" s="31">
        <v>0</v>
      </c>
      <c r="L31" s="31">
        <v>0</v>
      </c>
      <c r="M31" s="31">
        <v>0</v>
      </c>
      <c r="N31" s="31" t="s">
        <v>74</v>
      </c>
      <c r="O31" s="31">
        <v>0</v>
      </c>
      <c r="P31" s="31">
        <v>26</v>
      </c>
      <c r="Q31" s="31">
        <v>0</v>
      </c>
      <c r="R31" s="31">
        <v>0</v>
      </c>
      <c r="S31" s="3">
        <f t="shared" si="0"/>
        <v>1</v>
      </c>
      <c r="T31" s="3">
        <f t="shared" si="1"/>
        <v>26</v>
      </c>
    </row>
    <row r="32" spans="1:20" ht="15" customHeight="1">
      <c r="A32" s="54" t="s">
        <v>63</v>
      </c>
      <c r="B32" s="55">
        <v>7031921</v>
      </c>
      <c r="C32" s="16">
        <v>22495466</v>
      </c>
      <c r="D32" s="17">
        <v>33813415</v>
      </c>
      <c r="E32" s="17">
        <v>27000000</v>
      </c>
      <c r="F32" s="55">
        <v>1984</v>
      </c>
      <c r="G32" s="31">
        <v>0</v>
      </c>
      <c r="H32" s="56">
        <v>0</v>
      </c>
      <c r="I32" s="56">
        <v>1</v>
      </c>
      <c r="J32" s="31" t="s">
        <v>81</v>
      </c>
      <c r="K32" s="31">
        <v>0</v>
      </c>
      <c r="L32" s="31">
        <v>0</v>
      </c>
      <c r="M32" s="31">
        <v>0</v>
      </c>
      <c r="N32" s="31" t="s">
        <v>77</v>
      </c>
      <c r="O32" s="31">
        <v>1</v>
      </c>
      <c r="P32" s="31">
        <v>53</v>
      </c>
      <c r="Q32" s="31">
        <v>0</v>
      </c>
      <c r="R32" s="31">
        <v>0</v>
      </c>
      <c r="S32" s="3">
        <f t="shared" si="0"/>
        <v>0</v>
      </c>
      <c r="T32" s="3">
        <f t="shared" si="1"/>
        <v>0</v>
      </c>
    </row>
    <row r="33" spans="1:20" ht="15" customHeight="1">
      <c r="A33" s="54" t="s">
        <v>70</v>
      </c>
      <c r="B33" s="55">
        <v>5361050</v>
      </c>
      <c r="C33" s="16">
        <v>15962471</v>
      </c>
      <c r="D33" s="17">
        <v>44954718</v>
      </c>
      <c r="E33" s="17">
        <v>40000000</v>
      </c>
      <c r="F33" s="57">
        <v>859</v>
      </c>
      <c r="G33" s="31">
        <v>1</v>
      </c>
      <c r="H33" s="56">
        <v>0</v>
      </c>
      <c r="I33" s="56">
        <v>1</v>
      </c>
      <c r="J33" s="31" t="s">
        <v>83</v>
      </c>
      <c r="K33" s="31">
        <v>1</v>
      </c>
      <c r="L33" s="31">
        <v>0</v>
      </c>
      <c r="M33" s="31">
        <v>0</v>
      </c>
      <c r="N33" s="31" t="s">
        <v>74</v>
      </c>
      <c r="O33" s="31">
        <v>0</v>
      </c>
      <c r="P33" s="31">
        <v>65</v>
      </c>
      <c r="Q33" s="31">
        <v>1</v>
      </c>
      <c r="R33" s="31">
        <v>1</v>
      </c>
      <c r="S33" s="3">
        <f t="shared" si="0"/>
        <v>0</v>
      </c>
      <c r="T33" s="3">
        <f t="shared" si="1"/>
        <v>0</v>
      </c>
    </row>
    <row r="34" spans="1:20" ht="15" customHeight="1">
      <c r="A34" s="54" t="s">
        <v>18</v>
      </c>
      <c r="B34" s="55">
        <v>22217226</v>
      </c>
      <c r="C34" s="16">
        <v>73661010</v>
      </c>
      <c r="D34" s="17">
        <v>66513996</v>
      </c>
      <c r="E34" s="17">
        <v>75000000</v>
      </c>
      <c r="F34" s="55">
        <v>3553</v>
      </c>
      <c r="G34" s="31">
        <v>0</v>
      </c>
      <c r="H34" s="56">
        <v>0</v>
      </c>
      <c r="I34" s="56">
        <v>1</v>
      </c>
      <c r="J34" s="31" t="s">
        <v>91</v>
      </c>
      <c r="K34" s="31">
        <v>1</v>
      </c>
      <c r="L34" s="31">
        <v>0</v>
      </c>
      <c r="M34" s="31">
        <v>0</v>
      </c>
      <c r="N34" s="31" t="s">
        <v>75</v>
      </c>
      <c r="O34" s="31">
        <v>0</v>
      </c>
      <c r="P34" s="31">
        <v>68</v>
      </c>
      <c r="Q34" s="31">
        <v>1</v>
      </c>
      <c r="R34" s="31">
        <v>0</v>
      </c>
      <c r="S34" s="3">
        <f t="shared" si="0"/>
        <v>0</v>
      </c>
      <c r="T34" s="3">
        <f t="shared" si="1"/>
        <v>0</v>
      </c>
    </row>
    <row r="35" spans="1:20" ht="15" customHeight="1">
      <c r="A35" s="54" t="s">
        <v>15</v>
      </c>
      <c r="B35" s="55">
        <v>28309599</v>
      </c>
      <c r="C35" s="16">
        <v>80197993</v>
      </c>
      <c r="D35" s="17">
        <v>19057467</v>
      </c>
      <c r="E35" s="17">
        <v>35000000</v>
      </c>
      <c r="F35" s="55">
        <v>3070</v>
      </c>
      <c r="G35" s="31">
        <v>0</v>
      </c>
      <c r="H35" s="56">
        <v>0</v>
      </c>
      <c r="I35" s="56">
        <v>1</v>
      </c>
      <c r="J35" s="31" t="s">
        <v>84</v>
      </c>
      <c r="K35" s="31">
        <v>0</v>
      </c>
      <c r="L35" s="31">
        <v>0</v>
      </c>
      <c r="M35" s="31">
        <v>0</v>
      </c>
      <c r="N35" s="31" t="s">
        <v>75</v>
      </c>
      <c r="O35" s="31">
        <v>0</v>
      </c>
      <c r="P35" s="31">
        <v>52</v>
      </c>
      <c r="Q35" s="31">
        <v>0</v>
      </c>
      <c r="R35" s="31">
        <v>0</v>
      </c>
      <c r="S35" s="3">
        <f t="shared" si="0"/>
        <v>1</v>
      </c>
      <c r="T35" s="3">
        <f t="shared" si="1"/>
        <v>52</v>
      </c>
    </row>
    <row r="36" spans="1:20" ht="15" customHeight="1">
      <c r="A36" s="54" t="s">
        <v>39</v>
      </c>
      <c r="B36" s="55">
        <v>14503650</v>
      </c>
      <c r="C36" s="16">
        <v>47144110</v>
      </c>
      <c r="D36" s="17">
        <v>75345712</v>
      </c>
      <c r="E36" s="17">
        <v>25000000</v>
      </c>
      <c r="F36" s="55">
        <v>1995</v>
      </c>
      <c r="G36" s="31">
        <v>1</v>
      </c>
      <c r="H36" s="56">
        <v>0</v>
      </c>
      <c r="I36" s="56">
        <v>0</v>
      </c>
      <c r="J36" s="31" t="s">
        <v>84</v>
      </c>
      <c r="K36" s="31">
        <v>0</v>
      </c>
      <c r="L36" s="31">
        <v>0</v>
      </c>
      <c r="M36" s="31">
        <v>0</v>
      </c>
      <c r="N36" s="31" t="s">
        <v>75</v>
      </c>
      <c r="O36" s="31">
        <v>0</v>
      </c>
      <c r="P36" s="31">
        <v>59</v>
      </c>
      <c r="Q36" s="31">
        <v>0</v>
      </c>
      <c r="R36" s="31">
        <v>0</v>
      </c>
      <c r="S36" s="3">
        <f t="shared" si="0"/>
        <v>1</v>
      </c>
      <c r="T36" s="3">
        <f t="shared" si="1"/>
        <v>59</v>
      </c>
    </row>
    <row r="37" spans="1:20" ht="15" customHeight="1">
      <c r="A37" s="54" t="s">
        <v>72</v>
      </c>
      <c r="B37" s="55">
        <v>4120497</v>
      </c>
      <c r="C37" s="16">
        <v>13395961</v>
      </c>
      <c r="D37" s="17">
        <v>142621</v>
      </c>
      <c r="E37" s="17">
        <v>20000000</v>
      </c>
      <c r="F37" s="57">
        <v>909</v>
      </c>
      <c r="G37" s="31">
        <v>1</v>
      </c>
      <c r="H37" s="56">
        <v>0</v>
      </c>
      <c r="I37" s="56">
        <v>1</v>
      </c>
      <c r="J37" s="31" t="s">
        <v>83</v>
      </c>
      <c r="K37" s="31">
        <v>0</v>
      </c>
      <c r="L37" s="31">
        <v>0</v>
      </c>
      <c r="M37" s="31">
        <v>0</v>
      </c>
      <c r="N37" s="31" t="s">
        <v>75</v>
      </c>
      <c r="O37" s="31">
        <v>0</v>
      </c>
      <c r="P37" s="31">
        <v>38</v>
      </c>
      <c r="Q37" s="31">
        <v>0</v>
      </c>
      <c r="R37" s="31">
        <v>0</v>
      </c>
      <c r="S37" s="3">
        <f t="shared" si="0"/>
        <v>0</v>
      </c>
      <c r="T37" s="3">
        <f t="shared" si="1"/>
        <v>0</v>
      </c>
    </row>
    <row r="38" spans="1:20" ht="15" customHeight="1">
      <c r="A38" s="54" t="s">
        <v>12</v>
      </c>
      <c r="B38" s="55">
        <v>23624548</v>
      </c>
      <c r="C38" s="16">
        <v>84303558</v>
      </c>
      <c r="D38" s="17">
        <v>104784721</v>
      </c>
      <c r="E38" s="17">
        <v>85000000</v>
      </c>
      <c r="F38" s="55">
        <v>3833</v>
      </c>
      <c r="G38" s="31">
        <v>0</v>
      </c>
      <c r="H38" s="56">
        <v>0</v>
      </c>
      <c r="I38" s="56">
        <v>1</v>
      </c>
      <c r="J38" s="31" t="s">
        <v>80</v>
      </c>
      <c r="K38" s="31">
        <v>0</v>
      </c>
      <c r="L38" s="31">
        <v>0</v>
      </c>
      <c r="M38" s="31">
        <v>0</v>
      </c>
      <c r="N38" s="31" t="s">
        <v>75</v>
      </c>
      <c r="O38" s="31">
        <v>0</v>
      </c>
      <c r="P38" s="31">
        <v>49</v>
      </c>
      <c r="Q38" s="31">
        <v>0</v>
      </c>
      <c r="R38" s="31">
        <v>0</v>
      </c>
      <c r="S38" s="3">
        <f t="shared" si="0"/>
        <v>0</v>
      </c>
      <c r="T38" s="3">
        <f t="shared" si="1"/>
        <v>0</v>
      </c>
    </row>
    <row r="39" spans="1:20" ht="15" customHeight="1">
      <c r="A39" s="54" t="s">
        <v>65</v>
      </c>
      <c r="B39" s="55">
        <v>8203822</v>
      </c>
      <c r="C39" s="16">
        <v>20264436</v>
      </c>
      <c r="D39" s="17">
        <v>9507049</v>
      </c>
      <c r="E39" s="17">
        <v>20500000</v>
      </c>
      <c r="F39" s="55">
        <v>2323</v>
      </c>
      <c r="G39" s="31">
        <v>1</v>
      </c>
      <c r="H39" s="56">
        <v>0</v>
      </c>
      <c r="I39" s="56">
        <v>1</v>
      </c>
      <c r="J39" s="31" t="s">
        <v>85</v>
      </c>
      <c r="K39" s="31">
        <v>0</v>
      </c>
      <c r="L39" s="31">
        <v>1</v>
      </c>
      <c r="M39" s="31">
        <v>1</v>
      </c>
      <c r="N39" s="31" t="s">
        <v>74</v>
      </c>
      <c r="O39" s="31">
        <v>0</v>
      </c>
      <c r="P39" s="31">
        <v>27</v>
      </c>
      <c r="Q39" s="31">
        <v>0</v>
      </c>
      <c r="R39" s="31">
        <v>0</v>
      </c>
      <c r="S39" s="3">
        <f t="shared" si="0"/>
        <v>0</v>
      </c>
      <c r="T39" s="3">
        <f t="shared" si="1"/>
        <v>0</v>
      </c>
    </row>
    <row r="40" spans="1:20" ht="15" customHeight="1">
      <c r="A40" s="54" t="s">
        <v>23</v>
      </c>
      <c r="B40" s="55">
        <v>12158168</v>
      </c>
      <c r="C40" s="16">
        <v>70269899</v>
      </c>
      <c r="D40" s="17">
        <v>85418990</v>
      </c>
      <c r="E40" s="17">
        <v>24000000</v>
      </c>
      <c r="F40" s="55">
        <v>3017</v>
      </c>
      <c r="G40" s="31">
        <v>0</v>
      </c>
      <c r="H40" s="56">
        <v>1</v>
      </c>
      <c r="I40" s="56">
        <v>1</v>
      </c>
      <c r="J40" s="31" t="s">
        <v>83</v>
      </c>
      <c r="K40" s="31">
        <v>1</v>
      </c>
      <c r="L40" s="31">
        <v>0</v>
      </c>
      <c r="M40" s="31">
        <v>0</v>
      </c>
      <c r="N40" s="31" t="s">
        <v>75</v>
      </c>
      <c r="O40" s="31">
        <v>0</v>
      </c>
      <c r="P40" s="31">
        <v>63</v>
      </c>
      <c r="Q40" s="31">
        <v>0</v>
      </c>
      <c r="R40" s="31">
        <v>0</v>
      </c>
      <c r="S40" s="3">
        <f t="shared" si="0"/>
        <v>0</v>
      </c>
      <c r="T40" s="3">
        <f t="shared" si="1"/>
        <v>0</v>
      </c>
    </row>
    <row r="41" spans="1:20" ht="15" customHeight="1">
      <c r="A41" s="54" t="s">
        <v>20</v>
      </c>
      <c r="B41" s="55">
        <v>16414767</v>
      </c>
      <c r="C41" s="16">
        <v>71726025</v>
      </c>
      <c r="D41" s="17">
        <v>15802148</v>
      </c>
      <c r="E41" s="17">
        <v>50000000</v>
      </c>
      <c r="F41" s="55">
        <v>3639</v>
      </c>
      <c r="G41" s="31">
        <v>0</v>
      </c>
      <c r="H41" s="56">
        <v>0</v>
      </c>
      <c r="I41" s="56">
        <v>0</v>
      </c>
      <c r="J41" s="31" t="s">
        <v>84</v>
      </c>
      <c r="K41" s="31">
        <v>0</v>
      </c>
      <c r="L41" s="31">
        <v>0</v>
      </c>
      <c r="M41" s="31">
        <v>0</v>
      </c>
      <c r="N41" s="31" t="s">
        <v>75</v>
      </c>
      <c r="O41" s="31">
        <v>0</v>
      </c>
      <c r="P41" s="31">
        <v>33</v>
      </c>
      <c r="Q41" s="31">
        <v>0</v>
      </c>
      <c r="R41" s="31">
        <v>0</v>
      </c>
      <c r="S41" s="3">
        <f t="shared" si="0"/>
        <v>1</v>
      </c>
      <c r="T41" s="3">
        <f t="shared" si="1"/>
        <v>33</v>
      </c>
    </row>
    <row r="42" spans="1:20" ht="15" customHeight="1">
      <c r="A42" s="54" t="s">
        <v>9</v>
      </c>
      <c r="B42" s="55">
        <v>40222875</v>
      </c>
      <c r="C42" s="16">
        <v>90710620</v>
      </c>
      <c r="D42" s="17">
        <v>87552000</v>
      </c>
      <c r="E42" s="17">
        <v>45000000</v>
      </c>
      <c r="F42" s="55">
        <v>3602</v>
      </c>
      <c r="G42" s="31">
        <v>0</v>
      </c>
      <c r="H42" s="56">
        <v>1</v>
      </c>
      <c r="I42" s="56">
        <v>1</v>
      </c>
      <c r="J42" s="31" t="s">
        <v>87</v>
      </c>
      <c r="K42" s="31">
        <v>1</v>
      </c>
      <c r="L42" s="31">
        <v>0</v>
      </c>
      <c r="M42" s="31">
        <v>0</v>
      </c>
      <c r="N42" s="31" t="s">
        <v>74</v>
      </c>
      <c r="O42" s="31">
        <v>0</v>
      </c>
      <c r="P42" s="31">
        <v>40</v>
      </c>
      <c r="Q42" s="31">
        <v>0</v>
      </c>
      <c r="R42" s="31">
        <v>0</v>
      </c>
      <c r="S42" s="3">
        <f t="shared" si="0"/>
        <v>0</v>
      </c>
      <c r="T42" s="3">
        <f t="shared" si="1"/>
        <v>0</v>
      </c>
    </row>
    <row r="43" spans="1:20" ht="15" customHeight="1">
      <c r="A43" s="54" t="s">
        <v>67</v>
      </c>
      <c r="B43" s="55">
        <v>8602333</v>
      </c>
      <c r="C43" s="16">
        <v>17807569</v>
      </c>
      <c r="D43" s="17">
        <v>5826190</v>
      </c>
      <c r="E43" s="17">
        <v>35000000</v>
      </c>
      <c r="F43" s="55">
        <v>3004</v>
      </c>
      <c r="G43" s="31">
        <v>1</v>
      </c>
      <c r="H43" s="56">
        <v>0</v>
      </c>
      <c r="I43" s="56">
        <v>1</v>
      </c>
      <c r="J43" s="31" t="s">
        <v>84</v>
      </c>
      <c r="K43" s="31">
        <v>1</v>
      </c>
      <c r="L43" s="31">
        <v>0</v>
      </c>
      <c r="M43" s="31">
        <v>0</v>
      </c>
      <c r="N43" s="31" t="s">
        <v>74</v>
      </c>
      <c r="O43" s="31">
        <v>0</v>
      </c>
      <c r="P43" s="31">
        <v>44</v>
      </c>
      <c r="Q43" s="31">
        <v>0</v>
      </c>
      <c r="R43" s="31">
        <v>0</v>
      </c>
      <c r="S43" s="3">
        <f t="shared" si="0"/>
        <v>1</v>
      </c>
      <c r="T43" s="3">
        <f t="shared" si="1"/>
        <v>44</v>
      </c>
    </row>
    <row r="44" spans="1:20" ht="15" customHeight="1">
      <c r="A44" s="54" t="s">
        <v>55</v>
      </c>
      <c r="B44" s="55">
        <v>10730372</v>
      </c>
      <c r="C44" s="16">
        <v>33741133</v>
      </c>
      <c r="D44" s="17">
        <v>23453534</v>
      </c>
      <c r="E44" s="17">
        <v>20000000</v>
      </c>
      <c r="F44" s="55">
        <v>2623</v>
      </c>
      <c r="G44" s="31">
        <v>1</v>
      </c>
      <c r="H44" s="56">
        <v>0</v>
      </c>
      <c r="I44" s="56">
        <v>1</v>
      </c>
      <c r="J44" s="31" t="s">
        <v>84</v>
      </c>
      <c r="K44" s="31">
        <v>0</v>
      </c>
      <c r="L44" s="31">
        <v>0</v>
      </c>
      <c r="M44" s="31">
        <v>0</v>
      </c>
      <c r="N44" s="31" t="s">
        <v>74</v>
      </c>
      <c r="O44" s="31">
        <v>0</v>
      </c>
      <c r="P44" s="31">
        <v>45</v>
      </c>
      <c r="Q44" s="31">
        <v>0</v>
      </c>
      <c r="R44" s="31">
        <v>0</v>
      </c>
      <c r="S44" s="3">
        <f t="shared" si="0"/>
        <v>1</v>
      </c>
      <c r="T44" s="3">
        <f t="shared" si="1"/>
        <v>45</v>
      </c>
    </row>
    <row r="45" spans="1:20" ht="15" customHeight="1">
      <c r="A45" s="54" t="s">
        <v>40</v>
      </c>
      <c r="B45" s="55">
        <v>20152598</v>
      </c>
      <c r="C45" s="16">
        <v>46982632</v>
      </c>
      <c r="D45" s="17">
        <v>50624821</v>
      </c>
      <c r="E45" s="17">
        <v>50000000</v>
      </c>
      <c r="F45" s="55">
        <v>2926</v>
      </c>
      <c r="G45" s="31">
        <v>1</v>
      </c>
      <c r="H45" s="56">
        <v>0</v>
      </c>
      <c r="I45" s="56">
        <v>0</v>
      </c>
      <c r="J45" s="31" t="s">
        <v>85</v>
      </c>
      <c r="K45" s="31">
        <v>0</v>
      </c>
      <c r="L45" s="31">
        <v>1</v>
      </c>
      <c r="M45" s="31">
        <v>1</v>
      </c>
      <c r="N45" s="31" t="s">
        <v>77</v>
      </c>
      <c r="O45" s="31">
        <v>1</v>
      </c>
      <c r="P45" s="31">
        <v>30</v>
      </c>
      <c r="Q45" s="31">
        <v>0</v>
      </c>
      <c r="R45" s="31">
        <v>0</v>
      </c>
      <c r="S45" s="3">
        <f t="shared" si="0"/>
        <v>0</v>
      </c>
      <c r="T45" s="3">
        <f t="shared" si="1"/>
        <v>0</v>
      </c>
    </row>
    <row r="46" spans="1:20" ht="15" customHeight="1">
      <c r="A46" s="54" t="s">
        <v>54</v>
      </c>
      <c r="B46" s="55">
        <v>13806311</v>
      </c>
      <c r="C46" s="16">
        <v>34020814</v>
      </c>
      <c r="D46" s="17">
        <v>28001200</v>
      </c>
      <c r="E46" s="17">
        <v>33000000</v>
      </c>
      <c r="F46" s="55">
        <v>3555</v>
      </c>
      <c r="G46" s="31">
        <v>0</v>
      </c>
      <c r="H46" s="56">
        <v>0</v>
      </c>
      <c r="I46" s="56">
        <v>1</v>
      </c>
      <c r="J46" s="31" t="s">
        <v>81</v>
      </c>
      <c r="K46" s="31">
        <v>1</v>
      </c>
      <c r="L46" s="31">
        <v>0</v>
      </c>
      <c r="M46" s="31">
        <v>0</v>
      </c>
      <c r="N46" s="31" t="s">
        <v>77</v>
      </c>
      <c r="O46" s="31">
        <v>1</v>
      </c>
      <c r="P46" s="31">
        <v>58</v>
      </c>
      <c r="Q46" s="31">
        <v>0</v>
      </c>
      <c r="R46" s="31">
        <v>0</v>
      </c>
      <c r="S46" s="3">
        <f t="shared" si="0"/>
        <v>0</v>
      </c>
      <c r="T46" s="3">
        <f t="shared" si="1"/>
        <v>0</v>
      </c>
    </row>
    <row r="47" spans="1:20" ht="15" customHeight="1">
      <c r="A47" s="54" t="s">
        <v>61</v>
      </c>
      <c r="B47" s="55">
        <v>10726406</v>
      </c>
      <c r="C47" s="16">
        <v>23086480</v>
      </c>
      <c r="D47" s="17">
        <v>4018615</v>
      </c>
      <c r="E47" s="17">
        <v>20000000</v>
      </c>
      <c r="F47" s="55">
        <v>2009</v>
      </c>
      <c r="G47" s="31">
        <v>0</v>
      </c>
      <c r="H47" s="56">
        <v>0</v>
      </c>
      <c r="I47" s="56">
        <v>1</v>
      </c>
      <c r="J47" s="31" t="s">
        <v>85</v>
      </c>
      <c r="K47" s="31">
        <v>0</v>
      </c>
      <c r="L47" s="31">
        <v>0</v>
      </c>
      <c r="M47" s="31">
        <v>0</v>
      </c>
      <c r="N47" s="31" t="s">
        <v>74</v>
      </c>
      <c r="O47" s="31">
        <v>0</v>
      </c>
      <c r="P47" s="31">
        <v>24</v>
      </c>
      <c r="Q47" s="31">
        <v>0</v>
      </c>
      <c r="R47" s="31">
        <v>0</v>
      </c>
      <c r="S47" s="3">
        <f t="shared" si="0"/>
        <v>0</v>
      </c>
      <c r="T47" s="3">
        <f t="shared" si="1"/>
        <v>0</v>
      </c>
    </row>
    <row r="48" spans="1:20" ht="15" customHeight="1">
      <c r="A48" s="54" t="s">
        <v>58</v>
      </c>
      <c r="B48" s="55">
        <v>10803610</v>
      </c>
      <c r="C48" s="16">
        <v>26910736</v>
      </c>
      <c r="D48" s="17">
        <v>5066112</v>
      </c>
      <c r="E48" s="17">
        <v>20000000</v>
      </c>
      <c r="F48" s="55">
        <v>2038</v>
      </c>
      <c r="G48" s="31">
        <v>0</v>
      </c>
      <c r="H48" s="56">
        <v>0</v>
      </c>
      <c r="I48" s="56">
        <v>1</v>
      </c>
      <c r="J48" s="31" t="s">
        <v>82</v>
      </c>
      <c r="K48" s="31">
        <v>0</v>
      </c>
      <c r="L48" s="31">
        <v>0</v>
      </c>
      <c r="M48" s="31">
        <v>0</v>
      </c>
      <c r="N48" s="31" t="s">
        <v>74</v>
      </c>
      <c r="O48" s="31">
        <v>0</v>
      </c>
      <c r="P48" s="31">
        <v>53</v>
      </c>
      <c r="Q48" s="31">
        <v>0</v>
      </c>
      <c r="R48" s="31">
        <v>0</v>
      </c>
      <c r="S48" s="3">
        <f t="shared" si="0"/>
        <v>0</v>
      </c>
      <c r="T48" s="3">
        <f t="shared" si="1"/>
        <v>0</v>
      </c>
    </row>
    <row r="49" spans="1:20" ht="15" customHeight="1">
      <c r="A49" s="54" t="s">
        <v>42</v>
      </c>
      <c r="B49" s="55">
        <v>13411093</v>
      </c>
      <c r="C49" s="16">
        <v>40435190</v>
      </c>
      <c r="D49" s="17">
        <v>12992229</v>
      </c>
      <c r="E49" s="17">
        <v>30000000</v>
      </c>
      <c r="F49" s="55">
        <v>2264</v>
      </c>
      <c r="G49" s="31">
        <v>0</v>
      </c>
      <c r="H49" s="56">
        <v>0</v>
      </c>
      <c r="I49" s="56">
        <v>1</v>
      </c>
      <c r="J49" s="31" t="s">
        <v>84</v>
      </c>
      <c r="K49" s="31">
        <v>1</v>
      </c>
      <c r="L49" s="31">
        <v>0</v>
      </c>
      <c r="M49" s="31">
        <v>0</v>
      </c>
      <c r="N49" s="31" t="s">
        <v>75</v>
      </c>
      <c r="O49" s="31">
        <v>0</v>
      </c>
      <c r="P49" s="31">
        <v>67</v>
      </c>
      <c r="Q49" s="31">
        <v>0</v>
      </c>
      <c r="R49" s="31">
        <v>0</v>
      </c>
      <c r="S49" s="3">
        <f t="shared" si="0"/>
        <v>1</v>
      </c>
      <c r="T49" s="3">
        <f t="shared" si="1"/>
        <v>67</v>
      </c>
    </row>
    <row r="50" spans="1:20" ht="15" customHeight="1">
      <c r="A50" s="54" t="s">
        <v>52</v>
      </c>
      <c r="B50" s="55">
        <v>12051277</v>
      </c>
      <c r="C50" s="16">
        <v>34742066</v>
      </c>
      <c r="D50" s="17">
        <v>31000312</v>
      </c>
      <c r="E50" s="17">
        <v>30000000</v>
      </c>
      <c r="F50" s="55">
        <v>3009</v>
      </c>
      <c r="G50" s="31">
        <v>0</v>
      </c>
      <c r="H50" s="56">
        <v>0</v>
      </c>
      <c r="I50" s="56">
        <v>1</v>
      </c>
      <c r="J50" s="31" t="s">
        <v>83</v>
      </c>
      <c r="K50" s="31">
        <v>0</v>
      </c>
      <c r="L50" s="31">
        <v>0</v>
      </c>
      <c r="M50" s="31">
        <v>0</v>
      </c>
      <c r="N50" s="31" t="s">
        <v>74</v>
      </c>
      <c r="O50" s="31">
        <v>0</v>
      </c>
      <c r="P50" s="31">
        <v>55</v>
      </c>
      <c r="Q50" s="31">
        <v>0</v>
      </c>
      <c r="R50" s="31">
        <v>0</v>
      </c>
      <c r="S50" s="3">
        <f t="shared" si="0"/>
        <v>0</v>
      </c>
      <c r="T50" s="3">
        <f t="shared" si="1"/>
        <v>0</v>
      </c>
    </row>
    <row r="51" spans="1:20" ht="15" customHeight="1">
      <c r="A51" s="54" t="s">
        <v>3</v>
      </c>
      <c r="B51" s="55">
        <v>47042215</v>
      </c>
      <c r="C51" s="16">
        <v>148213377</v>
      </c>
      <c r="D51" s="17">
        <v>14752800</v>
      </c>
      <c r="E51" s="17">
        <v>72500000</v>
      </c>
      <c r="F51" s="55">
        <v>3803</v>
      </c>
      <c r="G51" s="31">
        <v>0</v>
      </c>
      <c r="H51" s="56">
        <v>0</v>
      </c>
      <c r="I51" s="56">
        <v>1</v>
      </c>
      <c r="J51" s="31" t="s">
        <v>84</v>
      </c>
      <c r="K51" s="31">
        <v>0</v>
      </c>
      <c r="L51" s="31">
        <v>0</v>
      </c>
      <c r="M51" s="31">
        <v>0</v>
      </c>
      <c r="N51" s="31" t="s">
        <v>74</v>
      </c>
      <c r="O51" s="31">
        <v>0</v>
      </c>
      <c r="P51" s="31">
        <v>66</v>
      </c>
      <c r="Q51" s="31">
        <v>0</v>
      </c>
      <c r="R51" s="31">
        <v>0</v>
      </c>
      <c r="S51" s="3">
        <f t="shared" si="0"/>
        <v>1</v>
      </c>
      <c r="T51" s="3">
        <f t="shared" si="1"/>
        <v>66</v>
      </c>
    </row>
    <row r="52" spans="1:20" ht="15" customHeight="1">
      <c r="A52" s="54" t="s">
        <v>57</v>
      </c>
      <c r="B52" s="55">
        <v>8432465</v>
      </c>
      <c r="C52" s="16">
        <v>28142535</v>
      </c>
      <c r="D52" s="17">
        <v>27038594</v>
      </c>
      <c r="E52" s="17">
        <v>50000000</v>
      </c>
      <c r="F52" s="55">
        <v>3050</v>
      </c>
      <c r="G52" s="31">
        <v>1</v>
      </c>
      <c r="H52" s="56">
        <v>0</v>
      </c>
      <c r="I52" s="56">
        <v>1</v>
      </c>
      <c r="J52" s="31" t="s">
        <v>80</v>
      </c>
      <c r="K52" s="31">
        <v>0</v>
      </c>
      <c r="L52" s="31">
        <v>0</v>
      </c>
      <c r="M52" s="31">
        <v>0</v>
      </c>
      <c r="N52" s="31" t="s">
        <v>75</v>
      </c>
      <c r="O52" s="31">
        <v>0</v>
      </c>
      <c r="P52" s="31">
        <v>59</v>
      </c>
      <c r="Q52" s="31">
        <v>0</v>
      </c>
      <c r="R52" s="31">
        <v>0</v>
      </c>
      <c r="S52" s="3">
        <f t="shared" si="0"/>
        <v>0</v>
      </c>
      <c r="T52" s="3">
        <f t="shared" si="1"/>
        <v>0</v>
      </c>
    </row>
    <row r="53" spans="1:20" ht="15" customHeight="1">
      <c r="A53" s="54" t="s">
        <v>29</v>
      </c>
      <c r="B53" s="55">
        <v>19656429</v>
      </c>
      <c r="C53" s="16">
        <v>59843754</v>
      </c>
      <c r="D53" s="17">
        <v>5113537</v>
      </c>
      <c r="E53" s="17">
        <v>33000000</v>
      </c>
      <c r="F53" s="55">
        <v>3274</v>
      </c>
      <c r="G53" s="31">
        <v>0</v>
      </c>
      <c r="H53" s="56">
        <v>0</v>
      </c>
      <c r="I53" s="56">
        <v>1</v>
      </c>
      <c r="J53" s="31" t="s">
        <v>84</v>
      </c>
      <c r="K53" s="31">
        <v>0</v>
      </c>
      <c r="L53" s="31">
        <v>0</v>
      </c>
      <c r="M53" s="31">
        <v>0</v>
      </c>
      <c r="N53" s="31" t="s">
        <v>74</v>
      </c>
      <c r="O53" s="31">
        <v>0</v>
      </c>
      <c r="P53" s="31">
        <v>25</v>
      </c>
      <c r="Q53" s="31">
        <v>0</v>
      </c>
      <c r="R53" s="31">
        <v>0</v>
      </c>
      <c r="S53" s="3">
        <f t="shared" si="0"/>
        <v>1</v>
      </c>
      <c r="T53" s="3">
        <f t="shared" si="1"/>
        <v>25</v>
      </c>
    </row>
    <row r="54" spans="1:20" ht="15" customHeight="1">
      <c r="A54" s="54" t="s">
        <v>62</v>
      </c>
      <c r="B54" s="55">
        <v>10005895</v>
      </c>
      <c r="C54" s="16">
        <v>22545080</v>
      </c>
      <c r="D54" s="17">
        <v>26698333</v>
      </c>
      <c r="E54" s="17">
        <v>50000000</v>
      </c>
      <c r="F54" s="55">
        <v>2226</v>
      </c>
      <c r="G54" s="31">
        <v>1</v>
      </c>
      <c r="H54" s="56">
        <v>0</v>
      </c>
      <c r="I54" s="56">
        <v>0</v>
      </c>
      <c r="J54" s="31" t="s">
        <v>83</v>
      </c>
      <c r="K54" s="31">
        <v>0</v>
      </c>
      <c r="L54" s="31">
        <v>0</v>
      </c>
      <c r="M54" s="31">
        <v>0</v>
      </c>
      <c r="N54" s="31" t="s">
        <v>77</v>
      </c>
      <c r="O54" s="31">
        <v>1</v>
      </c>
      <c r="P54" s="31">
        <v>49</v>
      </c>
      <c r="Q54" s="31">
        <v>1</v>
      </c>
      <c r="R54" s="31">
        <v>0</v>
      </c>
      <c r="S54" s="3">
        <f t="shared" si="0"/>
        <v>0</v>
      </c>
      <c r="T54" s="3">
        <f t="shared" si="1"/>
        <v>0</v>
      </c>
    </row>
    <row r="55" spans="1:20" ht="15" customHeight="1">
      <c r="A55" s="54" t="s">
        <v>7</v>
      </c>
      <c r="B55" s="55">
        <v>39172785</v>
      </c>
      <c r="C55" s="16">
        <v>118703275</v>
      </c>
      <c r="D55" s="17">
        <v>86259809</v>
      </c>
      <c r="E55" s="17">
        <v>52000000</v>
      </c>
      <c r="F55" s="55">
        <v>3070</v>
      </c>
      <c r="G55" s="31">
        <v>0</v>
      </c>
      <c r="H55" s="56">
        <v>0</v>
      </c>
      <c r="I55" s="56">
        <v>1</v>
      </c>
      <c r="J55" s="31" t="s">
        <v>84</v>
      </c>
      <c r="K55" s="31">
        <v>0</v>
      </c>
      <c r="L55" s="31">
        <v>0</v>
      </c>
      <c r="M55" s="31">
        <v>0</v>
      </c>
      <c r="N55" s="31" t="s">
        <v>74</v>
      </c>
      <c r="O55" s="31">
        <v>0</v>
      </c>
      <c r="P55" s="31">
        <v>45</v>
      </c>
      <c r="Q55" s="31">
        <v>0</v>
      </c>
      <c r="R55" s="31">
        <v>0</v>
      </c>
      <c r="S55" s="3">
        <f t="shared" si="0"/>
        <v>1</v>
      </c>
      <c r="T55" s="3">
        <f t="shared" si="1"/>
        <v>45</v>
      </c>
    </row>
    <row r="56" spans="1:20" ht="15" customHeight="1">
      <c r="A56" s="54" t="s">
        <v>60</v>
      </c>
      <c r="B56" s="55">
        <v>8852458</v>
      </c>
      <c r="C56" s="16">
        <v>23380495</v>
      </c>
      <c r="D56" s="17">
        <v>14216976</v>
      </c>
      <c r="E56" s="17">
        <v>20000000</v>
      </c>
      <c r="F56" s="55">
        <v>2681</v>
      </c>
      <c r="G56" s="31">
        <v>0</v>
      </c>
      <c r="H56" s="56">
        <v>0</v>
      </c>
      <c r="I56" s="56">
        <v>1</v>
      </c>
      <c r="J56" s="31" t="s">
        <v>85</v>
      </c>
      <c r="K56" s="31">
        <v>0</v>
      </c>
      <c r="L56" s="31">
        <v>0</v>
      </c>
      <c r="M56" s="31">
        <v>0</v>
      </c>
      <c r="N56" s="31" t="s">
        <v>74</v>
      </c>
      <c r="O56" s="31">
        <v>0</v>
      </c>
      <c r="P56" s="31">
        <v>19</v>
      </c>
      <c r="Q56" s="31">
        <v>0</v>
      </c>
      <c r="R56" s="31">
        <v>0</v>
      </c>
      <c r="S56" s="3">
        <f t="shared" si="0"/>
        <v>0</v>
      </c>
      <c r="T56" s="3">
        <f t="shared" si="1"/>
        <v>0</v>
      </c>
    </row>
    <row r="57" spans="1:20" ht="15" customHeight="1">
      <c r="A57" s="54" t="s">
        <v>5</v>
      </c>
      <c r="B57" s="55">
        <v>26887467</v>
      </c>
      <c r="C57" s="16">
        <v>132384315</v>
      </c>
      <c r="D57" s="17">
        <v>157463039</v>
      </c>
      <c r="E57" s="17">
        <v>90000000</v>
      </c>
      <c r="F57" s="55">
        <v>3017</v>
      </c>
      <c r="G57" s="31">
        <v>1</v>
      </c>
      <c r="H57" s="56">
        <v>0</v>
      </c>
      <c r="I57" s="56">
        <v>1</v>
      </c>
      <c r="J57" s="31" t="s">
        <v>83</v>
      </c>
      <c r="K57" s="31">
        <v>0</v>
      </c>
      <c r="L57" s="31">
        <v>0</v>
      </c>
      <c r="M57" s="31">
        <v>1</v>
      </c>
      <c r="N57" s="31" t="s">
        <v>77</v>
      </c>
      <c r="O57" s="31">
        <v>1</v>
      </c>
      <c r="P57" s="31">
        <v>86</v>
      </c>
      <c r="Q57" s="31">
        <v>5</v>
      </c>
      <c r="R57" s="31">
        <v>4</v>
      </c>
      <c r="S57" s="3">
        <f t="shared" si="0"/>
        <v>0</v>
      </c>
      <c r="T57" s="3">
        <f t="shared" si="1"/>
        <v>0</v>
      </c>
    </row>
    <row r="58" spans="1:20" ht="15" customHeight="1">
      <c r="A58" s="54" t="s">
        <v>6</v>
      </c>
      <c r="B58" s="55">
        <v>27537244</v>
      </c>
      <c r="C58" s="16">
        <v>124740460</v>
      </c>
      <c r="D58" s="17">
        <v>201568618</v>
      </c>
      <c r="E58" s="17">
        <v>35000000</v>
      </c>
      <c r="F58" s="55">
        <v>2847</v>
      </c>
      <c r="G58" s="31">
        <v>1</v>
      </c>
      <c r="H58" s="56">
        <v>0</v>
      </c>
      <c r="I58" s="56">
        <v>1</v>
      </c>
      <c r="J58" s="31" t="s">
        <v>84</v>
      </c>
      <c r="K58" s="31">
        <v>0</v>
      </c>
      <c r="L58" s="31">
        <v>0</v>
      </c>
      <c r="M58" s="31">
        <v>0</v>
      </c>
      <c r="N58" s="31" t="s">
        <v>74</v>
      </c>
      <c r="O58" s="31">
        <v>0</v>
      </c>
      <c r="P58" s="31">
        <v>62</v>
      </c>
      <c r="Q58" s="31">
        <v>2</v>
      </c>
      <c r="R58" s="31">
        <v>0</v>
      </c>
      <c r="S58" s="3">
        <f t="shared" si="0"/>
        <v>1</v>
      </c>
      <c r="T58" s="3">
        <f t="shared" si="1"/>
        <v>62</v>
      </c>
    </row>
    <row r="59" spans="1:20" ht="15" customHeight="1">
      <c r="A59" s="54" t="s">
        <v>43</v>
      </c>
      <c r="B59" s="55">
        <v>20825300</v>
      </c>
      <c r="C59" s="16">
        <v>39143839</v>
      </c>
      <c r="D59" s="17">
        <v>31567336</v>
      </c>
      <c r="E59" s="17">
        <v>20000000</v>
      </c>
      <c r="F59" s="55">
        <v>3211</v>
      </c>
      <c r="G59" s="31">
        <v>0</v>
      </c>
      <c r="H59" s="56">
        <v>1</v>
      </c>
      <c r="I59" s="56">
        <v>0</v>
      </c>
      <c r="J59" s="31" t="s">
        <v>85</v>
      </c>
      <c r="K59" s="31">
        <v>1</v>
      </c>
      <c r="L59" s="31">
        <v>0</v>
      </c>
      <c r="M59" s="31">
        <v>0</v>
      </c>
      <c r="N59" s="31" t="s">
        <v>74</v>
      </c>
      <c r="O59" s="31">
        <v>0</v>
      </c>
      <c r="P59" s="31">
        <v>33</v>
      </c>
      <c r="Q59" s="31">
        <v>0</v>
      </c>
      <c r="R59" s="31">
        <v>0</v>
      </c>
      <c r="S59" s="3">
        <f t="shared" si="0"/>
        <v>0</v>
      </c>
      <c r="T59" s="3">
        <f t="shared" si="1"/>
        <v>0</v>
      </c>
    </row>
    <row r="60" spans="1:20" ht="15" customHeight="1">
      <c r="A60" s="54" t="s">
        <v>26</v>
      </c>
      <c r="B60" s="55">
        <v>12778913</v>
      </c>
      <c r="C60" s="16">
        <v>63224849</v>
      </c>
      <c r="D60" s="17">
        <v>141910326</v>
      </c>
      <c r="E60" s="17">
        <v>85000000</v>
      </c>
      <c r="F60" s="55">
        <v>2610</v>
      </c>
      <c r="G60" s="31">
        <v>0</v>
      </c>
      <c r="H60" s="56">
        <v>0</v>
      </c>
      <c r="I60" s="56">
        <v>1</v>
      </c>
      <c r="J60" s="31" t="s">
        <v>84</v>
      </c>
      <c r="K60" s="31">
        <v>1</v>
      </c>
      <c r="L60" s="31">
        <v>1</v>
      </c>
      <c r="M60" s="31">
        <v>0</v>
      </c>
      <c r="N60" s="31" t="s">
        <v>74</v>
      </c>
      <c r="O60" s="31">
        <v>0</v>
      </c>
      <c r="P60" s="31">
        <v>52</v>
      </c>
      <c r="Q60" s="31">
        <v>0</v>
      </c>
      <c r="R60" s="31">
        <v>0</v>
      </c>
      <c r="S60" s="3">
        <f t="shared" si="0"/>
        <v>1</v>
      </c>
      <c r="T60" s="3">
        <f t="shared" si="1"/>
        <v>52</v>
      </c>
    </row>
    <row r="61" spans="1:20" ht="15" customHeight="1">
      <c r="A61" s="54" t="s">
        <v>36</v>
      </c>
      <c r="B61" s="55">
        <v>13616196</v>
      </c>
      <c r="C61" s="16">
        <v>52330111</v>
      </c>
      <c r="D61" s="17">
        <v>62500000</v>
      </c>
      <c r="E61" s="17">
        <v>40000000</v>
      </c>
      <c r="F61" s="55">
        <v>2645</v>
      </c>
      <c r="G61" s="31">
        <v>1</v>
      </c>
      <c r="H61" s="56">
        <v>0</v>
      </c>
      <c r="I61" s="56">
        <v>1</v>
      </c>
      <c r="J61" s="31" t="s">
        <v>83</v>
      </c>
      <c r="K61" s="31">
        <v>1</v>
      </c>
      <c r="L61" s="31">
        <v>0</v>
      </c>
      <c r="M61" s="31">
        <v>0</v>
      </c>
      <c r="N61" s="31" t="s">
        <v>75</v>
      </c>
      <c r="O61" s="31">
        <v>0</v>
      </c>
      <c r="P61" s="31">
        <v>52</v>
      </c>
      <c r="Q61" s="31">
        <v>0</v>
      </c>
      <c r="R61" s="31">
        <v>0</v>
      </c>
      <c r="S61" s="3">
        <f t="shared" si="0"/>
        <v>0</v>
      </c>
      <c r="T61" s="3">
        <f t="shared" si="1"/>
        <v>0</v>
      </c>
    </row>
    <row r="62" spans="1:20" ht="15" customHeight="1">
      <c r="A62" s="54" t="s">
        <v>46</v>
      </c>
      <c r="B62" s="55">
        <v>7849304</v>
      </c>
      <c r="C62" s="16">
        <v>37629831</v>
      </c>
      <c r="D62" s="17">
        <v>8799560</v>
      </c>
      <c r="E62" s="17">
        <v>35000000</v>
      </c>
      <c r="F62" s="55">
        <v>3083</v>
      </c>
      <c r="G62" s="31">
        <v>1</v>
      </c>
      <c r="H62" s="56">
        <v>0</v>
      </c>
      <c r="I62" s="56">
        <v>1</v>
      </c>
      <c r="J62" s="31" t="s">
        <v>83</v>
      </c>
      <c r="K62" s="31">
        <v>0</v>
      </c>
      <c r="L62" s="31">
        <v>0</v>
      </c>
      <c r="M62" s="31">
        <v>0</v>
      </c>
      <c r="N62" s="31" t="s">
        <v>75</v>
      </c>
      <c r="O62" s="31">
        <v>0</v>
      </c>
      <c r="P62" s="31">
        <v>52</v>
      </c>
      <c r="Q62" s="31">
        <v>0</v>
      </c>
      <c r="R62" s="31">
        <v>0</v>
      </c>
      <c r="S62" s="3">
        <f t="shared" si="0"/>
        <v>0</v>
      </c>
      <c r="T62" s="3">
        <f t="shared" si="1"/>
        <v>0</v>
      </c>
    </row>
    <row r="63" spans="1:20" ht="15" customHeight="1">
      <c r="A63" s="54" t="s">
        <v>33</v>
      </c>
      <c r="B63" s="55">
        <v>16026496</v>
      </c>
      <c r="C63" s="16">
        <v>54607383</v>
      </c>
      <c r="D63" s="17">
        <v>64891526</v>
      </c>
      <c r="E63" s="17">
        <v>25000000</v>
      </c>
      <c r="F63" s="55">
        <v>2723</v>
      </c>
      <c r="G63" s="31">
        <v>1</v>
      </c>
      <c r="H63" s="56">
        <v>0</v>
      </c>
      <c r="I63" s="56">
        <v>1</v>
      </c>
      <c r="J63" s="31" t="s">
        <v>85</v>
      </c>
      <c r="K63" s="31">
        <v>0</v>
      </c>
      <c r="L63" s="31">
        <v>0</v>
      </c>
      <c r="M63" s="31">
        <v>0</v>
      </c>
      <c r="N63" s="31" t="s">
        <v>77</v>
      </c>
      <c r="O63" s="31">
        <v>1</v>
      </c>
      <c r="P63" s="31">
        <v>43</v>
      </c>
      <c r="Q63" s="31">
        <v>0</v>
      </c>
      <c r="R63" s="31">
        <v>0</v>
      </c>
      <c r="S63" s="3">
        <f t="shared" si="0"/>
        <v>0</v>
      </c>
      <c r="T63" s="3">
        <f t="shared" si="1"/>
        <v>0</v>
      </c>
    </row>
    <row r="64" spans="1:20" ht="15" customHeight="1">
      <c r="A64" s="54" t="s">
        <v>13</v>
      </c>
      <c r="B64" s="55">
        <v>20220412</v>
      </c>
      <c r="C64" s="16">
        <v>82226474</v>
      </c>
      <c r="D64" s="17">
        <v>76624883</v>
      </c>
      <c r="E64" s="17">
        <v>80000000</v>
      </c>
      <c r="F64" s="55">
        <v>3477</v>
      </c>
      <c r="G64" s="31">
        <v>1</v>
      </c>
      <c r="H64" s="56">
        <v>1</v>
      </c>
      <c r="I64" s="56">
        <v>1</v>
      </c>
      <c r="J64" s="31" t="s">
        <v>84</v>
      </c>
      <c r="K64" s="31">
        <v>0</v>
      </c>
      <c r="L64" s="31">
        <v>0</v>
      </c>
      <c r="M64" s="31">
        <v>0</v>
      </c>
      <c r="N64" s="31" t="s">
        <v>75</v>
      </c>
      <c r="O64" s="31">
        <v>0</v>
      </c>
      <c r="P64" s="31">
        <v>38</v>
      </c>
      <c r="Q64" s="31">
        <v>0</v>
      </c>
      <c r="R64" s="31">
        <v>0</v>
      </c>
      <c r="S64" s="3">
        <f t="shared" si="0"/>
        <v>1</v>
      </c>
      <c r="T64" s="3">
        <f t="shared" si="1"/>
        <v>38</v>
      </c>
    </row>
    <row r="65" spans="1:20" ht="15" customHeight="1">
      <c r="A65" s="54" t="s">
        <v>35</v>
      </c>
      <c r="B65" s="55">
        <v>14801808</v>
      </c>
      <c r="C65" s="16">
        <v>53089891</v>
      </c>
      <c r="D65" s="17">
        <v>56586420</v>
      </c>
      <c r="E65" s="17">
        <v>40000000</v>
      </c>
      <c r="F65" s="55">
        <v>2281</v>
      </c>
      <c r="G65" s="31">
        <v>1</v>
      </c>
      <c r="H65" s="56">
        <v>0</v>
      </c>
      <c r="I65" s="56">
        <v>1</v>
      </c>
      <c r="J65" s="31" t="s">
        <v>83</v>
      </c>
      <c r="K65" s="31">
        <v>0</v>
      </c>
      <c r="L65" s="31">
        <v>0</v>
      </c>
      <c r="M65" s="31">
        <v>0</v>
      </c>
      <c r="N65" s="31" t="s">
        <v>74</v>
      </c>
      <c r="O65" s="31">
        <v>0</v>
      </c>
      <c r="P65" s="31">
        <v>66</v>
      </c>
      <c r="Q65" s="31">
        <v>2</v>
      </c>
      <c r="R65" s="31">
        <v>0</v>
      </c>
      <c r="S65" s="3">
        <f t="shared" si="0"/>
        <v>0</v>
      </c>
      <c r="T65" s="3">
        <f t="shared" si="1"/>
        <v>0</v>
      </c>
    </row>
    <row r="66" spans="1:20" ht="15" customHeight="1">
      <c r="A66" s="54" t="s">
        <v>2</v>
      </c>
      <c r="B66" s="55">
        <v>26541709</v>
      </c>
      <c r="C66" s="16">
        <v>163566459</v>
      </c>
      <c r="D66" s="17">
        <v>143373994</v>
      </c>
      <c r="E66" s="17">
        <v>55000000</v>
      </c>
      <c r="F66" s="55">
        <v>2852</v>
      </c>
      <c r="G66" s="31">
        <v>0</v>
      </c>
      <c r="H66" s="56">
        <v>0</v>
      </c>
      <c r="I66" s="56">
        <v>1</v>
      </c>
      <c r="J66" s="31" t="s">
        <v>83</v>
      </c>
      <c r="K66" s="31">
        <v>1</v>
      </c>
      <c r="L66" s="31">
        <v>0</v>
      </c>
      <c r="M66" s="31">
        <v>0</v>
      </c>
      <c r="N66" s="31" t="s">
        <v>74</v>
      </c>
      <c r="O66" s="31">
        <v>0</v>
      </c>
      <c r="P66" s="31">
        <v>64</v>
      </c>
      <c r="Q66" s="31">
        <v>1</v>
      </c>
      <c r="R66" s="31">
        <v>0</v>
      </c>
      <c r="S66" s="3">
        <f t="shared" si="0"/>
        <v>0</v>
      </c>
      <c r="T66" s="3">
        <f t="shared" si="1"/>
        <v>0</v>
      </c>
    </row>
    <row r="67" spans="1:20" ht="15" customHeight="1">
      <c r="A67" s="54" t="s">
        <v>50</v>
      </c>
      <c r="B67" s="55">
        <v>14367854</v>
      </c>
      <c r="C67" s="16">
        <v>36280697</v>
      </c>
      <c r="D67" s="17">
        <v>41639649</v>
      </c>
      <c r="E67" s="17">
        <v>60000000</v>
      </c>
      <c r="F67" s="55">
        <v>2819</v>
      </c>
      <c r="G67" s="31">
        <v>1</v>
      </c>
      <c r="H67" s="56">
        <v>0</v>
      </c>
      <c r="I67" s="56">
        <v>1</v>
      </c>
      <c r="J67" s="31" t="s">
        <v>86</v>
      </c>
      <c r="K67" s="31">
        <v>1</v>
      </c>
      <c r="L67" s="31">
        <v>0</v>
      </c>
      <c r="M67" s="31">
        <v>0</v>
      </c>
      <c r="N67" s="31" t="s">
        <v>74</v>
      </c>
      <c r="O67" s="31">
        <v>0</v>
      </c>
      <c r="P67" s="31">
        <v>48</v>
      </c>
      <c r="Q67" s="31">
        <v>0</v>
      </c>
      <c r="R67" s="31">
        <v>0</v>
      </c>
      <c r="S67" s="3">
        <f t="shared" ref="S67:S76" si="2">IF(J67="Comedy",1,0)</f>
        <v>0</v>
      </c>
      <c r="T67" s="3">
        <f t="shared" ref="T67:T76" si="3">S67*P67</f>
        <v>0</v>
      </c>
    </row>
    <row r="68" spans="1:20" ht="15" customHeight="1">
      <c r="A68" s="54" t="s">
        <v>28</v>
      </c>
      <c r="B68" s="55">
        <v>16310058</v>
      </c>
      <c r="C68" s="16">
        <v>61123569</v>
      </c>
      <c r="D68" s="17">
        <v>26010711</v>
      </c>
      <c r="E68" s="17">
        <v>60000000</v>
      </c>
      <c r="F68" s="55">
        <v>3501</v>
      </c>
      <c r="G68" s="31">
        <v>1</v>
      </c>
      <c r="H68" s="56">
        <v>0</v>
      </c>
      <c r="I68" s="56">
        <v>1</v>
      </c>
      <c r="J68" s="31" t="s">
        <v>84</v>
      </c>
      <c r="K68" s="31">
        <v>0</v>
      </c>
      <c r="L68" s="31">
        <v>0</v>
      </c>
      <c r="M68" s="31">
        <v>0</v>
      </c>
      <c r="N68" s="31" t="s">
        <v>75</v>
      </c>
      <c r="O68" s="31">
        <v>0</v>
      </c>
      <c r="P68" s="31">
        <v>43</v>
      </c>
      <c r="Q68" s="31">
        <v>0</v>
      </c>
      <c r="R68" s="31">
        <v>0</v>
      </c>
      <c r="S68" s="3">
        <f t="shared" si="2"/>
        <v>1</v>
      </c>
      <c r="T68" s="3">
        <f t="shared" si="3"/>
        <v>43</v>
      </c>
    </row>
    <row r="69" spans="1:20" ht="15" customHeight="1">
      <c r="A69" s="54" t="s">
        <v>59</v>
      </c>
      <c r="B69" s="55">
        <v>9610204</v>
      </c>
      <c r="C69" s="16">
        <v>23649127</v>
      </c>
      <c r="D69" s="17">
        <v>15064046</v>
      </c>
      <c r="E69" s="17">
        <v>40000000</v>
      </c>
      <c r="F69" s="55">
        <v>2784</v>
      </c>
      <c r="G69" s="31">
        <v>1</v>
      </c>
      <c r="H69" s="56">
        <v>0</v>
      </c>
      <c r="I69" s="56">
        <v>1</v>
      </c>
      <c r="J69" s="31" t="s">
        <v>81</v>
      </c>
      <c r="K69" s="31">
        <v>1</v>
      </c>
      <c r="L69" s="31">
        <v>0</v>
      </c>
      <c r="M69" s="31">
        <v>0</v>
      </c>
      <c r="N69" s="31" t="s">
        <v>74</v>
      </c>
      <c r="O69" s="31">
        <v>0</v>
      </c>
      <c r="P69" s="31">
        <v>36</v>
      </c>
      <c r="Q69" s="31">
        <v>0</v>
      </c>
      <c r="R69" s="31">
        <v>0</v>
      </c>
      <c r="S69" s="3">
        <f t="shared" si="2"/>
        <v>0</v>
      </c>
      <c r="T69" s="3">
        <f t="shared" si="3"/>
        <v>0</v>
      </c>
    </row>
    <row r="70" spans="1:20" ht="15" customHeight="1">
      <c r="A70" s="54" t="s">
        <v>47</v>
      </c>
      <c r="B70" s="55">
        <v>9684809</v>
      </c>
      <c r="C70" s="16">
        <v>37384046</v>
      </c>
      <c r="D70" s="17">
        <v>64954469</v>
      </c>
      <c r="E70" s="17">
        <v>80000000</v>
      </c>
      <c r="F70" s="55">
        <v>2854</v>
      </c>
      <c r="G70" s="31">
        <v>0</v>
      </c>
      <c r="H70" s="56">
        <v>0</v>
      </c>
      <c r="I70" s="56">
        <v>1</v>
      </c>
      <c r="J70" s="31" t="s">
        <v>80</v>
      </c>
      <c r="K70" s="31">
        <v>0</v>
      </c>
      <c r="L70" s="31">
        <v>0</v>
      </c>
      <c r="M70" s="31">
        <v>1</v>
      </c>
      <c r="N70" s="31" t="s">
        <v>76</v>
      </c>
      <c r="O70" s="31">
        <v>0</v>
      </c>
      <c r="P70" s="31">
        <v>47</v>
      </c>
      <c r="Q70" s="31">
        <v>0</v>
      </c>
      <c r="R70" s="31">
        <v>0</v>
      </c>
      <c r="S70" s="3">
        <f t="shared" si="2"/>
        <v>0</v>
      </c>
      <c r="T70" s="3">
        <f t="shared" si="3"/>
        <v>0</v>
      </c>
    </row>
    <row r="71" spans="1:20" ht="15" customHeight="1">
      <c r="A71" s="54" t="s">
        <v>66</v>
      </c>
      <c r="B71" s="55">
        <v>9064880</v>
      </c>
      <c r="C71" s="16">
        <v>18535812</v>
      </c>
      <c r="D71" s="17">
        <v>12534399</v>
      </c>
      <c r="E71" s="17">
        <v>30000000</v>
      </c>
      <c r="F71" s="55">
        <v>2558</v>
      </c>
      <c r="G71" s="31">
        <v>0</v>
      </c>
      <c r="H71" s="56">
        <v>0</v>
      </c>
      <c r="I71" s="56">
        <v>1</v>
      </c>
      <c r="J71" s="31" t="s">
        <v>82</v>
      </c>
      <c r="K71" s="31">
        <v>0</v>
      </c>
      <c r="L71" s="31">
        <v>0</v>
      </c>
      <c r="M71" s="31">
        <v>1</v>
      </c>
      <c r="N71" s="31" t="s">
        <v>74</v>
      </c>
      <c r="O71" s="31">
        <v>0</v>
      </c>
      <c r="P71" s="31">
        <v>18</v>
      </c>
      <c r="Q71" s="31">
        <v>0</v>
      </c>
      <c r="R71" s="31">
        <v>0</v>
      </c>
      <c r="S71" s="3">
        <f t="shared" si="2"/>
        <v>0</v>
      </c>
      <c r="T71" s="3">
        <f t="shared" si="3"/>
        <v>0</v>
      </c>
    </row>
    <row r="72" spans="1:20" ht="15" customHeight="1">
      <c r="A72" s="54" t="s">
        <v>69</v>
      </c>
      <c r="B72" s="55">
        <v>5815474</v>
      </c>
      <c r="C72" s="16">
        <v>16655224</v>
      </c>
      <c r="D72" s="17">
        <v>5293990</v>
      </c>
      <c r="E72" s="17">
        <v>25000000</v>
      </c>
      <c r="F72" s="55">
        <v>2775</v>
      </c>
      <c r="G72" s="31">
        <v>0</v>
      </c>
      <c r="H72" s="56">
        <v>0</v>
      </c>
      <c r="I72" s="56">
        <v>1</v>
      </c>
      <c r="J72" s="31" t="s">
        <v>84</v>
      </c>
      <c r="K72" s="31">
        <v>1</v>
      </c>
      <c r="L72" s="31">
        <v>0</v>
      </c>
      <c r="M72" s="31">
        <v>0</v>
      </c>
      <c r="N72" s="31" t="s">
        <v>75</v>
      </c>
      <c r="O72" s="31">
        <v>0</v>
      </c>
      <c r="P72" s="31">
        <v>43</v>
      </c>
      <c r="Q72" s="31">
        <v>0</v>
      </c>
      <c r="R72" s="31">
        <v>0</v>
      </c>
      <c r="S72" s="3">
        <f t="shared" si="2"/>
        <v>1</v>
      </c>
      <c r="T72" s="3">
        <f t="shared" si="3"/>
        <v>43</v>
      </c>
    </row>
    <row r="73" spans="1:20" ht="15" customHeight="1">
      <c r="A73" s="54" t="s">
        <v>27</v>
      </c>
      <c r="B73" s="55">
        <v>26857181</v>
      </c>
      <c r="C73" s="16">
        <v>62318875</v>
      </c>
      <c r="D73" s="17">
        <v>49021926</v>
      </c>
      <c r="E73" s="17">
        <v>45000000</v>
      </c>
      <c r="F73" s="55">
        <v>3207</v>
      </c>
      <c r="G73" s="31">
        <v>0</v>
      </c>
      <c r="H73" s="56">
        <v>1</v>
      </c>
      <c r="I73" s="56">
        <v>1</v>
      </c>
      <c r="J73" s="31" t="s">
        <v>85</v>
      </c>
      <c r="K73" s="31">
        <v>0</v>
      </c>
      <c r="L73" s="31">
        <v>0</v>
      </c>
      <c r="M73" s="31">
        <v>0</v>
      </c>
      <c r="N73" s="31" t="s">
        <v>77</v>
      </c>
      <c r="O73" s="31">
        <v>1</v>
      </c>
      <c r="P73" s="31">
        <v>36</v>
      </c>
      <c r="Q73" s="31">
        <v>0</v>
      </c>
      <c r="R73" s="31">
        <v>0</v>
      </c>
      <c r="S73" s="3">
        <f t="shared" si="2"/>
        <v>0</v>
      </c>
      <c r="T73" s="3">
        <f t="shared" si="3"/>
        <v>0</v>
      </c>
    </row>
    <row r="74" spans="1:20" ht="15" customHeight="1">
      <c r="A74" s="54" t="s">
        <v>21</v>
      </c>
      <c r="B74" s="55">
        <v>25642340</v>
      </c>
      <c r="C74" s="16">
        <v>70511035</v>
      </c>
      <c r="D74" s="17">
        <v>62000000</v>
      </c>
      <c r="E74" s="17">
        <v>54000000</v>
      </c>
      <c r="F74" s="55">
        <v>3365</v>
      </c>
      <c r="G74" s="31">
        <v>1</v>
      </c>
      <c r="H74" s="56">
        <v>0</v>
      </c>
      <c r="I74" s="56">
        <v>0</v>
      </c>
      <c r="J74" s="31" t="s">
        <v>86</v>
      </c>
      <c r="K74" s="31">
        <v>0</v>
      </c>
      <c r="L74" s="31">
        <v>0</v>
      </c>
      <c r="M74" s="31">
        <v>0</v>
      </c>
      <c r="N74" s="31" t="s">
        <v>77</v>
      </c>
      <c r="O74" s="31">
        <v>1</v>
      </c>
      <c r="P74" s="31">
        <v>62</v>
      </c>
      <c r="Q74" s="31">
        <v>0</v>
      </c>
      <c r="R74" s="31">
        <v>0</v>
      </c>
      <c r="S74" s="3">
        <f t="shared" si="2"/>
        <v>0</v>
      </c>
      <c r="T74" s="3">
        <f t="shared" si="3"/>
        <v>0</v>
      </c>
    </row>
    <row r="75" spans="1:20" ht="15" customHeight="1">
      <c r="A75" s="54" t="s">
        <v>22</v>
      </c>
      <c r="B75" s="55">
        <v>18730762</v>
      </c>
      <c r="C75" s="16">
        <v>70278893</v>
      </c>
      <c r="D75" s="17">
        <v>92691347</v>
      </c>
      <c r="E75" s="17">
        <v>65000000</v>
      </c>
      <c r="F75" s="55">
        <v>2957</v>
      </c>
      <c r="G75" s="31">
        <v>0</v>
      </c>
      <c r="H75" s="56">
        <v>0</v>
      </c>
      <c r="I75" s="56">
        <v>1</v>
      </c>
      <c r="J75" s="31" t="s">
        <v>83</v>
      </c>
      <c r="K75" s="31">
        <v>0</v>
      </c>
      <c r="L75" s="31">
        <v>0</v>
      </c>
      <c r="M75" s="31">
        <v>0</v>
      </c>
      <c r="N75" s="31" t="s">
        <v>74</v>
      </c>
      <c r="O75" s="31">
        <v>0</v>
      </c>
      <c r="P75" s="31">
        <v>66</v>
      </c>
      <c r="Q75" s="31">
        <v>0</v>
      </c>
      <c r="R75" s="31">
        <v>0</v>
      </c>
      <c r="S75" s="3">
        <f t="shared" si="2"/>
        <v>0</v>
      </c>
      <c r="T75" s="3">
        <f t="shared" si="3"/>
        <v>0</v>
      </c>
    </row>
    <row r="76" spans="1:20" ht="15" customHeight="1">
      <c r="A76" s="54" t="s">
        <v>16</v>
      </c>
      <c r="B76" s="55">
        <v>21525560</v>
      </c>
      <c r="C76" s="16">
        <v>75628110</v>
      </c>
      <c r="D76" s="17">
        <v>54731328</v>
      </c>
      <c r="E76" s="17">
        <v>54000000</v>
      </c>
      <c r="F76" s="55">
        <v>3131</v>
      </c>
      <c r="G76" s="31">
        <v>0</v>
      </c>
      <c r="H76" s="56">
        <v>0</v>
      </c>
      <c r="I76" s="56">
        <v>1</v>
      </c>
      <c r="J76" s="31" t="s">
        <v>84</v>
      </c>
      <c r="K76" s="31">
        <v>0</v>
      </c>
      <c r="L76" s="31">
        <v>0</v>
      </c>
      <c r="M76" s="31">
        <v>0</v>
      </c>
      <c r="N76" s="31" t="s">
        <v>74</v>
      </c>
      <c r="O76" s="31">
        <v>0</v>
      </c>
      <c r="P76" s="31">
        <v>46</v>
      </c>
      <c r="Q76" s="31">
        <v>0</v>
      </c>
      <c r="R76" s="31">
        <v>0</v>
      </c>
      <c r="S76" s="3">
        <f t="shared" si="2"/>
        <v>1</v>
      </c>
      <c r="T76" s="3">
        <f t="shared" si="3"/>
        <v>46</v>
      </c>
    </row>
  </sheetData>
  <phoneticPr fontId="4" type="noConversion"/>
  <pageMargins left="0.75" right="0.75" top="1" bottom="1"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E8A5-F5E7-4637-A1A7-F36344D91FF6}">
  <dimension ref="B3:E15"/>
  <sheetViews>
    <sheetView workbookViewId="0">
      <selection activeCell="A2" sqref="A2"/>
    </sheetView>
  </sheetViews>
  <sheetFormatPr defaultRowHeight="13.2"/>
  <cols>
    <col min="1" max="1" width="13.6640625" bestFit="1" customWidth="1"/>
    <col min="2" max="2" width="27.88671875" bestFit="1" customWidth="1"/>
    <col min="3" max="3" width="13.21875" customWidth="1"/>
    <col min="4" max="4" width="13" customWidth="1"/>
    <col min="5" max="5" width="14.6640625" customWidth="1"/>
  </cols>
  <sheetData>
    <row r="3" spans="2:5" ht="18" thickBot="1">
      <c r="C3" s="8" t="s">
        <v>106</v>
      </c>
      <c r="D3" s="8" t="s">
        <v>107</v>
      </c>
      <c r="E3" s="8" t="s">
        <v>108</v>
      </c>
    </row>
    <row r="4" spans="2:5" ht="15" thickTop="1">
      <c r="B4" s="9" t="s">
        <v>114</v>
      </c>
      <c r="C4" s="10">
        <f>MIN('Exhibit 1'!B$2:B$76)</f>
        <v>4120497</v>
      </c>
      <c r="D4" s="10">
        <f>AVERAGE('Exhibit 1'!B$2:B$76)</f>
        <v>17468465.573333334</v>
      </c>
      <c r="E4" s="10">
        <f>MAX('Exhibit 1'!B$2:B$76)</f>
        <v>68033544</v>
      </c>
    </row>
    <row r="5" spans="2:5" ht="14.4">
      <c r="B5" s="9" t="s">
        <v>109</v>
      </c>
      <c r="C5" s="10">
        <f>MIN('Exhibit 1'!C$2:C$76)</f>
        <v>13090630</v>
      </c>
      <c r="D5" s="10">
        <f>AVERAGE('Exhibit 1'!C$2:C$76)</f>
        <v>59620650.826666668</v>
      </c>
      <c r="E5" s="10">
        <f>MAX('Exhibit 1'!C$2:C$76)</f>
        <v>198000317</v>
      </c>
    </row>
    <row r="6" spans="2:5" ht="14.4">
      <c r="B6" s="9" t="s">
        <v>110</v>
      </c>
      <c r="C6" s="10">
        <f>MIN('Exhibit 1'!D2:D76)</f>
        <v>0</v>
      </c>
      <c r="D6" s="10">
        <f>AVERAGE('Exhibit 1'!D2:D76)</f>
        <v>59560982.560000002</v>
      </c>
      <c r="E6" s="10">
        <f>MAX('Exhibit 1'!D2:D76)</f>
        <v>456235122</v>
      </c>
    </row>
    <row r="7" spans="2:5" ht="14.4">
      <c r="B7" s="9" t="s">
        <v>111</v>
      </c>
      <c r="C7" s="10">
        <f>MIN('Exhibit 1'!F2:F76)</f>
        <v>852</v>
      </c>
      <c r="D7" s="10">
        <f>AVERAGE('Exhibit 1'!F2:F76)</f>
        <v>2766.28</v>
      </c>
      <c r="E7" s="10">
        <f>MAX('Exhibit 1'!F2:F76)</f>
        <v>3964</v>
      </c>
    </row>
    <row r="12" spans="2:5" ht="13.8" thickBot="1"/>
    <row r="13" spans="2:5" ht="15.6" thickTop="1" thickBot="1">
      <c r="B13" s="11" t="s">
        <v>112</v>
      </c>
      <c r="C13" s="12">
        <f>COUNTIF('Exhibit 1'!J2:J76,"Comedy")</f>
        <v>23</v>
      </c>
    </row>
    <row r="14" spans="2:5" ht="15.6" thickTop="1" thickBot="1">
      <c r="B14" s="11" t="s">
        <v>113</v>
      </c>
      <c r="C14" s="12">
        <f>COUNTIF('Exhibit 1'!O2:O76,1)</f>
        <v>15</v>
      </c>
    </row>
    <row r="15" spans="2:5" ht="13.8" thickTop="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88D13-BA63-4D20-8E19-6EB1E94C2896}">
  <dimension ref="A1:E100"/>
  <sheetViews>
    <sheetView topLeftCell="C1" workbookViewId="0">
      <selection activeCell="D98" sqref="D98"/>
    </sheetView>
  </sheetViews>
  <sheetFormatPr defaultColWidth="8.88671875" defaultRowHeight="13.2"/>
  <cols>
    <col min="1" max="1" width="13.6640625" style="18" bestFit="1" customWidth="1"/>
    <col min="2" max="2" width="8.88671875" style="18"/>
    <col min="3" max="3" width="30.5546875" style="26" bestFit="1" customWidth="1"/>
    <col min="4" max="4" width="69" style="17" bestFit="1" customWidth="1"/>
    <col min="5" max="5" width="10.21875" style="18" customWidth="1"/>
    <col min="6" max="16384" width="8.88671875" style="18"/>
  </cols>
  <sheetData>
    <row r="1" spans="1:5" ht="20.399999999999999" thickBot="1">
      <c r="C1" s="13" t="s">
        <v>117</v>
      </c>
      <c r="D1" s="14" t="s">
        <v>118</v>
      </c>
      <c r="E1" s="15" t="s">
        <v>116</v>
      </c>
    </row>
    <row r="2" spans="1:5" ht="15" thickTop="1">
      <c r="A2" s="18" t="s">
        <v>115</v>
      </c>
      <c r="C2" s="16">
        <v>36895141</v>
      </c>
      <c r="D2" s="17">
        <v>45000000</v>
      </c>
      <c r="E2" s="19">
        <f>(C2-D2)/D2</f>
        <v>-0.18010797777777779</v>
      </c>
    </row>
    <row r="3" spans="1:5" ht="14.4">
      <c r="C3" s="16">
        <v>36323505</v>
      </c>
      <c r="D3" s="17">
        <v>23000000</v>
      </c>
      <c r="E3" s="19">
        <f t="shared" ref="E3:E66" si="0">(C3-D3)/D3</f>
        <v>0.57928282608695647</v>
      </c>
    </row>
    <row r="4" spans="1:5" ht="14.4">
      <c r="C4" s="16">
        <v>50866635</v>
      </c>
      <c r="D4" s="17">
        <v>40000000</v>
      </c>
      <c r="E4" s="19">
        <f t="shared" si="0"/>
        <v>0.271665875</v>
      </c>
    </row>
    <row r="5" spans="1:5" ht="14.4">
      <c r="C5" s="16">
        <v>15132763</v>
      </c>
      <c r="D5" s="17">
        <v>86000000</v>
      </c>
      <c r="E5" s="19">
        <f t="shared" si="0"/>
        <v>-0.82403763953488374</v>
      </c>
    </row>
    <row r="6" spans="1:5" ht="14.4">
      <c r="C6" s="16">
        <v>21170563</v>
      </c>
      <c r="D6" s="17">
        <v>20000000</v>
      </c>
      <c r="E6" s="19">
        <f t="shared" si="0"/>
        <v>5.8528150000000001E-2</v>
      </c>
    </row>
    <row r="7" spans="1:5" ht="14.4">
      <c r="C7" s="16">
        <v>34302837</v>
      </c>
      <c r="D7" s="17">
        <v>20000000</v>
      </c>
      <c r="E7" s="19">
        <f t="shared" si="0"/>
        <v>0.71514184999999997</v>
      </c>
    </row>
    <row r="8" spans="1:5" ht="14.4">
      <c r="C8" s="16">
        <v>72637803</v>
      </c>
      <c r="D8" s="17">
        <v>51000000</v>
      </c>
      <c r="E8" s="19">
        <f t="shared" si="0"/>
        <v>0.4242706470588235</v>
      </c>
    </row>
    <row r="9" spans="1:5" ht="14.4">
      <c r="C9" s="16">
        <v>70165972</v>
      </c>
      <c r="D9" s="17">
        <v>40000000</v>
      </c>
      <c r="E9" s="19">
        <f t="shared" si="0"/>
        <v>0.75414930000000002</v>
      </c>
    </row>
    <row r="10" spans="1:5" ht="14.4">
      <c r="C10" s="16">
        <v>57377916</v>
      </c>
      <c r="D10" s="17">
        <v>100000000</v>
      </c>
      <c r="E10" s="19">
        <f t="shared" si="0"/>
        <v>-0.42622083999999999</v>
      </c>
    </row>
    <row r="11" spans="1:5" ht="14.4">
      <c r="C11" s="16">
        <v>82599768</v>
      </c>
      <c r="D11" s="17">
        <v>85000000</v>
      </c>
      <c r="E11" s="19">
        <f t="shared" si="0"/>
        <v>-2.8238023529411765E-2</v>
      </c>
    </row>
    <row r="12" spans="1:5" ht="14.4">
      <c r="C12" s="16">
        <v>35327768</v>
      </c>
      <c r="D12" s="17">
        <v>76000000</v>
      </c>
      <c r="E12" s="19">
        <f t="shared" si="0"/>
        <v>-0.53516094736842101</v>
      </c>
    </row>
    <row r="13" spans="1:5" ht="14.4">
      <c r="C13" s="16">
        <v>137355633</v>
      </c>
      <c r="D13" s="17">
        <v>82500000</v>
      </c>
      <c r="E13" s="19">
        <f t="shared" si="0"/>
        <v>0.66491676363636365</v>
      </c>
    </row>
    <row r="14" spans="1:5" ht="14.4">
      <c r="C14" s="16">
        <v>58360760</v>
      </c>
      <c r="D14" s="17">
        <v>50000000</v>
      </c>
      <c r="E14" s="19">
        <f t="shared" si="0"/>
        <v>0.16721520000000001</v>
      </c>
    </row>
    <row r="15" spans="1:5" ht="14.4">
      <c r="C15" s="16">
        <v>48548426</v>
      </c>
      <c r="D15" s="17">
        <v>20000000</v>
      </c>
      <c r="E15" s="19">
        <f t="shared" si="0"/>
        <v>1.4274213</v>
      </c>
    </row>
    <row r="16" spans="1:5" ht="14.4">
      <c r="C16" s="16">
        <v>64038616</v>
      </c>
      <c r="D16" s="17">
        <v>75000000</v>
      </c>
      <c r="E16" s="19">
        <f t="shared" si="0"/>
        <v>-0.14615178666666667</v>
      </c>
    </row>
    <row r="17" spans="3:5" ht="14.4">
      <c r="C17" s="16">
        <v>103365956</v>
      </c>
      <c r="D17" s="17">
        <v>75000000</v>
      </c>
      <c r="E17" s="19">
        <f t="shared" si="0"/>
        <v>0.37821274666666665</v>
      </c>
    </row>
    <row r="18" spans="3:5" ht="14.4">
      <c r="C18" s="16">
        <v>81612565</v>
      </c>
      <c r="D18" s="17">
        <v>40000000</v>
      </c>
      <c r="E18" s="19">
        <f t="shared" si="0"/>
        <v>1.0403141250000001</v>
      </c>
    </row>
    <row r="19" spans="3:5" ht="14.4">
      <c r="C19" s="16">
        <v>75030163</v>
      </c>
      <c r="D19" s="17">
        <v>100000000</v>
      </c>
      <c r="E19" s="19">
        <f t="shared" si="0"/>
        <v>-0.24969837</v>
      </c>
    </row>
    <row r="20" spans="3:5" ht="14.4">
      <c r="C20" s="16">
        <v>88715192</v>
      </c>
      <c r="D20" s="17">
        <v>50000000</v>
      </c>
      <c r="E20" s="19">
        <f t="shared" si="0"/>
        <v>0.77430383999999997</v>
      </c>
    </row>
    <row r="21" spans="3:5" ht="14.4">
      <c r="C21" s="16">
        <v>54098051</v>
      </c>
      <c r="D21" s="17">
        <v>25000000</v>
      </c>
      <c r="E21" s="19">
        <f t="shared" si="0"/>
        <v>1.1639220400000001</v>
      </c>
    </row>
    <row r="22" spans="3:5" ht="14.4">
      <c r="C22" s="16">
        <v>33602376</v>
      </c>
      <c r="D22" s="17">
        <v>90000000</v>
      </c>
      <c r="E22" s="19">
        <f t="shared" si="0"/>
        <v>-0.62664026666666661</v>
      </c>
    </row>
    <row r="23" spans="3:5" ht="14.4">
      <c r="C23" s="16">
        <v>13090630</v>
      </c>
      <c r="D23" s="17">
        <v>60000000</v>
      </c>
      <c r="E23" s="19">
        <f t="shared" si="0"/>
        <v>-0.78182283333333336</v>
      </c>
    </row>
    <row r="24" spans="3:5" ht="14.4">
      <c r="C24" s="16">
        <v>38432823</v>
      </c>
      <c r="D24" s="17">
        <v>30000000</v>
      </c>
      <c r="E24" s="19">
        <f t="shared" si="0"/>
        <v>0.28109410000000001</v>
      </c>
    </row>
    <row r="25" spans="3:5" ht="14.4">
      <c r="C25" s="16">
        <v>198000317</v>
      </c>
      <c r="D25" s="17">
        <v>100000000</v>
      </c>
      <c r="E25" s="19">
        <f t="shared" si="0"/>
        <v>0.98000317000000003</v>
      </c>
    </row>
    <row r="26" spans="3:5" ht="14.4">
      <c r="C26" s="16">
        <v>195330621</v>
      </c>
      <c r="D26" s="17">
        <v>80000000</v>
      </c>
      <c r="E26" s="19">
        <f t="shared" si="0"/>
        <v>1.4416327625000001</v>
      </c>
    </row>
    <row r="27" spans="3:5" ht="14.4">
      <c r="C27" s="16">
        <v>88513495</v>
      </c>
      <c r="D27" s="17">
        <v>45000000</v>
      </c>
      <c r="E27" s="19">
        <f t="shared" si="0"/>
        <v>0.96696655555555555</v>
      </c>
    </row>
    <row r="28" spans="3:5" ht="14.4">
      <c r="C28" s="16">
        <v>17326650</v>
      </c>
      <c r="D28" s="17">
        <v>28000000</v>
      </c>
      <c r="E28" s="19">
        <f t="shared" si="0"/>
        <v>-0.38119107142857145</v>
      </c>
    </row>
    <row r="29" spans="3:5" ht="14.4">
      <c r="C29" s="16">
        <v>42285169</v>
      </c>
      <c r="D29" s="17">
        <v>70000000</v>
      </c>
      <c r="E29" s="19">
        <f t="shared" si="0"/>
        <v>-0.39592615714285712</v>
      </c>
    </row>
    <row r="30" spans="3:5" ht="14.4">
      <c r="C30" s="16">
        <v>38399961</v>
      </c>
      <c r="D30" s="17">
        <v>45000000</v>
      </c>
      <c r="E30" s="19">
        <f t="shared" si="0"/>
        <v>-0.14666753333333332</v>
      </c>
    </row>
    <row r="31" spans="3:5" ht="14.4">
      <c r="C31" s="16">
        <v>58645052</v>
      </c>
      <c r="D31" s="17">
        <v>64000000</v>
      </c>
      <c r="E31" s="19">
        <f t="shared" si="0"/>
        <v>-8.3671062500000004E-2</v>
      </c>
    </row>
    <row r="32" spans="3:5" ht="14.4">
      <c r="C32" s="16">
        <v>22495466</v>
      </c>
      <c r="D32" s="17">
        <v>27000000</v>
      </c>
      <c r="E32" s="19">
        <f t="shared" si="0"/>
        <v>-0.16683459259259259</v>
      </c>
    </row>
    <row r="33" spans="3:5" ht="14.4">
      <c r="C33" s="16">
        <v>15962471</v>
      </c>
      <c r="D33" s="17">
        <v>40000000</v>
      </c>
      <c r="E33" s="19">
        <f t="shared" si="0"/>
        <v>-0.60093822500000005</v>
      </c>
    </row>
    <row r="34" spans="3:5" ht="14.4">
      <c r="C34" s="16">
        <v>73661010</v>
      </c>
      <c r="D34" s="17">
        <v>75000000</v>
      </c>
      <c r="E34" s="19">
        <f t="shared" si="0"/>
        <v>-1.78532E-2</v>
      </c>
    </row>
    <row r="35" spans="3:5" ht="14.4">
      <c r="C35" s="16">
        <v>80197993</v>
      </c>
      <c r="D35" s="17">
        <v>35000000</v>
      </c>
      <c r="E35" s="19">
        <f t="shared" si="0"/>
        <v>1.2913712285714285</v>
      </c>
    </row>
    <row r="36" spans="3:5" ht="14.4">
      <c r="C36" s="16">
        <v>47144110</v>
      </c>
      <c r="D36" s="17">
        <v>25000000</v>
      </c>
      <c r="E36" s="19">
        <f t="shared" si="0"/>
        <v>0.88576440000000001</v>
      </c>
    </row>
    <row r="37" spans="3:5" ht="14.4">
      <c r="C37" s="16">
        <v>13395961</v>
      </c>
      <c r="D37" s="17">
        <v>20000000</v>
      </c>
      <c r="E37" s="19">
        <f t="shared" si="0"/>
        <v>-0.33020195000000002</v>
      </c>
    </row>
    <row r="38" spans="3:5" ht="14.4">
      <c r="C38" s="16">
        <v>84303558</v>
      </c>
      <c r="D38" s="17">
        <v>85000000</v>
      </c>
      <c r="E38" s="19">
        <f t="shared" si="0"/>
        <v>-8.1934352941176476E-3</v>
      </c>
    </row>
    <row r="39" spans="3:5" ht="14.4">
      <c r="C39" s="16">
        <v>20264436</v>
      </c>
      <c r="D39" s="17">
        <v>20500000</v>
      </c>
      <c r="E39" s="19">
        <f t="shared" si="0"/>
        <v>-1.1490926829268293E-2</v>
      </c>
    </row>
    <row r="40" spans="3:5" ht="14.4">
      <c r="C40" s="16">
        <v>70269899</v>
      </c>
      <c r="D40" s="17">
        <v>24000000</v>
      </c>
      <c r="E40" s="19">
        <f t="shared" si="0"/>
        <v>1.9279124583333334</v>
      </c>
    </row>
    <row r="41" spans="3:5" ht="14.4">
      <c r="C41" s="16">
        <v>71726025</v>
      </c>
      <c r="D41" s="17">
        <v>50000000</v>
      </c>
      <c r="E41" s="19">
        <f t="shared" si="0"/>
        <v>0.43452049999999998</v>
      </c>
    </row>
    <row r="42" spans="3:5" ht="14.4">
      <c r="C42" s="16">
        <v>90710620</v>
      </c>
      <c r="D42" s="17">
        <v>45000000</v>
      </c>
      <c r="E42" s="19">
        <f t="shared" si="0"/>
        <v>1.0157915555555554</v>
      </c>
    </row>
    <row r="43" spans="3:5" ht="14.4">
      <c r="C43" s="16">
        <v>17807569</v>
      </c>
      <c r="D43" s="17">
        <v>35000000</v>
      </c>
      <c r="E43" s="19">
        <f t="shared" si="0"/>
        <v>-0.49121231428571427</v>
      </c>
    </row>
    <row r="44" spans="3:5" ht="14.4">
      <c r="C44" s="16">
        <v>33741133</v>
      </c>
      <c r="D44" s="17">
        <v>20000000</v>
      </c>
      <c r="E44" s="19">
        <f t="shared" si="0"/>
        <v>0.68705665000000005</v>
      </c>
    </row>
    <row r="45" spans="3:5" ht="14.4">
      <c r="C45" s="16">
        <v>46982632</v>
      </c>
      <c r="D45" s="17">
        <v>50000000</v>
      </c>
      <c r="E45" s="19">
        <f t="shared" si="0"/>
        <v>-6.0347360000000003E-2</v>
      </c>
    </row>
    <row r="46" spans="3:5" ht="14.4">
      <c r="C46" s="16">
        <v>34020814</v>
      </c>
      <c r="D46" s="17">
        <v>33000000</v>
      </c>
      <c r="E46" s="19">
        <f t="shared" si="0"/>
        <v>3.0933757575757576E-2</v>
      </c>
    </row>
    <row r="47" spans="3:5" ht="14.4">
      <c r="C47" s="16">
        <v>23086480</v>
      </c>
      <c r="D47" s="17">
        <v>20000000</v>
      </c>
      <c r="E47" s="19">
        <f t="shared" si="0"/>
        <v>0.15432399999999999</v>
      </c>
    </row>
    <row r="48" spans="3:5" ht="14.4">
      <c r="C48" s="16">
        <v>26910736</v>
      </c>
      <c r="D48" s="17">
        <v>20000000</v>
      </c>
      <c r="E48" s="19">
        <f t="shared" si="0"/>
        <v>0.34553679999999998</v>
      </c>
    </row>
    <row r="49" spans="3:5" ht="14.4">
      <c r="C49" s="16">
        <v>40435190</v>
      </c>
      <c r="D49" s="17">
        <v>30000000</v>
      </c>
      <c r="E49" s="19">
        <f t="shared" si="0"/>
        <v>0.34783966666666666</v>
      </c>
    </row>
    <row r="50" spans="3:5" ht="14.4">
      <c r="C50" s="16">
        <v>34742066</v>
      </c>
      <c r="D50" s="17">
        <v>30000000</v>
      </c>
      <c r="E50" s="19">
        <f t="shared" si="0"/>
        <v>0.15806886666666667</v>
      </c>
    </row>
    <row r="51" spans="3:5" ht="14.4">
      <c r="C51" s="16">
        <v>148213377</v>
      </c>
      <c r="D51" s="17">
        <v>72500000</v>
      </c>
      <c r="E51" s="19">
        <f t="shared" si="0"/>
        <v>1.0443224413793104</v>
      </c>
    </row>
    <row r="52" spans="3:5" ht="14.4">
      <c r="C52" s="16">
        <v>28142535</v>
      </c>
      <c r="D52" s="17">
        <v>50000000</v>
      </c>
      <c r="E52" s="19">
        <f t="shared" si="0"/>
        <v>-0.43714930000000002</v>
      </c>
    </row>
    <row r="53" spans="3:5" ht="14.4">
      <c r="C53" s="16">
        <v>59843754</v>
      </c>
      <c r="D53" s="17">
        <v>33000000</v>
      </c>
      <c r="E53" s="19">
        <f t="shared" si="0"/>
        <v>0.81344709090909095</v>
      </c>
    </row>
    <row r="54" spans="3:5" ht="14.4">
      <c r="C54" s="16">
        <v>22545080</v>
      </c>
      <c r="D54" s="17">
        <v>50000000</v>
      </c>
      <c r="E54" s="19">
        <f t="shared" si="0"/>
        <v>-0.54909839999999999</v>
      </c>
    </row>
    <row r="55" spans="3:5" ht="14.4">
      <c r="C55" s="16">
        <v>118703275</v>
      </c>
      <c r="D55" s="17">
        <v>52000000</v>
      </c>
      <c r="E55" s="19">
        <f t="shared" si="0"/>
        <v>1.2827552884615385</v>
      </c>
    </row>
    <row r="56" spans="3:5" ht="14.4">
      <c r="C56" s="16">
        <v>23380495</v>
      </c>
      <c r="D56" s="17">
        <v>20000000</v>
      </c>
      <c r="E56" s="19">
        <f t="shared" si="0"/>
        <v>0.16902475</v>
      </c>
    </row>
    <row r="57" spans="3:5" ht="14.4">
      <c r="C57" s="16">
        <v>132384315</v>
      </c>
      <c r="D57" s="17">
        <v>90000000</v>
      </c>
      <c r="E57" s="19">
        <f t="shared" si="0"/>
        <v>0.47093683333333336</v>
      </c>
    </row>
    <row r="58" spans="3:5" ht="14.4">
      <c r="C58" s="16">
        <v>124740460</v>
      </c>
      <c r="D58" s="17">
        <v>35000000</v>
      </c>
      <c r="E58" s="19">
        <f t="shared" si="0"/>
        <v>2.5640131428571427</v>
      </c>
    </row>
    <row r="59" spans="3:5" ht="14.4">
      <c r="C59" s="16">
        <v>39143839</v>
      </c>
      <c r="D59" s="17">
        <v>20000000</v>
      </c>
      <c r="E59" s="19">
        <f t="shared" si="0"/>
        <v>0.95719195000000001</v>
      </c>
    </row>
    <row r="60" spans="3:5" ht="14.4">
      <c r="C60" s="16">
        <v>63224849</v>
      </c>
      <c r="D60" s="17">
        <v>85000000</v>
      </c>
      <c r="E60" s="19">
        <f t="shared" si="0"/>
        <v>-0.25617824705882353</v>
      </c>
    </row>
    <row r="61" spans="3:5" ht="14.4">
      <c r="C61" s="16">
        <v>52330111</v>
      </c>
      <c r="D61" s="17">
        <v>40000000</v>
      </c>
      <c r="E61" s="19">
        <f t="shared" si="0"/>
        <v>0.30825277499999998</v>
      </c>
    </row>
    <row r="62" spans="3:5" ht="14.4">
      <c r="C62" s="16">
        <v>37629831</v>
      </c>
      <c r="D62" s="17">
        <v>35000000</v>
      </c>
      <c r="E62" s="19">
        <f t="shared" si="0"/>
        <v>7.5138028571428567E-2</v>
      </c>
    </row>
    <row r="63" spans="3:5" ht="14.4">
      <c r="C63" s="16">
        <v>54607383</v>
      </c>
      <c r="D63" s="17">
        <v>25000000</v>
      </c>
      <c r="E63" s="19">
        <f t="shared" si="0"/>
        <v>1.1842953199999999</v>
      </c>
    </row>
    <row r="64" spans="3:5" ht="14.4">
      <c r="C64" s="16">
        <v>82226474</v>
      </c>
      <c r="D64" s="17">
        <v>80000000</v>
      </c>
      <c r="E64" s="19">
        <f t="shared" si="0"/>
        <v>2.7830924999999999E-2</v>
      </c>
    </row>
    <row r="65" spans="1:5" ht="14.4">
      <c r="C65" s="16">
        <v>53089891</v>
      </c>
      <c r="D65" s="17">
        <v>40000000</v>
      </c>
      <c r="E65" s="19">
        <f t="shared" si="0"/>
        <v>0.327247275</v>
      </c>
    </row>
    <row r="66" spans="1:5" ht="14.4">
      <c r="C66" s="16">
        <v>163566459</v>
      </c>
      <c r="D66" s="17">
        <v>55000000</v>
      </c>
      <c r="E66" s="19">
        <f t="shared" si="0"/>
        <v>1.9739356181818182</v>
      </c>
    </row>
    <row r="67" spans="1:5" ht="14.4">
      <c r="C67" s="16">
        <v>36280697</v>
      </c>
      <c r="D67" s="17">
        <v>60000000</v>
      </c>
      <c r="E67" s="19">
        <f t="shared" ref="E67:E76" si="1">(C67-D67)/D67</f>
        <v>-0.39532171666666666</v>
      </c>
    </row>
    <row r="68" spans="1:5" ht="14.4">
      <c r="C68" s="16">
        <v>61123569</v>
      </c>
      <c r="D68" s="17">
        <v>60000000</v>
      </c>
      <c r="E68" s="19">
        <f t="shared" si="1"/>
        <v>1.872615E-2</v>
      </c>
    </row>
    <row r="69" spans="1:5" ht="14.4">
      <c r="C69" s="16">
        <v>23649127</v>
      </c>
      <c r="D69" s="17">
        <v>40000000</v>
      </c>
      <c r="E69" s="19">
        <f t="shared" si="1"/>
        <v>-0.40877182499999998</v>
      </c>
    </row>
    <row r="70" spans="1:5" ht="14.4">
      <c r="C70" s="16">
        <v>37384046</v>
      </c>
      <c r="D70" s="17">
        <v>80000000</v>
      </c>
      <c r="E70" s="19">
        <f t="shared" si="1"/>
        <v>-0.532699425</v>
      </c>
    </row>
    <row r="71" spans="1:5" ht="14.4">
      <c r="C71" s="16">
        <v>18535812</v>
      </c>
      <c r="D71" s="17">
        <v>30000000</v>
      </c>
      <c r="E71" s="19">
        <f t="shared" si="1"/>
        <v>-0.38213960000000002</v>
      </c>
    </row>
    <row r="72" spans="1:5" ht="14.4">
      <c r="C72" s="16">
        <v>16655224</v>
      </c>
      <c r="D72" s="17">
        <v>25000000</v>
      </c>
      <c r="E72" s="19">
        <f t="shared" si="1"/>
        <v>-0.33379103999999998</v>
      </c>
    </row>
    <row r="73" spans="1:5" ht="14.4">
      <c r="C73" s="16">
        <v>62318875</v>
      </c>
      <c r="D73" s="17">
        <v>45000000</v>
      </c>
      <c r="E73" s="19">
        <f t="shared" si="1"/>
        <v>0.38486388888888889</v>
      </c>
    </row>
    <row r="74" spans="1:5" ht="14.4">
      <c r="C74" s="16">
        <v>70511035</v>
      </c>
      <c r="D74" s="17">
        <v>54000000</v>
      </c>
      <c r="E74" s="19">
        <f t="shared" si="1"/>
        <v>0.30575990740740738</v>
      </c>
    </row>
    <row r="75" spans="1:5" ht="14.4">
      <c r="C75" s="16">
        <v>70278893</v>
      </c>
      <c r="D75" s="17">
        <v>65000000</v>
      </c>
      <c r="E75" s="19">
        <f t="shared" si="1"/>
        <v>8.1213738461538468E-2</v>
      </c>
    </row>
    <row r="76" spans="1:5" ht="14.4">
      <c r="C76" s="16">
        <v>75628110</v>
      </c>
      <c r="D76" s="17">
        <v>54000000</v>
      </c>
      <c r="E76" s="19">
        <f t="shared" si="1"/>
        <v>0.40052055555555555</v>
      </c>
    </row>
    <row r="79" spans="1:5" ht="14.4">
      <c r="A79" s="18" t="s">
        <v>128</v>
      </c>
      <c r="C79" s="20" t="s">
        <v>123</v>
      </c>
      <c r="D79" s="21">
        <v>0.95</v>
      </c>
    </row>
    <row r="80" spans="1:5" ht="14.4">
      <c r="C80" s="20" t="s">
        <v>124</v>
      </c>
      <c r="D80" s="22">
        <v>0.05</v>
      </c>
    </row>
    <row r="81" spans="1:4">
      <c r="C81" s="18"/>
    </row>
    <row r="82" spans="1:4" ht="14.4">
      <c r="C82" s="23" t="s">
        <v>119</v>
      </c>
      <c r="D82" s="30">
        <f>AVERAGE(E2:E76)</f>
        <v>0.29293174329162297</v>
      </c>
    </row>
    <row r="83" spans="1:4" ht="14.4">
      <c r="C83" s="23" t="s">
        <v>120</v>
      </c>
      <c r="D83" s="24">
        <f>_xlfn.STDEV.S(E2:E76)</f>
        <v>0.68722810712739546</v>
      </c>
    </row>
    <row r="84" spans="1:4" ht="14.4">
      <c r="C84" s="23" t="s">
        <v>121</v>
      </c>
      <c r="D84" s="25">
        <f>COUNT(E2:E76)</f>
        <v>75</v>
      </c>
    </row>
    <row r="85" spans="1:4" ht="14.4">
      <c r="C85" s="23" t="s">
        <v>122</v>
      </c>
      <c r="D85" s="24">
        <f>D83/SQRT(D84)</f>
        <v>7.9354266528935735E-2</v>
      </c>
    </row>
    <row r="86" spans="1:4" ht="14.4">
      <c r="C86" s="23" t="s">
        <v>125</v>
      </c>
      <c r="D86" s="24">
        <f>_xlfn.T.INV.2T(D80,D84-1)</f>
        <v>1.992543495180934</v>
      </c>
    </row>
    <row r="87" spans="1:4">
      <c r="C87" s="18"/>
    </row>
    <row r="88" spans="1:4" ht="14.4">
      <c r="C88" s="23" t="s">
        <v>126</v>
      </c>
      <c r="D88" s="24">
        <f>D82+D86*D85</f>
        <v>0.45104857087870798</v>
      </c>
    </row>
    <row r="89" spans="1:4" ht="14.4">
      <c r="C89" s="23" t="s">
        <v>127</v>
      </c>
      <c r="D89" s="24">
        <f>D82-D86*D85</f>
        <v>0.13481491570453796</v>
      </c>
    </row>
    <row r="91" spans="1:4">
      <c r="A91" s="18" t="s">
        <v>129</v>
      </c>
    </row>
    <row r="92" spans="1:4">
      <c r="C92" s="27" t="s">
        <v>130</v>
      </c>
      <c r="D92" s="28" t="s">
        <v>132</v>
      </c>
    </row>
    <row r="93" spans="1:4">
      <c r="C93" s="27" t="s">
        <v>131</v>
      </c>
      <c r="D93" s="28" t="s">
        <v>133</v>
      </c>
    </row>
    <row r="95" spans="1:4">
      <c r="C95" s="26" t="s">
        <v>134</v>
      </c>
      <c r="D95" s="29">
        <f>(D82-0.12)/D85</f>
        <v>2.1792368684872812</v>
      </c>
    </row>
    <row r="96" spans="1:4">
      <c r="C96" s="26" t="s">
        <v>135</v>
      </c>
      <c r="D96" s="29">
        <f>_xlfn.T.DIST.RT(D95,(D84-1))</f>
        <v>1.6248626932846216E-2</v>
      </c>
    </row>
    <row r="98" spans="3:4">
      <c r="C98" s="26" t="s">
        <v>136</v>
      </c>
      <c r="D98" s="17" t="b">
        <f>IF(D96&lt;D80,TRUE,FALSE)</f>
        <v>1</v>
      </c>
    </row>
    <row r="100" spans="3:4">
      <c r="C100" s="26" t="s">
        <v>137</v>
      </c>
      <c r="D100" s="17"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A5A7-F6E1-4355-9321-E4787175CC23}">
  <dimension ref="A1:E91"/>
  <sheetViews>
    <sheetView workbookViewId="0">
      <selection activeCell="D10" sqref="D10"/>
    </sheetView>
  </sheetViews>
  <sheetFormatPr defaultColWidth="8.88671875" defaultRowHeight="13.2"/>
  <cols>
    <col min="1" max="1" width="13.6640625" style="36" bestFit="1" customWidth="1"/>
    <col min="2" max="2" width="8.88671875" style="36"/>
    <col min="3" max="3" width="42.77734375" style="36" bestFit="1" customWidth="1"/>
    <col min="4" max="4" width="109.21875" style="36" bestFit="1" customWidth="1"/>
    <col min="5" max="5" width="20.88671875" style="36" bestFit="1" customWidth="1"/>
    <col min="6" max="6" width="26.44140625" style="36" bestFit="1" customWidth="1"/>
    <col min="7" max="16384" width="8.88671875" style="36"/>
  </cols>
  <sheetData>
    <row r="1" spans="1:5">
      <c r="C1"/>
      <c r="D1"/>
      <c r="E1"/>
    </row>
    <row r="5" spans="1:5" ht="18" thickBot="1">
      <c r="C5" s="40" t="s">
        <v>124</v>
      </c>
      <c r="D5" s="35">
        <v>0.05</v>
      </c>
    </row>
    <row r="6" spans="1:5" ht="13.8" thickTop="1"/>
    <row r="7" spans="1:5">
      <c r="C7" s="37"/>
      <c r="D7" s="39"/>
    </row>
    <row r="8" spans="1:5">
      <c r="C8" s="37"/>
      <c r="D8" s="39"/>
    </row>
    <row r="9" spans="1:5">
      <c r="A9" s="36" t="s">
        <v>139</v>
      </c>
      <c r="C9" s="37"/>
      <c r="D9" s="39"/>
    </row>
    <row r="10" spans="1:5" ht="14.4">
      <c r="C10" s="44" t="s">
        <v>143</v>
      </c>
      <c r="D10" s="45">
        <f>AVERAGEIF('Exhibit 1'!J2:J76,"Comedy",'Exhibit 1'!C2:C76)</f>
        <v>68743100.434782609</v>
      </c>
    </row>
    <row r="11" spans="1:5" ht="14.4">
      <c r="C11" s="44" t="s">
        <v>144</v>
      </c>
      <c r="D11" s="45">
        <f>AVERAGEIF('Exhibit 1'!J2:J76,"&lt;&gt;Comedy",'Exhibit 1'!C2:C76)</f>
        <v>55585721.192307696</v>
      </c>
    </row>
    <row r="12" spans="1:5">
      <c r="C12" s="37"/>
      <c r="D12" s="39"/>
    </row>
    <row r="13" spans="1:5" ht="14.4">
      <c r="C13" s="44" t="s">
        <v>147</v>
      </c>
      <c r="D13" s="50" cm="1">
        <f t="array" ref="D13">_xlfn.T.TEST(_xlfn._xlws.FILTER('Exhibit 1'!C2:C76,'Exhibit 1'!J2:J76="Comedy"),_xlfn._xlws.FILTER('Exhibit 1'!C2:C76,'Exhibit 1'!J2:J76&lt;&gt;"Comedy"),2,3)</f>
        <v>0.17632025587770439</v>
      </c>
    </row>
    <row r="14" spans="1:5">
      <c r="C14" s="37"/>
      <c r="D14" s="39"/>
    </row>
    <row r="15" spans="1:5">
      <c r="C15" s="46" t="s">
        <v>130</v>
      </c>
      <c r="D15" s="47" t="s">
        <v>145</v>
      </c>
    </row>
    <row r="16" spans="1:5">
      <c r="C16" s="46" t="s">
        <v>131</v>
      </c>
      <c r="D16" s="47" t="s">
        <v>146</v>
      </c>
    </row>
    <row r="17" spans="1:4">
      <c r="C17" s="37"/>
      <c r="D17" s="39"/>
    </row>
    <row r="18" spans="1:4">
      <c r="C18" s="43" t="s">
        <v>136</v>
      </c>
      <c r="D18" s="39" t="b">
        <f>IF(D13&lt;D5,TRUE,FALSE)</f>
        <v>0</v>
      </c>
    </row>
    <row r="19" spans="1:4">
      <c r="C19" s="37"/>
      <c r="D19" s="39"/>
    </row>
    <row r="20" spans="1:4" ht="18" thickBot="1">
      <c r="C20" s="40" t="s">
        <v>137</v>
      </c>
      <c r="D20" s="49" t="s">
        <v>145</v>
      </c>
    </row>
    <row r="21" spans="1:4" ht="13.8" thickTop="1"/>
    <row r="23" spans="1:4" ht="14.4">
      <c r="A23" s="38" t="s">
        <v>148</v>
      </c>
      <c r="C23" s="44" t="s">
        <v>149</v>
      </c>
      <c r="D23" s="45" cm="1">
        <f t="array" ref="D23">AVERAGE(_xlfn._xlws.FILTER(('Exhibit 1'!C2:C76-'Exhibit 1'!E2:E76)/'Exhibit 1'!E2:E76,'Exhibit 1'!J2:J76="Comedy"))</f>
        <v>0.54017218740528405</v>
      </c>
    </row>
    <row r="24" spans="1:4" ht="14.4">
      <c r="C24" s="44" t="s">
        <v>150</v>
      </c>
      <c r="D24" s="45" cm="1">
        <f t="array" ref="D24">AVERAGE(_xlfn._xlws.FILTER(('Exhibit 1'!C2:C76-'Exhibit 1'!E2:E76)/'Exhibit 1'!E2:E76,'Exhibit 1'!J2:J76&lt;&gt;"Comedy"))</f>
        <v>0.18357539301058054</v>
      </c>
    </row>
    <row r="25" spans="1:4">
      <c r="C25" s="37"/>
      <c r="D25" s="39"/>
    </row>
    <row r="26" spans="1:4" ht="14.4">
      <c r="C26" s="44" t="s">
        <v>151</v>
      </c>
      <c r="D26" s="50" cm="1">
        <f t="array" ref="D26">_xlfn.T.TEST(
_xlfn._xlws.FILTER(('Exhibit 1'!C2:C76-'Exhibit 1'!E2:E76)/'Exhibit 1'!E2:E76,'Exhibit 1'!J2:J76="Comedy"),
_xlfn._xlws.FILTER(('Exhibit 1'!C2:C76-'Exhibit 1'!E2:E76)/'Exhibit 1'!E2:E76,'Exhibit 1'!J2:J76&lt;&gt;"Comedy"),
2,3)</f>
        <v>4.7430039211844785E-2</v>
      </c>
    </row>
    <row r="27" spans="1:4">
      <c r="C27" s="37"/>
      <c r="D27" s="39"/>
    </row>
    <row r="28" spans="1:4">
      <c r="C28" s="46" t="s">
        <v>130</v>
      </c>
      <c r="D28" s="47" t="s">
        <v>152</v>
      </c>
    </row>
    <row r="29" spans="1:4">
      <c r="C29" s="46" t="s">
        <v>131</v>
      </c>
      <c r="D29" s="47" t="s">
        <v>153</v>
      </c>
    </row>
    <row r="30" spans="1:4">
      <c r="C30" s="37"/>
      <c r="D30" s="39"/>
    </row>
    <row r="31" spans="1:4">
      <c r="C31" s="43" t="s">
        <v>136</v>
      </c>
      <c r="D31" s="39" t="b">
        <f>IF(D26&lt;D5,TRUE,FALSE)</f>
        <v>1</v>
      </c>
    </row>
    <row r="32" spans="1:4">
      <c r="C32" s="37"/>
      <c r="D32" s="39"/>
    </row>
    <row r="33" spans="3:4" ht="18" thickBot="1">
      <c r="C33" s="48" t="s">
        <v>137</v>
      </c>
      <c r="D33" s="49" t="s">
        <v>152</v>
      </c>
    </row>
    <row r="34" spans="3:4" ht="13.8" thickTop="1">
      <c r="C34" s="37"/>
      <c r="D34" s="39"/>
    </row>
    <row r="35" spans="3:4">
      <c r="C35" s="37"/>
      <c r="D35" s="39"/>
    </row>
    <row r="36" spans="3:4">
      <c r="C36" s="37"/>
      <c r="D36" s="39"/>
    </row>
    <row r="37" spans="3:4">
      <c r="C37" s="37"/>
      <c r="D37" s="39"/>
    </row>
    <row r="38" spans="3:4">
      <c r="C38" s="37"/>
      <c r="D38" s="39"/>
    </row>
    <row r="39" spans="3:4">
      <c r="C39" s="37"/>
      <c r="D39" s="39"/>
    </row>
    <row r="40" spans="3:4">
      <c r="C40" s="37"/>
      <c r="D40" s="39"/>
    </row>
    <row r="41" spans="3:4">
      <c r="C41" s="37"/>
      <c r="D41" s="39"/>
    </row>
    <row r="42" spans="3:4">
      <c r="C42" s="37"/>
      <c r="D42" s="39"/>
    </row>
    <row r="43" spans="3:4">
      <c r="C43" s="37"/>
      <c r="D43" s="39"/>
    </row>
    <row r="44" spans="3:4">
      <c r="C44" s="37"/>
      <c r="D44" s="39"/>
    </row>
    <row r="45" spans="3:4">
      <c r="C45" s="37"/>
      <c r="D45" s="39"/>
    </row>
    <row r="46" spans="3:4">
      <c r="C46" s="37"/>
      <c r="D46" s="39"/>
    </row>
    <row r="47" spans="3:4">
      <c r="C47" s="37"/>
      <c r="D47" s="39"/>
    </row>
    <row r="48" spans="3:4">
      <c r="C48" s="37"/>
      <c r="D48" s="39"/>
    </row>
    <row r="49" spans="3:4">
      <c r="C49" s="37"/>
      <c r="D49" s="39"/>
    </row>
    <row r="50" spans="3:4">
      <c r="C50" s="37"/>
      <c r="D50" s="39"/>
    </row>
    <row r="51" spans="3:4">
      <c r="C51" s="37"/>
      <c r="D51" s="39"/>
    </row>
    <row r="52" spans="3:4">
      <c r="C52" s="37"/>
      <c r="D52" s="39"/>
    </row>
    <row r="53" spans="3:4">
      <c r="C53" s="37"/>
      <c r="D53" s="39"/>
    </row>
    <row r="54" spans="3:4">
      <c r="C54" s="37"/>
      <c r="D54" s="39"/>
    </row>
    <row r="55" spans="3:4">
      <c r="C55" s="37"/>
      <c r="D55" s="39"/>
    </row>
    <row r="56" spans="3:4">
      <c r="C56" s="37"/>
      <c r="D56" s="39"/>
    </row>
    <row r="57" spans="3:4">
      <c r="C57" s="37"/>
      <c r="D57" s="39"/>
    </row>
    <row r="58" spans="3:4">
      <c r="C58" s="37"/>
      <c r="D58" s="39"/>
    </row>
    <row r="59" spans="3:4">
      <c r="C59" s="37"/>
      <c r="D59" s="39"/>
    </row>
    <row r="60" spans="3:4">
      <c r="C60" s="37"/>
      <c r="D60" s="39"/>
    </row>
    <row r="61" spans="3:4">
      <c r="C61" s="37"/>
      <c r="D61" s="39"/>
    </row>
    <row r="62" spans="3:4">
      <c r="C62" s="37"/>
      <c r="D62" s="39"/>
    </row>
    <row r="63" spans="3:4">
      <c r="C63" s="37"/>
      <c r="D63" s="39"/>
    </row>
    <row r="64" spans="3:4">
      <c r="C64" s="37"/>
      <c r="D64" s="39"/>
    </row>
    <row r="65" spans="3:5">
      <c r="C65" s="37"/>
      <c r="D65" s="39"/>
    </row>
    <row r="66" spans="3:5">
      <c r="C66" s="37"/>
      <c r="D66" s="39"/>
    </row>
    <row r="67" spans="3:5">
      <c r="C67" s="37"/>
      <c r="D67" s="39"/>
    </row>
    <row r="68" spans="3:5">
      <c r="C68" s="37"/>
      <c r="D68" s="39"/>
    </row>
    <row r="69" spans="3:5">
      <c r="C69" s="37"/>
      <c r="D69" s="39"/>
    </row>
    <row r="70" spans="3:5">
      <c r="C70" s="37"/>
      <c r="D70" s="39"/>
    </row>
    <row r="71" spans="3:5">
      <c r="C71" s="37"/>
      <c r="D71" s="39"/>
    </row>
    <row r="72" spans="3:5">
      <c r="C72" s="37"/>
      <c r="D72" s="39"/>
    </row>
    <row r="73" spans="3:5">
      <c r="C73" s="37"/>
      <c r="D73" s="39"/>
    </row>
    <row r="74" spans="3:5">
      <c r="C74" s="37"/>
      <c r="D74" s="39"/>
    </row>
    <row r="75" spans="3:5">
      <c r="C75" s="37"/>
      <c r="D75" s="39"/>
    </row>
    <row r="76" spans="3:5">
      <c r="C76" s="37"/>
      <c r="D76" s="39"/>
    </row>
    <row r="79" spans="3:5">
      <c r="C79"/>
      <c r="D79"/>
      <c r="E79"/>
    </row>
    <row r="80" spans="3:5" ht="13.8" thickBot="1">
      <c r="C80"/>
      <c r="D80"/>
      <c r="E80"/>
    </row>
    <row r="81" spans="3:5">
      <c r="C81" s="42"/>
      <c r="D81" s="42"/>
      <c r="E81" s="42"/>
    </row>
    <row r="82" spans="3:5">
      <c r="C82"/>
      <c r="D82"/>
      <c r="E82"/>
    </row>
    <row r="83" spans="3:5">
      <c r="C83"/>
      <c r="D83"/>
      <c r="E83"/>
    </row>
    <row r="84" spans="3:5">
      <c r="C84"/>
      <c r="D84"/>
      <c r="E84"/>
    </row>
    <row r="85" spans="3:5">
      <c r="C85"/>
      <c r="D85"/>
      <c r="E85"/>
    </row>
    <row r="86" spans="3:5">
      <c r="C86"/>
      <c r="D86"/>
      <c r="E86"/>
    </row>
    <row r="87" spans="3:5">
      <c r="C87"/>
      <c r="D87"/>
      <c r="E87"/>
    </row>
    <row r="88" spans="3:5">
      <c r="C88"/>
      <c r="D88"/>
      <c r="E88"/>
    </row>
    <row r="89" spans="3:5">
      <c r="C89"/>
      <c r="D89"/>
      <c r="E89"/>
    </row>
    <row r="90" spans="3:5">
      <c r="C90"/>
      <c r="D90"/>
      <c r="E90"/>
    </row>
    <row r="91" spans="3:5" ht="13.8" thickBot="1">
      <c r="C91" s="41"/>
      <c r="D91" s="41"/>
      <c r="E91" s="4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B63C90C5-618D-4430-915A-8300201E5681}">
            <xm:f>NOT(ISERROR(SEARCH($D$18,D18)))</xm:f>
            <xm:f>$D$18</xm:f>
            <x14:dxf>
              <font>
                <color rgb="FF9C0006"/>
              </font>
              <fill>
                <patternFill>
                  <bgColor rgb="FFFFC7CE"/>
                </patternFill>
              </fill>
            </x14:dxf>
          </x14:cfRule>
          <xm:sqref>D18</xm:sqref>
        </x14:conditionalFormatting>
        <x14:conditionalFormatting xmlns:xm="http://schemas.microsoft.com/office/excel/2006/main">
          <x14:cfRule type="containsText" priority="2" operator="containsText" id="{9FF34D4C-48FE-4E87-A5E9-7D0B1A87369F}">
            <xm:f>NOT(ISERROR(SEARCH($D$31,D31)))</xm:f>
            <xm:f>$D$31</xm:f>
            <x14:dxf>
              <font>
                <color rgb="FF006100"/>
              </font>
              <fill>
                <patternFill>
                  <bgColor rgb="FFC6EFCE"/>
                </patternFill>
              </fill>
            </x14:dxf>
          </x14:cfRule>
          <xm:sqref>D31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22C6-A596-4A14-ABBE-4800CA94FA00}">
  <dimension ref="A1:D27"/>
  <sheetViews>
    <sheetView workbookViewId="0">
      <selection activeCell="C1" sqref="C1:D1"/>
    </sheetView>
  </sheetViews>
  <sheetFormatPr defaultRowHeight="13.2"/>
  <cols>
    <col min="1" max="1" width="14.77734375" bestFit="1" customWidth="1"/>
    <col min="3" max="3" width="42.77734375" bestFit="1" customWidth="1"/>
    <col min="4" max="4" width="109.21875" bestFit="1" customWidth="1"/>
  </cols>
  <sheetData>
    <row r="1" spans="1:4" ht="18" thickBot="1">
      <c r="C1" s="40" t="s">
        <v>124</v>
      </c>
      <c r="D1" s="35">
        <v>0.05</v>
      </c>
    </row>
    <row r="2" spans="1:4" ht="13.8" thickTop="1">
      <c r="A2" s="38" t="s">
        <v>154</v>
      </c>
      <c r="B2" s="36"/>
      <c r="C2" s="37"/>
      <c r="D2" s="39"/>
    </row>
    <row r="3" spans="1:4" ht="14.4">
      <c r="A3" s="36"/>
      <c r="B3" s="36"/>
      <c r="C3" s="44" t="s">
        <v>155</v>
      </c>
      <c r="D3" s="45">
        <f>AVERAGEIF('Exhibit 1'!N2:N76,"R",'Exhibit 1'!C2:C76)</f>
        <v>53330311.866666667</v>
      </c>
    </row>
    <row r="4" spans="1:4" ht="14.4">
      <c r="A4" s="36"/>
      <c r="B4" s="36"/>
      <c r="C4" s="44" t="s">
        <v>156</v>
      </c>
      <c r="D4" s="45">
        <f>AVERAGEIF('Exhibit 1'!N2:N76,"&lt;&gt;R",'Exhibit 1'!C2:C76)</f>
        <v>61193235.56666667</v>
      </c>
    </row>
    <row r="5" spans="1:4">
      <c r="A5" s="36"/>
      <c r="B5" s="36"/>
      <c r="C5" s="37"/>
      <c r="D5" s="39"/>
    </row>
    <row r="6" spans="1:4" ht="14.4">
      <c r="A6" s="36"/>
      <c r="B6" s="36"/>
      <c r="C6" s="44" t="s">
        <v>147</v>
      </c>
      <c r="D6" s="50" cm="1">
        <f t="array" ref="D6">_xlfn.T.TEST(
    _xlfn._xlws.FILTER('Exhibit 1'!C2:C76,'Exhibit 1'!N2:N76="R"),
    _xlfn._xlws.FILTER('Exhibit 1'!C2:C76,'Exhibit 1'!N2:N76&lt;&gt;"R"),
    2,
    3
)</f>
        <v>0.39789816334649086</v>
      </c>
    </row>
    <row r="7" spans="1:4">
      <c r="A7" s="36"/>
      <c r="B7" s="36"/>
      <c r="C7" s="37"/>
      <c r="D7" s="39"/>
    </row>
    <row r="8" spans="1:4">
      <c r="A8" s="36"/>
      <c r="B8" s="36"/>
      <c r="C8" s="46" t="s">
        <v>130</v>
      </c>
      <c r="D8" s="47" t="s">
        <v>157</v>
      </c>
    </row>
    <row r="9" spans="1:4">
      <c r="A9" s="36"/>
      <c r="B9" s="36"/>
      <c r="C9" s="46" t="s">
        <v>131</v>
      </c>
      <c r="D9" s="47" t="s">
        <v>158</v>
      </c>
    </row>
    <row r="10" spans="1:4">
      <c r="A10" s="36"/>
      <c r="B10" s="36"/>
      <c r="C10" s="37"/>
      <c r="D10" s="39"/>
    </row>
    <row r="11" spans="1:4">
      <c r="A11" s="36"/>
      <c r="B11" s="36"/>
      <c r="C11" s="43" t="s">
        <v>136</v>
      </c>
      <c r="D11" s="39" t="b">
        <f>IF(D6&lt;D1,TRUE,FALSE)</f>
        <v>0</v>
      </c>
    </row>
    <row r="12" spans="1:4">
      <c r="A12" s="36"/>
      <c r="B12" s="36"/>
      <c r="C12" s="37"/>
      <c r="D12" s="39"/>
    </row>
    <row r="13" spans="1:4" ht="18" thickBot="1">
      <c r="A13" s="36"/>
      <c r="B13" s="36"/>
      <c r="C13" s="40" t="s">
        <v>137</v>
      </c>
      <c r="D13" s="49" t="s">
        <v>157</v>
      </c>
    </row>
    <row r="14" spans="1:4" ht="13.8" thickTop="1">
      <c r="A14" s="36"/>
      <c r="B14" s="36"/>
      <c r="C14" s="36"/>
      <c r="D14" s="36"/>
    </row>
    <row r="15" spans="1:4">
      <c r="A15" s="36"/>
      <c r="B15" s="36"/>
      <c r="C15" s="36"/>
      <c r="D15" s="36"/>
    </row>
    <row r="16" spans="1:4" ht="14.4">
      <c r="A16" s="38"/>
      <c r="B16" s="36"/>
      <c r="C16" s="44"/>
      <c r="D16" s="45"/>
    </row>
    <row r="17" spans="1:4" ht="14.4">
      <c r="A17" s="36"/>
      <c r="B17" s="36"/>
      <c r="C17" s="44"/>
      <c r="D17" s="45"/>
    </row>
    <row r="18" spans="1:4">
      <c r="A18" s="36"/>
      <c r="B18" s="36"/>
      <c r="C18" s="37"/>
      <c r="D18" s="39"/>
    </row>
    <row r="19" spans="1:4" ht="14.4">
      <c r="A19" s="36"/>
      <c r="B19" s="36"/>
      <c r="C19" s="44"/>
      <c r="D19" s="50"/>
    </row>
    <row r="20" spans="1:4">
      <c r="A20" s="36"/>
      <c r="B20" s="36"/>
      <c r="C20" s="37"/>
      <c r="D20" s="39"/>
    </row>
    <row r="21" spans="1:4">
      <c r="A21" s="36"/>
      <c r="B21" s="36"/>
      <c r="C21" s="46"/>
      <c r="D21" s="47"/>
    </row>
    <row r="22" spans="1:4">
      <c r="A22" s="36"/>
      <c r="B22" s="36"/>
      <c r="C22" s="46"/>
      <c r="D22" s="47"/>
    </row>
    <row r="23" spans="1:4">
      <c r="A23" s="36"/>
      <c r="B23" s="36"/>
      <c r="C23" s="37"/>
      <c r="D23" s="39"/>
    </row>
    <row r="24" spans="1:4">
      <c r="A24" s="36"/>
      <c r="B24" s="36"/>
      <c r="C24" s="43"/>
      <c r="D24" s="39"/>
    </row>
    <row r="25" spans="1:4">
      <c r="A25" s="36"/>
      <c r="B25" s="36"/>
      <c r="C25" s="37"/>
      <c r="D25" s="39"/>
    </row>
    <row r="26" spans="1:4" ht="18" thickBot="1">
      <c r="A26" s="36"/>
      <c r="B26" s="36"/>
      <c r="C26" s="48"/>
      <c r="D26" s="49"/>
    </row>
    <row r="27" spans="1:4" ht="13.8" thickTop="1"/>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D2D271D9-23D0-4B1B-858E-ADA1837E1AAF}">
            <xm:f>NOT(ISERROR(SEARCH($D$18,D11)))</xm:f>
            <xm:f>$D$18</xm:f>
            <x14:dxf>
              <font>
                <color rgb="FF9C0006"/>
              </font>
              <fill>
                <patternFill>
                  <bgColor rgb="FFFFC7CE"/>
                </patternFill>
              </fill>
            </x14:dxf>
          </x14:cfRule>
          <xm:sqref>D11</xm:sqref>
        </x14:conditionalFormatting>
        <x14:conditionalFormatting xmlns:xm="http://schemas.microsoft.com/office/excel/2006/main">
          <x14:cfRule type="containsText" priority="2" operator="containsText" id="{21CF95BB-40B6-49AE-A9C4-A59F82E0D6A6}">
            <xm:f>NOT(ISERROR(SEARCH($D$31,D24)))</xm:f>
            <xm:f>$D$31</xm:f>
            <x14:dxf>
              <font>
                <color rgb="FF006100"/>
              </font>
              <fill>
                <patternFill>
                  <bgColor rgb="FFC6EFCE"/>
                </patternFill>
              </fill>
            </x14:dxf>
          </x14:cfRule>
          <xm:sqref>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3D9E-41F2-49F0-9F2E-ACBF446B45DF}">
  <dimension ref="A1:I163"/>
  <sheetViews>
    <sheetView topLeftCell="A115" zoomScale="70" zoomScaleNormal="70" workbookViewId="0">
      <selection activeCell="A136" sqref="A136:A138"/>
    </sheetView>
  </sheetViews>
  <sheetFormatPr defaultColWidth="11.44140625" defaultRowHeight="13.2"/>
  <cols>
    <col min="1" max="1" width="71.21875" bestFit="1" customWidth="1"/>
    <col min="2" max="2" width="16.44140625" bestFit="1" customWidth="1"/>
    <col min="3" max="3" width="13.88671875" bestFit="1" customWidth="1"/>
    <col min="4" max="4" width="16.88671875" bestFit="1" customWidth="1"/>
    <col min="5" max="5" width="23.109375" bestFit="1" customWidth="1"/>
    <col min="6" max="6" width="13.88671875" bestFit="1" customWidth="1"/>
    <col min="7" max="7" width="13.33203125" bestFit="1" customWidth="1"/>
    <col min="8" max="8" width="13.88671875" bestFit="1" customWidth="1"/>
    <col min="9" max="9" width="13.33203125" bestFit="1" customWidth="1"/>
    <col min="11" max="11" width="46.33203125" bestFit="1" customWidth="1"/>
    <col min="12" max="12" width="16.21875" bestFit="1" customWidth="1"/>
    <col min="13" max="13" width="14" bestFit="1" customWidth="1"/>
    <col min="14" max="14" width="12.6640625" bestFit="1" customWidth="1"/>
    <col min="15" max="15" width="12" bestFit="1" customWidth="1"/>
    <col min="16" max="16" width="13.44140625" bestFit="1" customWidth="1"/>
    <col min="17" max="17" width="12" bestFit="1" customWidth="1"/>
    <col min="18" max="18" width="12.6640625" bestFit="1" customWidth="1"/>
    <col min="19" max="19" width="12.44140625" bestFit="1" customWidth="1"/>
  </cols>
  <sheetData>
    <row r="1" spans="1:6" ht="30" customHeight="1" thickBot="1">
      <c r="A1" s="71" t="s">
        <v>103</v>
      </c>
      <c r="B1" s="70" t="s">
        <v>93</v>
      </c>
      <c r="C1" s="15" t="s">
        <v>79</v>
      </c>
      <c r="D1" s="15" t="s">
        <v>97</v>
      </c>
      <c r="E1" s="15" t="s">
        <v>159</v>
      </c>
      <c r="F1" s="15" t="s">
        <v>96</v>
      </c>
    </row>
    <row r="2" spans="1:6" ht="15" customHeight="1" thickTop="1">
      <c r="A2" s="16">
        <v>36895141</v>
      </c>
      <c r="B2" s="17">
        <v>45000000</v>
      </c>
      <c r="C2" s="56">
        <v>0</v>
      </c>
      <c r="D2" s="31">
        <v>0</v>
      </c>
      <c r="E2" s="31">
        <v>0</v>
      </c>
      <c r="F2" s="31">
        <v>0</v>
      </c>
    </row>
    <row r="3" spans="1:6" ht="15" customHeight="1">
      <c r="A3" s="16">
        <v>36323505</v>
      </c>
      <c r="B3" s="17">
        <v>23000000</v>
      </c>
      <c r="C3" s="56">
        <v>0</v>
      </c>
      <c r="D3" s="31">
        <v>0</v>
      </c>
      <c r="E3" s="31">
        <v>1</v>
      </c>
      <c r="F3" s="31">
        <v>0</v>
      </c>
    </row>
    <row r="4" spans="1:6" ht="15" customHeight="1">
      <c r="A4" s="16">
        <v>50866635</v>
      </c>
      <c r="B4" s="17">
        <v>40000000</v>
      </c>
      <c r="C4" s="56">
        <v>0</v>
      </c>
      <c r="D4" s="31">
        <v>0</v>
      </c>
      <c r="E4" s="31">
        <v>0</v>
      </c>
      <c r="F4" s="31">
        <v>1</v>
      </c>
    </row>
    <row r="5" spans="1:6" ht="15" customHeight="1">
      <c r="A5" s="16">
        <v>15132763</v>
      </c>
      <c r="B5" s="17">
        <v>86000000</v>
      </c>
      <c r="C5" s="56">
        <v>0</v>
      </c>
      <c r="D5" s="31">
        <v>0</v>
      </c>
      <c r="E5" s="31">
        <v>0</v>
      </c>
      <c r="F5" s="31">
        <v>0</v>
      </c>
    </row>
    <row r="6" spans="1:6" ht="15" customHeight="1">
      <c r="A6" s="16">
        <v>21170563</v>
      </c>
      <c r="B6" s="17">
        <v>20000000</v>
      </c>
      <c r="C6" s="56">
        <v>0</v>
      </c>
      <c r="D6" s="31">
        <v>0</v>
      </c>
      <c r="E6" s="31">
        <v>0</v>
      </c>
      <c r="F6" s="31">
        <v>0</v>
      </c>
    </row>
    <row r="7" spans="1:6" ht="15" customHeight="1">
      <c r="A7" s="16">
        <v>34302837</v>
      </c>
      <c r="B7" s="17">
        <v>20000000</v>
      </c>
      <c r="C7" s="56">
        <v>0</v>
      </c>
      <c r="D7" s="31">
        <v>0</v>
      </c>
      <c r="E7" s="31">
        <v>0</v>
      </c>
      <c r="F7" s="31">
        <v>1</v>
      </c>
    </row>
    <row r="8" spans="1:6" ht="15" customHeight="1">
      <c r="A8" s="16">
        <v>72637803</v>
      </c>
      <c r="B8" s="17">
        <v>51000000</v>
      </c>
      <c r="C8" s="56">
        <v>0</v>
      </c>
      <c r="D8" s="31">
        <v>0</v>
      </c>
      <c r="E8" s="31">
        <v>0</v>
      </c>
      <c r="F8" s="31">
        <v>0</v>
      </c>
    </row>
    <row r="9" spans="1:6" ht="15" customHeight="1">
      <c r="A9" s="16">
        <v>70165972</v>
      </c>
      <c r="B9" s="17">
        <v>40000000</v>
      </c>
      <c r="C9" s="56">
        <v>1</v>
      </c>
      <c r="D9" s="31">
        <v>0</v>
      </c>
      <c r="E9" s="31">
        <v>1</v>
      </c>
      <c r="F9" s="31">
        <v>0</v>
      </c>
    </row>
    <row r="10" spans="1:6" ht="15" customHeight="1">
      <c r="A10" s="16">
        <v>57377916</v>
      </c>
      <c r="B10" s="17">
        <v>100000000</v>
      </c>
      <c r="C10" s="56">
        <v>0</v>
      </c>
      <c r="D10" s="31">
        <v>0</v>
      </c>
      <c r="E10" s="31">
        <v>0</v>
      </c>
      <c r="F10" s="31">
        <v>1</v>
      </c>
    </row>
    <row r="11" spans="1:6" ht="15" customHeight="1">
      <c r="A11" s="16">
        <v>82599768</v>
      </c>
      <c r="B11" s="17">
        <v>85000000</v>
      </c>
      <c r="C11" s="56">
        <v>0</v>
      </c>
      <c r="D11" s="31">
        <v>1</v>
      </c>
      <c r="E11" s="31">
        <v>1</v>
      </c>
      <c r="F11" s="31">
        <v>0</v>
      </c>
    </row>
    <row r="12" spans="1:6" ht="15" customHeight="1">
      <c r="A12" s="16">
        <v>35327768</v>
      </c>
      <c r="B12" s="17">
        <v>76000000</v>
      </c>
      <c r="C12" s="56">
        <v>0</v>
      </c>
      <c r="D12" s="31">
        <v>1</v>
      </c>
      <c r="E12" s="31">
        <v>0</v>
      </c>
      <c r="F12" s="31">
        <v>1</v>
      </c>
    </row>
    <row r="13" spans="1:6" ht="15" customHeight="1">
      <c r="A13" s="16">
        <v>137355633</v>
      </c>
      <c r="B13" s="17">
        <v>82500000</v>
      </c>
      <c r="C13" s="56">
        <v>0</v>
      </c>
      <c r="D13" s="31">
        <v>0</v>
      </c>
      <c r="E13" s="31">
        <v>1</v>
      </c>
      <c r="F13" s="31">
        <v>0</v>
      </c>
    </row>
    <row r="14" spans="1:6" ht="15" customHeight="1">
      <c r="A14" s="16">
        <v>58360760</v>
      </c>
      <c r="B14" s="17">
        <v>50000000</v>
      </c>
      <c r="C14" s="56">
        <v>0</v>
      </c>
      <c r="D14" s="31">
        <v>1</v>
      </c>
      <c r="E14" s="31">
        <v>0</v>
      </c>
      <c r="F14" s="31">
        <v>0</v>
      </c>
    </row>
    <row r="15" spans="1:6" ht="15" customHeight="1">
      <c r="A15" s="16">
        <v>48548426</v>
      </c>
      <c r="B15" s="17">
        <v>20000000</v>
      </c>
      <c r="C15" s="56">
        <v>0</v>
      </c>
      <c r="D15" s="31">
        <v>0</v>
      </c>
      <c r="E15" s="31">
        <v>1</v>
      </c>
      <c r="F15" s="31">
        <v>0</v>
      </c>
    </row>
    <row r="16" spans="1:6" ht="15" customHeight="1">
      <c r="A16" s="16">
        <v>64038616</v>
      </c>
      <c r="B16" s="17">
        <v>75000000</v>
      </c>
      <c r="C16" s="56">
        <v>0</v>
      </c>
      <c r="D16" s="31">
        <v>0</v>
      </c>
      <c r="E16" s="31">
        <v>0</v>
      </c>
      <c r="F16" s="31">
        <v>0</v>
      </c>
    </row>
    <row r="17" spans="1:6" ht="15" customHeight="1">
      <c r="A17" s="16">
        <v>103365956</v>
      </c>
      <c r="B17" s="17">
        <v>75000000</v>
      </c>
      <c r="C17" s="56">
        <v>0</v>
      </c>
      <c r="D17" s="31">
        <v>0</v>
      </c>
      <c r="E17" s="31">
        <v>0</v>
      </c>
      <c r="F17" s="31">
        <v>0</v>
      </c>
    </row>
    <row r="18" spans="1:6" ht="15" customHeight="1">
      <c r="A18" s="16">
        <v>81612565</v>
      </c>
      <c r="B18" s="17">
        <v>40000000</v>
      </c>
      <c r="C18" s="56">
        <v>0</v>
      </c>
      <c r="D18" s="31">
        <v>1</v>
      </c>
      <c r="E18" s="31">
        <v>0</v>
      </c>
      <c r="F18" s="31">
        <v>0</v>
      </c>
    </row>
    <row r="19" spans="1:6" ht="15" customHeight="1">
      <c r="A19" s="16">
        <v>75030163</v>
      </c>
      <c r="B19" s="17">
        <v>100000000</v>
      </c>
      <c r="C19" s="56">
        <v>0</v>
      </c>
      <c r="D19" s="31">
        <v>1</v>
      </c>
      <c r="E19" s="31">
        <v>0</v>
      </c>
      <c r="F19" s="31">
        <v>0</v>
      </c>
    </row>
    <row r="20" spans="1:6" ht="15" customHeight="1">
      <c r="A20" s="16">
        <v>88715192</v>
      </c>
      <c r="B20" s="17">
        <v>50000000</v>
      </c>
      <c r="C20" s="56">
        <v>0</v>
      </c>
      <c r="D20" s="31">
        <v>0</v>
      </c>
      <c r="E20" s="31">
        <v>1</v>
      </c>
      <c r="F20" s="31">
        <v>0</v>
      </c>
    </row>
    <row r="21" spans="1:6" ht="15" customHeight="1">
      <c r="A21" s="16">
        <v>54098051</v>
      </c>
      <c r="B21" s="17">
        <v>25000000</v>
      </c>
      <c r="C21" s="56">
        <v>1</v>
      </c>
      <c r="D21" s="31">
        <v>0</v>
      </c>
      <c r="E21" s="31">
        <v>0</v>
      </c>
      <c r="F21" s="31">
        <v>1</v>
      </c>
    </row>
    <row r="22" spans="1:6" ht="15" customHeight="1">
      <c r="A22" s="16">
        <v>33602376</v>
      </c>
      <c r="B22" s="17">
        <v>90000000</v>
      </c>
      <c r="C22" s="56">
        <v>0</v>
      </c>
      <c r="D22" s="31">
        <v>1</v>
      </c>
      <c r="E22" s="31">
        <v>0</v>
      </c>
      <c r="F22" s="31">
        <v>1</v>
      </c>
    </row>
    <row r="23" spans="1:6" ht="15" customHeight="1">
      <c r="A23" s="16">
        <v>13090630</v>
      </c>
      <c r="B23" s="17">
        <v>60000000</v>
      </c>
      <c r="C23" s="56">
        <v>0</v>
      </c>
      <c r="D23" s="31">
        <v>0</v>
      </c>
      <c r="E23" s="31">
        <v>0</v>
      </c>
      <c r="F23" s="31">
        <v>0</v>
      </c>
    </row>
    <row r="24" spans="1:6" ht="15" customHeight="1">
      <c r="A24" s="16">
        <v>38432823</v>
      </c>
      <c r="B24" s="17">
        <v>30000000</v>
      </c>
      <c r="C24" s="56">
        <v>0</v>
      </c>
      <c r="D24" s="31">
        <v>0</v>
      </c>
      <c r="E24" s="31">
        <v>0</v>
      </c>
      <c r="F24" s="31">
        <v>0</v>
      </c>
    </row>
    <row r="25" spans="1:6" ht="15" customHeight="1">
      <c r="A25" s="16">
        <v>198000317</v>
      </c>
      <c r="B25" s="17">
        <v>100000000</v>
      </c>
      <c r="C25" s="56">
        <v>0</v>
      </c>
      <c r="D25" s="31">
        <v>0</v>
      </c>
      <c r="E25" s="31">
        <v>0</v>
      </c>
      <c r="F25" s="31">
        <v>0</v>
      </c>
    </row>
    <row r="26" spans="1:6" ht="15" customHeight="1">
      <c r="A26" s="16">
        <v>195330621</v>
      </c>
      <c r="B26" s="17">
        <v>80000000</v>
      </c>
      <c r="C26" s="56">
        <v>1</v>
      </c>
      <c r="D26" s="31">
        <v>0</v>
      </c>
      <c r="E26" s="31">
        <v>0</v>
      </c>
      <c r="F26" s="31">
        <v>0</v>
      </c>
    </row>
    <row r="27" spans="1:6" ht="15" customHeight="1">
      <c r="A27" s="16">
        <v>88513495</v>
      </c>
      <c r="B27" s="17">
        <v>45000000</v>
      </c>
      <c r="C27" s="56">
        <v>0</v>
      </c>
      <c r="D27" s="31">
        <v>0</v>
      </c>
      <c r="E27" s="31">
        <v>0</v>
      </c>
      <c r="F27" s="31">
        <v>1</v>
      </c>
    </row>
    <row r="28" spans="1:6" ht="15" customHeight="1">
      <c r="A28" s="16">
        <v>17326650</v>
      </c>
      <c r="B28" s="17">
        <v>28000000</v>
      </c>
      <c r="C28" s="56">
        <v>0</v>
      </c>
      <c r="D28" s="31">
        <v>0</v>
      </c>
      <c r="E28" s="31">
        <v>1</v>
      </c>
      <c r="F28" s="31">
        <v>0</v>
      </c>
    </row>
    <row r="29" spans="1:6" ht="15" customHeight="1">
      <c r="A29" s="16">
        <v>42285169</v>
      </c>
      <c r="B29" s="17">
        <v>70000000</v>
      </c>
      <c r="C29" s="56">
        <v>0</v>
      </c>
      <c r="D29" s="31">
        <v>0</v>
      </c>
      <c r="E29" s="31">
        <v>0</v>
      </c>
      <c r="F29" s="31">
        <v>0</v>
      </c>
    </row>
    <row r="30" spans="1:6" ht="15" customHeight="1">
      <c r="A30" s="16">
        <v>38399961</v>
      </c>
      <c r="B30" s="17">
        <v>45000000</v>
      </c>
      <c r="C30" s="56">
        <v>0</v>
      </c>
      <c r="D30" s="31">
        <v>1</v>
      </c>
      <c r="E30" s="31">
        <v>0</v>
      </c>
      <c r="F30" s="31">
        <v>0</v>
      </c>
    </row>
    <row r="31" spans="1:6" ht="15" customHeight="1">
      <c r="A31" s="16">
        <v>58645052</v>
      </c>
      <c r="B31" s="17">
        <v>64000000</v>
      </c>
      <c r="C31" s="56">
        <v>0</v>
      </c>
      <c r="D31" s="31">
        <v>0</v>
      </c>
      <c r="E31" s="31">
        <v>1</v>
      </c>
      <c r="F31" s="31">
        <v>0</v>
      </c>
    </row>
    <row r="32" spans="1:6" ht="15" customHeight="1">
      <c r="A32" s="16">
        <v>22495466</v>
      </c>
      <c r="B32" s="17">
        <v>27000000</v>
      </c>
      <c r="C32" s="56">
        <v>0</v>
      </c>
      <c r="D32" s="31">
        <v>0</v>
      </c>
      <c r="E32" s="31">
        <v>0</v>
      </c>
      <c r="F32" s="31">
        <v>1</v>
      </c>
    </row>
    <row r="33" spans="1:6" ht="15" customHeight="1">
      <c r="A33" s="16">
        <v>15962471</v>
      </c>
      <c r="B33" s="17">
        <v>40000000</v>
      </c>
      <c r="C33" s="56">
        <v>0</v>
      </c>
      <c r="D33" s="31">
        <v>1</v>
      </c>
      <c r="E33" s="31">
        <v>0</v>
      </c>
      <c r="F33" s="31">
        <v>0</v>
      </c>
    </row>
    <row r="34" spans="1:6" ht="15" customHeight="1">
      <c r="A34" s="16">
        <v>73661010</v>
      </c>
      <c r="B34" s="17">
        <v>75000000</v>
      </c>
      <c r="C34" s="56">
        <v>0</v>
      </c>
      <c r="D34" s="31">
        <v>0</v>
      </c>
      <c r="E34" s="31">
        <v>0</v>
      </c>
      <c r="F34" s="31">
        <v>0</v>
      </c>
    </row>
    <row r="35" spans="1:6" ht="15" customHeight="1">
      <c r="A35" s="16">
        <v>80197993</v>
      </c>
      <c r="B35" s="17">
        <v>35000000</v>
      </c>
      <c r="C35" s="56">
        <v>0</v>
      </c>
      <c r="D35" s="31">
        <v>0</v>
      </c>
      <c r="E35" s="31">
        <v>1</v>
      </c>
      <c r="F35" s="31">
        <v>0</v>
      </c>
    </row>
    <row r="36" spans="1:6" ht="15" customHeight="1">
      <c r="A36" s="16">
        <v>47144110</v>
      </c>
      <c r="B36" s="17">
        <v>25000000</v>
      </c>
      <c r="C36" s="56">
        <v>0</v>
      </c>
      <c r="D36" s="31">
        <v>1</v>
      </c>
      <c r="E36" s="31">
        <v>1</v>
      </c>
      <c r="F36" s="31">
        <v>0</v>
      </c>
    </row>
    <row r="37" spans="1:6" ht="15" customHeight="1">
      <c r="A37" s="16">
        <v>13395961</v>
      </c>
      <c r="B37" s="17">
        <v>20000000</v>
      </c>
      <c r="C37" s="56">
        <v>0</v>
      </c>
      <c r="D37" s="31">
        <v>1</v>
      </c>
      <c r="E37" s="31">
        <v>0</v>
      </c>
      <c r="F37" s="31">
        <v>0</v>
      </c>
    </row>
    <row r="38" spans="1:6" ht="15" customHeight="1">
      <c r="A38" s="16">
        <v>84303558</v>
      </c>
      <c r="B38" s="17">
        <v>85000000</v>
      </c>
      <c r="C38" s="56">
        <v>0</v>
      </c>
      <c r="D38" s="31">
        <v>0</v>
      </c>
      <c r="E38" s="31">
        <v>0</v>
      </c>
      <c r="F38" s="31">
        <v>0</v>
      </c>
    </row>
    <row r="39" spans="1:6" ht="15" customHeight="1">
      <c r="A39" s="16">
        <v>20264436</v>
      </c>
      <c r="B39" s="17">
        <v>20500000</v>
      </c>
      <c r="C39" s="56">
        <v>0</v>
      </c>
      <c r="D39" s="31">
        <v>1</v>
      </c>
      <c r="E39" s="31">
        <v>0</v>
      </c>
      <c r="F39" s="31">
        <v>0</v>
      </c>
    </row>
    <row r="40" spans="1:6" ht="15" customHeight="1">
      <c r="A40" s="16">
        <v>70269899</v>
      </c>
      <c r="B40" s="17">
        <v>24000000</v>
      </c>
      <c r="C40" s="56">
        <v>1</v>
      </c>
      <c r="D40" s="31">
        <v>0</v>
      </c>
      <c r="E40" s="31">
        <v>0</v>
      </c>
      <c r="F40" s="31">
        <v>0</v>
      </c>
    </row>
    <row r="41" spans="1:6" ht="15" customHeight="1">
      <c r="A41" s="16">
        <v>71726025</v>
      </c>
      <c r="B41" s="17">
        <v>50000000</v>
      </c>
      <c r="C41" s="56">
        <v>0</v>
      </c>
      <c r="D41" s="31">
        <v>0</v>
      </c>
      <c r="E41" s="31">
        <v>1</v>
      </c>
      <c r="F41" s="31">
        <v>0</v>
      </c>
    </row>
    <row r="42" spans="1:6" ht="15" customHeight="1">
      <c r="A42" s="16">
        <v>90710620</v>
      </c>
      <c r="B42" s="17">
        <v>45000000</v>
      </c>
      <c r="C42" s="56">
        <v>1</v>
      </c>
      <c r="D42" s="31">
        <v>0</v>
      </c>
      <c r="E42" s="31">
        <v>0</v>
      </c>
      <c r="F42" s="31">
        <v>0</v>
      </c>
    </row>
    <row r="43" spans="1:6" ht="15" customHeight="1">
      <c r="A43" s="16">
        <v>17807569</v>
      </c>
      <c r="B43" s="17">
        <v>35000000</v>
      </c>
      <c r="C43" s="56">
        <v>0</v>
      </c>
      <c r="D43" s="31">
        <v>1</v>
      </c>
      <c r="E43" s="31">
        <v>1</v>
      </c>
      <c r="F43" s="31">
        <v>0</v>
      </c>
    </row>
    <row r="44" spans="1:6" ht="15" customHeight="1">
      <c r="A44" s="16">
        <v>33741133</v>
      </c>
      <c r="B44" s="17">
        <v>20000000</v>
      </c>
      <c r="C44" s="56">
        <v>0</v>
      </c>
      <c r="D44" s="31">
        <v>1</v>
      </c>
      <c r="E44" s="31">
        <v>1</v>
      </c>
      <c r="F44" s="31">
        <v>0</v>
      </c>
    </row>
    <row r="45" spans="1:6" ht="15" customHeight="1">
      <c r="A45" s="16">
        <v>46982632</v>
      </c>
      <c r="B45" s="17">
        <v>50000000</v>
      </c>
      <c r="C45" s="56">
        <v>0</v>
      </c>
      <c r="D45" s="31">
        <v>1</v>
      </c>
      <c r="E45" s="31">
        <v>0</v>
      </c>
      <c r="F45" s="31">
        <v>1</v>
      </c>
    </row>
    <row r="46" spans="1:6" ht="15" customHeight="1">
      <c r="A46" s="16">
        <v>34020814</v>
      </c>
      <c r="B46" s="17">
        <v>33000000</v>
      </c>
      <c r="C46" s="56">
        <v>0</v>
      </c>
      <c r="D46" s="31">
        <v>0</v>
      </c>
      <c r="E46" s="31">
        <v>0</v>
      </c>
      <c r="F46" s="31">
        <v>1</v>
      </c>
    </row>
    <row r="47" spans="1:6" ht="15" customHeight="1">
      <c r="A47" s="16">
        <v>23086480</v>
      </c>
      <c r="B47" s="17">
        <v>20000000</v>
      </c>
      <c r="C47" s="56">
        <v>0</v>
      </c>
      <c r="D47" s="31">
        <v>0</v>
      </c>
      <c r="E47" s="31">
        <v>0</v>
      </c>
      <c r="F47" s="31">
        <v>0</v>
      </c>
    </row>
    <row r="48" spans="1:6" ht="15" customHeight="1">
      <c r="A48" s="16">
        <v>26910736</v>
      </c>
      <c r="B48" s="17">
        <v>20000000</v>
      </c>
      <c r="C48" s="56">
        <v>0</v>
      </c>
      <c r="D48" s="31">
        <v>0</v>
      </c>
      <c r="E48" s="31">
        <v>0</v>
      </c>
      <c r="F48" s="31">
        <v>0</v>
      </c>
    </row>
    <row r="49" spans="1:6" ht="15" customHeight="1">
      <c r="A49" s="16">
        <v>40435190</v>
      </c>
      <c r="B49" s="17">
        <v>30000000</v>
      </c>
      <c r="C49" s="56">
        <v>0</v>
      </c>
      <c r="D49" s="31">
        <v>0</v>
      </c>
      <c r="E49" s="31">
        <v>1</v>
      </c>
      <c r="F49" s="31">
        <v>0</v>
      </c>
    </row>
    <row r="50" spans="1:6" ht="15" customHeight="1">
      <c r="A50" s="16">
        <v>34742066</v>
      </c>
      <c r="B50" s="17">
        <v>30000000</v>
      </c>
      <c r="C50" s="56">
        <v>0</v>
      </c>
      <c r="D50" s="31">
        <v>0</v>
      </c>
      <c r="E50" s="31">
        <v>0</v>
      </c>
      <c r="F50" s="31">
        <v>0</v>
      </c>
    </row>
    <row r="51" spans="1:6" ht="15" customHeight="1">
      <c r="A51" s="16">
        <v>148213377</v>
      </c>
      <c r="B51" s="17">
        <v>72500000</v>
      </c>
      <c r="C51" s="56">
        <v>0</v>
      </c>
      <c r="D51" s="31">
        <v>0</v>
      </c>
      <c r="E51" s="31">
        <v>1</v>
      </c>
      <c r="F51" s="31">
        <v>0</v>
      </c>
    </row>
    <row r="52" spans="1:6" ht="15" customHeight="1">
      <c r="A52" s="16">
        <v>28142535</v>
      </c>
      <c r="B52" s="17">
        <v>50000000</v>
      </c>
      <c r="C52" s="56">
        <v>0</v>
      </c>
      <c r="D52" s="31">
        <v>1</v>
      </c>
      <c r="E52" s="31">
        <v>0</v>
      </c>
      <c r="F52" s="31">
        <v>0</v>
      </c>
    </row>
    <row r="53" spans="1:6" ht="15" customHeight="1">
      <c r="A53" s="16">
        <v>59843754</v>
      </c>
      <c r="B53" s="17">
        <v>33000000</v>
      </c>
      <c r="C53" s="56">
        <v>0</v>
      </c>
      <c r="D53" s="31">
        <v>0</v>
      </c>
      <c r="E53" s="31">
        <v>1</v>
      </c>
      <c r="F53" s="31">
        <v>0</v>
      </c>
    </row>
    <row r="54" spans="1:6" ht="15" customHeight="1">
      <c r="A54" s="16">
        <v>22545080</v>
      </c>
      <c r="B54" s="17">
        <v>50000000</v>
      </c>
      <c r="C54" s="56">
        <v>0</v>
      </c>
      <c r="D54" s="31">
        <v>1</v>
      </c>
      <c r="E54" s="31">
        <v>0</v>
      </c>
      <c r="F54" s="31">
        <v>1</v>
      </c>
    </row>
    <row r="55" spans="1:6" ht="15" customHeight="1">
      <c r="A55" s="16">
        <v>118703275</v>
      </c>
      <c r="B55" s="17">
        <v>52000000</v>
      </c>
      <c r="C55" s="56">
        <v>0</v>
      </c>
      <c r="D55" s="31">
        <v>0</v>
      </c>
      <c r="E55" s="31">
        <v>1</v>
      </c>
      <c r="F55" s="31">
        <v>0</v>
      </c>
    </row>
    <row r="56" spans="1:6" ht="15" customHeight="1">
      <c r="A56" s="16">
        <v>23380495</v>
      </c>
      <c r="B56" s="17">
        <v>20000000</v>
      </c>
      <c r="C56" s="56">
        <v>0</v>
      </c>
      <c r="D56" s="31">
        <v>0</v>
      </c>
      <c r="E56" s="31">
        <v>0</v>
      </c>
      <c r="F56" s="31">
        <v>0</v>
      </c>
    </row>
    <row r="57" spans="1:6" ht="15" customHeight="1">
      <c r="A57" s="16">
        <v>132384315</v>
      </c>
      <c r="B57" s="17">
        <v>90000000</v>
      </c>
      <c r="C57" s="56">
        <v>0</v>
      </c>
      <c r="D57" s="31">
        <v>1</v>
      </c>
      <c r="E57" s="31">
        <v>0</v>
      </c>
      <c r="F57" s="31">
        <v>1</v>
      </c>
    </row>
    <row r="58" spans="1:6" ht="15" customHeight="1">
      <c r="A58" s="16">
        <v>124740460</v>
      </c>
      <c r="B58" s="17">
        <v>35000000</v>
      </c>
      <c r="C58" s="56">
        <v>0</v>
      </c>
      <c r="D58" s="31">
        <v>1</v>
      </c>
      <c r="E58" s="31">
        <v>1</v>
      </c>
      <c r="F58" s="31">
        <v>0</v>
      </c>
    </row>
    <row r="59" spans="1:6" ht="15" customHeight="1">
      <c r="A59" s="16">
        <v>39143839</v>
      </c>
      <c r="B59" s="17">
        <v>20000000</v>
      </c>
      <c r="C59" s="56">
        <v>1</v>
      </c>
      <c r="D59" s="31">
        <v>0</v>
      </c>
      <c r="E59" s="31">
        <v>0</v>
      </c>
      <c r="F59" s="31">
        <v>0</v>
      </c>
    </row>
    <row r="60" spans="1:6" ht="15" customHeight="1">
      <c r="A60" s="16">
        <v>63224849</v>
      </c>
      <c r="B60" s="17">
        <v>85000000</v>
      </c>
      <c r="C60" s="56">
        <v>0</v>
      </c>
      <c r="D60" s="31">
        <v>0</v>
      </c>
      <c r="E60" s="31">
        <v>1</v>
      </c>
      <c r="F60" s="31">
        <v>0</v>
      </c>
    </row>
    <row r="61" spans="1:6" ht="15" customHeight="1">
      <c r="A61" s="16">
        <v>52330111</v>
      </c>
      <c r="B61" s="17">
        <v>40000000</v>
      </c>
      <c r="C61" s="56">
        <v>0</v>
      </c>
      <c r="D61" s="31">
        <v>1</v>
      </c>
      <c r="E61" s="31">
        <v>0</v>
      </c>
      <c r="F61" s="31">
        <v>0</v>
      </c>
    </row>
    <row r="62" spans="1:6" ht="15" customHeight="1">
      <c r="A62" s="16">
        <v>37629831</v>
      </c>
      <c r="B62" s="17">
        <v>35000000</v>
      </c>
      <c r="C62" s="56">
        <v>0</v>
      </c>
      <c r="D62" s="31">
        <v>1</v>
      </c>
      <c r="E62" s="31">
        <v>0</v>
      </c>
      <c r="F62" s="31">
        <v>0</v>
      </c>
    </row>
    <row r="63" spans="1:6" ht="15" customHeight="1">
      <c r="A63" s="16">
        <v>54607383</v>
      </c>
      <c r="B63" s="17">
        <v>25000000</v>
      </c>
      <c r="C63" s="56">
        <v>0</v>
      </c>
      <c r="D63" s="31">
        <v>1</v>
      </c>
      <c r="E63" s="31">
        <v>0</v>
      </c>
      <c r="F63" s="31">
        <v>1</v>
      </c>
    </row>
    <row r="64" spans="1:6" ht="15" customHeight="1">
      <c r="A64" s="16">
        <v>82226474</v>
      </c>
      <c r="B64" s="17">
        <v>80000000</v>
      </c>
      <c r="C64" s="56">
        <v>1</v>
      </c>
      <c r="D64" s="31">
        <v>1</v>
      </c>
      <c r="E64" s="31">
        <v>1</v>
      </c>
      <c r="F64" s="31">
        <v>0</v>
      </c>
    </row>
    <row r="65" spans="1:6" ht="15" customHeight="1">
      <c r="A65" s="16">
        <v>53089891</v>
      </c>
      <c r="B65" s="17">
        <v>40000000</v>
      </c>
      <c r="C65" s="56">
        <v>0</v>
      </c>
      <c r="D65" s="31">
        <v>1</v>
      </c>
      <c r="E65" s="31">
        <v>0</v>
      </c>
      <c r="F65" s="31">
        <v>0</v>
      </c>
    </row>
    <row r="66" spans="1:6" ht="15" customHeight="1">
      <c r="A66" s="16">
        <v>163566459</v>
      </c>
      <c r="B66" s="17">
        <v>55000000</v>
      </c>
      <c r="C66" s="56">
        <v>0</v>
      </c>
      <c r="D66" s="31">
        <v>0</v>
      </c>
      <c r="E66" s="31">
        <v>0</v>
      </c>
      <c r="F66" s="31">
        <v>0</v>
      </c>
    </row>
    <row r="67" spans="1:6" ht="15" customHeight="1">
      <c r="A67" s="16">
        <v>36280697</v>
      </c>
      <c r="B67" s="17">
        <v>60000000</v>
      </c>
      <c r="C67" s="56">
        <v>0</v>
      </c>
      <c r="D67" s="31">
        <v>1</v>
      </c>
      <c r="E67" s="31">
        <v>0</v>
      </c>
      <c r="F67" s="31">
        <v>0</v>
      </c>
    </row>
    <row r="68" spans="1:6" ht="15" customHeight="1">
      <c r="A68" s="16">
        <v>61123569</v>
      </c>
      <c r="B68" s="17">
        <v>60000000</v>
      </c>
      <c r="C68" s="56">
        <v>0</v>
      </c>
      <c r="D68" s="31">
        <v>1</v>
      </c>
      <c r="E68" s="31">
        <v>1</v>
      </c>
      <c r="F68" s="31">
        <v>0</v>
      </c>
    </row>
    <row r="69" spans="1:6" ht="15" customHeight="1">
      <c r="A69" s="16">
        <v>23649127</v>
      </c>
      <c r="B69" s="17">
        <v>40000000</v>
      </c>
      <c r="C69" s="56">
        <v>0</v>
      </c>
      <c r="D69" s="31">
        <v>1</v>
      </c>
      <c r="E69" s="31">
        <v>0</v>
      </c>
      <c r="F69" s="31">
        <v>0</v>
      </c>
    </row>
    <row r="70" spans="1:6" ht="15" customHeight="1">
      <c r="A70" s="16">
        <v>37384046</v>
      </c>
      <c r="B70" s="17">
        <v>80000000</v>
      </c>
      <c r="C70" s="56">
        <v>0</v>
      </c>
      <c r="D70" s="31">
        <v>0</v>
      </c>
      <c r="E70" s="31">
        <v>0</v>
      </c>
      <c r="F70" s="31">
        <v>0</v>
      </c>
    </row>
    <row r="71" spans="1:6" ht="15" customHeight="1">
      <c r="A71" s="16">
        <v>18535812</v>
      </c>
      <c r="B71" s="17">
        <v>30000000</v>
      </c>
      <c r="C71" s="56">
        <v>0</v>
      </c>
      <c r="D71" s="31">
        <v>0</v>
      </c>
      <c r="E71" s="31">
        <v>0</v>
      </c>
      <c r="F71" s="31">
        <v>0</v>
      </c>
    </row>
    <row r="72" spans="1:6" ht="15" customHeight="1">
      <c r="A72" s="16">
        <v>16655224</v>
      </c>
      <c r="B72" s="17">
        <v>25000000</v>
      </c>
      <c r="C72" s="56">
        <v>0</v>
      </c>
      <c r="D72" s="31">
        <v>0</v>
      </c>
      <c r="E72" s="31">
        <v>1</v>
      </c>
      <c r="F72" s="31">
        <v>0</v>
      </c>
    </row>
    <row r="73" spans="1:6" ht="15" customHeight="1">
      <c r="A73" s="16">
        <v>62318875</v>
      </c>
      <c r="B73" s="17">
        <v>45000000</v>
      </c>
      <c r="C73" s="56">
        <v>1</v>
      </c>
      <c r="D73" s="31">
        <v>0</v>
      </c>
      <c r="E73" s="31">
        <v>0</v>
      </c>
      <c r="F73" s="31">
        <v>1</v>
      </c>
    </row>
    <row r="74" spans="1:6" ht="15" customHeight="1">
      <c r="A74" s="16">
        <v>70511035</v>
      </c>
      <c r="B74" s="17">
        <v>54000000</v>
      </c>
      <c r="C74" s="56">
        <v>0</v>
      </c>
      <c r="D74" s="31">
        <v>1</v>
      </c>
      <c r="E74" s="31">
        <v>0</v>
      </c>
      <c r="F74" s="31">
        <v>1</v>
      </c>
    </row>
    <row r="75" spans="1:6" ht="15" customHeight="1">
      <c r="A75" s="16">
        <v>70278893</v>
      </c>
      <c r="B75" s="17">
        <v>65000000</v>
      </c>
      <c r="C75" s="56">
        <v>0</v>
      </c>
      <c r="D75" s="31">
        <v>0</v>
      </c>
      <c r="E75" s="31">
        <v>0</v>
      </c>
      <c r="F75" s="31">
        <v>0</v>
      </c>
    </row>
    <row r="76" spans="1:6" ht="15" customHeight="1">
      <c r="A76" s="16">
        <v>75628110</v>
      </c>
      <c r="B76" s="17">
        <v>54000000</v>
      </c>
      <c r="C76" s="56">
        <v>0</v>
      </c>
      <c r="D76" s="31">
        <v>0</v>
      </c>
      <c r="E76" s="31">
        <v>1</v>
      </c>
      <c r="F76" s="31">
        <v>0</v>
      </c>
    </row>
    <row r="80" spans="1:6">
      <c r="A80" s="3" t="s">
        <v>160</v>
      </c>
    </row>
    <row r="82" spans="1:6">
      <c r="A82" t="s">
        <v>164</v>
      </c>
    </row>
    <row r="84" spans="1:6" ht="18" thickBot="1">
      <c r="A84" s="59" t="s">
        <v>165</v>
      </c>
      <c r="B84" s="59"/>
    </row>
    <row r="85" spans="1:6" ht="15" thickTop="1">
      <c r="A85" s="32" t="s">
        <v>166</v>
      </c>
      <c r="B85" s="60">
        <v>0.5959721783986166</v>
      </c>
    </row>
    <row r="86" spans="1:6" ht="14.4">
      <c r="A86" s="32" t="s">
        <v>167</v>
      </c>
      <c r="B86" s="60">
        <v>0.35518283742519252</v>
      </c>
    </row>
    <row r="87" spans="1:6" ht="14.4">
      <c r="A87" s="32" t="s">
        <v>168</v>
      </c>
      <c r="B87" s="60">
        <v>0.30845695607919199</v>
      </c>
    </row>
    <row r="88" spans="1:6" ht="14.4">
      <c r="A88" s="32" t="s">
        <v>169</v>
      </c>
      <c r="B88" s="60">
        <v>33494159.56301894</v>
      </c>
    </row>
    <row r="89" spans="1:6" ht="14.4">
      <c r="A89" s="32" t="s">
        <v>140</v>
      </c>
      <c r="B89" s="60">
        <v>75</v>
      </c>
    </row>
    <row r="91" spans="1:6" ht="18" thickBot="1">
      <c r="A91" s="8" t="s">
        <v>170</v>
      </c>
      <c r="B91" s="8"/>
      <c r="C91" s="8"/>
      <c r="D91" s="8"/>
      <c r="E91" s="8"/>
      <c r="F91" s="8"/>
    </row>
    <row r="92" spans="1:6" ht="15" thickTop="1">
      <c r="A92" s="33"/>
      <c r="B92" s="33" t="s">
        <v>141</v>
      </c>
      <c r="C92" s="33" t="s">
        <v>176</v>
      </c>
      <c r="D92" s="33" t="s">
        <v>175</v>
      </c>
      <c r="E92" s="33" t="s">
        <v>177</v>
      </c>
      <c r="F92" s="33" t="s">
        <v>178</v>
      </c>
    </row>
    <row r="93" spans="1:6" ht="14.4">
      <c r="A93" s="32" t="s">
        <v>171</v>
      </c>
      <c r="B93" s="60">
        <v>5</v>
      </c>
      <c r="C93" s="60">
        <v>8527714268796557</v>
      </c>
      <c r="D93" s="60">
        <v>4.2638571343982784E+16</v>
      </c>
      <c r="E93" s="60">
        <v>7.6014154724037972</v>
      </c>
      <c r="F93" s="60">
        <v>9.7800570621269161E-6</v>
      </c>
    </row>
    <row r="94" spans="1:6" ht="14.4">
      <c r="A94" s="32" t="s">
        <v>172</v>
      </c>
      <c r="B94" s="60">
        <v>69</v>
      </c>
      <c r="C94" s="60">
        <v>1121858724832973.3</v>
      </c>
      <c r="D94" s="60">
        <v>7.7408252013475152E+16</v>
      </c>
    </row>
    <row r="95" spans="1:6" ht="15" thickBot="1">
      <c r="A95" s="32" t="s">
        <v>173</v>
      </c>
      <c r="B95" s="60">
        <v>74</v>
      </c>
      <c r="C95" s="41"/>
      <c r="D95" s="60">
        <v>1.2004682335745794E+17</v>
      </c>
      <c r="E95" s="41"/>
      <c r="F95" s="41"/>
    </row>
    <row r="96" spans="1:6" ht="13.8" thickBot="1"/>
    <row r="97" spans="1:9" ht="14.4">
      <c r="A97" s="42"/>
      <c r="B97" s="33" t="s">
        <v>179</v>
      </c>
      <c r="C97" s="33" t="s">
        <v>142</v>
      </c>
      <c r="D97" s="33" t="s">
        <v>169</v>
      </c>
      <c r="E97" s="33" t="s">
        <v>180</v>
      </c>
      <c r="F97" s="33" t="s">
        <v>181</v>
      </c>
      <c r="G97" s="33" t="s">
        <v>182</v>
      </c>
      <c r="H97" s="33" t="s">
        <v>183</v>
      </c>
      <c r="I97" s="33" t="s">
        <v>184</v>
      </c>
    </row>
    <row r="98" spans="1:9" ht="14.4">
      <c r="A98" s="32" t="s">
        <v>174</v>
      </c>
      <c r="B98" s="60">
        <v>12225019.819782697</v>
      </c>
      <c r="C98" s="60">
        <v>1.1619870834963748</v>
      </c>
      <c r="D98" s="60">
        <v>10520788.047831031</v>
      </c>
      <c r="E98" s="60">
        <v>0.24924431221098969</v>
      </c>
      <c r="F98" s="60">
        <v>-8763378.0595528223</v>
      </c>
      <c r="G98" s="60">
        <v>33213417.699118216</v>
      </c>
      <c r="H98" s="60">
        <v>-5315643.5759325735</v>
      </c>
      <c r="I98" s="60">
        <v>29765683.215497967</v>
      </c>
    </row>
    <row r="99" spans="1:9" ht="14.4">
      <c r="A99" s="32" t="s">
        <v>93</v>
      </c>
      <c r="B99" s="60">
        <v>0.89667184189917581</v>
      </c>
      <c r="C99" s="60">
        <v>5.4235883527324722</v>
      </c>
      <c r="D99" s="60">
        <v>0.16532815243019341</v>
      </c>
      <c r="E99" s="60">
        <v>8.1184000483010866E-7</v>
      </c>
      <c r="F99" s="60">
        <v>0.5668512022204113</v>
      </c>
      <c r="G99" s="60">
        <v>1.2264924815779403</v>
      </c>
      <c r="H99" s="60">
        <v>0.62103037298740682</v>
      </c>
      <c r="I99" s="60">
        <v>1.1723133108109449</v>
      </c>
    </row>
    <row r="100" spans="1:9" ht="14.4">
      <c r="A100" s="32" t="s">
        <v>97</v>
      </c>
      <c r="B100" s="60">
        <v>-9977764.1061209701</v>
      </c>
      <c r="C100" s="60">
        <v>-1.2101006765522517</v>
      </c>
      <c r="D100" s="60">
        <v>8245399.9898165781</v>
      </c>
      <c r="E100" s="60">
        <v>0.23036956378930459</v>
      </c>
      <c r="F100" s="60">
        <v>-26426887.011530802</v>
      </c>
      <c r="G100" s="60">
        <v>6471358.7992888596</v>
      </c>
      <c r="H100" s="60">
        <v>-23724812.818334468</v>
      </c>
      <c r="I100" s="60">
        <v>3769284.6060925256</v>
      </c>
    </row>
    <row r="101" spans="1:9" ht="14.4">
      <c r="A101" s="32" t="s">
        <v>79</v>
      </c>
      <c r="B101" s="60">
        <v>29166706.797570113</v>
      </c>
      <c r="C101" s="60">
        <v>2.2832506761276012</v>
      </c>
      <c r="D101" s="60">
        <v>12774202.632466497</v>
      </c>
      <c r="E101" s="60">
        <v>2.5499828952085246E-2</v>
      </c>
      <c r="F101" s="60">
        <v>3682869.8242802955</v>
      </c>
      <c r="G101" s="60">
        <v>54650543.770859927</v>
      </c>
      <c r="H101" s="60">
        <v>7869063.740218658</v>
      </c>
      <c r="I101" s="60">
        <v>50464349.854921564</v>
      </c>
    </row>
    <row r="102" spans="1:9" ht="14.4">
      <c r="A102" s="32" t="s">
        <v>159</v>
      </c>
      <c r="B102" s="60">
        <v>14758022.290173827</v>
      </c>
      <c r="C102" s="60">
        <v>1.6545628949274649</v>
      </c>
      <c r="D102" s="60">
        <v>8919589.7813366652</v>
      </c>
      <c r="E102" s="60">
        <v>0.10255548600458732</v>
      </c>
      <c r="F102" s="60">
        <v>-3036072.4487411026</v>
      </c>
      <c r="G102" s="60">
        <v>32552117.029088758</v>
      </c>
      <c r="H102" s="60">
        <v>-113061.63158077374</v>
      </c>
      <c r="I102" s="60">
        <v>29629106.211928427</v>
      </c>
    </row>
    <row r="103" spans="1:9" ht="14.4">
      <c r="A103" s="32" t="s">
        <v>96</v>
      </c>
      <c r="B103" s="60">
        <v>-4156466.8274266184</v>
      </c>
      <c r="C103" s="60">
        <v>-0.40314394384474384</v>
      </c>
      <c r="D103" s="60">
        <v>10310130.887213154</v>
      </c>
      <c r="E103" s="60">
        <v>0.68808882614099531</v>
      </c>
      <c r="F103" s="60">
        <v>-24724615.170027997</v>
      </c>
      <c r="G103" s="60">
        <v>16411681.51517476</v>
      </c>
      <c r="H103" s="60">
        <v>-21345914.484406702</v>
      </c>
      <c r="I103" s="60">
        <v>13032980.829553464</v>
      </c>
    </row>
    <row r="106" spans="1:9" ht="18" thickBot="1">
      <c r="A106" s="76" t="s">
        <v>185</v>
      </c>
      <c r="B106" s="76">
        <v>0.1</v>
      </c>
    </row>
    <row r="107" spans="1:9" ht="13.8" thickTop="1"/>
    <row r="108" spans="1:9" ht="14.4">
      <c r="A108" s="83" t="s">
        <v>186</v>
      </c>
      <c r="B108" s="83"/>
    </row>
    <row r="109" spans="1:9" ht="13.8" thickBot="1"/>
    <row r="110" spans="1:9" ht="14.4" customHeight="1" thickTop="1" thickBot="1">
      <c r="A110" s="58" t="s">
        <v>93</v>
      </c>
      <c r="B110" t="b">
        <f>IF($E99&lt;$B$106,TRUE,FALSE)</f>
        <v>1</v>
      </c>
    </row>
    <row r="111" spans="1:9" ht="14.4" customHeight="1" thickTop="1" thickBot="1">
      <c r="A111" s="58" t="s">
        <v>97</v>
      </c>
      <c r="B111" t="b">
        <f>IF($E100&lt;$B$106,TRUE,FALSE)</f>
        <v>0</v>
      </c>
    </row>
    <row r="112" spans="1:9" ht="14.4" customHeight="1" thickTop="1" thickBot="1">
      <c r="A112" s="58" t="s">
        <v>79</v>
      </c>
      <c r="B112" t="b">
        <f>IF($E101&lt;$B$106,TRUE,FALSE)</f>
        <v>1</v>
      </c>
    </row>
    <row r="113" spans="1:2" ht="15.6" thickTop="1" thickBot="1">
      <c r="A113" s="58" t="s">
        <v>159</v>
      </c>
      <c r="B113" t="b">
        <f>IF($E102&lt;$B$106,TRUE,FALSE)</f>
        <v>0</v>
      </c>
    </row>
    <row r="114" spans="1:2" ht="15.6" thickTop="1" thickBot="1">
      <c r="A114" s="11" t="s">
        <v>96</v>
      </c>
      <c r="B114" t="b">
        <f>IF($E103&lt;$B$106,TRUE,FALSE)</f>
        <v>0</v>
      </c>
    </row>
    <row r="115" spans="1:2" ht="13.8" thickTop="1"/>
    <row r="118" spans="1:2" ht="26.4">
      <c r="A118" s="61" t="s">
        <v>188</v>
      </c>
    </row>
    <row r="123" spans="1:2" ht="17.399999999999999">
      <c r="A123" s="62" t="s">
        <v>187</v>
      </c>
      <c r="B123" s="63"/>
    </row>
    <row r="124" spans="1:2">
      <c r="A124" s="63"/>
      <c r="B124" s="63"/>
    </row>
    <row r="125" spans="1:2" ht="14.4">
      <c r="A125" s="64" t="s">
        <v>189</v>
      </c>
      <c r="B125" s="65" t="s">
        <v>93</v>
      </c>
    </row>
    <row r="126" spans="1:2" ht="14.4">
      <c r="A126" s="64"/>
      <c r="B126" s="66" t="s">
        <v>96</v>
      </c>
    </row>
    <row r="127" spans="1:2">
      <c r="A127" s="63"/>
      <c r="B127" s="63"/>
    </row>
    <row r="128" spans="1:2" ht="14.4">
      <c r="A128" s="64" t="s">
        <v>190</v>
      </c>
      <c r="B128" s="65" t="s">
        <v>97</v>
      </c>
    </row>
    <row r="129" spans="1:2" ht="14.4">
      <c r="A129" s="63"/>
      <c r="B129" s="65" t="s">
        <v>79</v>
      </c>
    </row>
    <row r="130" spans="1:2" ht="14.4">
      <c r="A130" s="63"/>
      <c r="B130" s="65" t="s">
        <v>159</v>
      </c>
    </row>
    <row r="134" spans="1:2">
      <c r="A134" s="3" t="s">
        <v>161</v>
      </c>
    </row>
    <row r="135" spans="1:2">
      <c r="A135" s="3"/>
    </row>
    <row r="136" spans="1:2">
      <c r="A136" s="69" t="s">
        <v>194</v>
      </c>
    </row>
    <row r="137" spans="1:2">
      <c r="A137" s="69" t="s">
        <v>195</v>
      </c>
    </row>
    <row r="138" spans="1:2">
      <c r="A138" s="69" t="s">
        <v>196</v>
      </c>
    </row>
    <row r="140" spans="1:2" ht="14.4">
      <c r="A140" s="67" t="s">
        <v>165</v>
      </c>
    </row>
    <row r="141" spans="1:2" ht="14.4">
      <c r="A141" s="32" t="s">
        <v>166</v>
      </c>
      <c r="B141" s="60">
        <v>0.54917946227765824</v>
      </c>
    </row>
    <row r="142" spans="1:2" ht="14.4">
      <c r="A142" s="32" t="s">
        <v>167</v>
      </c>
      <c r="B142" s="60">
        <v>0.3015980817875778</v>
      </c>
    </row>
    <row r="143" spans="1:2" ht="14.4">
      <c r="A143" s="32" t="s">
        <v>168</v>
      </c>
      <c r="B143" s="60">
        <v>0.28219802850389941</v>
      </c>
    </row>
    <row r="144" spans="1:2" ht="14.4">
      <c r="A144" s="32" t="s">
        <v>169</v>
      </c>
      <c r="B144" s="60">
        <v>34124146.653586902</v>
      </c>
    </row>
    <row r="145" spans="1:9" ht="14.4">
      <c r="A145" s="32" t="s">
        <v>140</v>
      </c>
      <c r="B145" s="60">
        <v>75</v>
      </c>
    </row>
    <row r="147" spans="1:9" ht="13.8" thickBot="1">
      <c r="A147" t="s">
        <v>170</v>
      </c>
    </row>
    <row r="148" spans="1:9" ht="14.4">
      <c r="A148" s="42"/>
      <c r="B148" s="33" t="s">
        <v>141</v>
      </c>
      <c r="C148" s="33" t="s">
        <v>175</v>
      </c>
      <c r="D148" s="33" t="s">
        <v>176</v>
      </c>
      <c r="E148" s="33" t="s">
        <v>177</v>
      </c>
      <c r="F148" s="33" t="s">
        <v>178</v>
      </c>
    </row>
    <row r="149" spans="1:9" ht="14.4">
      <c r="A149" s="32" t="s">
        <v>171</v>
      </c>
      <c r="B149" s="60">
        <v>2</v>
      </c>
      <c r="C149" s="60">
        <v>3.6205891649301504E+16</v>
      </c>
      <c r="D149" s="60">
        <v>1.8102945824650752E+16</v>
      </c>
      <c r="E149" s="60">
        <v>15.54625017660738</v>
      </c>
      <c r="F149" s="60">
        <v>2.4422788401235336E-6</v>
      </c>
    </row>
    <row r="150" spans="1:9" ht="14.4">
      <c r="A150" s="32" t="s">
        <v>172</v>
      </c>
      <c r="B150" s="60">
        <v>72</v>
      </c>
      <c r="C150" s="60">
        <v>8.3840931708156432E+16</v>
      </c>
      <c r="D150" s="60">
        <v>1164457384835506</v>
      </c>
    </row>
    <row r="151" spans="1:9" ht="14.4">
      <c r="A151" s="32" t="s">
        <v>173</v>
      </c>
      <c r="B151" s="60">
        <v>74</v>
      </c>
      <c r="C151" s="60">
        <v>1.2004682335745794E+17</v>
      </c>
    </row>
    <row r="152" spans="1:9" ht="13.8" thickBot="1"/>
    <row r="153" spans="1:9" ht="14.4">
      <c r="A153" s="42"/>
      <c r="B153" s="33" t="s">
        <v>179</v>
      </c>
      <c r="C153" s="33" t="s">
        <v>169</v>
      </c>
      <c r="D153" s="33" t="s">
        <v>142</v>
      </c>
      <c r="E153" s="33" t="s">
        <v>180</v>
      </c>
      <c r="F153" s="33" t="s">
        <v>181</v>
      </c>
      <c r="G153" s="33" t="s">
        <v>182</v>
      </c>
      <c r="H153" s="33" t="s">
        <v>183</v>
      </c>
      <c r="I153" s="33" t="s">
        <v>184</v>
      </c>
    </row>
    <row r="154" spans="1:9" ht="14.4">
      <c r="A154" s="32" t="s">
        <v>174</v>
      </c>
      <c r="B154" s="60">
        <v>13446247.678598275</v>
      </c>
      <c r="C154" s="60">
        <v>9348392.0410437193</v>
      </c>
      <c r="D154" s="60">
        <v>1.4383487148980374</v>
      </c>
      <c r="E154" s="60">
        <v>0.1546678459470831</v>
      </c>
      <c r="F154" s="60">
        <v>-5189431.2620941941</v>
      </c>
      <c r="G154" s="60">
        <v>32081926.619290747</v>
      </c>
      <c r="H154" s="60">
        <v>-2130919.0483591147</v>
      </c>
      <c r="I154" s="60">
        <v>29023414.405555665</v>
      </c>
    </row>
    <row r="155" spans="1:9" ht="14.4">
      <c r="A155" s="32" t="s">
        <v>93</v>
      </c>
      <c r="B155" s="60">
        <v>0.87108822614533654</v>
      </c>
      <c r="C155" s="60">
        <v>0.16802402421205204</v>
      </c>
      <c r="D155" s="60">
        <v>5.1843076026199295</v>
      </c>
      <c r="E155" s="60">
        <v>1.9081932503488798E-6</v>
      </c>
      <c r="F155" s="60">
        <v>0.53613845555469863</v>
      </c>
      <c r="G155" s="60">
        <v>1.2060379967359744</v>
      </c>
      <c r="H155" s="60">
        <v>0.59111085380214134</v>
      </c>
      <c r="I155" s="60">
        <v>1.1510655984885316</v>
      </c>
    </row>
    <row r="156" spans="1:9" ht="14.4">
      <c r="A156" s="32" t="s">
        <v>79</v>
      </c>
      <c r="B156" s="60">
        <v>30496712.048129775</v>
      </c>
      <c r="C156" s="60">
        <v>12791462.217045508</v>
      </c>
      <c r="D156" s="60">
        <v>2.3841458881448907</v>
      </c>
      <c r="E156" s="60">
        <v>1.9756182103374383E-2</v>
      </c>
      <c r="F156" s="60">
        <v>4997398.1541176625</v>
      </c>
      <c r="G156" s="60">
        <v>55996025.942141891</v>
      </c>
      <c r="H156" s="60">
        <v>9182379.1915621012</v>
      </c>
      <c r="I156" s="60">
        <v>51811044.904697448</v>
      </c>
    </row>
    <row r="159" spans="1:9" ht="14.4">
      <c r="A159" s="68" t="s">
        <v>162</v>
      </c>
    </row>
    <row r="161" spans="1:1">
      <c r="A161" s="69" t="s">
        <v>191</v>
      </c>
    </row>
    <row r="162" spans="1:1">
      <c r="A162" s="69" t="s">
        <v>192</v>
      </c>
    </row>
    <row r="163" spans="1:1">
      <c r="A163" s="69" t="s">
        <v>193</v>
      </c>
    </row>
  </sheetData>
  <mergeCells count="1">
    <mergeCell ref="A108:B108"/>
  </mergeCells>
  <conditionalFormatting sqref="B110:C114">
    <cfRule type="cellIs" dxfId="15" priority="2" operator="equal">
      <formula>$B$110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8D66F3F-38C3-45DE-A4D3-9CD55037877C}">
            <xm:f>NOT(ISERROR(SEARCH($B$111,B111)))</xm:f>
            <xm:f>$B$111</xm:f>
            <x14:dxf>
              <font>
                <color rgb="FF9C0006"/>
              </font>
              <fill>
                <patternFill>
                  <bgColor rgb="FFFFC7CE"/>
                </patternFill>
              </fill>
            </x14:dxf>
          </x14:cfRule>
          <xm:sqref>B111:C114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4147-E9DA-480C-9995-5085C7CC6384}">
  <dimension ref="A1:L174"/>
  <sheetViews>
    <sheetView topLeftCell="A105" zoomScale="85" zoomScaleNormal="85" workbookViewId="0">
      <selection activeCell="E123" sqref="E123"/>
    </sheetView>
  </sheetViews>
  <sheetFormatPr defaultColWidth="8.88671875" defaultRowHeight="13.2"/>
  <cols>
    <col min="1" max="1" width="18.88671875" style="97" bestFit="1" customWidth="1"/>
    <col min="2" max="2" width="29.5546875" style="97" bestFit="1" customWidth="1"/>
    <col min="3" max="3" width="30.6640625" style="97" bestFit="1" customWidth="1"/>
    <col min="4" max="4" width="14" style="97" bestFit="1" customWidth="1"/>
    <col min="5" max="5" width="59.33203125" style="97" bestFit="1" customWidth="1"/>
    <col min="6" max="6" width="12.5546875" style="97" bestFit="1" customWidth="1"/>
    <col min="7" max="7" width="13.44140625" style="97" bestFit="1" customWidth="1"/>
    <col min="8" max="8" width="22.44140625" style="97" bestFit="1" customWidth="1"/>
    <col min="9" max="10" width="13" style="96" bestFit="1" customWidth="1"/>
    <col min="11" max="16384" width="8.88671875" style="96"/>
  </cols>
  <sheetData>
    <row r="1" spans="1:12" ht="20.399999999999999" thickBot="1">
      <c r="A1" s="95" t="s">
        <v>94</v>
      </c>
      <c r="B1" s="95" t="s">
        <v>93</v>
      </c>
      <c r="C1" s="95" t="s">
        <v>88</v>
      </c>
      <c r="D1" s="95" t="s">
        <v>79</v>
      </c>
      <c r="E1" s="95" t="s">
        <v>159</v>
      </c>
      <c r="F1" s="95" t="s">
        <v>98</v>
      </c>
      <c r="G1" s="95" t="s">
        <v>99</v>
      </c>
      <c r="H1" s="95" t="s">
        <v>100</v>
      </c>
    </row>
    <row r="2" spans="1:12" ht="13.8" thickTop="1">
      <c r="A2" s="97">
        <v>11855260</v>
      </c>
      <c r="B2" s="97">
        <v>45000000</v>
      </c>
      <c r="C2" s="97">
        <v>2706</v>
      </c>
      <c r="D2" s="98">
        <v>0</v>
      </c>
      <c r="E2" s="97">
        <v>0</v>
      </c>
      <c r="F2" s="97">
        <v>1</v>
      </c>
      <c r="G2" s="97">
        <v>0</v>
      </c>
      <c r="H2" s="97">
        <v>0</v>
      </c>
    </row>
    <row r="3" spans="1:12">
      <c r="A3" s="97">
        <v>10023835</v>
      </c>
      <c r="B3" s="97">
        <v>23000000</v>
      </c>
      <c r="C3" s="97">
        <v>2914</v>
      </c>
      <c r="D3" s="98">
        <v>0</v>
      </c>
      <c r="E3" s="97">
        <v>1</v>
      </c>
      <c r="F3" s="97">
        <v>0</v>
      </c>
      <c r="G3" s="97">
        <v>0</v>
      </c>
      <c r="H3" s="97">
        <v>0</v>
      </c>
    </row>
    <row r="4" spans="1:12">
      <c r="A4" s="97">
        <v>15005604</v>
      </c>
      <c r="B4" s="97">
        <v>40000000</v>
      </c>
      <c r="C4" s="97">
        <v>2465</v>
      </c>
      <c r="D4" s="98">
        <v>0</v>
      </c>
      <c r="E4" s="97">
        <v>0</v>
      </c>
      <c r="F4" s="97">
        <v>0</v>
      </c>
      <c r="G4" s="97">
        <v>0</v>
      </c>
      <c r="H4" s="97">
        <v>0</v>
      </c>
    </row>
    <row r="5" spans="1:12">
      <c r="A5" s="97">
        <v>4294936</v>
      </c>
      <c r="B5" s="97">
        <v>86000000</v>
      </c>
      <c r="C5" s="97">
        <v>2247</v>
      </c>
      <c r="D5" s="98">
        <v>0</v>
      </c>
      <c r="E5" s="97">
        <v>0</v>
      </c>
      <c r="F5" s="97">
        <v>1</v>
      </c>
      <c r="G5" s="97">
        <v>0</v>
      </c>
      <c r="H5" s="97">
        <v>0</v>
      </c>
      <c r="L5" s="97"/>
    </row>
    <row r="6" spans="1:12">
      <c r="A6" s="97">
        <v>11554404</v>
      </c>
      <c r="B6" s="97">
        <v>20000000</v>
      </c>
      <c r="C6" s="97">
        <v>1602</v>
      </c>
      <c r="D6" s="98">
        <v>0</v>
      </c>
      <c r="E6" s="97">
        <v>0</v>
      </c>
      <c r="F6" s="97">
        <v>0</v>
      </c>
      <c r="G6" s="97">
        <v>0</v>
      </c>
      <c r="H6" s="97">
        <v>0</v>
      </c>
    </row>
    <row r="7" spans="1:12">
      <c r="A7" s="97">
        <v>5558095</v>
      </c>
      <c r="B7" s="97">
        <v>20000000</v>
      </c>
      <c r="C7" s="97">
        <v>1251</v>
      </c>
      <c r="D7" s="98">
        <v>0</v>
      </c>
      <c r="E7" s="97">
        <v>0</v>
      </c>
      <c r="F7" s="97">
        <v>0</v>
      </c>
      <c r="G7" s="97">
        <v>0</v>
      </c>
      <c r="H7" s="97">
        <v>0</v>
      </c>
    </row>
    <row r="8" spans="1:12">
      <c r="A8" s="97">
        <v>15820864</v>
      </c>
      <c r="B8" s="97">
        <v>51000000</v>
      </c>
      <c r="C8" s="97">
        <v>3311</v>
      </c>
      <c r="D8" s="98">
        <v>0</v>
      </c>
      <c r="E8" s="97">
        <v>0</v>
      </c>
      <c r="F8" s="97">
        <v>1</v>
      </c>
      <c r="G8" s="97">
        <v>0</v>
      </c>
      <c r="H8" s="97">
        <v>0</v>
      </c>
    </row>
    <row r="9" spans="1:12">
      <c r="A9" s="97">
        <v>27736056</v>
      </c>
      <c r="B9" s="97">
        <v>40000000</v>
      </c>
      <c r="C9" s="97">
        <v>3261</v>
      </c>
      <c r="D9" s="98">
        <v>1</v>
      </c>
      <c r="E9" s="97">
        <v>1</v>
      </c>
      <c r="F9" s="97">
        <v>0</v>
      </c>
      <c r="G9" s="97">
        <v>1</v>
      </c>
      <c r="H9" s="97">
        <v>1</v>
      </c>
    </row>
    <row r="10" spans="1:12">
      <c r="A10" s="97">
        <v>8648324</v>
      </c>
      <c r="B10" s="97">
        <v>100000000</v>
      </c>
      <c r="C10" s="97">
        <v>1910</v>
      </c>
      <c r="D10" s="98">
        <v>0</v>
      </c>
      <c r="E10" s="97">
        <v>0</v>
      </c>
      <c r="F10" s="97">
        <v>0</v>
      </c>
      <c r="G10" s="97">
        <v>0</v>
      </c>
      <c r="H10" s="97">
        <v>1</v>
      </c>
    </row>
    <row r="11" spans="1:12">
      <c r="A11" s="97">
        <v>11457353</v>
      </c>
      <c r="B11" s="97">
        <v>85000000</v>
      </c>
      <c r="C11" s="97">
        <v>3566</v>
      </c>
      <c r="D11" s="98">
        <v>0</v>
      </c>
      <c r="E11" s="97">
        <v>1</v>
      </c>
      <c r="F11" s="97">
        <v>0</v>
      </c>
      <c r="G11" s="97">
        <v>0</v>
      </c>
      <c r="H11" s="97">
        <v>0</v>
      </c>
    </row>
    <row r="12" spans="1:12">
      <c r="A12" s="97">
        <v>10197775</v>
      </c>
      <c r="B12" s="97">
        <v>76000000</v>
      </c>
      <c r="C12" s="97">
        <v>1209</v>
      </c>
      <c r="D12" s="98">
        <v>0</v>
      </c>
      <c r="E12" s="97">
        <v>0</v>
      </c>
      <c r="F12" s="97">
        <v>0</v>
      </c>
      <c r="G12" s="97">
        <v>0</v>
      </c>
      <c r="H12" s="97">
        <v>0</v>
      </c>
    </row>
    <row r="13" spans="1:12">
      <c r="A13" s="97">
        <v>40011365</v>
      </c>
      <c r="B13" s="97">
        <v>82500000</v>
      </c>
      <c r="C13" s="97">
        <v>3749</v>
      </c>
      <c r="D13" s="98">
        <v>0</v>
      </c>
      <c r="E13" s="97">
        <v>1</v>
      </c>
      <c r="F13" s="97">
        <v>1</v>
      </c>
      <c r="G13" s="97">
        <v>0</v>
      </c>
      <c r="H13" s="97">
        <v>0</v>
      </c>
    </row>
    <row r="14" spans="1:12">
      <c r="A14" s="97">
        <v>14703405</v>
      </c>
      <c r="B14" s="97">
        <v>50000000</v>
      </c>
      <c r="C14" s="97">
        <v>2566</v>
      </c>
      <c r="D14" s="98">
        <v>0</v>
      </c>
      <c r="E14" s="97">
        <v>0</v>
      </c>
      <c r="F14" s="97">
        <v>0</v>
      </c>
      <c r="G14" s="97">
        <v>0</v>
      </c>
      <c r="H14" s="97">
        <v>0</v>
      </c>
    </row>
    <row r="15" spans="1:12">
      <c r="A15" s="97">
        <v>19076261</v>
      </c>
      <c r="B15" s="97">
        <v>20000000</v>
      </c>
      <c r="C15" s="97">
        <v>2896</v>
      </c>
      <c r="D15" s="98">
        <v>0</v>
      </c>
      <c r="E15" s="97">
        <v>1</v>
      </c>
      <c r="F15" s="97">
        <v>0</v>
      </c>
      <c r="G15" s="97">
        <v>0</v>
      </c>
      <c r="H15" s="97">
        <v>0</v>
      </c>
    </row>
    <row r="16" spans="1:12">
      <c r="A16" s="97">
        <v>20574802</v>
      </c>
      <c r="B16" s="97">
        <v>75000000</v>
      </c>
      <c r="C16" s="97">
        <v>3108</v>
      </c>
      <c r="D16" s="98">
        <v>0</v>
      </c>
      <c r="E16" s="97">
        <v>0</v>
      </c>
      <c r="F16" s="97">
        <v>1</v>
      </c>
      <c r="G16" s="97">
        <v>1</v>
      </c>
      <c r="H16" s="97">
        <v>0</v>
      </c>
    </row>
    <row r="17" spans="1:8">
      <c r="A17" s="97">
        <v>8953734</v>
      </c>
      <c r="B17" s="97">
        <v>75000000</v>
      </c>
      <c r="C17" s="97">
        <v>852</v>
      </c>
      <c r="D17" s="98">
        <v>0</v>
      </c>
      <c r="E17" s="97">
        <v>0</v>
      </c>
      <c r="F17" s="97">
        <v>0</v>
      </c>
      <c r="G17" s="97">
        <v>0</v>
      </c>
      <c r="H17" s="97">
        <v>0</v>
      </c>
    </row>
    <row r="18" spans="1:8">
      <c r="A18" s="97">
        <v>20188176</v>
      </c>
      <c r="B18" s="97">
        <v>40000000</v>
      </c>
      <c r="C18" s="97">
        <v>3066</v>
      </c>
      <c r="D18" s="98">
        <v>0</v>
      </c>
      <c r="E18" s="97">
        <v>0</v>
      </c>
      <c r="F18" s="97">
        <v>0</v>
      </c>
      <c r="G18" s="97">
        <v>1</v>
      </c>
      <c r="H18" s="97">
        <v>0</v>
      </c>
    </row>
    <row r="19" spans="1:8">
      <c r="A19" s="97">
        <v>23239907</v>
      </c>
      <c r="B19" s="97">
        <v>100000000</v>
      </c>
      <c r="C19" s="97">
        <v>3020</v>
      </c>
      <c r="D19" s="98">
        <v>0</v>
      </c>
      <c r="E19" s="97">
        <v>0</v>
      </c>
      <c r="F19" s="97">
        <v>0</v>
      </c>
      <c r="G19" s="97">
        <v>0</v>
      </c>
      <c r="H19" s="97">
        <v>0</v>
      </c>
    </row>
    <row r="20" spans="1:8">
      <c r="A20" s="97">
        <v>24411322</v>
      </c>
      <c r="B20" s="97">
        <v>50000000</v>
      </c>
      <c r="C20" s="97">
        <v>3057</v>
      </c>
      <c r="D20" s="98">
        <v>0</v>
      </c>
      <c r="E20" s="97">
        <v>1</v>
      </c>
      <c r="F20" s="97">
        <v>0</v>
      </c>
      <c r="G20" s="97">
        <v>0</v>
      </c>
      <c r="H20" s="97">
        <v>0</v>
      </c>
    </row>
    <row r="21" spans="1:8">
      <c r="A21" s="97">
        <v>19173094</v>
      </c>
      <c r="B21" s="97">
        <v>25000000</v>
      </c>
      <c r="C21" s="97">
        <v>2880</v>
      </c>
      <c r="D21" s="98">
        <v>1</v>
      </c>
      <c r="E21" s="97">
        <v>0</v>
      </c>
      <c r="F21" s="97">
        <v>0</v>
      </c>
      <c r="G21" s="97">
        <v>0</v>
      </c>
      <c r="H21" s="97">
        <v>0</v>
      </c>
    </row>
    <row r="22" spans="1:8">
      <c r="A22" s="97">
        <v>10245190</v>
      </c>
      <c r="B22" s="97">
        <v>90000000</v>
      </c>
      <c r="C22" s="97">
        <v>1876</v>
      </c>
      <c r="D22" s="98">
        <v>0</v>
      </c>
      <c r="E22" s="97">
        <v>0</v>
      </c>
      <c r="F22" s="97">
        <v>1</v>
      </c>
      <c r="G22" s="97">
        <v>0</v>
      </c>
      <c r="H22" s="97">
        <v>0</v>
      </c>
    </row>
    <row r="23" spans="1:8">
      <c r="A23" s="97">
        <v>6004219</v>
      </c>
      <c r="B23" s="97">
        <v>60000000</v>
      </c>
      <c r="C23" s="97">
        <v>2033</v>
      </c>
      <c r="D23" s="98">
        <v>0</v>
      </c>
      <c r="E23" s="97">
        <v>0</v>
      </c>
      <c r="F23" s="97">
        <v>1</v>
      </c>
      <c r="G23" s="97">
        <v>0</v>
      </c>
      <c r="H23" s="97">
        <v>0</v>
      </c>
    </row>
    <row r="24" spans="1:8">
      <c r="A24" s="97">
        <v>14414630</v>
      </c>
      <c r="B24" s="97">
        <v>30000000</v>
      </c>
      <c r="C24" s="97">
        <v>3504</v>
      </c>
      <c r="D24" s="98">
        <v>0</v>
      </c>
      <c r="E24" s="97">
        <v>0</v>
      </c>
      <c r="F24" s="97">
        <v>0</v>
      </c>
      <c r="G24" s="97">
        <v>0</v>
      </c>
      <c r="H24" s="97">
        <v>0</v>
      </c>
    </row>
    <row r="25" spans="1:8">
      <c r="A25" s="97">
        <v>41533432</v>
      </c>
      <c r="B25" s="97">
        <v>100000000</v>
      </c>
      <c r="C25" s="97">
        <v>3804</v>
      </c>
      <c r="D25" s="98">
        <v>0</v>
      </c>
      <c r="E25" s="97">
        <v>0</v>
      </c>
      <c r="F25" s="97">
        <v>1</v>
      </c>
      <c r="G25" s="97">
        <v>0</v>
      </c>
      <c r="H25" s="97">
        <v>0</v>
      </c>
    </row>
    <row r="26" spans="1:8">
      <c r="A26" s="97">
        <v>68033544</v>
      </c>
      <c r="B26" s="97">
        <v>80000000</v>
      </c>
      <c r="C26" s="97">
        <v>3964</v>
      </c>
      <c r="D26" s="98">
        <v>1</v>
      </c>
      <c r="E26" s="97">
        <v>0</v>
      </c>
      <c r="F26" s="97">
        <v>0</v>
      </c>
      <c r="G26" s="97">
        <v>0</v>
      </c>
      <c r="H26" s="97">
        <v>0</v>
      </c>
    </row>
    <row r="27" spans="1:8">
      <c r="A27" s="97">
        <v>28954945</v>
      </c>
      <c r="B27" s="97">
        <v>45000000</v>
      </c>
      <c r="C27" s="97">
        <v>2818</v>
      </c>
      <c r="D27" s="98">
        <v>0</v>
      </c>
      <c r="E27" s="97">
        <v>0</v>
      </c>
      <c r="F27" s="97">
        <v>0</v>
      </c>
      <c r="G27" s="97">
        <v>0</v>
      </c>
      <c r="H27" s="97">
        <v>0</v>
      </c>
    </row>
    <row r="28" spans="1:8">
      <c r="A28" s="97">
        <v>5692285</v>
      </c>
      <c r="B28" s="97">
        <v>28000000</v>
      </c>
      <c r="C28" s="97">
        <v>2541</v>
      </c>
      <c r="D28" s="98">
        <v>0</v>
      </c>
      <c r="E28" s="97">
        <v>1</v>
      </c>
      <c r="F28" s="97">
        <v>1</v>
      </c>
      <c r="G28" s="97">
        <v>1</v>
      </c>
      <c r="H28" s="97">
        <v>0</v>
      </c>
    </row>
    <row r="29" spans="1:8">
      <c r="A29" s="97">
        <v>18044396</v>
      </c>
      <c r="B29" s="97">
        <v>70000000</v>
      </c>
      <c r="C29" s="97">
        <v>3235</v>
      </c>
      <c r="D29" s="98">
        <v>0</v>
      </c>
      <c r="E29" s="97">
        <v>0</v>
      </c>
      <c r="F29" s="97">
        <v>0</v>
      </c>
      <c r="G29" s="97">
        <v>0</v>
      </c>
      <c r="H29" s="97">
        <v>0</v>
      </c>
    </row>
    <row r="30" spans="1:8">
      <c r="A30" s="97">
        <v>12806188</v>
      </c>
      <c r="B30" s="97">
        <v>45000000</v>
      </c>
      <c r="C30" s="97">
        <v>2514</v>
      </c>
      <c r="D30" s="98">
        <v>0</v>
      </c>
      <c r="E30" s="97">
        <v>0</v>
      </c>
      <c r="F30" s="97">
        <v>0</v>
      </c>
      <c r="G30" s="97">
        <v>0</v>
      </c>
      <c r="H30" s="97">
        <v>1</v>
      </c>
    </row>
    <row r="31" spans="1:8">
      <c r="A31" s="97">
        <v>21613176</v>
      </c>
      <c r="B31" s="97">
        <v>64000000</v>
      </c>
      <c r="C31" s="97">
        <v>2533</v>
      </c>
      <c r="D31" s="98">
        <v>0</v>
      </c>
      <c r="E31" s="97">
        <v>1</v>
      </c>
      <c r="F31" s="97">
        <v>0</v>
      </c>
      <c r="G31" s="97">
        <v>0</v>
      </c>
      <c r="H31" s="97">
        <v>0</v>
      </c>
    </row>
    <row r="32" spans="1:8">
      <c r="A32" s="97">
        <v>7031921</v>
      </c>
      <c r="B32" s="97">
        <v>27000000</v>
      </c>
      <c r="C32" s="97">
        <v>1984</v>
      </c>
      <c r="D32" s="98">
        <v>0</v>
      </c>
      <c r="E32" s="97">
        <v>0</v>
      </c>
      <c r="F32" s="97">
        <v>0</v>
      </c>
      <c r="G32" s="97">
        <v>0</v>
      </c>
      <c r="H32" s="97">
        <v>0</v>
      </c>
    </row>
    <row r="33" spans="1:8">
      <c r="A33" s="97">
        <v>5361050</v>
      </c>
      <c r="B33" s="97">
        <v>40000000</v>
      </c>
      <c r="C33" s="97">
        <v>859</v>
      </c>
      <c r="D33" s="98">
        <v>0</v>
      </c>
      <c r="E33" s="97">
        <v>0</v>
      </c>
      <c r="F33" s="97">
        <v>1</v>
      </c>
      <c r="G33" s="97">
        <v>0</v>
      </c>
      <c r="H33" s="97">
        <v>0</v>
      </c>
    </row>
    <row r="34" spans="1:8">
      <c r="A34" s="97">
        <v>22217226</v>
      </c>
      <c r="B34" s="97">
        <v>75000000</v>
      </c>
      <c r="C34" s="97">
        <v>3553</v>
      </c>
      <c r="D34" s="98">
        <v>0</v>
      </c>
      <c r="E34" s="97">
        <v>0</v>
      </c>
      <c r="F34" s="97">
        <v>1</v>
      </c>
      <c r="G34" s="97">
        <v>0</v>
      </c>
      <c r="H34" s="97">
        <v>0</v>
      </c>
    </row>
    <row r="35" spans="1:8">
      <c r="A35" s="97">
        <v>28309599</v>
      </c>
      <c r="B35" s="97">
        <v>35000000</v>
      </c>
      <c r="C35" s="97">
        <v>3070</v>
      </c>
      <c r="D35" s="98">
        <v>0</v>
      </c>
      <c r="E35" s="97">
        <v>1</v>
      </c>
      <c r="F35" s="97">
        <v>0</v>
      </c>
      <c r="G35" s="97">
        <v>0</v>
      </c>
      <c r="H35" s="97">
        <v>0</v>
      </c>
    </row>
    <row r="36" spans="1:8">
      <c r="A36" s="97">
        <v>14503650</v>
      </c>
      <c r="B36" s="97">
        <v>25000000</v>
      </c>
      <c r="C36" s="97">
        <v>1995</v>
      </c>
      <c r="D36" s="98">
        <v>0</v>
      </c>
      <c r="E36" s="97">
        <v>1</v>
      </c>
      <c r="F36" s="97">
        <v>0</v>
      </c>
      <c r="G36" s="97">
        <v>0</v>
      </c>
      <c r="H36" s="97">
        <v>0</v>
      </c>
    </row>
    <row r="37" spans="1:8">
      <c r="A37" s="97">
        <v>4120497</v>
      </c>
      <c r="B37" s="97">
        <v>20000000</v>
      </c>
      <c r="C37" s="97">
        <v>909</v>
      </c>
      <c r="D37" s="98">
        <v>0</v>
      </c>
      <c r="E37" s="97">
        <v>0</v>
      </c>
      <c r="F37" s="97">
        <v>0</v>
      </c>
      <c r="G37" s="97">
        <v>0</v>
      </c>
      <c r="H37" s="97">
        <v>0</v>
      </c>
    </row>
    <row r="38" spans="1:8">
      <c r="A38" s="97">
        <v>23624548</v>
      </c>
      <c r="B38" s="97">
        <v>85000000</v>
      </c>
      <c r="C38" s="97">
        <v>3833</v>
      </c>
      <c r="D38" s="98">
        <v>0</v>
      </c>
      <c r="E38" s="97">
        <v>0</v>
      </c>
      <c r="F38" s="97">
        <v>0</v>
      </c>
      <c r="G38" s="97">
        <v>0</v>
      </c>
      <c r="H38" s="97">
        <v>0</v>
      </c>
    </row>
    <row r="39" spans="1:8">
      <c r="A39" s="97">
        <v>8203822</v>
      </c>
      <c r="B39" s="97">
        <v>20500000</v>
      </c>
      <c r="C39" s="97">
        <v>2323</v>
      </c>
      <c r="D39" s="98">
        <v>0</v>
      </c>
      <c r="E39" s="97">
        <v>0</v>
      </c>
      <c r="F39" s="97">
        <v>0</v>
      </c>
      <c r="G39" s="97">
        <v>1</v>
      </c>
      <c r="H39" s="97">
        <v>1</v>
      </c>
    </row>
    <row r="40" spans="1:8">
      <c r="A40" s="97">
        <v>12158168</v>
      </c>
      <c r="B40" s="97">
        <v>24000000</v>
      </c>
      <c r="C40" s="97">
        <v>3017</v>
      </c>
      <c r="D40" s="98">
        <v>1</v>
      </c>
      <c r="E40" s="97">
        <v>0</v>
      </c>
      <c r="F40" s="97">
        <v>1</v>
      </c>
      <c r="G40" s="97">
        <v>0</v>
      </c>
      <c r="H40" s="97">
        <v>0</v>
      </c>
    </row>
    <row r="41" spans="1:8">
      <c r="A41" s="97">
        <v>16414767</v>
      </c>
      <c r="B41" s="97">
        <v>50000000</v>
      </c>
      <c r="C41" s="97">
        <v>3639</v>
      </c>
      <c r="D41" s="98">
        <v>0</v>
      </c>
      <c r="E41" s="97">
        <v>1</v>
      </c>
      <c r="F41" s="97">
        <v>0</v>
      </c>
      <c r="G41" s="97">
        <v>0</v>
      </c>
      <c r="H41" s="97">
        <v>0</v>
      </c>
    </row>
    <row r="42" spans="1:8">
      <c r="A42" s="97">
        <v>40222875</v>
      </c>
      <c r="B42" s="97">
        <v>45000000</v>
      </c>
      <c r="C42" s="97">
        <v>3602</v>
      </c>
      <c r="D42" s="98">
        <v>1</v>
      </c>
      <c r="E42" s="97">
        <v>0</v>
      </c>
      <c r="F42" s="97">
        <v>1</v>
      </c>
      <c r="G42" s="97">
        <v>0</v>
      </c>
      <c r="H42" s="97">
        <v>0</v>
      </c>
    </row>
    <row r="43" spans="1:8">
      <c r="A43" s="97">
        <v>8602333</v>
      </c>
      <c r="B43" s="97">
        <v>35000000</v>
      </c>
      <c r="C43" s="97">
        <v>3004</v>
      </c>
      <c r="D43" s="98">
        <v>0</v>
      </c>
      <c r="E43" s="97">
        <v>1</v>
      </c>
      <c r="F43" s="97">
        <v>1</v>
      </c>
      <c r="G43" s="97">
        <v>0</v>
      </c>
      <c r="H43" s="97">
        <v>0</v>
      </c>
    </row>
    <row r="44" spans="1:8">
      <c r="A44" s="97">
        <v>10730372</v>
      </c>
      <c r="B44" s="97">
        <v>20000000</v>
      </c>
      <c r="C44" s="97">
        <v>2623</v>
      </c>
      <c r="D44" s="98">
        <v>0</v>
      </c>
      <c r="E44" s="97">
        <v>1</v>
      </c>
      <c r="F44" s="97">
        <v>0</v>
      </c>
      <c r="G44" s="97">
        <v>0</v>
      </c>
      <c r="H44" s="97">
        <v>0</v>
      </c>
    </row>
    <row r="45" spans="1:8">
      <c r="A45" s="97">
        <v>20152598</v>
      </c>
      <c r="B45" s="97">
        <v>50000000</v>
      </c>
      <c r="C45" s="97">
        <v>2926</v>
      </c>
      <c r="D45" s="98">
        <v>0</v>
      </c>
      <c r="E45" s="97">
        <v>0</v>
      </c>
      <c r="F45" s="97">
        <v>0</v>
      </c>
      <c r="G45" s="97">
        <v>1</v>
      </c>
      <c r="H45" s="97">
        <v>1</v>
      </c>
    </row>
    <row r="46" spans="1:8">
      <c r="A46" s="97">
        <v>13806311</v>
      </c>
      <c r="B46" s="97">
        <v>33000000</v>
      </c>
      <c r="C46" s="97">
        <v>3555</v>
      </c>
      <c r="D46" s="98">
        <v>0</v>
      </c>
      <c r="E46" s="97">
        <v>0</v>
      </c>
      <c r="F46" s="97">
        <v>1</v>
      </c>
      <c r="G46" s="97">
        <v>0</v>
      </c>
      <c r="H46" s="97">
        <v>0</v>
      </c>
    </row>
    <row r="47" spans="1:8">
      <c r="A47" s="97">
        <v>10726406</v>
      </c>
      <c r="B47" s="97">
        <v>20000000</v>
      </c>
      <c r="C47" s="97">
        <v>2009</v>
      </c>
      <c r="D47" s="98">
        <v>0</v>
      </c>
      <c r="E47" s="97">
        <v>0</v>
      </c>
      <c r="F47" s="97">
        <v>0</v>
      </c>
      <c r="G47" s="97">
        <v>0</v>
      </c>
      <c r="H47" s="97">
        <v>0</v>
      </c>
    </row>
    <row r="48" spans="1:8">
      <c r="A48" s="97">
        <v>10803610</v>
      </c>
      <c r="B48" s="97">
        <v>20000000</v>
      </c>
      <c r="C48" s="97">
        <v>2038</v>
      </c>
      <c r="D48" s="98">
        <v>0</v>
      </c>
      <c r="E48" s="97">
        <v>0</v>
      </c>
      <c r="F48" s="97">
        <v>0</v>
      </c>
      <c r="G48" s="97">
        <v>0</v>
      </c>
      <c r="H48" s="97">
        <v>0</v>
      </c>
    </row>
    <row r="49" spans="1:8">
      <c r="A49" s="97">
        <v>13411093</v>
      </c>
      <c r="B49" s="97">
        <v>30000000</v>
      </c>
      <c r="C49" s="97">
        <v>2264</v>
      </c>
      <c r="D49" s="98">
        <v>0</v>
      </c>
      <c r="E49" s="97">
        <v>1</v>
      </c>
      <c r="F49" s="97">
        <v>1</v>
      </c>
      <c r="G49" s="97">
        <v>0</v>
      </c>
      <c r="H49" s="97">
        <v>0</v>
      </c>
    </row>
    <row r="50" spans="1:8">
      <c r="A50" s="97">
        <v>12051277</v>
      </c>
      <c r="B50" s="97">
        <v>30000000</v>
      </c>
      <c r="C50" s="97">
        <v>3009</v>
      </c>
      <c r="D50" s="98">
        <v>0</v>
      </c>
      <c r="E50" s="97">
        <v>0</v>
      </c>
      <c r="F50" s="97">
        <v>0</v>
      </c>
      <c r="G50" s="97">
        <v>0</v>
      </c>
      <c r="H50" s="97">
        <v>0</v>
      </c>
    </row>
    <row r="51" spans="1:8">
      <c r="A51" s="97">
        <v>47042215</v>
      </c>
      <c r="B51" s="97">
        <v>72500000</v>
      </c>
      <c r="C51" s="97">
        <v>3803</v>
      </c>
      <c r="D51" s="98">
        <v>0</v>
      </c>
      <c r="E51" s="97">
        <v>1</v>
      </c>
      <c r="F51" s="97">
        <v>0</v>
      </c>
      <c r="G51" s="97">
        <v>0</v>
      </c>
      <c r="H51" s="97">
        <v>0</v>
      </c>
    </row>
    <row r="52" spans="1:8">
      <c r="A52" s="97">
        <v>8432465</v>
      </c>
      <c r="B52" s="97">
        <v>50000000</v>
      </c>
      <c r="C52" s="97">
        <v>3050</v>
      </c>
      <c r="D52" s="98">
        <v>0</v>
      </c>
      <c r="E52" s="97">
        <v>0</v>
      </c>
      <c r="F52" s="97">
        <v>0</v>
      </c>
      <c r="G52" s="97">
        <v>0</v>
      </c>
      <c r="H52" s="97">
        <v>0</v>
      </c>
    </row>
    <row r="53" spans="1:8">
      <c r="A53" s="97">
        <v>19656429</v>
      </c>
      <c r="B53" s="97">
        <v>33000000</v>
      </c>
      <c r="C53" s="97">
        <v>3274</v>
      </c>
      <c r="D53" s="98">
        <v>0</v>
      </c>
      <c r="E53" s="97">
        <v>1</v>
      </c>
      <c r="F53" s="97">
        <v>0</v>
      </c>
      <c r="G53" s="97">
        <v>0</v>
      </c>
      <c r="H53" s="97">
        <v>0</v>
      </c>
    </row>
    <row r="54" spans="1:8">
      <c r="A54" s="97">
        <v>10005895</v>
      </c>
      <c r="B54" s="97">
        <v>50000000</v>
      </c>
      <c r="C54" s="97">
        <v>2226</v>
      </c>
      <c r="D54" s="98">
        <v>0</v>
      </c>
      <c r="E54" s="97">
        <v>0</v>
      </c>
      <c r="F54" s="97">
        <v>0</v>
      </c>
      <c r="G54" s="97">
        <v>0</v>
      </c>
      <c r="H54" s="97">
        <v>0</v>
      </c>
    </row>
    <row r="55" spans="1:8">
      <c r="A55" s="97">
        <v>39172785</v>
      </c>
      <c r="B55" s="97">
        <v>52000000</v>
      </c>
      <c r="C55" s="97">
        <v>3070</v>
      </c>
      <c r="D55" s="98">
        <v>0</v>
      </c>
      <c r="E55" s="97">
        <v>1</v>
      </c>
      <c r="F55" s="97">
        <v>0</v>
      </c>
      <c r="G55" s="97">
        <v>0</v>
      </c>
      <c r="H55" s="97">
        <v>0</v>
      </c>
    </row>
    <row r="56" spans="1:8">
      <c r="A56" s="97">
        <v>8852458</v>
      </c>
      <c r="B56" s="97">
        <v>20000000</v>
      </c>
      <c r="C56" s="97">
        <v>2681</v>
      </c>
      <c r="D56" s="98">
        <v>0</v>
      </c>
      <c r="E56" s="97">
        <v>0</v>
      </c>
      <c r="F56" s="97">
        <v>0</v>
      </c>
      <c r="G56" s="97">
        <v>0</v>
      </c>
      <c r="H56" s="97">
        <v>0</v>
      </c>
    </row>
    <row r="57" spans="1:8">
      <c r="A57" s="97">
        <v>26887467</v>
      </c>
      <c r="B57" s="97">
        <v>90000000</v>
      </c>
      <c r="C57" s="97">
        <v>3017</v>
      </c>
      <c r="D57" s="98">
        <v>0</v>
      </c>
      <c r="E57" s="97">
        <v>0</v>
      </c>
      <c r="F57" s="97">
        <v>0</v>
      </c>
      <c r="G57" s="97">
        <v>0</v>
      </c>
      <c r="H57" s="97">
        <v>1</v>
      </c>
    </row>
    <row r="58" spans="1:8">
      <c r="A58" s="97">
        <v>27537244</v>
      </c>
      <c r="B58" s="97">
        <v>35000000</v>
      </c>
      <c r="C58" s="97">
        <v>2847</v>
      </c>
      <c r="D58" s="98">
        <v>0</v>
      </c>
      <c r="E58" s="97">
        <v>1</v>
      </c>
      <c r="F58" s="97">
        <v>0</v>
      </c>
      <c r="G58" s="97">
        <v>0</v>
      </c>
      <c r="H58" s="97">
        <v>0</v>
      </c>
    </row>
    <row r="59" spans="1:8">
      <c r="A59" s="97">
        <v>20825300</v>
      </c>
      <c r="B59" s="97">
        <v>20000000</v>
      </c>
      <c r="C59" s="97">
        <v>3211</v>
      </c>
      <c r="D59" s="98">
        <v>1</v>
      </c>
      <c r="E59" s="97">
        <v>0</v>
      </c>
      <c r="F59" s="97">
        <v>1</v>
      </c>
      <c r="G59" s="97">
        <v>0</v>
      </c>
      <c r="H59" s="97">
        <v>0</v>
      </c>
    </row>
    <row r="60" spans="1:8">
      <c r="A60" s="97">
        <v>12778913</v>
      </c>
      <c r="B60" s="97">
        <v>85000000</v>
      </c>
      <c r="C60" s="97">
        <v>2610</v>
      </c>
      <c r="D60" s="98">
        <v>0</v>
      </c>
      <c r="E60" s="97">
        <v>1</v>
      </c>
      <c r="F60" s="97">
        <v>1</v>
      </c>
      <c r="G60" s="97">
        <v>1</v>
      </c>
      <c r="H60" s="97">
        <v>0</v>
      </c>
    </row>
    <row r="61" spans="1:8">
      <c r="A61" s="97">
        <v>13616196</v>
      </c>
      <c r="B61" s="97">
        <v>40000000</v>
      </c>
      <c r="C61" s="97">
        <v>2645</v>
      </c>
      <c r="D61" s="98">
        <v>0</v>
      </c>
      <c r="E61" s="97">
        <v>0</v>
      </c>
      <c r="F61" s="97">
        <v>1</v>
      </c>
      <c r="G61" s="97">
        <v>0</v>
      </c>
      <c r="H61" s="97">
        <v>0</v>
      </c>
    </row>
    <row r="62" spans="1:8">
      <c r="A62" s="97">
        <v>7849304</v>
      </c>
      <c r="B62" s="97">
        <v>35000000</v>
      </c>
      <c r="C62" s="97">
        <v>3083</v>
      </c>
      <c r="D62" s="98">
        <v>0</v>
      </c>
      <c r="E62" s="97">
        <v>0</v>
      </c>
      <c r="F62" s="97">
        <v>0</v>
      </c>
      <c r="G62" s="97">
        <v>0</v>
      </c>
      <c r="H62" s="97">
        <v>0</v>
      </c>
    </row>
    <row r="63" spans="1:8">
      <c r="A63" s="97">
        <v>16026496</v>
      </c>
      <c r="B63" s="97">
        <v>25000000</v>
      </c>
      <c r="C63" s="97">
        <v>2723</v>
      </c>
      <c r="D63" s="98">
        <v>0</v>
      </c>
      <c r="E63" s="97">
        <v>0</v>
      </c>
      <c r="F63" s="97">
        <v>0</v>
      </c>
      <c r="G63" s="97">
        <v>0</v>
      </c>
      <c r="H63" s="97">
        <v>0</v>
      </c>
    </row>
    <row r="64" spans="1:8">
      <c r="A64" s="97">
        <v>20220412</v>
      </c>
      <c r="B64" s="97">
        <v>80000000</v>
      </c>
      <c r="C64" s="97">
        <v>3477</v>
      </c>
      <c r="D64" s="98">
        <v>1</v>
      </c>
      <c r="E64" s="97">
        <v>1</v>
      </c>
      <c r="F64" s="97">
        <v>0</v>
      </c>
      <c r="G64" s="97">
        <v>0</v>
      </c>
      <c r="H64" s="97">
        <v>0</v>
      </c>
    </row>
    <row r="65" spans="1:8">
      <c r="A65" s="97">
        <v>14801808</v>
      </c>
      <c r="B65" s="97">
        <v>40000000</v>
      </c>
      <c r="C65" s="97">
        <v>2281</v>
      </c>
      <c r="D65" s="98">
        <v>0</v>
      </c>
      <c r="E65" s="97">
        <v>0</v>
      </c>
      <c r="F65" s="97">
        <v>0</v>
      </c>
      <c r="G65" s="97">
        <v>0</v>
      </c>
      <c r="H65" s="97">
        <v>0</v>
      </c>
    </row>
    <row r="66" spans="1:8">
      <c r="A66" s="97">
        <v>26541709</v>
      </c>
      <c r="B66" s="97">
        <v>55000000</v>
      </c>
      <c r="C66" s="97">
        <v>2852</v>
      </c>
      <c r="D66" s="98">
        <v>0</v>
      </c>
      <c r="E66" s="97">
        <v>0</v>
      </c>
      <c r="F66" s="97">
        <v>1</v>
      </c>
      <c r="G66" s="97">
        <v>0</v>
      </c>
      <c r="H66" s="97">
        <v>0</v>
      </c>
    </row>
    <row r="67" spans="1:8">
      <c r="A67" s="97">
        <v>14367854</v>
      </c>
      <c r="B67" s="97">
        <v>60000000</v>
      </c>
      <c r="C67" s="97">
        <v>2819</v>
      </c>
      <c r="D67" s="98">
        <v>0</v>
      </c>
      <c r="E67" s="97">
        <v>0</v>
      </c>
      <c r="F67" s="97">
        <v>1</v>
      </c>
      <c r="G67" s="97">
        <v>0</v>
      </c>
      <c r="H67" s="97">
        <v>0</v>
      </c>
    </row>
    <row r="68" spans="1:8">
      <c r="A68" s="97">
        <v>16310058</v>
      </c>
      <c r="B68" s="97">
        <v>60000000</v>
      </c>
      <c r="C68" s="97">
        <v>3501</v>
      </c>
      <c r="D68" s="98">
        <v>0</v>
      </c>
      <c r="E68" s="97">
        <v>1</v>
      </c>
      <c r="F68" s="97">
        <v>0</v>
      </c>
      <c r="G68" s="97">
        <v>0</v>
      </c>
      <c r="H68" s="97">
        <v>0</v>
      </c>
    </row>
    <row r="69" spans="1:8">
      <c r="A69" s="97">
        <v>9610204</v>
      </c>
      <c r="B69" s="97">
        <v>40000000</v>
      </c>
      <c r="C69" s="97">
        <v>2784</v>
      </c>
      <c r="D69" s="98">
        <v>0</v>
      </c>
      <c r="E69" s="97">
        <v>0</v>
      </c>
      <c r="F69" s="97">
        <v>1</v>
      </c>
      <c r="G69" s="97">
        <v>0</v>
      </c>
      <c r="H69" s="97">
        <v>0</v>
      </c>
    </row>
    <row r="70" spans="1:8">
      <c r="A70" s="97">
        <v>9684809</v>
      </c>
      <c r="B70" s="97">
        <v>80000000</v>
      </c>
      <c r="C70" s="97">
        <v>2854</v>
      </c>
      <c r="D70" s="98">
        <v>0</v>
      </c>
      <c r="E70" s="97">
        <v>0</v>
      </c>
      <c r="F70" s="97">
        <v>0</v>
      </c>
      <c r="G70" s="97">
        <v>0</v>
      </c>
      <c r="H70" s="97">
        <v>1</v>
      </c>
    </row>
    <row r="71" spans="1:8">
      <c r="A71" s="97">
        <v>9064880</v>
      </c>
      <c r="B71" s="97">
        <v>30000000</v>
      </c>
      <c r="C71" s="97">
        <v>2558</v>
      </c>
      <c r="D71" s="98">
        <v>0</v>
      </c>
      <c r="E71" s="97">
        <v>0</v>
      </c>
      <c r="F71" s="97">
        <v>0</v>
      </c>
      <c r="G71" s="97">
        <v>0</v>
      </c>
      <c r="H71" s="97">
        <v>1</v>
      </c>
    </row>
    <row r="72" spans="1:8">
      <c r="A72" s="97">
        <v>5815474</v>
      </c>
      <c r="B72" s="97">
        <v>25000000</v>
      </c>
      <c r="C72" s="97">
        <v>2775</v>
      </c>
      <c r="D72" s="98">
        <v>0</v>
      </c>
      <c r="E72" s="97">
        <v>1</v>
      </c>
      <c r="F72" s="97">
        <v>1</v>
      </c>
      <c r="G72" s="97">
        <v>0</v>
      </c>
      <c r="H72" s="97">
        <v>0</v>
      </c>
    </row>
    <row r="73" spans="1:8">
      <c r="A73" s="97">
        <v>26857181</v>
      </c>
      <c r="B73" s="97">
        <v>45000000</v>
      </c>
      <c r="C73" s="97">
        <v>3207</v>
      </c>
      <c r="D73" s="98">
        <v>1</v>
      </c>
      <c r="E73" s="97">
        <v>0</v>
      </c>
      <c r="F73" s="97">
        <v>0</v>
      </c>
      <c r="G73" s="97">
        <v>0</v>
      </c>
      <c r="H73" s="97">
        <v>0</v>
      </c>
    </row>
    <row r="74" spans="1:8">
      <c r="A74" s="97">
        <v>25642340</v>
      </c>
      <c r="B74" s="97">
        <v>54000000</v>
      </c>
      <c r="C74" s="97">
        <v>3365</v>
      </c>
      <c r="D74" s="98">
        <v>0</v>
      </c>
      <c r="E74" s="97">
        <v>0</v>
      </c>
      <c r="F74" s="97">
        <v>0</v>
      </c>
      <c r="G74" s="97">
        <v>0</v>
      </c>
      <c r="H74" s="97">
        <v>0</v>
      </c>
    </row>
    <row r="75" spans="1:8">
      <c r="A75" s="97">
        <v>18730762</v>
      </c>
      <c r="B75" s="97">
        <v>65000000</v>
      </c>
      <c r="C75" s="97">
        <v>2957</v>
      </c>
      <c r="D75" s="98">
        <v>0</v>
      </c>
      <c r="E75" s="97">
        <v>0</v>
      </c>
      <c r="F75" s="97">
        <v>0</v>
      </c>
      <c r="G75" s="97">
        <v>0</v>
      </c>
      <c r="H75" s="97">
        <v>0</v>
      </c>
    </row>
    <row r="76" spans="1:8">
      <c r="A76" s="97">
        <v>21525560</v>
      </c>
      <c r="B76" s="97">
        <v>54000000</v>
      </c>
      <c r="C76" s="97">
        <v>3131</v>
      </c>
      <c r="D76" s="98">
        <v>0</v>
      </c>
      <c r="E76" s="97">
        <v>1</v>
      </c>
      <c r="F76" s="97">
        <v>0</v>
      </c>
      <c r="G76" s="97">
        <v>0</v>
      </c>
      <c r="H76" s="97">
        <v>0</v>
      </c>
    </row>
    <row r="80" spans="1:8" ht="14.4">
      <c r="A80" s="119" t="s">
        <v>163</v>
      </c>
    </row>
    <row r="81" spans="2:10">
      <c r="B81" s="93" t="s">
        <v>164</v>
      </c>
      <c r="C81" s="93"/>
      <c r="D81" s="93"/>
      <c r="E81" s="93"/>
      <c r="F81" s="93"/>
      <c r="G81" s="93"/>
      <c r="H81" s="93"/>
      <c r="I81" s="93"/>
      <c r="J81" s="93"/>
    </row>
    <row r="82" spans="2:10" s="93" customFormat="1" ht="13.8" thickBot="1"/>
    <row r="83" spans="2:10" s="93" customFormat="1">
      <c r="B83" s="99" t="s">
        <v>165</v>
      </c>
      <c r="C83" s="99"/>
    </row>
    <row r="84" spans="2:10" s="93" customFormat="1">
      <c r="B84" s="100" t="s">
        <v>166</v>
      </c>
      <c r="C84" s="100">
        <v>0.71551664153410599</v>
      </c>
    </row>
    <row r="85" spans="2:10" s="93" customFormat="1">
      <c r="B85" s="100" t="s">
        <v>167</v>
      </c>
      <c r="C85" s="100">
        <v>0.51196406431224639</v>
      </c>
    </row>
    <row r="86" spans="2:10" s="93" customFormat="1">
      <c r="B86" s="100" t="s">
        <v>168</v>
      </c>
      <c r="C86" s="100">
        <v>0.46097523521054085</v>
      </c>
    </row>
    <row r="87" spans="2:10" s="93" customFormat="1">
      <c r="B87" s="100" t="s">
        <v>169</v>
      </c>
      <c r="C87" s="100">
        <v>8136070.5032682205</v>
      </c>
    </row>
    <row r="88" spans="2:10" s="93" customFormat="1" ht="13.8" thickBot="1">
      <c r="B88" s="101" t="s">
        <v>140</v>
      </c>
      <c r="C88" s="101">
        <v>75</v>
      </c>
    </row>
    <row r="89" spans="2:10" s="93" customFormat="1"/>
    <row r="90" spans="2:10" s="93" customFormat="1" ht="13.8" thickBot="1">
      <c r="B90" s="93" t="s">
        <v>170</v>
      </c>
    </row>
    <row r="91" spans="2:10" s="93" customFormat="1">
      <c r="B91" s="99"/>
      <c r="C91" s="99" t="s">
        <v>141</v>
      </c>
      <c r="D91" s="99" t="s">
        <v>175</v>
      </c>
      <c r="E91" s="99" t="s">
        <v>176</v>
      </c>
      <c r="F91" s="99" t="s">
        <v>177</v>
      </c>
      <c r="G91" s="99" t="s">
        <v>178</v>
      </c>
    </row>
    <row r="92" spans="2:10" s="93" customFormat="1">
      <c r="B92" s="100" t="s">
        <v>171</v>
      </c>
      <c r="C92" s="100">
        <v>7</v>
      </c>
      <c r="D92" s="100">
        <v>4652558962988642</v>
      </c>
      <c r="E92" s="100">
        <v>664651280426948.88</v>
      </c>
      <c r="F92" s="100">
        <v>10.040710354243474</v>
      </c>
      <c r="G92" s="100">
        <v>1.6312359304694221E-8</v>
      </c>
    </row>
    <row r="93" spans="2:10" s="93" customFormat="1">
      <c r="B93" s="100" t="s">
        <v>172</v>
      </c>
      <c r="C93" s="100">
        <v>67</v>
      </c>
      <c r="D93" s="100">
        <v>4435108096688129.5</v>
      </c>
      <c r="E93" s="100">
        <v>66195643234151.188</v>
      </c>
      <c r="F93" s="100"/>
      <c r="G93" s="100"/>
    </row>
    <row r="94" spans="2:10" s="93" customFormat="1" ht="13.8" thickBot="1">
      <c r="B94" s="101" t="s">
        <v>173</v>
      </c>
      <c r="C94" s="101">
        <v>74</v>
      </c>
      <c r="D94" s="101">
        <v>9087667059676772</v>
      </c>
      <c r="E94" s="101"/>
      <c r="F94" s="101"/>
      <c r="G94" s="101"/>
    </row>
    <row r="95" spans="2:10" s="93" customFormat="1" ht="13.8" thickBot="1"/>
    <row r="96" spans="2:10" s="93" customFormat="1">
      <c r="B96" s="99"/>
      <c r="C96" s="99" t="s">
        <v>179</v>
      </c>
      <c r="D96" s="99" t="s">
        <v>169</v>
      </c>
      <c r="E96" s="99" t="s">
        <v>142</v>
      </c>
      <c r="F96" s="99" t="s">
        <v>180</v>
      </c>
      <c r="G96" s="99" t="s">
        <v>181</v>
      </c>
      <c r="H96" s="99" t="s">
        <v>182</v>
      </c>
      <c r="I96" s="99" t="s">
        <v>183</v>
      </c>
      <c r="J96" s="99" t="s">
        <v>184</v>
      </c>
    </row>
    <row r="97" spans="1:10" s="93" customFormat="1">
      <c r="B97" s="100" t="s">
        <v>174</v>
      </c>
      <c r="C97" s="100">
        <v>-9060367.3802335616</v>
      </c>
      <c r="D97" s="100">
        <v>4091807.2867429187</v>
      </c>
      <c r="E97" s="100">
        <v>-2.214270307789989</v>
      </c>
      <c r="F97" s="100">
        <v>3.0216701710216454E-2</v>
      </c>
      <c r="G97" s="100">
        <v>-17227648.907634009</v>
      </c>
      <c r="H97" s="100">
        <v>-893085.85283311456</v>
      </c>
      <c r="I97" s="100">
        <v>-15885158.689614251</v>
      </c>
      <c r="J97" s="100">
        <v>-2235576.0708528711</v>
      </c>
    </row>
    <row r="98" spans="1:10" s="93" customFormat="1">
      <c r="B98" s="100" t="s">
        <v>93</v>
      </c>
      <c r="C98" s="100">
        <v>0.13282540450552555</v>
      </c>
      <c r="D98" s="100">
        <v>4.2834754998631604E-2</v>
      </c>
      <c r="E98" s="100">
        <v>3.1008792862190711</v>
      </c>
      <c r="F98" s="100">
        <v>2.8220956092468181E-3</v>
      </c>
      <c r="G98" s="100">
        <v>4.7326875685630043E-2</v>
      </c>
      <c r="H98" s="100">
        <v>0.21832393332542105</v>
      </c>
      <c r="I98" s="100">
        <v>6.1380626399464372E-2</v>
      </c>
      <c r="J98" s="100">
        <v>0.20427018261158672</v>
      </c>
    </row>
    <row r="99" spans="1:10" s="93" customFormat="1">
      <c r="B99" s="100" t="s">
        <v>88</v>
      </c>
      <c r="C99" s="100">
        <v>7303.9372011509095</v>
      </c>
      <c r="D99" s="100">
        <v>1527.8587995323605</v>
      </c>
      <c r="E99" s="100">
        <v>4.7805053735243481</v>
      </c>
      <c r="F99" s="100">
        <v>9.9505713272084497E-6</v>
      </c>
      <c r="G99" s="100">
        <v>4254.3182735132577</v>
      </c>
      <c r="H99" s="100">
        <v>10353.556128788561</v>
      </c>
      <c r="I99" s="100">
        <v>4755.5968893300615</v>
      </c>
      <c r="J99" s="100">
        <v>9852.2775129717575</v>
      </c>
    </row>
    <row r="100" spans="1:10" s="93" customFormat="1">
      <c r="B100" s="100" t="s">
        <v>79</v>
      </c>
      <c r="C100" s="100">
        <v>9879577.0694214813</v>
      </c>
      <c r="D100" s="100">
        <v>3239752.1979263066</v>
      </c>
      <c r="E100" s="100">
        <v>3.0494854130341138</v>
      </c>
      <c r="F100" s="100">
        <v>3.2812535222019974E-3</v>
      </c>
      <c r="G100" s="100">
        <v>3413004.6173887579</v>
      </c>
      <c r="H100" s="100">
        <v>16346149.521454204</v>
      </c>
      <c r="I100" s="100">
        <v>4475942.1727852505</v>
      </c>
      <c r="J100" s="100">
        <v>15283211.966057712</v>
      </c>
    </row>
    <row r="101" spans="1:10" s="93" customFormat="1">
      <c r="B101" s="100" t="s">
        <v>98</v>
      </c>
      <c r="C101" s="100">
        <v>-3874082.5992970574</v>
      </c>
      <c r="D101" s="100">
        <v>2173467.7312747859</v>
      </c>
      <c r="E101" s="100">
        <v>-1.7824431177659232</v>
      </c>
      <c r="F101" s="100">
        <v>7.9207586426248686E-2</v>
      </c>
      <c r="G101" s="100">
        <v>-8212342.3481259383</v>
      </c>
      <c r="H101" s="100">
        <v>464177.14953182312</v>
      </c>
      <c r="I101" s="100">
        <v>-7499244.451782777</v>
      </c>
      <c r="J101" s="100">
        <v>-248920.74681133777</v>
      </c>
    </row>
    <row r="102" spans="1:10" s="93" customFormat="1">
      <c r="B102" s="100" t="s">
        <v>99</v>
      </c>
      <c r="C102" s="100">
        <v>-131146.0342996087</v>
      </c>
      <c r="D102" s="100">
        <v>3539372.6968166917</v>
      </c>
      <c r="E102" s="100">
        <v>-3.7053468378043748E-2</v>
      </c>
      <c r="F102" s="100">
        <v>0.97055255395908513</v>
      </c>
      <c r="G102" s="100">
        <v>-7195763.5051547671</v>
      </c>
      <c r="H102" s="100">
        <v>6933471.4365555504</v>
      </c>
      <c r="I102" s="100">
        <v>-6034522.7891520178</v>
      </c>
      <c r="J102" s="100">
        <v>5772230.7205528012</v>
      </c>
    </row>
    <row r="103" spans="1:10" s="93" customFormat="1">
      <c r="B103" s="100" t="s">
        <v>100</v>
      </c>
      <c r="C103" s="100">
        <v>-3935239.8635989069</v>
      </c>
      <c r="D103" s="100">
        <v>3479048.5638966258</v>
      </c>
      <c r="E103" s="100">
        <v>-1.1311253037500961</v>
      </c>
      <c r="F103" s="100">
        <v>0.2620349494507882</v>
      </c>
      <c r="G103" s="100">
        <v>-10879449.861196281</v>
      </c>
      <c r="H103" s="100">
        <v>3008970.1339984681</v>
      </c>
      <c r="I103" s="100">
        <v>-9738001.0250843801</v>
      </c>
      <c r="J103" s="100">
        <v>1867521.2978865667</v>
      </c>
    </row>
    <row r="104" spans="1:10" s="93" customFormat="1" ht="13.8" thickBot="1">
      <c r="B104" s="101" t="s">
        <v>159</v>
      </c>
      <c r="C104" s="101">
        <v>1126880.8036833033</v>
      </c>
      <c r="D104" s="101">
        <v>2187450.2841771198</v>
      </c>
      <c r="E104" s="101">
        <v>0.51515721835352069</v>
      </c>
      <c r="F104" s="101">
        <v>0.60813871064780001</v>
      </c>
      <c r="G104" s="101">
        <v>-3239288.237549237</v>
      </c>
      <c r="H104" s="101">
        <v>5493049.8449158436</v>
      </c>
      <c r="I104" s="101">
        <v>-2521602.7741045784</v>
      </c>
      <c r="J104" s="101">
        <v>4775364.381471185</v>
      </c>
    </row>
    <row r="105" spans="1:10" s="93" customFormat="1"/>
    <row r="106" spans="1:10" s="93" customFormat="1"/>
    <row r="107" spans="1:10" s="93" customFormat="1"/>
    <row r="108" spans="1:10" s="93" customFormat="1" ht="14.4">
      <c r="A108" s="118" t="s">
        <v>197</v>
      </c>
    </row>
    <row r="109" spans="1:10" s="93" customFormat="1">
      <c r="B109" s="102" t="s">
        <v>124</v>
      </c>
      <c r="C109" s="102">
        <v>0.1</v>
      </c>
    </row>
    <row r="110" spans="1:10" s="93" customFormat="1"/>
    <row r="111" spans="1:10" s="93" customFormat="1" ht="26.4">
      <c r="B111" s="51" t="s">
        <v>270</v>
      </c>
      <c r="C111" s="51" t="s">
        <v>136</v>
      </c>
    </row>
    <row r="112" spans="1:10" s="93" customFormat="1">
      <c r="B112" s="100" t="s">
        <v>93</v>
      </c>
      <c r="C112" s="93" t="b">
        <f>IF(F99&lt;$C$109,TRUE,FALSE)</f>
        <v>1</v>
      </c>
    </row>
    <row r="113" spans="2:10" s="93" customFormat="1">
      <c r="B113" s="100" t="s">
        <v>88</v>
      </c>
      <c r="C113" s="93" t="b">
        <f>IF(F100&lt;$C$109,TRUE,FALSE)</f>
        <v>1</v>
      </c>
    </row>
    <row r="114" spans="2:10" s="93" customFormat="1">
      <c r="B114" s="100" t="s">
        <v>79</v>
      </c>
      <c r="C114" s="93" t="b">
        <f>IF(F101&lt;$C$109,TRUE,FALSE)</f>
        <v>1</v>
      </c>
    </row>
    <row r="115" spans="2:10" s="93" customFormat="1">
      <c r="B115" s="100" t="s">
        <v>98</v>
      </c>
      <c r="C115" s="93" t="b">
        <f>IF(F102&lt;$C$109,TRUE,FALSE)</f>
        <v>0</v>
      </c>
    </row>
    <row r="116" spans="2:10" s="93" customFormat="1">
      <c r="B116" s="100" t="s">
        <v>99</v>
      </c>
      <c r="C116" s="93" t="b">
        <f>IF(F103&lt;$C$109,TRUE,FALSE)</f>
        <v>0</v>
      </c>
    </row>
    <row r="117" spans="2:10" s="93" customFormat="1">
      <c r="B117" s="100" t="s">
        <v>100</v>
      </c>
      <c r="C117" s="93" t="b">
        <f>IF(F104&lt;$C$109,TRUE,FALSE)</f>
        <v>0</v>
      </c>
      <c r="E117" s="85" t="s">
        <v>247</v>
      </c>
      <c r="F117" s="85"/>
      <c r="G117" s="85"/>
    </row>
    <row r="118" spans="2:10" s="93" customFormat="1">
      <c r="B118" s="93" t="s">
        <v>159</v>
      </c>
      <c r="C118" s="93" t="b">
        <f>IF(F105&lt;$C$109,TRUE,FALSE)</f>
        <v>1</v>
      </c>
      <c r="E118" s="86" t="s">
        <v>248</v>
      </c>
      <c r="F118" s="86"/>
      <c r="G118" s="86"/>
    </row>
    <row r="119" spans="2:10" s="93" customFormat="1"/>
    <row r="120" spans="2:10" s="93" customFormat="1"/>
    <row r="121" spans="2:10" s="93" customFormat="1">
      <c r="B121" s="103" t="s">
        <v>271</v>
      </c>
      <c r="C121" s="102" t="s">
        <v>99</v>
      </c>
    </row>
    <row r="122" spans="2:10" s="93" customFormat="1">
      <c r="B122" s="103"/>
      <c r="C122" s="102" t="s">
        <v>100</v>
      </c>
    </row>
    <row r="123" spans="2:10" s="93" customFormat="1">
      <c r="B123" s="103"/>
      <c r="C123" s="102" t="s">
        <v>98</v>
      </c>
    </row>
    <row r="124" spans="2:10" s="93" customFormat="1"/>
    <row r="125" spans="2:10" s="93" customFormat="1"/>
    <row r="126" spans="2:10" s="93" customFormat="1">
      <c r="B126" s="51" t="s">
        <v>272</v>
      </c>
    </row>
    <row r="127" spans="2:10" s="93" customFormat="1"/>
    <row r="128" spans="2:10" s="93" customFormat="1">
      <c r="B128" s="72" t="s">
        <v>164</v>
      </c>
      <c r="C128" s="72"/>
      <c r="D128" s="72"/>
      <c r="E128" s="72"/>
      <c r="F128" s="72"/>
      <c r="G128" s="72"/>
      <c r="H128" s="72"/>
      <c r="I128" s="72"/>
      <c r="J128" s="72"/>
    </row>
    <row r="129" spans="2:10" s="93" customFormat="1" ht="13.8" thickBot="1">
      <c r="B129" s="72"/>
      <c r="C129" s="72"/>
      <c r="D129" s="72"/>
      <c r="E129" s="72"/>
      <c r="F129" s="72"/>
      <c r="G129" s="72"/>
      <c r="H129" s="72"/>
      <c r="I129" s="72"/>
      <c r="J129" s="72"/>
    </row>
    <row r="130" spans="2:10" s="93" customFormat="1">
      <c r="B130" s="104" t="s">
        <v>165</v>
      </c>
      <c r="C130" s="104"/>
      <c r="D130" s="72"/>
      <c r="E130" s="72"/>
      <c r="F130" s="72"/>
      <c r="G130" s="72"/>
      <c r="H130" s="72"/>
      <c r="I130" s="72"/>
      <c r="J130" s="72"/>
    </row>
    <row r="131" spans="2:10" s="93" customFormat="1">
      <c r="B131" s="105" t="s">
        <v>166</v>
      </c>
      <c r="C131" s="105">
        <v>0.6949455317915586</v>
      </c>
      <c r="D131" s="72"/>
      <c r="E131" s="72"/>
      <c r="F131" s="72"/>
      <c r="G131" s="72"/>
      <c r="H131" s="72"/>
      <c r="I131" s="72"/>
      <c r="J131" s="72"/>
    </row>
    <row r="132" spans="2:10" s="93" customFormat="1">
      <c r="B132" s="105" t="s">
        <v>167</v>
      </c>
      <c r="C132" s="105">
        <v>0.48294929215705223</v>
      </c>
      <c r="D132" s="72"/>
      <c r="E132" s="72"/>
      <c r="F132" s="72"/>
      <c r="G132" s="72"/>
      <c r="H132" s="72"/>
      <c r="I132" s="72"/>
      <c r="J132" s="72"/>
    </row>
    <row r="133" spans="2:10" s="93" customFormat="1">
      <c r="B133" s="105" t="s">
        <v>168</v>
      </c>
      <c r="C133" s="105">
        <v>0.45340353742316952</v>
      </c>
      <c r="D133" s="72"/>
      <c r="E133" s="72"/>
      <c r="F133" s="72"/>
      <c r="G133" s="72"/>
      <c r="H133" s="72"/>
      <c r="I133" s="72"/>
      <c r="J133" s="72"/>
    </row>
    <row r="134" spans="2:10" s="93" customFormat="1">
      <c r="B134" s="105" t="s">
        <v>169</v>
      </c>
      <c r="C134" s="105">
        <v>8193015.0440542214</v>
      </c>
      <c r="D134" s="72"/>
      <c r="E134" s="72"/>
      <c r="F134" s="72"/>
      <c r="G134" s="72"/>
      <c r="H134" s="72"/>
      <c r="I134" s="72"/>
      <c r="J134" s="72"/>
    </row>
    <row r="135" spans="2:10" s="93" customFormat="1" ht="13.8" thickBot="1">
      <c r="B135" s="106" t="s">
        <v>140</v>
      </c>
      <c r="C135" s="106">
        <v>75</v>
      </c>
      <c r="D135" s="72"/>
      <c r="E135" s="72"/>
      <c r="F135" s="72"/>
      <c r="G135" s="72"/>
      <c r="H135" s="72"/>
      <c r="I135" s="72"/>
      <c r="J135" s="72"/>
    </row>
    <row r="136" spans="2:10" s="93" customFormat="1">
      <c r="B136" s="72"/>
      <c r="C136" s="72"/>
      <c r="D136" s="72"/>
      <c r="E136" s="72"/>
      <c r="F136" s="72"/>
      <c r="G136" s="72"/>
      <c r="H136" s="72"/>
      <c r="I136" s="72"/>
      <c r="J136" s="72"/>
    </row>
    <row r="137" spans="2:10" s="93" customFormat="1" ht="13.8" thickBot="1">
      <c r="B137" s="72" t="s">
        <v>170</v>
      </c>
      <c r="C137" s="72"/>
      <c r="D137" s="72"/>
      <c r="E137" s="72"/>
      <c r="F137" s="72"/>
      <c r="G137" s="72"/>
      <c r="H137" s="72"/>
      <c r="I137" s="72"/>
      <c r="J137" s="72"/>
    </row>
    <row r="138" spans="2:10" s="93" customFormat="1">
      <c r="B138" s="107"/>
      <c r="C138" s="107" t="s">
        <v>141</v>
      </c>
      <c r="D138" s="107" t="s">
        <v>175</v>
      </c>
      <c r="E138" s="107" t="s">
        <v>176</v>
      </c>
      <c r="F138" s="107" t="s">
        <v>177</v>
      </c>
      <c r="G138" s="107" t="s">
        <v>178</v>
      </c>
      <c r="H138" s="72"/>
      <c r="I138" s="72"/>
      <c r="J138" s="72"/>
    </row>
    <row r="139" spans="2:10" s="93" customFormat="1">
      <c r="B139" s="105" t="s">
        <v>171</v>
      </c>
      <c r="C139" s="105">
        <v>4</v>
      </c>
      <c r="D139" s="105">
        <v>4388882373829857</v>
      </c>
      <c r="E139" s="105">
        <v>1097220593457464.3</v>
      </c>
      <c r="F139" s="105">
        <v>16.345809965152508</v>
      </c>
      <c r="G139" s="105">
        <v>1.6849657236268478E-9</v>
      </c>
      <c r="H139" s="72"/>
      <c r="I139" s="72"/>
      <c r="J139" s="72"/>
    </row>
    <row r="140" spans="2:10" s="93" customFormat="1">
      <c r="B140" s="105" t="s">
        <v>172</v>
      </c>
      <c r="C140" s="105">
        <v>70</v>
      </c>
      <c r="D140" s="105">
        <v>4698784685846915</v>
      </c>
      <c r="E140" s="105">
        <v>67125495512098.789</v>
      </c>
      <c r="F140" s="105"/>
      <c r="G140" s="105"/>
      <c r="H140" s="72"/>
      <c r="I140" s="72"/>
      <c r="J140" s="72"/>
    </row>
    <row r="141" spans="2:10" s="93" customFormat="1" ht="13.8" thickBot="1">
      <c r="B141" s="106" t="s">
        <v>173</v>
      </c>
      <c r="C141" s="106">
        <v>74</v>
      </c>
      <c r="D141" s="106">
        <v>9087667059676772</v>
      </c>
      <c r="E141" s="106"/>
      <c r="F141" s="106"/>
      <c r="G141" s="106"/>
      <c r="H141" s="72"/>
      <c r="I141" s="72"/>
      <c r="J141" s="72"/>
    </row>
    <row r="142" spans="2:10" s="93" customFormat="1" ht="13.8" thickBot="1">
      <c r="B142" s="72"/>
      <c r="C142" s="72"/>
      <c r="D142" s="72"/>
      <c r="E142" s="72"/>
      <c r="F142" s="72"/>
      <c r="G142" s="72"/>
      <c r="H142" s="72"/>
      <c r="I142" s="72"/>
      <c r="J142" s="72"/>
    </row>
    <row r="143" spans="2:10" s="93" customFormat="1">
      <c r="B143" s="107"/>
      <c r="C143" s="107" t="s">
        <v>179</v>
      </c>
      <c r="D143" s="107" t="s">
        <v>169</v>
      </c>
      <c r="E143" s="107" t="s">
        <v>142</v>
      </c>
      <c r="F143" s="107" t="s">
        <v>180</v>
      </c>
      <c r="G143" s="107" t="s">
        <v>181</v>
      </c>
      <c r="H143" s="107" t="s">
        <v>182</v>
      </c>
      <c r="I143" s="107" t="s">
        <v>183</v>
      </c>
      <c r="J143" s="107" t="s">
        <v>184</v>
      </c>
    </row>
    <row r="144" spans="2:10" s="93" customFormat="1">
      <c r="B144" s="105" t="s">
        <v>174</v>
      </c>
      <c r="C144" s="105">
        <v>-10160197.98842388</v>
      </c>
      <c r="D144" s="105">
        <v>4079526.5873963987</v>
      </c>
      <c r="E144" s="105">
        <v>-2.4905335878465831</v>
      </c>
      <c r="F144" s="105">
        <v>1.5130827474829817E-2</v>
      </c>
      <c r="G144" s="105">
        <v>-18296557.212784514</v>
      </c>
      <c r="H144" s="105">
        <v>-2023838.7640632465</v>
      </c>
      <c r="I144" s="105">
        <v>-16960419.924648676</v>
      </c>
      <c r="J144" s="105">
        <v>-3359976.0521990843</v>
      </c>
    </row>
    <row r="145" spans="1:10" s="93" customFormat="1">
      <c r="B145" s="105" t="s">
        <v>93</v>
      </c>
      <c r="C145" s="105">
        <v>0.1186178525058309</v>
      </c>
      <c r="D145" s="105">
        <v>4.2332765366654895E-2</v>
      </c>
      <c r="E145" s="105">
        <v>2.8020341094764629</v>
      </c>
      <c r="F145" s="105">
        <v>6.5625093300171336E-3</v>
      </c>
      <c r="G145" s="105">
        <v>3.4187814214672443E-2</v>
      </c>
      <c r="H145" s="105">
        <v>0.20304789079698937</v>
      </c>
      <c r="I145" s="105">
        <v>4.8052752977675278E-2</v>
      </c>
      <c r="J145" s="105">
        <v>0.18918295203398652</v>
      </c>
    </row>
    <row r="146" spans="1:10" s="93" customFormat="1">
      <c r="B146" s="105" t="s">
        <v>88</v>
      </c>
      <c r="C146" s="105">
        <v>7325.3159127757444</v>
      </c>
      <c r="D146" s="105">
        <v>1535.884704280164</v>
      </c>
      <c r="E146" s="105">
        <v>4.7694438862251456</v>
      </c>
      <c r="F146" s="105">
        <v>9.7480640675173424E-6</v>
      </c>
      <c r="G146" s="105">
        <v>4262.0904591576727</v>
      </c>
      <c r="H146" s="105">
        <v>10388.541366393816</v>
      </c>
      <c r="I146" s="105">
        <v>4765.1274610505616</v>
      </c>
      <c r="J146" s="105">
        <v>9885.5043645009282</v>
      </c>
    </row>
    <row r="147" spans="1:10" s="93" customFormat="1">
      <c r="B147" s="105" t="s">
        <v>79</v>
      </c>
      <c r="C147" s="105">
        <v>9448917.3947932888</v>
      </c>
      <c r="D147" s="105">
        <v>3254533.348033736</v>
      </c>
      <c r="E147" s="105">
        <v>2.9033094408149056</v>
      </c>
      <c r="F147" s="105">
        <v>4.9353640263427095E-3</v>
      </c>
      <c r="G147" s="105">
        <v>2957955.3039778778</v>
      </c>
      <c r="H147" s="105">
        <v>15939879.485608701</v>
      </c>
      <c r="I147" s="105">
        <v>4023888.6343853921</v>
      </c>
      <c r="J147" s="105">
        <v>14873946.155201185</v>
      </c>
    </row>
    <row r="148" spans="1:10" s="93" customFormat="1" ht="13.8" thickBot="1">
      <c r="B148" s="106" t="s">
        <v>159</v>
      </c>
      <c r="C148" s="106">
        <v>1670240.7086369628</v>
      </c>
      <c r="D148" s="106">
        <v>2156331.9966693874</v>
      </c>
      <c r="E148" s="106">
        <v>0.77457493151183199</v>
      </c>
      <c r="F148" s="106">
        <v>0.4411993947514331</v>
      </c>
      <c r="G148" s="106">
        <v>-2630427.8508201241</v>
      </c>
      <c r="H148" s="106">
        <v>5970909.2680940498</v>
      </c>
      <c r="I148" s="106">
        <v>-1924180.3182628821</v>
      </c>
      <c r="J148" s="106">
        <v>5264661.7355368081</v>
      </c>
    </row>
    <row r="149" spans="1:10" s="93" customFormat="1">
      <c r="B149" s="72"/>
      <c r="C149" s="72"/>
      <c r="D149" s="72"/>
      <c r="E149" s="72"/>
      <c r="F149" s="72"/>
      <c r="G149" s="72"/>
      <c r="H149" s="72"/>
      <c r="I149" s="72"/>
      <c r="J149" s="72"/>
    </row>
    <row r="150" spans="1:10" s="93" customFormat="1" ht="14.4">
      <c r="A150" s="118" t="s">
        <v>273</v>
      </c>
      <c r="B150" s="108"/>
      <c r="C150" s="108"/>
      <c r="D150" s="108"/>
      <c r="E150" s="108"/>
      <c r="F150" s="72"/>
      <c r="G150" s="72"/>
      <c r="H150" s="72"/>
      <c r="I150" s="72"/>
      <c r="J150" s="72"/>
    </row>
    <row r="151" spans="1:10" s="93" customFormat="1">
      <c r="B151" s="51" t="s">
        <v>274</v>
      </c>
      <c r="C151" s="51" t="s">
        <v>275</v>
      </c>
      <c r="D151" s="51" t="s">
        <v>180</v>
      </c>
      <c r="E151" s="51" t="s">
        <v>276</v>
      </c>
      <c r="F151" s="72"/>
      <c r="G151" s="72"/>
      <c r="H151" s="72"/>
      <c r="I151" s="72"/>
      <c r="J151" s="72"/>
    </row>
    <row r="152" spans="1:10" s="93" customFormat="1" ht="39.6" customHeight="1">
      <c r="B152" s="51" t="s">
        <v>174</v>
      </c>
      <c r="C152" s="94">
        <v>-10160197.99</v>
      </c>
      <c r="D152" s="57">
        <v>1.4999999999999999E-2</v>
      </c>
      <c r="E152" s="57" t="s">
        <v>277</v>
      </c>
    </row>
    <row r="153" spans="1:10" s="93" customFormat="1" ht="39.6" customHeight="1">
      <c r="B153" s="51" t="s">
        <v>93</v>
      </c>
      <c r="C153" s="57">
        <v>0.1186</v>
      </c>
      <c r="D153" s="57">
        <v>6.6E-3</v>
      </c>
      <c r="E153" s="57" t="s">
        <v>280</v>
      </c>
    </row>
    <row r="154" spans="1:10" s="93" customFormat="1" ht="39.6" customHeight="1">
      <c r="B154" s="51" t="s">
        <v>88</v>
      </c>
      <c r="C154" s="94">
        <v>7325.32</v>
      </c>
      <c r="D154" s="57">
        <v>9.7000000000000003E-6</v>
      </c>
      <c r="E154" s="57" t="s">
        <v>281</v>
      </c>
    </row>
    <row r="155" spans="1:10" s="93" customFormat="1" ht="39.6" customHeight="1">
      <c r="B155" s="51" t="s">
        <v>278</v>
      </c>
      <c r="C155" s="94">
        <v>9448917.4000000004</v>
      </c>
      <c r="D155" s="57">
        <v>4.8999999999999998E-3</v>
      </c>
      <c r="E155" s="57" t="s">
        <v>282</v>
      </c>
    </row>
    <row r="156" spans="1:10" s="93" customFormat="1" ht="39.6" customHeight="1">
      <c r="B156" s="51" t="s">
        <v>279</v>
      </c>
      <c r="C156" s="94">
        <v>1670240.71</v>
      </c>
      <c r="D156" s="57">
        <v>0.441</v>
      </c>
      <c r="E156" s="57" t="s">
        <v>283</v>
      </c>
    </row>
    <row r="157" spans="1:10" s="93" customFormat="1"/>
    <row r="158" spans="1:10" s="93" customFormat="1" ht="14.4">
      <c r="A158" s="118" t="s">
        <v>284</v>
      </c>
    </row>
    <row r="160" spans="1:10" ht="14.4">
      <c r="B160" s="114" t="s">
        <v>285</v>
      </c>
      <c r="C160" s="115"/>
    </row>
    <row r="162" spans="2:3">
      <c r="B162" s="91" t="s">
        <v>286</v>
      </c>
      <c r="C162" s="91" t="s">
        <v>287</v>
      </c>
    </row>
    <row r="163" spans="2:3">
      <c r="B163" s="91" t="s">
        <v>275</v>
      </c>
      <c r="C163" s="113">
        <f>C146</f>
        <v>7325.3159127757444</v>
      </c>
    </row>
    <row r="164" spans="2:3">
      <c r="B164" s="91" t="s">
        <v>169</v>
      </c>
      <c r="C164" s="113">
        <f>D146</f>
        <v>1535.884704280164</v>
      </c>
    </row>
    <row r="165" spans="2:3">
      <c r="B165" s="91" t="s">
        <v>141</v>
      </c>
      <c r="C165" s="91">
        <f>C140</f>
        <v>70</v>
      </c>
    </row>
    <row r="166" spans="2:3">
      <c r="B166" s="91" t="s">
        <v>288</v>
      </c>
      <c r="C166" s="113">
        <f>G146</f>
        <v>4262.0904591576727</v>
      </c>
    </row>
    <row r="167" spans="2:3">
      <c r="B167" s="91" t="s">
        <v>289</v>
      </c>
      <c r="C167" s="113">
        <f>H146</f>
        <v>10388.541366393816</v>
      </c>
    </row>
    <row r="169" spans="2:3" ht="14.4">
      <c r="B169" s="111" t="s">
        <v>290</v>
      </c>
      <c r="C169" s="110">
        <f>100*C163</f>
        <v>732531.59127757442</v>
      </c>
    </row>
    <row r="171" spans="2:3">
      <c r="B171" s="117" t="s">
        <v>291</v>
      </c>
    </row>
    <row r="173" spans="2:3" ht="14.4">
      <c r="B173" s="111" t="s">
        <v>258</v>
      </c>
      <c r="C173" s="110">
        <f>100*C166</f>
        <v>426209.04591576726</v>
      </c>
    </row>
    <row r="174" spans="2:3" ht="14.4">
      <c r="B174" s="111" t="s">
        <v>259</v>
      </c>
      <c r="C174" s="110">
        <f>100*C167</f>
        <v>1038854.1366393816</v>
      </c>
    </row>
  </sheetData>
  <mergeCells count="4">
    <mergeCell ref="B160:C160"/>
    <mergeCell ref="E117:G117"/>
    <mergeCell ref="E118:G118"/>
    <mergeCell ref="B121:B12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4206D2C6-694A-401B-92FE-8DD49209D341}">
            <xm:f>NOT(ISERROR(SEARCH($C$116,C112)))</xm:f>
            <xm:f>$C$116</xm:f>
            <x14:dxf>
              <font>
                <color rgb="FF9C0006"/>
              </font>
              <fill>
                <patternFill>
                  <bgColor rgb="FFFFC7CE"/>
                </patternFill>
              </fill>
            </x14:dxf>
          </x14:cfRule>
          <x14:cfRule type="containsText" priority="3" operator="containsText" id="{1F285B10-2DB3-4251-8051-440126EC6B16}">
            <xm:f>NOT(ISERROR(SEARCH($C$112,C112)))</xm:f>
            <xm:f>$C$112</xm:f>
            <x14:dxf>
              <font>
                <color rgb="FF006100"/>
              </font>
              <fill>
                <patternFill>
                  <bgColor rgb="FFC6EFCE"/>
                </patternFill>
              </fill>
            </x14:dxf>
          </x14:cfRule>
          <xm:sqref>C112:C118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9F86-CF01-4766-A096-FCF39F5F1E76}">
  <dimension ref="A1:J161"/>
  <sheetViews>
    <sheetView topLeftCell="A150" workbookViewId="0">
      <selection activeCell="C151" sqref="C151"/>
    </sheetView>
  </sheetViews>
  <sheetFormatPr defaultRowHeight="13.2"/>
  <cols>
    <col min="1" max="1" width="17.77734375" style="116" bestFit="1" customWidth="1"/>
    <col min="2" max="2" width="31.109375" style="116" bestFit="1" customWidth="1"/>
    <col min="3" max="3" width="35.77734375" style="116" customWidth="1"/>
    <col min="4" max="4" width="27.33203125" style="116" customWidth="1"/>
    <col min="5" max="5" width="12.33203125" style="116" customWidth="1"/>
    <col min="6" max="6" width="12.33203125" style="116" bestFit="1" customWidth="1"/>
    <col min="7" max="7" width="13.44140625" style="116" bestFit="1" customWidth="1"/>
    <col min="8" max="8" width="12" style="116" bestFit="1" customWidth="1"/>
    <col min="9" max="9" width="12.6640625" style="116" bestFit="1" customWidth="1"/>
    <col min="10" max="10" width="12.44140625" style="116" bestFit="1" customWidth="1"/>
    <col min="11" max="16384" width="8.88671875" style="116"/>
  </cols>
  <sheetData>
    <row r="1" spans="1:2" ht="18.600000000000001" thickBot="1">
      <c r="A1" s="79" t="s">
        <v>240</v>
      </c>
      <c r="B1" s="79" t="s">
        <v>103</v>
      </c>
    </row>
    <row r="2" spans="1:2" ht="13.8" thickTop="1">
      <c r="A2" s="17">
        <v>11855260</v>
      </c>
      <c r="B2" s="26">
        <v>36895141</v>
      </c>
    </row>
    <row r="3" spans="1:2">
      <c r="A3" s="17">
        <v>10023835</v>
      </c>
      <c r="B3" s="26">
        <v>36323505</v>
      </c>
    </row>
    <row r="4" spans="1:2">
      <c r="A4" s="17">
        <v>15005604</v>
      </c>
      <c r="B4" s="26">
        <v>50866635</v>
      </c>
    </row>
    <row r="5" spans="1:2">
      <c r="A5" s="17">
        <v>4294936</v>
      </c>
      <c r="B5" s="26">
        <v>15132763</v>
      </c>
    </row>
    <row r="6" spans="1:2">
      <c r="A6" s="17">
        <v>11554404</v>
      </c>
      <c r="B6" s="26">
        <v>21170563</v>
      </c>
    </row>
    <row r="7" spans="1:2">
      <c r="A7" s="17">
        <v>5558095</v>
      </c>
      <c r="B7" s="26">
        <v>34302837</v>
      </c>
    </row>
    <row r="8" spans="1:2">
      <c r="A8" s="17">
        <v>15820864</v>
      </c>
      <c r="B8" s="26">
        <v>72637803</v>
      </c>
    </row>
    <row r="9" spans="1:2">
      <c r="A9" s="17">
        <v>27736056</v>
      </c>
      <c r="B9" s="26">
        <v>70165972</v>
      </c>
    </row>
    <row r="10" spans="1:2">
      <c r="A10" s="17">
        <v>8648324</v>
      </c>
      <c r="B10" s="26">
        <v>57377916</v>
      </c>
    </row>
    <row r="11" spans="1:2">
      <c r="A11" s="17">
        <v>11457353</v>
      </c>
      <c r="B11" s="26">
        <v>82599768</v>
      </c>
    </row>
    <row r="12" spans="1:2">
      <c r="A12" s="17">
        <v>10197775</v>
      </c>
      <c r="B12" s="26">
        <v>35327768</v>
      </c>
    </row>
    <row r="13" spans="1:2">
      <c r="A13" s="17">
        <v>40011365</v>
      </c>
      <c r="B13" s="26">
        <v>137355633</v>
      </c>
    </row>
    <row r="14" spans="1:2">
      <c r="A14" s="17">
        <v>14703405</v>
      </c>
      <c r="B14" s="26">
        <v>58360760</v>
      </c>
    </row>
    <row r="15" spans="1:2">
      <c r="A15" s="17">
        <v>19076261</v>
      </c>
      <c r="B15" s="26">
        <v>48548426</v>
      </c>
    </row>
    <row r="16" spans="1:2">
      <c r="A16" s="17">
        <v>20574802</v>
      </c>
      <c r="B16" s="26">
        <v>64038616</v>
      </c>
    </row>
    <row r="17" spans="1:2">
      <c r="A17" s="17">
        <v>8953734</v>
      </c>
      <c r="B17" s="26">
        <v>103365956</v>
      </c>
    </row>
    <row r="18" spans="1:2">
      <c r="A18" s="17">
        <v>20188176</v>
      </c>
      <c r="B18" s="26">
        <v>81612565</v>
      </c>
    </row>
    <row r="19" spans="1:2">
      <c r="A19" s="17">
        <v>23239907</v>
      </c>
      <c r="B19" s="26">
        <v>75030163</v>
      </c>
    </row>
    <row r="20" spans="1:2">
      <c r="A20" s="17">
        <v>24411322</v>
      </c>
      <c r="B20" s="26">
        <v>88715192</v>
      </c>
    </row>
    <row r="21" spans="1:2">
      <c r="A21" s="17">
        <v>19173094</v>
      </c>
      <c r="B21" s="26">
        <v>54098051</v>
      </c>
    </row>
    <row r="22" spans="1:2">
      <c r="A22" s="17">
        <v>10245190</v>
      </c>
      <c r="B22" s="26">
        <v>33602376</v>
      </c>
    </row>
    <row r="23" spans="1:2">
      <c r="A23" s="17">
        <v>6004219</v>
      </c>
      <c r="B23" s="26">
        <v>13090630</v>
      </c>
    </row>
    <row r="24" spans="1:2">
      <c r="A24" s="17">
        <v>14414630</v>
      </c>
      <c r="B24" s="26">
        <v>38432823</v>
      </c>
    </row>
    <row r="25" spans="1:2">
      <c r="A25" s="17">
        <v>41533432</v>
      </c>
      <c r="B25" s="26">
        <v>198000317</v>
      </c>
    </row>
    <row r="26" spans="1:2">
      <c r="A26" s="17">
        <v>68033544</v>
      </c>
      <c r="B26" s="26">
        <v>195330621</v>
      </c>
    </row>
    <row r="27" spans="1:2">
      <c r="A27" s="17">
        <v>28954945</v>
      </c>
      <c r="B27" s="26">
        <v>88513495</v>
      </c>
    </row>
    <row r="28" spans="1:2">
      <c r="A28" s="17">
        <v>5692285</v>
      </c>
      <c r="B28" s="26">
        <v>17326650</v>
      </c>
    </row>
    <row r="29" spans="1:2">
      <c r="A29" s="17">
        <v>18044396</v>
      </c>
      <c r="B29" s="26">
        <v>42285169</v>
      </c>
    </row>
    <row r="30" spans="1:2">
      <c r="A30" s="17">
        <v>12806188</v>
      </c>
      <c r="B30" s="26">
        <v>38399961</v>
      </c>
    </row>
    <row r="31" spans="1:2">
      <c r="A31" s="17">
        <v>21613176</v>
      </c>
      <c r="B31" s="26">
        <v>58645052</v>
      </c>
    </row>
    <row r="32" spans="1:2">
      <c r="A32" s="17">
        <v>7031921</v>
      </c>
      <c r="B32" s="26">
        <v>22495466</v>
      </c>
    </row>
    <row r="33" spans="1:2">
      <c r="A33" s="17">
        <v>5361050</v>
      </c>
      <c r="B33" s="26">
        <v>15962471</v>
      </c>
    </row>
    <row r="34" spans="1:2">
      <c r="A34" s="17">
        <v>22217226</v>
      </c>
      <c r="B34" s="26">
        <v>73661010</v>
      </c>
    </row>
    <row r="35" spans="1:2">
      <c r="A35" s="17">
        <v>28309599</v>
      </c>
      <c r="B35" s="26">
        <v>80197993</v>
      </c>
    </row>
    <row r="36" spans="1:2">
      <c r="A36" s="17">
        <v>14503650</v>
      </c>
      <c r="B36" s="26">
        <v>47144110</v>
      </c>
    </row>
    <row r="37" spans="1:2">
      <c r="A37" s="17">
        <v>4120497</v>
      </c>
      <c r="B37" s="26">
        <v>13395961</v>
      </c>
    </row>
    <row r="38" spans="1:2">
      <c r="A38" s="17">
        <v>23624548</v>
      </c>
      <c r="B38" s="26">
        <v>84303558</v>
      </c>
    </row>
    <row r="39" spans="1:2">
      <c r="A39" s="17">
        <v>8203822</v>
      </c>
      <c r="B39" s="26">
        <v>20264436</v>
      </c>
    </row>
    <row r="40" spans="1:2">
      <c r="A40" s="17">
        <v>12158168</v>
      </c>
      <c r="B40" s="26">
        <v>70269899</v>
      </c>
    </row>
    <row r="41" spans="1:2">
      <c r="A41" s="17">
        <v>16414767</v>
      </c>
      <c r="B41" s="26">
        <v>71726025</v>
      </c>
    </row>
    <row r="42" spans="1:2">
      <c r="A42" s="17">
        <v>40222875</v>
      </c>
      <c r="B42" s="26">
        <v>90710620</v>
      </c>
    </row>
    <row r="43" spans="1:2">
      <c r="A43" s="17">
        <v>8602333</v>
      </c>
      <c r="B43" s="26">
        <v>17807569</v>
      </c>
    </row>
    <row r="44" spans="1:2">
      <c r="A44" s="17">
        <v>10730372</v>
      </c>
      <c r="B44" s="26">
        <v>33741133</v>
      </c>
    </row>
    <row r="45" spans="1:2">
      <c r="A45" s="17">
        <v>20152598</v>
      </c>
      <c r="B45" s="26">
        <v>46982632</v>
      </c>
    </row>
    <row r="46" spans="1:2">
      <c r="A46" s="17">
        <v>13806311</v>
      </c>
      <c r="B46" s="26">
        <v>34020814</v>
      </c>
    </row>
    <row r="47" spans="1:2">
      <c r="A47" s="17">
        <v>10726406</v>
      </c>
      <c r="B47" s="26">
        <v>23086480</v>
      </c>
    </row>
    <row r="48" spans="1:2">
      <c r="A48" s="17">
        <v>10803610</v>
      </c>
      <c r="B48" s="26">
        <v>26910736</v>
      </c>
    </row>
    <row r="49" spans="1:2">
      <c r="A49" s="17">
        <v>13411093</v>
      </c>
      <c r="B49" s="26">
        <v>40435190</v>
      </c>
    </row>
    <row r="50" spans="1:2">
      <c r="A50" s="17">
        <v>12051277</v>
      </c>
      <c r="B50" s="26">
        <v>34742066</v>
      </c>
    </row>
    <row r="51" spans="1:2">
      <c r="A51" s="17">
        <v>47042215</v>
      </c>
      <c r="B51" s="26">
        <v>148213377</v>
      </c>
    </row>
    <row r="52" spans="1:2">
      <c r="A52" s="17">
        <v>8432465</v>
      </c>
      <c r="B52" s="26">
        <v>28142535</v>
      </c>
    </row>
    <row r="53" spans="1:2">
      <c r="A53" s="17">
        <v>19656429</v>
      </c>
      <c r="B53" s="26">
        <v>59843754</v>
      </c>
    </row>
    <row r="54" spans="1:2">
      <c r="A54" s="17">
        <v>10005895</v>
      </c>
      <c r="B54" s="26">
        <v>22545080</v>
      </c>
    </row>
    <row r="55" spans="1:2">
      <c r="A55" s="17">
        <v>39172785</v>
      </c>
      <c r="B55" s="26">
        <v>118703275</v>
      </c>
    </row>
    <row r="56" spans="1:2">
      <c r="A56" s="17">
        <v>8852458</v>
      </c>
      <c r="B56" s="26">
        <v>23380495</v>
      </c>
    </row>
    <row r="57" spans="1:2">
      <c r="A57" s="17">
        <v>26887467</v>
      </c>
      <c r="B57" s="26">
        <v>132384315</v>
      </c>
    </row>
    <row r="58" spans="1:2">
      <c r="A58" s="17">
        <v>27537244</v>
      </c>
      <c r="B58" s="26">
        <v>124740460</v>
      </c>
    </row>
    <row r="59" spans="1:2">
      <c r="A59" s="17">
        <v>20825300</v>
      </c>
      <c r="B59" s="26">
        <v>39143839</v>
      </c>
    </row>
    <row r="60" spans="1:2">
      <c r="A60" s="17">
        <v>12778913</v>
      </c>
      <c r="B60" s="26">
        <v>63224849</v>
      </c>
    </row>
    <row r="61" spans="1:2">
      <c r="A61" s="17">
        <v>13616196</v>
      </c>
      <c r="B61" s="26">
        <v>52330111</v>
      </c>
    </row>
    <row r="62" spans="1:2">
      <c r="A62" s="17">
        <v>7849304</v>
      </c>
      <c r="B62" s="26">
        <v>37629831</v>
      </c>
    </row>
    <row r="63" spans="1:2">
      <c r="A63" s="17">
        <v>16026496</v>
      </c>
      <c r="B63" s="26">
        <v>54607383</v>
      </c>
    </row>
    <row r="64" spans="1:2">
      <c r="A64" s="17">
        <v>20220412</v>
      </c>
      <c r="B64" s="26">
        <v>82226474</v>
      </c>
    </row>
    <row r="65" spans="1:2">
      <c r="A65" s="17">
        <v>14801808</v>
      </c>
      <c r="B65" s="26">
        <v>53089891</v>
      </c>
    </row>
    <row r="66" spans="1:2">
      <c r="A66" s="17">
        <v>26541709</v>
      </c>
      <c r="B66" s="26">
        <v>163566459</v>
      </c>
    </row>
    <row r="67" spans="1:2">
      <c r="A67" s="17">
        <v>14367854</v>
      </c>
      <c r="B67" s="26">
        <v>36280697</v>
      </c>
    </row>
    <row r="68" spans="1:2">
      <c r="A68" s="17">
        <v>16310058</v>
      </c>
      <c r="B68" s="26">
        <v>61123569</v>
      </c>
    </row>
    <row r="69" spans="1:2">
      <c r="A69" s="17">
        <v>9610204</v>
      </c>
      <c r="B69" s="26">
        <v>23649127</v>
      </c>
    </row>
    <row r="70" spans="1:2">
      <c r="A70" s="17">
        <v>9684809</v>
      </c>
      <c r="B70" s="26">
        <v>37384046</v>
      </c>
    </row>
    <row r="71" spans="1:2">
      <c r="A71" s="17">
        <v>9064880</v>
      </c>
      <c r="B71" s="26">
        <v>18535812</v>
      </c>
    </row>
    <row r="72" spans="1:2">
      <c r="A72" s="17">
        <v>5815474</v>
      </c>
      <c r="B72" s="26">
        <v>16655224</v>
      </c>
    </row>
    <row r="73" spans="1:2">
      <c r="A73" s="17">
        <v>26857181</v>
      </c>
      <c r="B73" s="26">
        <v>62318875</v>
      </c>
    </row>
    <row r="74" spans="1:2">
      <c r="A74" s="17">
        <v>25642340</v>
      </c>
      <c r="B74" s="26">
        <v>70511035</v>
      </c>
    </row>
    <row r="75" spans="1:2">
      <c r="A75" s="17">
        <v>18730762</v>
      </c>
      <c r="B75" s="26">
        <v>70278893</v>
      </c>
    </row>
    <row r="76" spans="1:2">
      <c r="A76" s="17">
        <v>21525560</v>
      </c>
      <c r="B76" s="26">
        <v>75628110</v>
      </c>
    </row>
    <row r="80" spans="1:2">
      <c r="A80" s="116" t="s">
        <v>198</v>
      </c>
      <c r="B80" s="116" t="s">
        <v>164</v>
      </c>
    </row>
    <row r="81" spans="2:10" ht="13.8" thickBot="1"/>
    <row r="82" spans="2:10">
      <c r="B82" s="120" t="s">
        <v>165</v>
      </c>
      <c r="C82" s="120"/>
    </row>
    <row r="83" spans="2:10">
      <c r="B83" s="18" t="s">
        <v>166</v>
      </c>
      <c r="C83" s="18">
        <v>0.85860152309013615</v>
      </c>
    </row>
    <row r="84" spans="2:10">
      <c r="B84" s="18" t="s">
        <v>167</v>
      </c>
      <c r="C84" s="18">
        <v>0.73719657545270167</v>
      </c>
    </row>
    <row r="85" spans="2:10">
      <c r="B85" s="18" t="s">
        <v>168</v>
      </c>
      <c r="C85" s="18">
        <v>0.73359652854109492</v>
      </c>
    </row>
    <row r="86" spans="2:10">
      <c r="B86" s="18" t="s">
        <v>169</v>
      </c>
      <c r="C86" s="18">
        <v>20788799.76516746</v>
      </c>
    </row>
    <row r="87" spans="2:10" ht="13.8" thickBot="1">
      <c r="B87" s="121" t="s">
        <v>140</v>
      </c>
      <c r="C87" s="121">
        <v>75</v>
      </c>
    </row>
    <row r="89" spans="2:10" ht="13.8" thickBot="1">
      <c r="B89" s="116" t="s">
        <v>170</v>
      </c>
    </row>
    <row r="90" spans="2:10">
      <c r="B90" s="122"/>
      <c r="C90" s="122" t="s">
        <v>141</v>
      </c>
      <c r="D90" s="122" t="s">
        <v>175</v>
      </c>
      <c r="E90" s="122" t="s">
        <v>176</v>
      </c>
      <c r="F90" s="122" t="s">
        <v>177</v>
      </c>
      <c r="G90" s="122" t="s">
        <v>178</v>
      </c>
    </row>
    <row r="91" spans="2:10">
      <c r="B91" s="18" t="s">
        <v>171</v>
      </c>
      <c r="C91" s="18">
        <v>1</v>
      </c>
      <c r="D91" s="18">
        <v>8.8498107073093392E+16</v>
      </c>
      <c r="E91" s="18">
        <v>8.8498107073093392E+16</v>
      </c>
      <c r="F91" s="18">
        <v>204.77415810219682</v>
      </c>
      <c r="G91" s="18">
        <v>7.0711640611382108E-23</v>
      </c>
    </row>
    <row r="92" spans="2:10">
      <c r="B92" s="18" t="s">
        <v>172</v>
      </c>
      <c r="C92" s="18">
        <v>73</v>
      </c>
      <c r="D92" s="18">
        <v>3.1548716284364548E+16</v>
      </c>
      <c r="E92" s="18">
        <v>432174195676226.69</v>
      </c>
      <c r="F92" s="18"/>
      <c r="G92" s="18"/>
    </row>
    <row r="93" spans="2:10" ht="13.8" thickBot="1">
      <c r="B93" s="121" t="s">
        <v>173</v>
      </c>
      <c r="C93" s="121">
        <v>74</v>
      </c>
      <c r="D93" s="121">
        <v>1.2004682335745794E+17</v>
      </c>
      <c r="E93" s="121"/>
      <c r="F93" s="121"/>
      <c r="G93" s="121"/>
    </row>
    <row r="94" spans="2:10" ht="13.8" thickBot="1"/>
    <row r="95" spans="2:10">
      <c r="B95" s="122"/>
      <c r="C95" s="122" t="s">
        <v>179</v>
      </c>
      <c r="D95" s="122" t="s">
        <v>169</v>
      </c>
      <c r="E95" s="122" t="s">
        <v>142</v>
      </c>
      <c r="F95" s="122" t="s">
        <v>180</v>
      </c>
      <c r="G95" s="122" t="s">
        <v>181</v>
      </c>
      <c r="H95" s="122" t="s">
        <v>182</v>
      </c>
      <c r="I95" s="122" t="s">
        <v>199</v>
      </c>
      <c r="J95" s="122" t="s">
        <v>200</v>
      </c>
    </row>
    <row r="96" spans="2:10">
      <c r="B96" s="18" t="s">
        <v>174</v>
      </c>
      <c r="C96" s="18">
        <v>5108220.4204239249</v>
      </c>
      <c r="D96" s="18">
        <v>4502659.6670143427</v>
      </c>
      <c r="E96" s="18">
        <v>1.1344895679870741</v>
      </c>
      <c r="F96" s="18">
        <v>0.26030085708782158</v>
      </c>
      <c r="G96" s="18">
        <v>-3865567.3547958396</v>
      </c>
      <c r="H96" s="18">
        <v>14082008.195643689</v>
      </c>
      <c r="I96" s="18">
        <v>-3865567.3547958396</v>
      </c>
      <c r="J96" s="18">
        <v>14082008.195643689</v>
      </c>
    </row>
    <row r="97" spans="1:10" ht="13.8" thickBot="1">
      <c r="B97" s="123" t="s">
        <v>225</v>
      </c>
      <c r="C97" s="121">
        <v>3.1206192769134375</v>
      </c>
      <c r="D97" s="121">
        <v>0.21807365992180652</v>
      </c>
      <c r="E97" s="121">
        <v>14.309932148762858</v>
      </c>
      <c r="F97" s="121">
        <v>7.0711640611382614E-23</v>
      </c>
      <c r="G97" s="121">
        <v>2.6859990994569953</v>
      </c>
      <c r="H97" s="121">
        <v>3.5552394543698798</v>
      </c>
      <c r="I97" s="121">
        <v>2.6859990994569953</v>
      </c>
      <c r="J97" s="121">
        <v>3.5552394543698798</v>
      </c>
    </row>
    <row r="103" spans="1:10">
      <c r="A103" s="74" t="s">
        <v>201</v>
      </c>
      <c r="B103" s="74" t="s">
        <v>202</v>
      </c>
      <c r="C103" s="31">
        <f>1/0.25</f>
        <v>4</v>
      </c>
      <c r="D103" s="74" t="s">
        <v>203</v>
      </c>
    </row>
    <row r="104" spans="1:10">
      <c r="A104" s="74"/>
      <c r="D104" s="74"/>
    </row>
    <row r="105" spans="1:10">
      <c r="A105" s="74"/>
      <c r="B105" s="84" t="s">
        <v>208</v>
      </c>
      <c r="C105" s="84" t="s">
        <v>209</v>
      </c>
      <c r="D105" s="84"/>
      <c r="E105" s="84"/>
      <c r="F105" s="74"/>
    </row>
    <row r="106" spans="1:10">
      <c r="A106" s="74"/>
      <c r="B106" s="84"/>
      <c r="C106" s="84" t="s">
        <v>210</v>
      </c>
      <c r="D106" s="84"/>
      <c r="E106" s="84"/>
    </row>
    <row r="107" spans="1:10">
      <c r="B107" s="84"/>
      <c r="C107" s="84" t="s">
        <v>211</v>
      </c>
      <c r="D107" s="84"/>
      <c r="E107" s="84"/>
    </row>
    <row r="108" spans="1:10">
      <c r="B108" s="74"/>
    </row>
    <row r="109" spans="1:10">
      <c r="B109" s="74"/>
      <c r="F109" s="74"/>
    </row>
    <row r="110" spans="1:10" ht="18" thickBot="1">
      <c r="B110" s="40" t="s">
        <v>124</v>
      </c>
      <c r="C110" s="35">
        <v>0.05</v>
      </c>
      <c r="F110" s="74"/>
    </row>
    <row r="111" spans="1:10" ht="13.8" thickTop="1">
      <c r="F111" s="74"/>
    </row>
    <row r="112" spans="1:10">
      <c r="A112" s="74" t="s">
        <v>204</v>
      </c>
      <c r="B112" s="74" t="s">
        <v>212</v>
      </c>
      <c r="C112" s="18">
        <v>4</v>
      </c>
      <c r="F112" s="74"/>
    </row>
    <row r="113" spans="1:4">
      <c r="B113" s="74" t="s">
        <v>213</v>
      </c>
      <c r="C113" s="18">
        <f>(C97-C103)/D97</f>
        <v>-4.0324939903419663</v>
      </c>
    </row>
    <row r="114" spans="1:4">
      <c r="B114" s="74" t="s">
        <v>214</v>
      </c>
      <c r="C114" s="18">
        <f>_xlfn.T.DIST.2T(ABS(C103),C92)</f>
        <v>1.501915644913903E-4</v>
      </c>
    </row>
    <row r="115" spans="1:4">
      <c r="B115" s="74" t="s">
        <v>207</v>
      </c>
      <c r="C115" s="18">
        <f>1/C97</f>
        <v>0.32044921576882857</v>
      </c>
      <c r="D115" s="31"/>
    </row>
    <row r="116" spans="1:4">
      <c r="B116" s="31"/>
      <c r="C116" s="31"/>
      <c r="D116" s="31"/>
    </row>
    <row r="117" spans="1:4">
      <c r="B117" s="73" t="s">
        <v>130</v>
      </c>
      <c r="C117" s="75" t="s">
        <v>215</v>
      </c>
      <c r="D117" s="31"/>
    </row>
    <row r="118" spans="1:4">
      <c r="B118" s="73" t="s">
        <v>131</v>
      </c>
      <c r="C118" s="73" t="s">
        <v>216</v>
      </c>
      <c r="D118" s="31"/>
    </row>
    <row r="119" spans="1:4">
      <c r="B119" s="31"/>
      <c r="C119" s="31"/>
      <c r="D119" s="31"/>
    </row>
    <row r="120" spans="1:4">
      <c r="B120" s="124" t="s">
        <v>136</v>
      </c>
      <c r="C120" s="39" t="b">
        <f>IF(C114&lt;C110,TRUE,FALSE)</f>
        <v>1</v>
      </c>
      <c r="D120" s="31"/>
    </row>
    <row r="121" spans="1:4">
      <c r="B121" s="124"/>
      <c r="C121" s="39"/>
      <c r="D121" s="31"/>
    </row>
    <row r="122" spans="1:4">
      <c r="B122" s="73" t="s">
        <v>208</v>
      </c>
      <c r="C122" s="73" t="s">
        <v>217</v>
      </c>
      <c r="D122" s="31"/>
    </row>
    <row r="125" spans="1:4">
      <c r="A125" s="74" t="s">
        <v>205</v>
      </c>
      <c r="B125" s="74" t="s">
        <v>218</v>
      </c>
      <c r="C125" s="116">
        <f>C96</f>
        <v>5108220.4204239249</v>
      </c>
    </row>
    <row r="126" spans="1:4">
      <c r="B126" s="74" t="s">
        <v>219</v>
      </c>
      <c r="C126" s="116">
        <f>F96</f>
        <v>0.26030085708782158</v>
      </c>
    </row>
    <row r="127" spans="1:4">
      <c r="B127" s="74"/>
      <c r="C127" s="74"/>
      <c r="D127" s="74"/>
    </row>
    <row r="128" spans="1:4">
      <c r="B128" s="124" t="s">
        <v>136</v>
      </c>
      <c r="C128" s="39" t="b">
        <f>IF(C126&lt;C110,TRUE,FALSE)</f>
        <v>0</v>
      </c>
      <c r="D128" s="74"/>
    </row>
    <row r="129" spans="1:5">
      <c r="B129" s="74"/>
      <c r="C129" s="74"/>
      <c r="D129" s="74"/>
    </row>
    <row r="130" spans="1:5">
      <c r="B130" s="130" t="s">
        <v>208</v>
      </c>
      <c r="C130" s="127" t="s">
        <v>220</v>
      </c>
      <c r="D130" s="128"/>
      <c r="E130" s="129"/>
    </row>
    <row r="131" spans="1:5">
      <c r="B131" s="131"/>
      <c r="C131" s="127" t="s">
        <v>221</v>
      </c>
      <c r="D131" s="128"/>
      <c r="E131" s="129"/>
    </row>
    <row r="132" spans="1:5">
      <c r="B132" s="132"/>
      <c r="C132" s="127" t="s">
        <v>222</v>
      </c>
      <c r="D132" s="128"/>
      <c r="E132" s="129"/>
    </row>
    <row r="135" spans="1:5">
      <c r="A135" s="74" t="s">
        <v>206</v>
      </c>
      <c r="B135" s="74" t="s">
        <v>219</v>
      </c>
      <c r="C135" s="116">
        <f>F96</f>
        <v>0.26030085708782158</v>
      </c>
    </row>
    <row r="136" spans="1:5">
      <c r="B136" s="74" t="s">
        <v>223</v>
      </c>
      <c r="C136" s="116">
        <f>F97</f>
        <v>7.0711640611382614E-23</v>
      </c>
    </row>
    <row r="138" spans="1:5" ht="14.4">
      <c r="B138" s="125" t="s">
        <v>186</v>
      </c>
      <c r="C138" s="125"/>
    </row>
    <row r="139" spans="1:5" ht="13.8" thickBot="1"/>
    <row r="140" spans="1:5" ht="15.6" thickTop="1" thickBot="1">
      <c r="B140" s="126" t="s">
        <v>174</v>
      </c>
      <c r="C140" s="116" t="b">
        <f>IF(C135&lt;C110,TRUE,FALSE)</f>
        <v>0</v>
      </c>
    </row>
    <row r="141" spans="1:5" ht="15.6" thickTop="1" thickBot="1">
      <c r="B141" s="126" t="s">
        <v>225</v>
      </c>
      <c r="C141" s="116" t="b">
        <f>IF(C136&lt;C110,TRUE,FALSE)</f>
        <v>1</v>
      </c>
    </row>
    <row r="142" spans="1:5" ht="13.8" thickTop="1"/>
    <row r="143" spans="1:5">
      <c r="B143" s="73" t="s">
        <v>224</v>
      </c>
      <c r="C143" s="84" t="str">
        <f>"Total Gross = " &amp; TEXT(C96, "$0,0") &amp; " + " &amp; ROUND(C97, 2) &amp; "(Opening)"</f>
        <v>Total Gross = $5,108,220 + 3.12(Opening)</v>
      </c>
      <c r="D143" s="84"/>
    </row>
    <row r="146" spans="1:5">
      <c r="A146" s="74" t="s">
        <v>226</v>
      </c>
      <c r="B146" s="74" t="s">
        <v>227</v>
      </c>
      <c r="C146" s="18">
        <f>C97</f>
        <v>3.1206192769134375</v>
      </c>
    </row>
    <row r="147" spans="1:5">
      <c r="B147" s="74" t="s">
        <v>228</v>
      </c>
      <c r="C147" s="18">
        <f>C103</f>
        <v>4</v>
      </c>
    </row>
    <row r="148" spans="1:5">
      <c r="B148" s="74" t="s">
        <v>231</v>
      </c>
      <c r="C148" s="18">
        <f>1/C146*100</f>
        <v>32.044921576882857</v>
      </c>
    </row>
    <row r="149" spans="1:5">
      <c r="B149" s="74" t="s">
        <v>232</v>
      </c>
      <c r="C149" s="31">
        <f>1/C147*100</f>
        <v>25</v>
      </c>
    </row>
    <row r="150" spans="1:5">
      <c r="B150" s="74" t="s">
        <v>229</v>
      </c>
      <c r="C150" s="18">
        <f>C148-C149</f>
        <v>7.0449215768828566</v>
      </c>
    </row>
    <row r="151" spans="1:5">
      <c r="B151" s="74" t="s">
        <v>230</v>
      </c>
      <c r="C151" s="18" t="str">
        <f>IF(C150=0,"VALID","INVALID")</f>
        <v>INVALID</v>
      </c>
    </row>
    <row r="153" spans="1:5">
      <c r="B153" s="84" t="s">
        <v>208</v>
      </c>
      <c r="C153" s="84" t="s">
        <v>233</v>
      </c>
      <c r="D153" s="84"/>
      <c r="E153" s="84"/>
    </row>
    <row r="154" spans="1:5">
      <c r="B154" s="84"/>
      <c r="C154" s="84" t="s">
        <v>234</v>
      </c>
      <c r="D154" s="84"/>
      <c r="E154" s="84"/>
    </row>
    <row r="157" spans="1:5">
      <c r="A157" s="74" t="s">
        <v>235</v>
      </c>
      <c r="B157" s="74" t="s">
        <v>236</v>
      </c>
      <c r="C157" s="116">
        <f>C84</f>
        <v>0.73719657545270167</v>
      </c>
    </row>
    <row r="158" spans="1:5">
      <c r="B158" s="74" t="s">
        <v>237</v>
      </c>
      <c r="C158" s="116">
        <f>C157*100</f>
        <v>73.719657545270167</v>
      </c>
    </row>
    <row r="160" spans="1:5">
      <c r="B160" s="84" t="s">
        <v>208</v>
      </c>
      <c r="C160" s="84" t="s">
        <v>238</v>
      </c>
      <c r="D160" s="84"/>
      <c r="E160" s="84"/>
    </row>
    <row r="161" spans="2:5">
      <c r="B161" s="84"/>
      <c r="C161" s="84" t="s">
        <v>239</v>
      </c>
      <c r="D161" s="84"/>
      <c r="E161" s="84"/>
    </row>
  </sheetData>
  <mergeCells count="16">
    <mergeCell ref="B160:B161"/>
    <mergeCell ref="C160:E160"/>
    <mergeCell ref="C161:E161"/>
    <mergeCell ref="B138:C138"/>
    <mergeCell ref="C143:D143"/>
    <mergeCell ref="B153:B154"/>
    <mergeCell ref="C153:E153"/>
    <mergeCell ref="C154:E154"/>
    <mergeCell ref="C131:E131"/>
    <mergeCell ref="C132:E132"/>
    <mergeCell ref="B130:B132"/>
    <mergeCell ref="C105:E105"/>
    <mergeCell ref="C106:E106"/>
    <mergeCell ref="C107:E107"/>
    <mergeCell ref="B105:B107"/>
    <mergeCell ref="C130:E130"/>
  </mergeCells>
  <conditionalFormatting sqref="C120">
    <cfRule type="cellIs" dxfId="10" priority="8" operator="equal">
      <formula>TRUE</formula>
    </cfRule>
    <cfRule type="cellIs" dxfId="9" priority="9" operator="equal">
      <formula>FALSE</formula>
    </cfRule>
  </conditionalFormatting>
  <conditionalFormatting sqref="C128">
    <cfRule type="cellIs" dxfId="7" priority="5" operator="equal">
      <formula>TRUE</formula>
    </cfRule>
    <cfRule type="cellIs" dxfId="6" priority="6" operator="equal">
      <formula>FALSE</formula>
    </cfRule>
  </conditionalFormatting>
  <conditionalFormatting sqref="C141">
    <cfRule type="cellIs" dxfId="4" priority="2" operator="equal">
      <formula>TRUE</formula>
    </cfRule>
  </conditionalFormatting>
  <conditionalFormatting sqref="C151">
    <cfRule type="cellIs" dxfId="3" priority="1" operator="equal">
      <formula>"INVALID"</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089CF86C-C9C9-4BEF-9F56-3AC1A6FADDD2}">
            <xm:f>NOT(ISERROR(SEARCH($D$96,C120)))</xm:f>
            <xm:f>$D$96</xm:f>
            <x14:dxf>
              <font>
                <color rgb="FF9C0006"/>
              </font>
              <fill>
                <patternFill>
                  <bgColor rgb="FFFFC7CE"/>
                </patternFill>
              </fill>
            </x14:dxf>
          </x14:cfRule>
          <xm:sqref>C120:C121</xm:sqref>
        </x14:conditionalFormatting>
        <x14:conditionalFormatting xmlns:xm="http://schemas.microsoft.com/office/excel/2006/main">
          <x14:cfRule type="containsText" priority="7" operator="containsText" id="{618F525C-1063-4E83-9438-30E269C9F963}">
            <xm:f>NOT(ISERROR(SEARCH($D$96,C128)))</xm:f>
            <xm:f>$D$96</xm:f>
            <x14:dxf>
              <font>
                <color rgb="FF9C0006"/>
              </font>
              <fill>
                <patternFill>
                  <bgColor rgb="FFFFC7CE"/>
                </patternFill>
              </fill>
            </x14:dxf>
          </x14:cfRule>
          <xm:sqref>C128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7FF1-7C5C-40B4-809A-8E690C4656B8}">
  <dimension ref="A1:J194"/>
  <sheetViews>
    <sheetView topLeftCell="A98" zoomScaleNormal="100" workbookViewId="0">
      <selection activeCell="D112" sqref="D112"/>
    </sheetView>
  </sheetViews>
  <sheetFormatPr defaultRowHeight="13.2"/>
  <cols>
    <col min="1" max="1" width="17.6640625" style="26" customWidth="1"/>
    <col min="2" max="2" width="32.33203125" style="31" customWidth="1"/>
    <col min="3" max="3" width="84.5546875" style="17" bestFit="1" customWidth="1"/>
    <col min="4" max="4" width="21.21875" style="34" customWidth="1"/>
    <col min="5" max="5" width="23.21875" style="31" customWidth="1"/>
    <col min="6" max="6" width="32.44140625" style="31" customWidth="1"/>
    <col min="7" max="7" width="17.109375" style="31" customWidth="1"/>
    <col min="8" max="8" width="20.33203125" style="31" customWidth="1"/>
    <col min="9" max="9" width="15.21875" style="18" customWidth="1"/>
    <col min="10" max="10" width="16.6640625" style="18" customWidth="1"/>
    <col min="11" max="16384" width="8.88671875" style="18"/>
  </cols>
  <sheetData>
    <row r="1" spans="1:8" s="18" customFormat="1" ht="19.95" customHeight="1">
      <c r="A1" s="52" t="s">
        <v>103</v>
      </c>
      <c r="B1" s="51" t="s">
        <v>94</v>
      </c>
      <c r="C1" s="53" t="s">
        <v>93</v>
      </c>
      <c r="D1" s="51" t="s">
        <v>89</v>
      </c>
      <c r="E1" s="51" t="s">
        <v>159</v>
      </c>
      <c r="F1" s="51" t="s">
        <v>88</v>
      </c>
      <c r="G1" s="51" t="s">
        <v>79</v>
      </c>
      <c r="H1" s="51" t="s">
        <v>96</v>
      </c>
    </row>
    <row r="2" spans="1:8" s="18" customFormat="1">
      <c r="A2" s="16">
        <v>36895141</v>
      </c>
      <c r="B2" s="55">
        <v>11855260</v>
      </c>
      <c r="C2" s="17">
        <v>45000000</v>
      </c>
      <c r="D2" s="31">
        <v>63</v>
      </c>
      <c r="E2" s="31">
        <v>0</v>
      </c>
      <c r="F2" s="55">
        <v>2706</v>
      </c>
      <c r="G2" s="56">
        <v>0</v>
      </c>
      <c r="H2" s="31">
        <v>0</v>
      </c>
    </row>
    <row r="3" spans="1:8" s="18" customFormat="1">
      <c r="A3" s="16">
        <v>36323505</v>
      </c>
      <c r="B3" s="55">
        <v>10023835</v>
      </c>
      <c r="C3" s="17">
        <v>23000000</v>
      </c>
      <c r="D3" s="31">
        <v>47</v>
      </c>
      <c r="E3" s="31">
        <v>1</v>
      </c>
      <c r="F3" s="55">
        <v>2914</v>
      </c>
      <c r="G3" s="56">
        <v>0</v>
      </c>
      <c r="H3" s="31">
        <v>0</v>
      </c>
    </row>
    <row r="4" spans="1:8" s="18" customFormat="1">
      <c r="A4" s="16">
        <v>50866635</v>
      </c>
      <c r="B4" s="55">
        <v>15005604</v>
      </c>
      <c r="C4" s="17">
        <v>40000000</v>
      </c>
      <c r="D4" s="31">
        <v>68</v>
      </c>
      <c r="E4" s="31">
        <v>0</v>
      </c>
      <c r="F4" s="55">
        <v>2465</v>
      </c>
      <c r="G4" s="56">
        <v>0</v>
      </c>
      <c r="H4" s="31">
        <v>1</v>
      </c>
    </row>
    <row r="5" spans="1:8" s="18" customFormat="1">
      <c r="A5" s="16">
        <v>15132763</v>
      </c>
      <c r="B5" s="17">
        <v>4294936</v>
      </c>
      <c r="C5" s="17">
        <v>86000000</v>
      </c>
      <c r="D5" s="31">
        <v>39</v>
      </c>
      <c r="E5" s="31">
        <v>0</v>
      </c>
      <c r="F5" s="55">
        <v>2247</v>
      </c>
      <c r="G5" s="56">
        <v>0</v>
      </c>
      <c r="H5" s="31">
        <v>0</v>
      </c>
    </row>
    <row r="6" spans="1:8" s="18" customFormat="1">
      <c r="A6" s="16">
        <v>21170563</v>
      </c>
      <c r="B6" s="55">
        <v>11554404</v>
      </c>
      <c r="C6" s="17">
        <v>20000000</v>
      </c>
      <c r="D6" s="31">
        <v>63</v>
      </c>
      <c r="E6" s="31">
        <v>0</v>
      </c>
      <c r="F6" s="55">
        <v>1602</v>
      </c>
      <c r="G6" s="56">
        <v>0</v>
      </c>
      <c r="H6" s="31">
        <v>0</v>
      </c>
    </row>
    <row r="7" spans="1:8" s="18" customFormat="1">
      <c r="A7" s="16">
        <v>34302837</v>
      </c>
      <c r="B7" s="17">
        <v>5558095</v>
      </c>
      <c r="C7" s="17">
        <v>20000000</v>
      </c>
      <c r="D7" s="31">
        <v>69</v>
      </c>
      <c r="E7" s="31">
        <v>0</v>
      </c>
      <c r="F7" s="55">
        <v>1251</v>
      </c>
      <c r="G7" s="56">
        <v>0</v>
      </c>
      <c r="H7" s="31">
        <v>1</v>
      </c>
    </row>
    <row r="8" spans="1:8" s="18" customFormat="1">
      <c r="A8" s="16">
        <v>72637803</v>
      </c>
      <c r="B8" s="55">
        <v>15820864</v>
      </c>
      <c r="C8" s="17">
        <v>51000000</v>
      </c>
      <c r="D8" s="31">
        <v>42</v>
      </c>
      <c r="E8" s="31">
        <v>0</v>
      </c>
      <c r="F8" s="55">
        <v>3311</v>
      </c>
      <c r="G8" s="56">
        <v>0</v>
      </c>
      <c r="H8" s="31">
        <v>0</v>
      </c>
    </row>
    <row r="9" spans="1:8" s="18" customFormat="1">
      <c r="A9" s="16">
        <v>70165972</v>
      </c>
      <c r="B9" s="55">
        <v>27736056</v>
      </c>
      <c r="C9" s="17">
        <v>40000000</v>
      </c>
      <c r="D9" s="31">
        <v>34</v>
      </c>
      <c r="E9" s="31">
        <v>1</v>
      </c>
      <c r="F9" s="55">
        <v>3261</v>
      </c>
      <c r="G9" s="56">
        <v>1</v>
      </c>
      <c r="H9" s="31">
        <v>0</v>
      </c>
    </row>
    <row r="10" spans="1:8" s="18" customFormat="1">
      <c r="A10" s="16">
        <v>57377916</v>
      </c>
      <c r="B10" s="55">
        <v>8648324</v>
      </c>
      <c r="C10" s="17">
        <v>100000000</v>
      </c>
      <c r="D10" s="31">
        <v>63</v>
      </c>
      <c r="E10" s="31">
        <v>0</v>
      </c>
      <c r="F10" s="55">
        <v>1910</v>
      </c>
      <c r="G10" s="56">
        <v>0</v>
      </c>
      <c r="H10" s="31">
        <v>1</v>
      </c>
    </row>
    <row r="11" spans="1:8" s="18" customFormat="1">
      <c r="A11" s="16">
        <v>82599768</v>
      </c>
      <c r="B11" s="55">
        <v>11457353</v>
      </c>
      <c r="C11" s="17">
        <v>85000000</v>
      </c>
      <c r="D11" s="31">
        <v>68</v>
      </c>
      <c r="E11" s="31">
        <v>1</v>
      </c>
      <c r="F11" s="55">
        <v>3566</v>
      </c>
      <c r="G11" s="56">
        <v>0</v>
      </c>
      <c r="H11" s="31">
        <v>0</v>
      </c>
    </row>
    <row r="12" spans="1:8" s="18" customFormat="1">
      <c r="A12" s="16">
        <v>35327768</v>
      </c>
      <c r="B12" s="17">
        <v>10197775</v>
      </c>
      <c r="C12" s="17">
        <v>76000000</v>
      </c>
      <c r="D12" s="31">
        <v>84</v>
      </c>
      <c r="E12" s="31">
        <v>0</v>
      </c>
      <c r="F12" s="55">
        <v>1209</v>
      </c>
      <c r="G12" s="56">
        <v>0</v>
      </c>
      <c r="H12" s="31">
        <v>1</v>
      </c>
    </row>
    <row r="13" spans="1:8" s="18" customFormat="1">
      <c r="A13" s="16">
        <v>137355633</v>
      </c>
      <c r="B13" s="55">
        <v>40011365</v>
      </c>
      <c r="C13" s="17">
        <v>82500000</v>
      </c>
      <c r="D13" s="31">
        <v>45</v>
      </c>
      <c r="E13" s="31">
        <v>1</v>
      </c>
      <c r="F13" s="55">
        <v>3749</v>
      </c>
      <c r="G13" s="56">
        <v>0</v>
      </c>
      <c r="H13" s="31">
        <v>0</v>
      </c>
    </row>
    <row r="14" spans="1:8" s="18" customFormat="1">
      <c r="A14" s="16">
        <v>58360760</v>
      </c>
      <c r="B14" s="55">
        <v>14703405</v>
      </c>
      <c r="C14" s="17">
        <v>50000000</v>
      </c>
      <c r="D14" s="31">
        <v>62</v>
      </c>
      <c r="E14" s="31">
        <v>0</v>
      </c>
      <c r="F14" s="55">
        <v>2566</v>
      </c>
      <c r="G14" s="56">
        <v>0</v>
      </c>
      <c r="H14" s="31">
        <v>0</v>
      </c>
    </row>
    <row r="15" spans="1:8" s="18" customFormat="1">
      <c r="A15" s="16">
        <v>48548426</v>
      </c>
      <c r="B15" s="55">
        <v>19076261</v>
      </c>
      <c r="C15" s="17">
        <v>20000000</v>
      </c>
      <c r="D15" s="31">
        <v>11</v>
      </c>
      <c r="E15" s="31">
        <v>1</v>
      </c>
      <c r="F15" s="55">
        <v>2896</v>
      </c>
      <c r="G15" s="56">
        <v>0</v>
      </c>
      <c r="H15" s="31">
        <v>0</v>
      </c>
    </row>
    <row r="16" spans="1:8" s="18" customFormat="1">
      <c r="A16" s="16">
        <v>64038616</v>
      </c>
      <c r="B16" s="55">
        <v>20574802</v>
      </c>
      <c r="C16" s="17">
        <v>75000000</v>
      </c>
      <c r="D16" s="31">
        <v>59</v>
      </c>
      <c r="E16" s="31">
        <v>0</v>
      </c>
      <c r="F16" s="55">
        <v>3108</v>
      </c>
      <c r="G16" s="56">
        <v>0</v>
      </c>
      <c r="H16" s="31">
        <v>0</v>
      </c>
    </row>
    <row r="17" spans="1:8" s="18" customFormat="1">
      <c r="A17" s="16">
        <v>103365956</v>
      </c>
      <c r="B17" s="17">
        <v>8953734</v>
      </c>
      <c r="C17" s="17">
        <v>75000000</v>
      </c>
      <c r="D17" s="31">
        <v>76</v>
      </c>
      <c r="E17" s="31">
        <v>0</v>
      </c>
      <c r="F17" s="57">
        <v>852</v>
      </c>
      <c r="G17" s="56">
        <v>0</v>
      </c>
      <c r="H17" s="31">
        <v>0</v>
      </c>
    </row>
    <row r="18" spans="1:8" s="18" customFormat="1">
      <c r="A18" s="16">
        <v>81612565</v>
      </c>
      <c r="B18" s="55">
        <v>20188176</v>
      </c>
      <c r="C18" s="17">
        <v>40000000</v>
      </c>
      <c r="D18" s="31">
        <v>64</v>
      </c>
      <c r="E18" s="31">
        <v>0</v>
      </c>
      <c r="F18" s="55">
        <v>3066</v>
      </c>
      <c r="G18" s="56">
        <v>0</v>
      </c>
      <c r="H18" s="31">
        <v>0</v>
      </c>
    </row>
    <row r="19" spans="1:8" s="18" customFormat="1">
      <c r="A19" s="16">
        <v>75030163</v>
      </c>
      <c r="B19" s="55">
        <v>23239907</v>
      </c>
      <c r="C19" s="17">
        <v>100000000</v>
      </c>
      <c r="D19" s="31">
        <v>38</v>
      </c>
      <c r="E19" s="31">
        <v>0</v>
      </c>
      <c r="F19" s="55">
        <v>3020</v>
      </c>
      <c r="G19" s="56">
        <v>0</v>
      </c>
      <c r="H19" s="31">
        <v>0</v>
      </c>
    </row>
    <row r="20" spans="1:8" s="18" customFormat="1">
      <c r="A20" s="16">
        <v>88715192</v>
      </c>
      <c r="B20" s="55">
        <v>24411322</v>
      </c>
      <c r="C20" s="17">
        <v>50000000</v>
      </c>
      <c r="D20" s="31">
        <v>47</v>
      </c>
      <c r="E20" s="31">
        <v>1</v>
      </c>
      <c r="F20" s="55">
        <v>3057</v>
      </c>
      <c r="G20" s="56">
        <v>0</v>
      </c>
      <c r="H20" s="31">
        <v>0</v>
      </c>
    </row>
    <row r="21" spans="1:8" s="18" customFormat="1">
      <c r="A21" s="16">
        <v>54098051</v>
      </c>
      <c r="B21" s="55">
        <v>19173094</v>
      </c>
      <c r="C21" s="17">
        <v>25000000</v>
      </c>
      <c r="D21" s="31">
        <v>41</v>
      </c>
      <c r="E21" s="31">
        <v>0</v>
      </c>
      <c r="F21" s="55">
        <v>2880</v>
      </c>
      <c r="G21" s="56">
        <v>1</v>
      </c>
      <c r="H21" s="31">
        <v>1</v>
      </c>
    </row>
    <row r="22" spans="1:8" s="18" customFormat="1">
      <c r="A22" s="16">
        <v>33602376</v>
      </c>
      <c r="B22" s="55">
        <v>10245190</v>
      </c>
      <c r="C22" s="17">
        <v>90000000</v>
      </c>
      <c r="D22" s="31">
        <v>79</v>
      </c>
      <c r="E22" s="31">
        <v>0</v>
      </c>
      <c r="F22" s="55">
        <v>1876</v>
      </c>
      <c r="G22" s="56">
        <v>0</v>
      </c>
      <c r="H22" s="31">
        <v>1</v>
      </c>
    </row>
    <row r="23" spans="1:8" s="18" customFormat="1">
      <c r="A23" s="16">
        <v>13090630</v>
      </c>
      <c r="B23" s="55">
        <v>6004219</v>
      </c>
      <c r="C23" s="17">
        <v>60000000</v>
      </c>
      <c r="D23" s="31">
        <v>47</v>
      </c>
      <c r="E23" s="31">
        <v>0</v>
      </c>
      <c r="F23" s="55">
        <v>2033</v>
      </c>
      <c r="G23" s="56">
        <v>0</v>
      </c>
      <c r="H23" s="31">
        <v>0</v>
      </c>
    </row>
    <row r="24" spans="1:8" s="18" customFormat="1">
      <c r="A24" s="16">
        <v>38432823</v>
      </c>
      <c r="B24" s="55">
        <v>14414630</v>
      </c>
      <c r="C24" s="17">
        <v>30000000</v>
      </c>
      <c r="D24" s="31">
        <v>52</v>
      </c>
      <c r="E24" s="31">
        <v>0</v>
      </c>
      <c r="F24" s="55">
        <v>3504</v>
      </c>
      <c r="G24" s="56">
        <v>0</v>
      </c>
      <c r="H24" s="31">
        <v>0</v>
      </c>
    </row>
    <row r="25" spans="1:8" s="18" customFormat="1">
      <c r="A25" s="16">
        <v>198000317</v>
      </c>
      <c r="B25" s="55">
        <v>41533432</v>
      </c>
      <c r="C25" s="17">
        <v>100000000</v>
      </c>
      <c r="D25" s="31">
        <v>77</v>
      </c>
      <c r="E25" s="31">
        <v>0</v>
      </c>
      <c r="F25" s="55">
        <v>3804</v>
      </c>
      <c r="G25" s="56">
        <v>0</v>
      </c>
      <c r="H25" s="31">
        <v>0</v>
      </c>
    </row>
    <row r="26" spans="1:8" s="18" customFormat="1">
      <c r="A26" s="16">
        <v>195330621</v>
      </c>
      <c r="B26" s="55">
        <v>68033544</v>
      </c>
      <c r="C26" s="17">
        <v>80000000</v>
      </c>
      <c r="D26" s="31">
        <v>58</v>
      </c>
      <c r="E26" s="31">
        <v>0</v>
      </c>
      <c r="F26" s="55">
        <v>3964</v>
      </c>
      <c r="G26" s="56">
        <v>1</v>
      </c>
      <c r="H26" s="31">
        <v>0</v>
      </c>
    </row>
    <row r="27" spans="1:8" s="18" customFormat="1">
      <c r="A27" s="16">
        <v>88513495</v>
      </c>
      <c r="B27" s="55">
        <v>28954945</v>
      </c>
      <c r="C27" s="17">
        <v>45000000</v>
      </c>
      <c r="D27" s="31">
        <v>76</v>
      </c>
      <c r="E27" s="31">
        <v>0</v>
      </c>
      <c r="F27" s="55">
        <v>2818</v>
      </c>
      <c r="G27" s="56">
        <v>0</v>
      </c>
      <c r="H27" s="31">
        <v>1</v>
      </c>
    </row>
    <row r="28" spans="1:8" s="18" customFormat="1">
      <c r="A28" s="16">
        <v>17326650</v>
      </c>
      <c r="B28" s="55">
        <v>5692285</v>
      </c>
      <c r="C28" s="17">
        <v>28000000</v>
      </c>
      <c r="D28" s="31">
        <v>29</v>
      </c>
      <c r="E28" s="31">
        <v>1</v>
      </c>
      <c r="F28" s="55">
        <v>2541</v>
      </c>
      <c r="G28" s="56">
        <v>0</v>
      </c>
      <c r="H28" s="31">
        <v>0</v>
      </c>
    </row>
    <row r="29" spans="1:8" s="18" customFormat="1">
      <c r="A29" s="16">
        <v>42285169</v>
      </c>
      <c r="B29" s="55">
        <v>18044396</v>
      </c>
      <c r="C29" s="17">
        <v>70000000</v>
      </c>
      <c r="D29" s="31">
        <v>36</v>
      </c>
      <c r="E29" s="31">
        <v>0</v>
      </c>
      <c r="F29" s="55">
        <v>3235</v>
      </c>
      <c r="G29" s="56">
        <v>0</v>
      </c>
      <c r="H29" s="31">
        <v>0</v>
      </c>
    </row>
    <row r="30" spans="1:8" s="18" customFormat="1">
      <c r="A30" s="16">
        <v>38399961</v>
      </c>
      <c r="B30" s="55">
        <v>12806188</v>
      </c>
      <c r="C30" s="17">
        <v>45000000</v>
      </c>
      <c r="D30" s="31">
        <v>52</v>
      </c>
      <c r="E30" s="31">
        <v>0</v>
      </c>
      <c r="F30" s="55">
        <v>2514</v>
      </c>
      <c r="G30" s="56">
        <v>0</v>
      </c>
      <c r="H30" s="31">
        <v>0</v>
      </c>
    </row>
    <row r="31" spans="1:8" s="18" customFormat="1">
      <c r="A31" s="16">
        <v>58645052</v>
      </c>
      <c r="B31" s="55">
        <v>21613176</v>
      </c>
      <c r="C31" s="17">
        <v>64000000</v>
      </c>
      <c r="D31" s="31">
        <v>26</v>
      </c>
      <c r="E31" s="31">
        <v>1</v>
      </c>
      <c r="F31" s="55">
        <v>2533</v>
      </c>
      <c r="G31" s="56">
        <v>0</v>
      </c>
      <c r="H31" s="31">
        <v>0</v>
      </c>
    </row>
    <row r="32" spans="1:8" s="18" customFormat="1">
      <c r="A32" s="16">
        <v>22495466</v>
      </c>
      <c r="B32" s="55">
        <v>7031921</v>
      </c>
      <c r="C32" s="17">
        <v>27000000</v>
      </c>
      <c r="D32" s="31">
        <v>53</v>
      </c>
      <c r="E32" s="31">
        <v>0</v>
      </c>
      <c r="F32" s="55">
        <v>1984</v>
      </c>
      <c r="G32" s="56">
        <v>0</v>
      </c>
      <c r="H32" s="31">
        <v>1</v>
      </c>
    </row>
    <row r="33" spans="1:8" s="18" customFormat="1">
      <c r="A33" s="16">
        <v>15962471</v>
      </c>
      <c r="B33" s="55">
        <v>5361050</v>
      </c>
      <c r="C33" s="17">
        <v>40000000</v>
      </c>
      <c r="D33" s="31">
        <v>65</v>
      </c>
      <c r="E33" s="31">
        <v>0</v>
      </c>
      <c r="F33" s="57">
        <v>859</v>
      </c>
      <c r="G33" s="56">
        <v>0</v>
      </c>
      <c r="H33" s="31">
        <v>0</v>
      </c>
    </row>
    <row r="34" spans="1:8" s="18" customFormat="1">
      <c r="A34" s="16">
        <v>73661010</v>
      </c>
      <c r="B34" s="55">
        <v>22217226</v>
      </c>
      <c r="C34" s="17">
        <v>75000000</v>
      </c>
      <c r="D34" s="31">
        <v>68</v>
      </c>
      <c r="E34" s="31">
        <v>0</v>
      </c>
      <c r="F34" s="55">
        <v>3553</v>
      </c>
      <c r="G34" s="56">
        <v>0</v>
      </c>
      <c r="H34" s="31">
        <v>0</v>
      </c>
    </row>
    <row r="35" spans="1:8" s="18" customFormat="1">
      <c r="A35" s="16">
        <v>80197993</v>
      </c>
      <c r="B35" s="55">
        <v>28309599</v>
      </c>
      <c r="C35" s="17">
        <v>35000000</v>
      </c>
      <c r="D35" s="31">
        <v>52</v>
      </c>
      <c r="E35" s="31">
        <v>1</v>
      </c>
      <c r="F35" s="55">
        <v>3070</v>
      </c>
      <c r="G35" s="56">
        <v>0</v>
      </c>
      <c r="H35" s="31">
        <v>0</v>
      </c>
    </row>
    <row r="36" spans="1:8" s="18" customFormat="1">
      <c r="A36" s="16">
        <v>47144110</v>
      </c>
      <c r="B36" s="55">
        <v>14503650</v>
      </c>
      <c r="C36" s="17">
        <v>25000000</v>
      </c>
      <c r="D36" s="31">
        <v>59</v>
      </c>
      <c r="E36" s="31">
        <v>1</v>
      </c>
      <c r="F36" s="55">
        <v>1995</v>
      </c>
      <c r="G36" s="56">
        <v>0</v>
      </c>
      <c r="H36" s="31">
        <v>0</v>
      </c>
    </row>
    <row r="37" spans="1:8" s="18" customFormat="1">
      <c r="A37" s="16">
        <v>13395961</v>
      </c>
      <c r="B37" s="55">
        <v>4120497</v>
      </c>
      <c r="C37" s="17">
        <v>20000000</v>
      </c>
      <c r="D37" s="31">
        <v>38</v>
      </c>
      <c r="E37" s="31">
        <v>0</v>
      </c>
      <c r="F37" s="57">
        <v>909</v>
      </c>
      <c r="G37" s="56">
        <v>0</v>
      </c>
      <c r="H37" s="31">
        <v>0</v>
      </c>
    </row>
    <row r="38" spans="1:8" s="18" customFormat="1">
      <c r="A38" s="16">
        <v>84303558</v>
      </c>
      <c r="B38" s="55">
        <v>23624548</v>
      </c>
      <c r="C38" s="17">
        <v>85000000</v>
      </c>
      <c r="D38" s="31">
        <v>49</v>
      </c>
      <c r="E38" s="31">
        <v>0</v>
      </c>
      <c r="F38" s="55">
        <v>3833</v>
      </c>
      <c r="G38" s="56">
        <v>0</v>
      </c>
      <c r="H38" s="31">
        <v>0</v>
      </c>
    </row>
    <row r="39" spans="1:8" s="18" customFormat="1">
      <c r="A39" s="16">
        <v>20264436</v>
      </c>
      <c r="B39" s="55">
        <v>8203822</v>
      </c>
      <c r="C39" s="17">
        <v>20500000</v>
      </c>
      <c r="D39" s="31">
        <v>27</v>
      </c>
      <c r="E39" s="31">
        <v>0</v>
      </c>
      <c r="F39" s="55">
        <v>2323</v>
      </c>
      <c r="G39" s="56">
        <v>0</v>
      </c>
      <c r="H39" s="31">
        <v>0</v>
      </c>
    </row>
    <row r="40" spans="1:8" s="18" customFormat="1">
      <c r="A40" s="16">
        <v>70269899</v>
      </c>
      <c r="B40" s="55">
        <v>12158168</v>
      </c>
      <c r="C40" s="17">
        <v>24000000</v>
      </c>
      <c r="D40" s="31">
        <v>63</v>
      </c>
      <c r="E40" s="31">
        <v>0</v>
      </c>
      <c r="F40" s="55">
        <v>3017</v>
      </c>
      <c r="G40" s="56">
        <v>1</v>
      </c>
      <c r="H40" s="31">
        <v>0</v>
      </c>
    </row>
    <row r="41" spans="1:8" s="18" customFormat="1">
      <c r="A41" s="16">
        <v>71726025</v>
      </c>
      <c r="B41" s="55">
        <v>16414767</v>
      </c>
      <c r="C41" s="17">
        <v>50000000</v>
      </c>
      <c r="D41" s="31">
        <v>33</v>
      </c>
      <c r="E41" s="31">
        <v>1</v>
      </c>
      <c r="F41" s="55">
        <v>3639</v>
      </c>
      <c r="G41" s="56">
        <v>0</v>
      </c>
      <c r="H41" s="31">
        <v>0</v>
      </c>
    </row>
    <row r="42" spans="1:8" s="18" customFormat="1">
      <c r="A42" s="16">
        <v>90710620</v>
      </c>
      <c r="B42" s="55">
        <v>40222875</v>
      </c>
      <c r="C42" s="17">
        <v>45000000</v>
      </c>
      <c r="D42" s="31">
        <v>40</v>
      </c>
      <c r="E42" s="31">
        <v>0</v>
      </c>
      <c r="F42" s="55">
        <v>3602</v>
      </c>
      <c r="G42" s="56">
        <v>1</v>
      </c>
      <c r="H42" s="31">
        <v>0</v>
      </c>
    </row>
    <row r="43" spans="1:8" s="18" customFormat="1">
      <c r="A43" s="16">
        <v>17807569</v>
      </c>
      <c r="B43" s="55">
        <v>8602333</v>
      </c>
      <c r="C43" s="17">
        <v>35000000</v>
      </c>
      <c r="D43" s="31">
        <v>44</v>
      </c>
      <c r="E43" s="31">
        <v>1</v>
      </c>
      <c r="F43" s="55">
        <v>3004</v>
      </c>
      <c r="G43" s="56">
        <v>0</v>
      </c>
      <c r="H43" s="31">
        <v>0</v>
      </c>
    </row>
    <row r="44" spans="1:8" s="18" customFormat="1">
      <c r="A44" s="16">
        <v>33741133</v>
      </c>
      <c r="B44" s="55">
        <v>10730372</v>
      </c>
      <c r="C44" s="17">
        <v>20000000</v>
      </c>
      <c r="D44" s="31">
        <v>45</v>
      </c>
      <c r="E44" s="31">
        <v>1</v>
      </c>
      <c r="F44" s="55">
        <v>2623</v>
      </c>
      <c r="G44" s="56">
        <v>0</v>
      </c>
      <c r="H44" s="31">
        <v>0</v>
      </c>
    </row>
    <row r="45" spans="1:8" s="18" customFormat="1">
      <c r="A45" s="16">
        <v>46982632</v>
      </c>
      <c r="B45" s="55">
        <v>20152598</v>
      </c>
      <c r="C45" s="17">
        <v>50000000</v>
      </c>
      <c r="D45" s="31">
        <v>30</v>
      </c>
      <c r="E45" s="31">
        <v>0</v>
      </c>
      <c r="F45" s="55">
        <v>2926</v>
      </c>
      <c r="G45" s="56">
        <v>0</v>
      </c>
      <c r="H45" s="31">
        <v>1</v>
      </c>
    </row>
    <row r="46" spans="1:8" s="18" customFormat="1">
      <c r="A46" s="16">
        <v>34020814</v>
      </c>
      <c r="B46" s="55">
        <v>13806311</v>
      </c>
      <c r="C46" s="17">
        <v>33000000</v>
      </c>
      <c r="D46" s="31">
        <v>58</v>
      </c>
      <c r="E46" s="31">
        <v>0</v>
      </c>
      <c r="F46" s="55">
        <v>3555</v>
      </c>
      <c r="G46" s="56">
        <v>0</v>
      </c>
      <c r="H46" s="31">
        <v>1</v>
      </c>
    </row>
    <row r="47" spans="1:8" s="18" customFormat="1">
      <c r="A47" s="16">
        <v>23086480</v>
      </c>
      <c r="B47" s="55">
        <v>10726406</v>
      </c>
      <c r="C47" s="17">
        <v>20000000</v>
      </c>
      <c r="D47" s="31">
        <v>24</v>
      </c>
      <c r="E47" s="31">
        <v>0</v>
      </c>
      <c r="F47" s="55">
        <v>2009</v>
      </c>
      <c r="G47" s="56">
        <v>0</v>
      </c>
      <c r="H47" s="31">
        <v>0</v>
      </c>
    </row>
    <row r="48" spans="1:8" s="18" customFormat="1">
      <c r="A48" s="16">
        <v>26910736</v>
      </c>
      <c r="B48" s="55">
        <v>10803610</v>
      </c>
      <c r="C48" s="17">
        <v>20000000</v>
      </c>
      <c r="D48" s="31">
        <v>53</v>
      </c>
      <c r="E48" s="31">
        <v>0</v>
      </c>
      <c r="F48" s="55">
        <v>2038</v>
      </c>
      <c r="G48" s="56">
        <v>0</v>
      </c>
      <c r="H48" s="31">
        <v>0</v>
      </c>
    </row>
    <row r="49" spans="1:8" s="18" customFormat="1">
      <c r="A49" s="16">
        <v>40435190</v>
      </c>
      <c r="B49" s="55">
        <v>13411093</v>
      </c>
      <c r="C49" s="17">
        <v>30000000</v>
      </c>
      <c r="D49" s="31">
        <v>67</v>
      </c>
      <c r="E49" s="31">
        <v>1</v>
      </c>
      <c r="F49" s="55">
        <v>2264</v>
      </c>
      <c r="G49" s="56">
        <v>0</v>
      </c>
      <c r="H49" s="31">
        <v>0</v>
      </c>
    </row>
    <row r="50" spans="1:8" s="18" customFormat="1">
      <c r="A50" s="16">
        <v>34742066</v>
      </c>
      <c r="B50" s="55">
        <v>12051277</v>
      </c>
      <c r="C50" s="17">
        <v>30000000</v>
      </c>
      <c r="D50" s="31">
        <v>55</v>
      </c>
      <c r="E50" s="31">
        <v>0</v>
      </c>
      <c r="F50" s="55">
        <v>3009</v>
      </c>
      <c r="G50" s="56">
        <v>0</v>
      </c>
      <c r="H50" s="31">
        <v>0</v>
      </c>
    </row>
    <row r="51" spans="1:8" s="18" customFormat="1">
      <c r="A51" s="16">
        <v>148213377</v>
      </c>
      <c r="B51" s="55">
        <v>47042215</v>
      </c>
      <c r="C51" s="17">
        <v>72500000</v>
      </c>
      <c r="D51" s="31">
        <v>66</v>
      </c>
      <c r="E51" s="31">
        <v>1</v>
      </c>
      <c r="F51" s="55">
        <v>3803</v>
      </c>
      <c r="G51" s="56">
        <v>0</v>
      </c>
      <c r="H51" s="31">
        <v>0</v>
      </c>
    </row>
    <row r="52" spans="1:8" s="18" customFormat="1">
      <c r="A52" s="16">
        <v>28142535</v>
      </c>
      <c r="B52" s="55">
        <v>8432465</v>
      </c>
      <c r="C52" s="17">
        <v>50000000</v>
      </c>
      <c r="D52" s="31">
        <v>59</v>
      </c>
      <c r="E52" s="31">
        <v>0</v>
      </c>
      <c r="F52" s="55">
        <v>3050</v>
      </c>
      <c r="G52" s="56">
        <v>0</v>
      </c>
      <c r="H52" s="31">
        <v>0</v>
      </c>
    </row>
    <row r="53" spans="1:8" s="18" customFormat="1">
      <c r="A53" s="16">
        <v>59843754</v>
      </c>
      <c r="B53" s="55">
        <v>19656429</v>
      </c>
      <c r="C53" s="17">
        <v>33000000</v>
      </c>
      <c r="D53" s="31">
        <v>25</v>
      </c>
      <c r="E53" s="31">
        <v>1</v>
      </c>
      <c r="F53" s="55">
        <v>3274</v>
      </c>
      <c r="G53" s="56">
        <v>0</v>
      </c>
      <c r="H53" s="31">
        <v>0</v>
      </c>
    </row>
    <row r="54" spans="1:8" s="18" customFormat="1">
      <c r="A54" s="16">
        <v>22545080</v>
      </c>
      <c r="B54" s="55">
        <v>10005895</v>
      </c>
      <c r="C54" s="17">
        <v>50000000</v>
      </c>
      <c r="D54" s="31">
        <v>49</v>
      </c>
      <c r="E54" s="31">
        <v>0</v>
      </c>
      <c r="F54" s="55">
        <v>2226</v>
      </c>
      <c r="G54" s="56">
        <v>0</v>
      </c>
      <c r="H54" s="31">
        <v>1</v>
      </c>
    </row>
    <row r="55" spans="1:8" s="18" customFormat="1">
      <c r="A55" s="16">
        <v>118703275</v>
      </c>
      <c r="B55" s="55">
        <v>39172785</v>
      </c>
      <c r="C55" s="17">
        <v>52000000</v>
      </c>
      <c r="D55" s="31">
        <v>45</v>
      </c>
      <c r="E55" s="31">
        <v>1</v>
      </c>
      <c r="F55" s="55">
        <v>3070</v>
      </c>
      <c r="G55" s="56">
        <v>0</v>
      </c>
      <c r="H55" s="31">
        <v>0</v>
      </c>
    </row>
    <row r="56" spans="1:8" s="18" customFormat="1">
      <c r="A56" s="16">
        <v>23380495</v>
      </c>
      <c r="B56" s="55">
        <v>8852458</v>
      </c>
      <c r="C56" s="17">
        <v>20000000</v>
      </c>
      <c r="D56" s="31">
        <v>19</v>
      </c>
      <c r="E56" s="31">
        <v>0</v>
      </c>
      <c r="F56" s="55">
        <v>2681</v>
      </c>
      <c r="G56" s="56">
        <v>0</v>
      </c>
      <c r="H56" s="31">
        <v>0</v>
      </c>
    </row>
    <row r="57" spans="1:8" s="18" customFormat="1">
      <c r="A57" s="16">
        <v>132384315</v>
      </c>
      <c r="B57" s="55">
        <v>26887467</v>
      </c>
      <c r="C57" s="17">
        <v>90000000</v>
      </c>
      <c r="D57" s="31">
        <v>86</v>
      </c>
      <c r="E57" s="31">
        <v>0</v>
      </c>
      <c r="F57" s="55">
        <v>3017</v>
      </c>
      <c r="G57" s="56">
        <v>0</v>
      </c>
      <c r="H57" s="31">
        <v>1</v>
      </c>
    </row>
    <row r="58" spans="1:8" s="18" customFormat="1">
      <c r="A58" s="16">
        <v>124740460</v>
      </c>
      <c r="B58" s="55">
        <v>27537244</v>
      </c>
      <c r="C58" s="17">
        <v>35000000</v>
      </c>
      <c r="D58" s="31">
        <v>62</v>
      </c>
      <c r="E58" s="31">
        <v>1</v>
      </c>
      <c r="F58" s="55">
        <v>2847</v>
      </c>
      <c r="G58" s="56">
        <v>0</v>
      </c>
      <c r="H58" s="31">
        <v>0</v>
      </c>
    </row>
    <row r="59" spans="1:8" s="18" customFormat="1">
      <c r="A59" s="16">
        <v>39143839</v>
      </c>
      <c r="B59" s="55">
        <v>20825300</v>
      </c>
      <c r="C59" s="17">
        <v>20000000</v>
      </c>
      <c r="D59" s="31">
        <v>33</v>
      </c>
      <c r="E59" s="31">
        <v>0</v>
      </c>
      <c r="F59" s="55">
        <v>3211</v>
      </c>
      <c r="G59" s="56">
        <v>1</v>
      </c>
      <c r="H59" s="31">
        <v>0</v>
      </c>
    </row>
    <row r="60" spans="1:8" s="18" customFormat="1">
      <c r="A60" s="16">
        <v>63224849</v>
      </c>
      <c r="B60" s="55">
        <v>12778913</v>
      </c>
      <c r="C60" s="17">
        <v>85000000</v>
      </c>
      <c r="D60" s="31">
        <v>52</v>
      </c>
      <c r="E60" s="31">
        <v>1</v>
      </c>
      <c r="F60" s="55">
        <v>2610</v>
      </c>
      <c r="G60" s="56">
        <v>0</v>
      </c>
      <c r="H60" s="31">
        <v>0</v>
      </c>
    </row>
    <row r="61" spans="1:8" s="18" customFormat="1">
      <c r="A61" s="16">
        <v>52330111</v>
      </c>
      <c r="B61" s="55">
        <v>13616196</v>
      </c>
      <c r="C61" s="17">
        <v>40000000</v>
      </c>
      <c r="D61" s="31">
        <v>52</v>
      </c>
      <c r="E61" s="31">
        <v>0</v>
      </c>
      <c r="F61" s="55">
        <v>2645</v>
      </c>
      <c r="G61" s="56">
        <v>0</v>
      </c>
      <c r="H61" s="31">
        <v>0</v>
      </c>
    </row>
    <row r="62" spans="1:8" s="18" customFormat="1">
      <c r="A62" s="16">
        <v>37629831</v>
      </c>
      <c r="B62" s="55">
        <v>7849304</v>
      </c>
      <c r="C62" s="17">
        <v>35000000</v>
      </c>
      <c r="D62" s="31">
        <v>52</v>
      </c>
      <c r="E62" s="31">
        <v>0</v>
      </c>
      <c r="F62" s="55">
        <v>3083</v>
      </c>
      <c r="G62" s="56">
        <v>0</v>
      </c>
      <c r="H62" s="31">
        <v>0</v>
      </c>
    </row>
    <row r="63" spans="1:8" s="18" customFormat="1">
      <c r="A63" s="16">
        <v>54607383</v>
      </c>
      <c r="B63" s="55">
        <v>16026496</v>
      </c>
      <c r="C63" s="17">
        <v>25000000</v>
      </c>
      <c r="D63" s="31">
        <v>43</v>
      </c>
      <c r="E63" s="31">
        <v>0</v>
      </c>
      <c r="F63" s="55">
        <v>2723</v>
      </c>
      <c r="G63" s="56">
        <v>0</v>
      </c>
      <c r="H63" s="31">
        <v>1</v>
      </c>
    </row>
    <row r="64" spans="1:8" s="18" customFormat="1">
      <c r="A64" s="16">
        <v>82226474</v>
      </c>
      <c r="B64" s="55">
        <v>20220412</v>
      </c>
      <c r="C64" s="17">
        <v>80000000</v>
      </c>
      <c r="D64" s="31">
        <v>38</v>
      </c>
      <c r="E64" s="31">
        <v>1</v>
      </c>
      <c r="F64" s="55">
        <v>3477</v>
      </c>
      <c r="G64" s="56">
        <v>1</v>
      </c>
      <c r="H64" s="31">
        <v>0</v>
      </c>
    </row>
    <row r="65" spans="1:8" s="18" customFormat="1">
      <c r="A65" s="16">
        <v>53089891</v>
      </c>
      <c r="B65" s="55">
        <v>14801808</v>
      </c>
      <c r="C65" s="17">
        <v>40000000</v>
      </c>
      <c r="D65" s="31">
        <v>66</v>
      </c>
      <c r="E65" s="31">
        <v>0</v>
      </c>
      <c r="F65" s="55">
        <v>2281</v>
      </c>
      <c r="G65" s="56">
        <v>0</v>
      </c>
      <c r="H65" s="31">
        <v>0</v>
      </c>
    </row>
    <row r="66" spans="1:8" s="18" customFormat="1">
      <c r="A66" s="16">
        <v>163566459</v>
      </c>
      <c r="B66" s="55">
        <v>26541709</v>
      </c>
      <c r="C66" s="17">
        <v>55000000</v>
      </c>
      <c r="D66" s="31">
        <v>64</v>
      </c>
      <c r="E66" s="31">
        <v>0</v>
      </c>
      <c r="F66" s="55">
        <v>2852</v>
      </c>
      <c r="G66" s="56">
        <v>0</v>
      </c>
      <c r="H66" s="31">
        <v>0</v>
      </c>
    </row>
    <row r="67" spans="1:8" s="18" customFormat="1">
      <c r="A67" s="16">
        <v>36280697</v>
      </c>
      <c r="B67" s="55">
        <v>14367854</v>
      </c>
      <c r="C67" s="17">
        <v>60000000</v>
      </c>
      <c r="D67" s="31">
        <v>48</v>
      </c>
      <c r="E67" s="31">
        <v>0</v>
      </c>
      <c r="F67" s="55">
        <v>2819</v>
      </c>
      <c r="G67" s="56">
        <v>0</v>
      </c>
      <c r="H67" s="31">
        <v>0</v>
      </c>
    </row>
    <row r="68" spans="1:8" s="18" customFormat="1">
      <c r="A68" s="16">
        <v>61123569</v>
      </c>
      <c r="B68" s="55">
        <v>16310058</v>
      </c>
      <c r="C68" s="17">
        <v>60000000</v>
      </c>
      <c r="D68" s="31">
        <v>43</v>
      </c>
      <c r="E68" s="31">
        <v>1</v>
      </c>
      <c r="F68" s="55">
        <v>3501</v>
      </c>
      <c r="G68" s="56">
        <v>0</v>
      </c>
      <c r="H68" s="31">
        <v>0</v>
      </c>
    </row>
    <row r="69" spans="1:8" s="18" customFormat="1">
      <c r="A69" s="16">
        <v>23649127</v>
      </c>
      <c r="B69" s="55">
        <v>9610204</v>
      </c>
      <c r="C69" s="17">
        <v>40000000</v>
      </c>
      <c r="D69" s="31">
        <v>36</v>
      </c>
      <c r="E69" s="31">
        <v>0</v>
      </c>
      <c r="F69" s="55">
        <v>2784</v>
      </c>
      <c r="G69" s="56">
        <v>0</v>
      </c>
      <c r="H69" s="31">
        <v>0</v>
      </c>
    </row>
    <row r="70" spans="1:8" s="18" customFormat="1">
      <c r="A70" s="16">
        <v>37384046</v>
      </c>
      <c r="B70" s="55">
        <v>9684809</v>
      </c>
      <c r="C70" s="17">
        <v>80000000</v>
      </c>
      <c r="D70" s="31">
        <v>47</v>
      </c>
      <c r="E70" s="31">
        <v>0</v>
      </c>
      <c r="F70" s="55">
        <v>2854</v>
      </c>
      <c r="G70" s="56">
        <v>0</v>
      </c>
      <c r="H70" s="31">
        <v>0</v>
      </c>
    </row>
    <row r="71" spans="1:8" s="18" customFormat="1">
      <c r="A71" s="16">
        <v>18535812</v>
      </c>
      <c r="B71" s="55">
        <v>9064880</v>
      </c>
      <c r="C71" s="17">
        <v>30000000</v>
      </c>
      <c r="D71" s="31">
        <v>18</v>
      </c>
      <c r="E71" s="31">
        <v>0</v>
      </c>
      <c r="F71" s="55">
        <v>2558</v>
      </c>
      <c r="G71" s="56">
        <v>0</v>
      </c>
      <c r="H71" s="31">
        <v>0</v>
      </c>
    </row>
    <row r="72" spans="1:8" s="18" customFormat="1">
      <c r="A72" s="16">
        <v>16655224</v>
      </c>
      <c r="B72" s="55">
        <v>5815474</v>
      </c>
      <c r="C72" s="17">
        <v>25000000</v>
      </c>
      <c r="D72" s="31">
        <v>43</v>
      </c>
      <c r="E72" s="31">
        <v>1</v>
      </c>
      <c r="F72" s="55">
        <v>2775</v>
      </c>
      <c r="G72" s="56">
        <v>0</v>
      </c>
      <c r="H72" s="31">
        <v>0</v>
      </c>
    </row>
    <row r="73" spans="1:8" s="18" customFormat="1">
      <c r="A73" s="16">
        <v>62318875</v>
      </c>
      <c r="B73" s="55">
        <v>26857181</v>
      </c>
      <c r="C73" s="17">
        <v>45000000</v>
      </c>
      <c r="D73" s="31">
        <v>36</v>
      </c>
      <c r="E73" s="31">
        <v>0</v>
      </c>
      <c r="F73" s="55">
        <v>3207</v>
      </c>
      <c r="G73" s="56">
        <v>1</v>
      </c>
      <c r="H73" s="31">
        <v>1</v>
      </c>
    </row>
    <row r="74" spans="1:8" s="18" customFormat="1">
      <c r="A74" s="16">
        <v>70511035</v>
      </c>
      <c r="B74" s="55">
        <v>25642340</v>
      </c>
      <c r="C74" s="17">
        <v>54000000</v>
      </c>
      <c r="D74" s="31">
        <v>62</v>
      </c>
      <c r="E74" s="31">
        <v>0</v>
      </c>
      <c r="F74" s="55">
        <v>3365</v>
      </c>
      <c r="G74" s="56">
        <v>0</v>
      </c>
      <c r="H74" s="31">
        <v>1</v>
      </c>
    </row>
    <row r="75" spans="1:8" s="18" customFormat="1">
      <c r="A75" s="16">
        <v>70278893</v>
      </c>
      <c r="B75" s="55">
        <v>18730762</v>
      </c>
      <c r="C75" s="17">
        <v>65000000</v>
      </c>
      <c r="D75" s="31">
        <v>66</v>
      </c>
      <c r="E75" s="31">
        <v>0</v>
      </c>
      <c r="F75" s="55">
        <v>2957</v>
      </c>
      <c r="G75" s="56">
        <v>0</v>
      </c>
      <c r="H75" s="31">
        <v>0</v>
      </c>
    </row>
    <row r="76" spans="1:8" s="18" customFormat="1">
      <c r="A76" s="16">
        <v>75628110</v>
      </c>
      <c r="B76" s="55">
        <v>21525560</v>
      </c>
      <c r="C76" s="17">
        <v>54000000</v>
      </c>
      <c r="D76" s="31">
        <v>46</v>
      </c>
      <c r="E76" s="31">
        <v>1</v>
      </c>
      <c r="F76" s="55">
        <v>3131</v>
      </c>
      <c r="G76" s="56">
        <v>0</v>
      </c>
      <c r="H76" s="31">
        <v>0</v>
      </c>
    </row>
    <row r="80" spans="1:8" s="18" customFormat="1">
      <c r="A80" s="26" t="s">
        <v>241</v>
      </c>
      <c r="B80" s="18" t="s">
        <v>164</v>
      </c>
    </row>
    <row r="81" spans="1:10" s="18" customFormat="1" ht="13.8" thickBot="1">
      <c r="A81" s="26"/>
    </row>
    <row r="82" spans="1:10" s="18" customFormat="1">
      <c r="A82" s="26"/>
      <c r="B82" s="122" t="s">
        <v>165</v>
      </c>
      <c r="C82" s="122"/>
    </row>
    <row r="83" spans="1:10" s="18" customFormat="1">
      <c r="A83" s="26"/>
      <c r="B83" s="18" t="s">
        <v>166</v>
      </c>
      <c r="C83" s="18">
        <v>0.91407421866727967</v>
      </c>
    </row>
    <row r="84" spans="1:10" s="18" customFormat="1">
      <c r="A84" s="26"/>
      <c r="B84" s="18" t="s">
        <v>167</v>
      </c>
      <c r="C84" s="18">
        <v>0.83553167723219779</v>
      </c>
    </row>
    <row r="85" spans="1:10" s="18" customFormat="1">
      <c r="A85" s="26"/>
      <c r="B85" s="18" t="s">
        <v>168</v>
      </c>
      <c r="C85" s="18">
        <v>0.81834841962959159</v>
      </c>
    </row>
    <row r="86" spans="1:10" s="18" customFormat="1">
      <c r="A86" s="26"/>
      <c r="B86" s="18" t="s">
        <v>169</v>
      </c>
      <c r="C86" s="18">
        <v>17166393.622947313</v>
      </c>
    </row>
    <row r="87" spans="1:10" s="18" customFormat="1" ht="13.8" thickBot="1">
      <c r="A87" s="26"/>
      <c r="B87" s="121" t="s">
        <v>140</v>
      </c>
      <c r="C87" s="121">
        <v>75</v>
      </c>
    </row>
    <row r="88" spans="1:10" s="18" customFormat="1">
      <c r="A88" s="26"/>
    </row>
    <row r="89" spans="1:10" s="18" customFormat="1" ht="13.8" thickBot="1">
      <c r="A89" s="26"/>
      <c r="B89" s="18" t="s">
        <v>170</v>
      </c>
    </row>
    <row r="90" spans="1:10" s="18" customFormat="1">
      <c r="A90" s="26"/>
      <c r="B90" s="122"/>
      <c r="C90" s="122" t="s">
        <v>141</v>
      </c>
      <c r="D90" s="122" t="s">
        <v>175</v>
      </c>
      <c r="E90" s="122" t="s">
        <v>176</v>
      </c>
      <c r="F90" s="122" t="s">
        <v>177</v>
      </c>
      <c r="G90" s="122" t="s">
        <v>178</v>
      </c>
    </row>
    <row r="91" spans="1:10" s="18" customFormat="1">
      <c r="A91" s="26"/>
      <c r="B91" s="18" t="s">
        <v>171</v>
      </c>
      <c r="C91" s="18">
        <v>7</v>
      </c>
      <c r="D91" s="18">
        <v>1.0030292366625421E+17</v>
      </c>
      <c r="E91" s="18">
        <v>1.4328989095179172E+16</v>
      </c>
      <c r="F91" s="18">
        <v>48.62475419710124</v>
      </c>
      <c r="G91" s="18">
        <v>7.8703757250599441E-24</v>
      </c>
    </row>
    <row r="92" spans="1:10" s="18" customFormat="1">
      <c r="A92" s="26"/>
      <c r="B92" s="18" t="s">
        <v>172</v>
      </c>
      <c r="C92" s="18">
        <v>67</v>
      </c>
      <c r="D92" s="18">
        <v>1.9743899691203732E+16</v>
      </c>
      <c r="E92" s="18">
        <v>294685070017966.13</v>
      </c>
    </row>
    <row r="93" spans="1:10" s="18" customFormat="1" ht="13.8" thickBot="1">
      <c r="A93" s="26"/>
      <c r="B93" s="121" t="s">
        <v>173</v>
      </c>
      <c r="C93" s="121">
        <v>74</v>
      </c>
      <c r="D93" s="121">
        <v>1.2004682335745794E+17</v>
      </c>
      <c r="E93" s="121"/>
      <c r="F93" s="121"/>
      <c r="G93" s="121"/>
    </row>
    <row r="94" spans="1:10" s="18" customFormat="1" ht="13.8" thickBot="1">
      <c r="A94" s="26"/>
    </row>
    <row r="95" spans="1:10" s="18" customFormat="1">
      <c r="A95" s="26"/>
      <c r="B95" s="122"/>
      <c r="C95" s="122" t="s">
        <v>179</v>
      </c>
      <c r="D95" s="122" t="s">
        <v>169</v>
      </c>
      <c r="E95" s="122" t="s">
        <v>142</v>
      </c>
      <c r="F95" s="122" t="s">
        <v>180</v>
      </c>
      <c r="G95" s="122" t="s">
        <v>181</v>
      </c>
      <c r="H95" s="122" t="s">
        <v>182</v>
      </c>
      <c r="I95" s="122" t="s">
        <v>199</v>
      </c>
      <c r="J95" s="122" t="s">
        <v>200</v>
      </c>
    </row>
    <row r="96" spans="1:10" s="18" customFormat="1">
      <c r="A96" s="26"/>
      <c r="B96" s="18" t="s">
        <v>174</v>
      </c>
      <c r="C96" s="18">
        <v>-34722042.131016195</v>
      </c>
      <c r="D96" s="18">
        <v>12230083.475193819</v>
      </c>
      <c r="E96" s="18">
        <v>-2.8390682861194394</v>
      </c>
      <c r="F96" s="18">
        <v>5.9840356059685691E-3</v>
      </c>
      <c r="G96" s="18">
        <v>-59133390.917929783</v>
      </c>
      <c r="H96" s="18">
        <v>-10310693.344102602</v>
      </c>
      <c r="I96" s="18">
        <v>-59133390.917929783</v>
      </c>
      <c r="J96" s="18">
        <v>-10310693.344102602</v>
      </c>
    </row>
    <row r="97" spans="1:10" s="18" customFormat="1">
      <c r="A97" s="26"/>
      <c r="B97" s="31" t="s">
        <v>243</v>
      </c>
      <c r="C97" s="18">
        <v>2.7990925567043217</v>
      </c>
      <c r="D97" s="18">
        <v>0.25860120906345802</v>
      </c>
      <c r="E97" s="18">
        <v>10.823973201213665</v>
      </c>
      <c r="F97" s="18">
        <v>2.3526163447143051E-16</v>
      </c>
      <c r="G97" s="18">
        <v>2.2829223830526173</v>
      </c>
      <c r="H97" s="18">
        <v>3.315262730356026</v>
      </c>
      <c r="I97" s="18">
        <v>2.2829223830526173</v>
      </c>
      <c r="J97" s="18">
        <v>3.315262730356026</v>
      </c>
    </row>
    <row r="98" spans="1:10" s="18" customFormat="1">
      <c r="A98" s="26"/>
      <c r="B98" s="31" t="s">
        <v>93</v>
      </c>
      <c r="C98" s="18">
        <v>0.25119634184139894</v>
      </c>
      <c r="D98" s="18">
        <v>9.8362491026592253E-2</v>
      </c>
      <c r="E98" s="18">
        <v>2.5537818249589481</v>
      </c>
      <c r="F98" s="18">
        <v>1.2937204220983461E-2</v>
      </c>
      <c r="G98" s="18">
        <v>5.4863988029582561E-2</v>
      </c>
      <c r="H98" s="18">
        <v>0.44752869565321529</v>
      </c>
      <c r="I98" s="18">
        <v>5.4863988029582561E-2</v>
      </c>
      <c r="J98" s="18">
        <v>0.44752869565321529</v>
      </c>
    </row>
    <row r="99" spans="1:10" s="18" customFormat="1">
      <c r="A99" s="26"/>
      <c r="B99" s="31" t="s">
        <v>244</v>
      </c>
      <c r="C99" s="18">
        <v>953.80943124088162</v>
      </c>
      <c r="D99" s="18">
        <v>3890.0361076520207</v>
      </c>
      <c r="E99" s="18">
        <v>0.24519295061674623</v>
      </c>
      <c r="F99" s="18">
        <v>0.80705649869989282</v>
      </c>
      <c r="G99" s="18">
        <v>-6810.735137092599</v>
      </c>
      <c r="H99" s="18">
        <v>8718.3539995743631</v>
      </c>
      <c r="I99" s="18">
        <v>-6810.735137092599</v>
      </c>
      <c r="J99" s="18">
        <v>8718.3539995743631</v>
      </c>
    </row>
    <row r="100" spans="1:10" s="18" customFormat="1">
      <c r="A100" s="26"/>
      <c r="B100" s="31" t="s">
        <v>79</v>
      </c>
      <c r="C100" s="18">
        <v>-4422887.9971910594</v>
      </c>
      <c r="D100" s="18">
        <v>7374763.5333617684</v>
      </c>
      <c r="E100" s="18">
        <v>-0.59973285613605243</v>
      </c>
      <c r="F100" s="18">
        <v>0.55070720698719544</v>
      </c>
      <c r="G100" s="18">
        <v>-19142977.618742261</v>
      </c>
      <c r="H100" s="18">
        <v>10297201.624360144</v>
      </c>
      <c r="I100" s="18">
        <v>-19142977.618742261</v>
      </c>
      <c r="J100" s="18">
        <v>10297201.624360144</v>
      </c>
    </row>
    <row r="101" spans="1:10" s="18" customFormat="1">
      <c r="A101" s="26"/>
      <c r="B101" s="31" t="s">
        <v>96</v>
      </c>
      <c r="C101" s="18">
        <v>-8788581.8016270939</v>
      </c>
      <c r="D101" s="18">
        <v>5452830.9428979913</v>
      </c>
      <c r="E101" s="18">
        <v>-1.6117466126606643</v>
      </c>
      <c r="F101" s="18">
        <v>0.11171829350994808</v>
      </c>
      <c r="G101" s="18">
        <v>-19672477.916739121</v>
      </c>
      <c r="H101" s="18">
        <v>2095314.3134849314</v>
      </c>
      <c r="I101" s="18">
        <v>-19672477.916739121</v>
      </c>
      <c r="J101" s="18">
        <v>2095314.3134849314</v>
      </c>
    </row>
    <row r="102" spans="1:10" s="18" customFormat="1">
      <c r="A102" s="26"/>
      <c r="B102" s="31" t="s">
        <v>245</v>
      </c>
      <c r="C102" s="18">
        <v>611856.45712310891</v>
      </c>
      <c r="D102" s="18">
        <v>149133.20684149256</v>
      </c>
      <c r="E102" s="18">
        <v>4.1027512924966842</v>
      </c>
      <c r="F102" s="18">
        <v>1.1293783469784968E-4</v>
      </c>
      <c r="G102" s="18">
        <v>314185.33040490729</v>
      </c>
      <c r="H102" s="18">
        <v>909527.58384131058</v>
      </c>
      <c r="I102" s="18">
        <v>314185.33040490729</v>
      </c>
      <c r="J102" s="18">
        <v>909527.58384131058</v>
      </c>
    </row>
    <row r="103" spans="1:10" s="18" customFormat="1" ht="13.8" thickBot="1">
      <c r="A103" s="26"/>
      <c r="B103" s="123" t="s">
        <v>246</v>
      </c>
      <c r="C103" s="121">
        <v>5572070.8463904448</v>
      </c>
      <c r="D103" s="121">
        <v>4789103.6913876468</v>
      </c>
      <c r="E103" s="121">
        <v>1.1634892884885382</v>
      </c>
      <c r="F103" s="121">
        <v>0.24875791789795607</v>
      </c>
      <c r="G103" s="121">
        <v>-3987020.1299126837</v>
      </c>
      <c r="H103" s="121">
        <v>15131161.822693573</v>
      </c>
      <c r="I103" s="121">
        <v>-3987020.1299126837</v>
      </c>
      <c r="J103" s="121">
        <v>15131161.822693573</v>
      </c>
    </row>
    <row r="104" spans="1:10" s="18" customFormat="1">
      <c r="A104" s="26"/>
    </row>
    <row r="105" spans="1:10" s="18" customFormat="1">
      <c r="A105" s="26"/>
    </row>
    <row r="106" spans="1:10" s="18" customFormat="1" ht="14.4" thickBot="1">
      <c r="A106" s="26"/>
      <c r="B106" s="134" t="s">
        <v>185</v>
      </c>
      <c r="C106" s="134">
        <v>0.1</v>
      </c>
    </row>
    <row r="107" spans="1:10" s="18" customFormat="1" ht="13.8" thickTop="1">
      <c r="A107" s="26"/>
      <c r="D107" s="34"/>
      <c r="E107" s="31"/>
      <c r="F107" s="31"/>
      <c r="G107" s="31"/>
      <c r="H107" s="31"/>
    </row>
    <row r="108" spans="1:10" s="18" customFormat="1" ht="14.4">
      <c r="A108" s="26" t="s">
        <v>242</v>
      </c>
      <c r="B108" s="125" t="s">
        <v>186</v>
      </c>
      <c r="C108" s="125"/>
      <c r="D108" s="34"/>
      <c r="E108" s="31"/>
      <c r="F108" s="31"/>
      <c r="G108" s="31"/>
      <c r="H108" s="31"/>
    </row>
    <row r="109" spans="1:10" s="18" customFormat="1" ht="13.8" thickBot="1">
      <c r="A109" s="26"/>
      <c r="D109" s="34"/>
      <c r="E109" s="31"/>
      <c r="F109" s="31"/>
      <c r="G109" s="31"/>
      <c r="H109" s="31"/>
    </row>
    <row r="110" spans="1:10" s="18" customFormat="1" ht="15.6" thickTop="1" thickBot="1">
      <c r="A110" s="26"/>
      <c r="B110" s="135" t="s">
        <v>243</v>
      </c>
      <c r="C110" s="18" t="b">
        <f>IF(F97&lt;$C$106,TRUE,FALSE)</f>
        <v>1</v>
      </c>
      <c r="D110" s="34"/>
      <c r="E110" s="31"/>
      <c r="F110" s="31"/>
      <c r="G110" s="31"/>
      <c r="H110" s="31"/>
    </row>
    <row r="111" spans="1:10" s="18" customFormat="1" ht="15.6" thickTop="1" thickBot="1">
      <c r="A111" s="26"/>
      <c r="B111" s="135" t="s">
        <v>93</v>
      </c>
      <c r="C111" s="18" t="b">
        <f>IF(F98&lt;$C$106,TRUE,FALSE)</f>
        <v>1</v>
      </c>
      <c r="D111" s="34"/>
      <c r="E111" s="31"/>
      <c r="F111" s="31"/>
      <c r="G111" s="31"/>
      <c r="H111" s="31"/>
    </row>
    <row r="112" spans="1:10" s="18" customFormat="1" ht="15.6" thickTop="1" thickBot="1">
      <c r="A112" s="26"/>
      <c r="B112" s="135" t="s">
        <v>244</v>
      </c>
      <c r="C112" s="18" t="b">
        <f t="shared" ref="C112:C115" si="0">IF(F99&lt;$C$106,TRUE,FALSE)</f>
        <v>0</v>
      </c>
      <c r="D112" s="34"/>
      <c r="E112" s="31"/>
      <c r="F112" s="31"/>
      <c r="G112" s="31"/>
      <c r="H112" s="31"/>
    </row>
    <row r="113" spans="1:8" s="18" customFormat="1" ht="15.6" thickTop="1" thickBot="1">
      <c r="A113" s="26"/>
      <c r="B113" s="135" t="s">
        <v>79</v>
      </c>
      <c r="C113" s="18" t="b">
        <f t="shared" si="0"/>
        <v>0</v>
      </c>
      <c r="D113" s="34"/>
      <c r="E113" s="31"/>
      <c r="F113" s="31"/>
      <c r="G113" s="31"/>
      <c r="H113" s="31"/>
    </row>
    <row r="114" spans="1:8" s="18" customFormat="1" ht="15.6" thickTop="1" thickBot="1">
      <c r="A114" s="26"/>
      <c r="B114" s="135" t="s">
        <v>96</v>
      </c>
      <c r="C114" s="18" t="b">
        <f t="shared" si="0"/>
        <v>0</v>
      </c>
      <c r="D114" s="34"/>
      <c r="E114" s="31"/>
      <c r="F114" s="31"/>
      <c r="G114" s="31"/>
      <c r="H114" s="31"/>
    </row>
    <row r="115" spans="1:8" s="18" customFormat="1" ht="15.6" thickTop="1" thickBot="1">
      <c r="A115" s="26"/>
      <c r="B115" s="135" t="s">
        <v>245</v>
      </c>
      <c r="C115" s="18" t="b">
        <f t="shared" si="0"/>
        <v>1</v>
      </c>
      <c r="D115" s="34"/>
      <c r="E115" s="31"/>
      <c r="F115" s="31"/>
      <c r="G115" s="31"/>
      <c r="H115" s="31"/>
    </row>
    <row r="116" spans="1:8" s="18" customFormat="1" ht="15.6" thickTop="1" thickBot="1">
      <c r="A116" s="26"/>
      <c r="B116" s="135" t="s">
        <v>159</v>
      </c>
      <c r="C116" s="18" t="b">
        <f>IF(F103&lt;$C$106,TRUE,FALSE)</f>
        <v>0</v>
      </c>
      <c r="D116" s="34"/>
      <c r="E116" s="31"/>
      <c r="F116" s="31"/>
      <c r="G116" s="31"/>
      <c r="H116" s="31"/>
    </row>
    <row r="117" spans="1:8" s="18" customFormat="1" ht="13.8" thickTop="1">
      <c r="A117" s="26"/>
      <c r="B117" s="31"/>
      <c r="C117" s="17"/>
      <c r="D117" s="34"/>
      <c r="E117" s="31"/>
      <c r="F117" s="31"/>
      <c r="G117" s="31"/>
      <c r="H117" s="31"/>
    </row>
    <row r="119" spans="1:8" s="18" customFormat="1" ht="15.6" customHeight="1">
      <c r="A119" s="26"/>
      <c r="B119" s="136" t="s">
        <v>247</v>
      </c>
      <c r="C119" s="136"/>
      <c r="D119" s="136"/>
      <c r="E119" s="31"/>
      <c r="F119" s="31"/>
      <c r="G119" s="31"/>
      <c r="H119" s="31"/>
    </row>
    <row r="120" spans="1:8" s="18" customFormat="1">
      <c r="A120" s="26"/>
      <c r="B120" s="137" t="s">
        <v>248</v>
      </c>
      <c r="C120" s="137"/>
      <c r="D120" s="137"/>
      <c r="E120" s="31"/>
      <c r="F120" s="31"/>
      <c r="G120" s="31"/>
      <c r="H120" s="31"/>
    </row>
    <row r="121" spans="1:8" s="18" customFormat="1">
      <c r="A121" s="26"/>
      <c r="D121" s="34"/>
      <c r="E121" s="31"/>
      <c r="F121" s="31"/>
      <c r="G121" s="31"/>
      <c r="H121" s="31"/>
    </row>
    <row r="122" spans="1:8" s="18" customFormat="1">
      <c r="A122" s="26"/>
      <c r="D122" s="34"/>
      <c r="E122" s="31"/>
      <c r="F122" s="31"/>
      <c r="G122" s="31"/>
      <c r="H122" s="31"/>
    </row>
    <row r="123" spans="1:8" s="18" customFormat="1" ht="14.4">
      <c r="A123" s="26"/>
      <c r="B123" s="133" t="s">
        <v>190</v>
      </c>
      <c r="C123" s="138" t="s">
        <v>249</v>
      </c>
      <c r="D123" s="138"/>
      <c r="E123" s="31"/>
      <c r="F123" s="31"/>
      <c r="G123" s="31"/>
      <c r="H123" s="31"/>
    </row>
    <row r="124" spans="1:8" s="18" customFormat="1" ht="14.4">
      <c r="A124" s="26"/>
      <c r="B124" s="133"/>
      <c r="C124" s="138" t="s">
        <v>79</v>
      </c>
      <c r="D124" s="138"/>
      <c r="E124" s="31"/>
      <c r="F124" s="31"/>
      <c r="G124" s="31"/>
      <c r="H124" s="31"/>
    </row>
    <row r="125" spans="1:8" s="18" customFormat="1" ht="14.4">
      <c r="A125" s="26"/>
      <c r="B125" s="133"/>
      <c r="C125" s="138" t="s">
        <v>96</v>
      </c>
      <c r="D125" s="138"/>
      <c r="E125" s="31"/>
      <c r="F125" s="31"/>
      <c r="G125" s="31"/>
      <c r="H125" s="31"/>
    </row>
    <row r="126" spans="1:8" s="18" customFormat="1" ht="14.4">
      <c r="A126" s="26"/>
      <c r="B126" s="133"/>
      <c r="C126" s="139" t="s">
        <v>246</v>
      </c>
      <c r="D126" s="139"/>
      <c r="E126" s="31"/>
      <c r="F126" s="31"/>
      <c r="G126" s="31"/>
      <c r="H126" s="31"/>
    </row>
    <row r="129" spans="1:8" s="18" customFormat="1">
      <c r="A129" s="26"/>
      <c r="B129" s="92" t="s">
        <v>272</v>
      </c>
      <c r="C129" s="17"/>
      <c r="D129" s="34"/>
      <c r="E129" s="31"/>
      <c r="F129" s="31"/>
      <c r="G129" s="31"/>
      <c r="H129" s="31"/>
    </row>
    <row r="131" spans="1:8" s="18" customFormat="1">
      <c r="A131" s="26"/>
      <c r="B131" s="18" t="s">
        <v>164</v>
      </c>
    </row>
    <row r="132" spans="1:8" s="18" customFormat="1" ht="13.8" thickBot="1">
      <c r="A132" s="26"/>
    </row>
    <row r="133" spans="1:8" s="18" customFormat="1">
      <c r="A133" s="26"/>
      <c r="B133" s="90" t="s">
        <v>165</v>
      </c>
      <c r="C133" s="90"/>
    </row>
    <row r="134" spans="1:8" s="18" customFormat="1">
      <c r="A134" s="26"/>
      <c r="B134" s="88" t="s">
        <v>166</v>
      </c>
      <c r="C134" s="88">
        <v>0.90502411542524541</v>
      </c>
    </row>
    <row r="135" spans="1:8" s="18" customFormat="1">
      <c r="A135" s="26"/>
      <c r="B135" s="88" t="s">
        <v>167</v>
      </c>
      <c r="C135" s="88">
        <v>0.81906864950124791</v>
      </c>
    </row>
    <row r="136" spans="1:8" s="18" customFormat="1">
      <c r="A136" s="26"/>
      <c r="B136" s="88" t="s">
        <v>168</v>
      </c>
      <c r="C136" s="88">
        <v>0.81142366286045553</v>
      </c>
    </row>
    <row r="137" spans="1:8" s="18" customFormat="1">
      <c r="A137" s="26"/>
      <c r="B137" s="88" t="s">
        <v>169</v>
      </c>
      <c r="C137" s="88">
        <v>17490534.209845472</v>
      </c>
    </row>
    <row r="138" spans="1:8" s="18" customFormat="1" ht="13.8" thickBot="1">
      <c r="A138" s="26"/>
      <c r="B138" s="89" t="s">
        <v>140</v>
      </c>
      <c r="C138" s="89">
        <v>75</v>
      </c>
    </row>
    <row r="139" spans="1:8" s="18" customFormat="1" ht="21" customHeight="1">
      <c r="A139" s="26"/>
    </row>
    <row r="140" spans="1:8" s="18" customFormat="1" ht="13.8" thickBot="1">
      <c r="A140" s="26"/>
      <c r="B140" s="18" t="s">
        <v>170</v>
      </c>
    </row>
    <row r="141" spans="1:8" s="18" customFormat="1">
      <c r="A141" s="26"/>
      <c r="B141" s="90"/>
      <c r="C141" s="90" t="s">
        <v>141</v>
      </c>
      <c r="D141" s="90" t="s">
        <v>175</v>
      </c>
      <c r="E141" s="90" t="s">
        <v>176</v>
      </c>
      <c r="F141" s="90" t="s">
        <v>177</v>
      </c>
      <c r="G141" s="90" t="s">
        <v>178</v>
      </c>
    </row>
    <row r="142" spans="1:8" s="18" customFormat="1">
      <c r="A142" s="26"/>
      <c r="B142" s="88" t="s">
        <v>171</v>
      </c>
      <c r="C142" s="88">
        <v>3</v>
      </c>
      <c r="D142" s="88">
        <v>9.8326589484307936E+16</v>
      </c>
      <c r="E142" s="88">
        <v>3.2775529828102644E+16</v>
      </c>
      <c r="F142" s="88">
        <v>107.1380092583599</v>
      </c>
      <c r="G142" s="88">
        <v>2.7028598774787857E-26</v>
      </c>
    </row>
    <row r="143" spans="1:8" s="18" customFormat="1">
      <c r="A143" s="26"/>
      <c r="B143" s="88" t="s">
        <v>172</v>
      </c>
      <c r="C143" s="88">
        <v>71</v>
      </c>
      <c r="D143" s="88">
        <v>2.1720233873150008E+16</v>
      </c>
      <c r="E143" s="88">
        <v>305918786945774.75</v>
      </c>
      <c r="F143" s="88"/>
      <c r="G143" s="88"/>
    </row>
    <row r="144" spans="1:8" s="18" customFormat="1" ht="13.8" thickBot="1">
      <c r="A144" s="26"/>
      <c r="B144" s="89" t="s">
        <v>173</v>
      </c>
      <c r="C144" s="89">
        <v>74</v>
      </c>
      <c r="D144" s="89">
        <v>1.2004682335745795E+17</v>
      </c>
      <c r="E144" s="89"/>
      <c r="F144" s="89"/>
      <c r="G144" s="89"/>
    </row>
    <row r="145" spans="1:10" s="18" customFormat="1" ht="13.8" thickBot="1">
      <c r="A145" s="26"/>
    </row>
    <row r="146" spans="1:10" s="18" customFormat="1">
      <c r="A146" s="26"/>
      <c r="B146" s="90"/>
      <c r="C146" s="90" t="s">
        <v>179</v>
      </c>
      <c r="D146" s="90" t="s">
        <v>169</v>
      </c>
      <c r="E146" s="90" t="s">
        <v>142</v>
      </c>
      <c r="F146" s="90" t="s">
        <v>180</v>
      </c>
      <c r="G146" s="90" t="s">
        <v>181</v>
      </c>
      <c r="H146" s="90" t="s">
        <v>182</v>
      </c>
      <c r="I146" s="90" t="s">
        <v>183</v>
      </c>
      <c r="J146" s="90" t="s">
        <v>184</v>
      </c>
    </row>
    <row r="147" spans="1:10" s="18" customFormat="1" ht="16.2" customHeight="1">
      <c r="A147" s="26"/>
      <c r="B147" s="88" t="s">
        <v>174</v>
      </c>
      <c r="C147" s="88">
        <v>-28791151.941847272</v>
      </c>
      <c r="D147" s="88">
        <v>7294541.1281236373</v>
      </c>
      <c r="E147" s="88">
        <v>-3.9469449052586496</v>
      </c>
      <c r="F147" s="88">
        <v>1.8407033255249595E-4</v>
      </c>
      <c r="G147" s="88">
        <v>-43336053.845746554</v>
      </c>
      <c r="H147" s="88">
        <v>-14246250.03794799</v>
      </c>
      <c r="I147" s="88">
        <v>-40948231.693641543</v>
      </c>
      <c r="J147" s="88">
        <v>-16634072.190052999</v>
      </c>
    </row>
    <row r="148" spans="1:10" s="18" customFormat="1">
      <c r="A148" s="26"/>
      <c r="B148" s="88" t="s">
        <v>94</v>
      </c>
      <c r="C148" s="88">
        <v>2.8492546647857844</v>
      </c>
      <c r="D148" s="88">
        <v>0.19534519713121345</v>
      </c>
      <c r="E148" s="88">
        <v>14.585742094656869</v>
      </c>
      <c r="F148" s="88">
        <v>4.7438770215366675E-23</v>
      </c>
      <c r="G148" s="88">
        <v>2.4597474045255048</v>
      </c>
      <c r="H148" s="88">
        <v>3.238761925046064</v>
      </c>
      <c r="I148" s="88">
        <v>2.5236924259907845</v>
      </c>
      <c r="J148" s="88">
        <v>3.1748169035807843</v>
      </c>
    </row>
    <row r="149" spans="1:10" s="18" customFormat="1">
      <c r="A149" s="26"/>
      <c r="B149" s="88" t="s">
        <v>93</v>
      </c>
      <c r="C149" s="88">
        <v>0.26632357353534036</v>
      </c>
      <c r="D149" s="88">
        <v>9.7280468912645301E-2</v>
      </c>
      <c r="E149" s="88">
        <v>2.737688011912137</v>
      </c>
      <c r="F149" s="88">
        <v>7.8141926569155022E-3</v>
      </c>
      <c r="G149" s="88">
        <v>7.235182772605861E-2</v>
      </c>
      <c r="H149" s="88">
        <v>0.46029531934462209</v>
      </c>
      <c r="I149" s="88">
        <v>0.1041959772834864</v>
      </c>
      <c r="J149" s="88">
        <v>0.42845116978719433</v>
      </c>
    </row>
    <row r="150" spans="1:10" s="18" customFormat="1" ht="13.8" thickBot="1">
      <c r="A150" s="26"/>
      <c r="B150" s="89" t="s">
        <v>89</v>
      </c>
      <c r="C150" s="89">
        <v>504422.35504176433</v>
      </c>
      <c r="D150" s="89">
        <v>134994.49282127831</v>
      </c>
      <c r="E150" s="89">
        <v>3.7366143203306699</v>
      </c>
      <c r="F150" s="89">
        <v>3.7389086723582556E-4</v>
      </c>
      <c r="G150" s="89">
        <v>235250.98138509237</v>
      </c>
      <c r="H150" s="89">
        <v>773593.72869843629</v>
      </c>
      <c r="I150" s="89">
        <v>279440.57942958851</v>
      </c>
      <c r="J150" s="89">
        <v>729404.13065394014</v>
      </c>
    </row>
    <row r="151" spans="1:10" s="18" customFormat="1">
      <c r="A151" s="26"/>
    </row>
    <row r="152" spans="1:10" s="18" customFormat="1">
      <c r="A152" s="26" t="s">
        <v>250</v>
      </c>
      <c r="B152" s="31"/>
      <c r="C152" s="17"/>
    </row>
    <row r="153" spans="1:10" s="18" customFormat="1">
      <c r="A153" s="26"/>
      <c r="B153" s="31"/>
      <c r="C153" s="17"/>
    </row>
    <row r="154" spans="1:10" s="18" customFormat="1">
      <c r="A154" s="26"/>
      <c r="B154" s="91" t="s">
        <v>251</v>
      </c>
      <c r="C154" s="140" t="s">
        <v>253</v>
      </c>
    </row>
    <row r="155" spans="1:10" s="18" customFormat="1">
      <c r="A155" s="26"/>
      <c r="B155" s="91" t="s">
        <v>114</v>
      </c>
      <c r="C155" s="140">
        <f>'Exhibit 1'!B22</f>
        <v>10245190</v>
      </c>
      <c r="D155" s="34"/>
      <c r="E155" s="31"/>
      <c r="F155" s="31"/>
      <c r="G155" s="31"/>
      <c r="H155" s="31"/>
    </row>
    <row r="156" spans="1:10" s="18" customFormat="1">
      <c r="A156" s="26"/>
      <c r="B156" s="91" t="s">
        <v>118</v>
      </c>
      <c r="C156" s="140">
        <f>'Exhibit 1'!E22</f>
        <v>90000000</v>
      </c>
      <c r="D156" s="34"/>
      <c r="E156" s="31"/>
      <c r="F156" s="31"/>
      <c r="G156" s="31"/>
      <c r="H156" s="31"/>
    </row>
    <row r="157" spans="1:10" s="18" customFormat="1">
      <c r="A157" s="26"/>
      <c r="B157" s="91" t="s">
        <v>252</v>
      </c>
      <c r="C157" s="140">
        <f>'Exhibit 1'!P22</f>
        <v>79</v>
      </c>
      <c r="D157" s="34"/>
      <c r="E157" s="31"/>
      <c r="F157" s="31"/>
      <c r="G157" s="31"/>
      <c r="H157" s="31"/>
    </row>
    <row r="159" spans="1:10" s="18" customFormat="1">
      <c r="A159" s="26"/>
      <c r="B159" s="80" t="s">
        <v>254</v>
      </c>
      <c r="C159" s="81">
        <f>C147+ (C155*C148) + (C156*C149) + (C157*C150)</f>
        <v>64218491.123749405</v>
      </c>
      <c r="D159" s="34"/>
      <c r="E159" s="31"/>
      <c r="F159" s="31"/>
      <c r="G159" s="31"/>
      <c r="H159" s="31"/>
    </row>
    <row r="161" spans="1:8" s="18" customFormat="1">
      <c r="A161" s="26"/>
      <c r="B161" s="92" t="s">
        <v>292</v>
      </c>
      <c r="C161" s="109">
        <v>0.05</v>
      </c>
      <c r="D161" s="34"/>
      <c r="E161" s="31"/>
      <c r="F161" s="31"/>
      <c r="G161" s="31"/>
      <c r="H161" s="31"/>
    </row>
    <row r="163" spans="1:8" s="18" customFormat="1">
      <c r="A163" s="26"/>
      <c r="B163" s="141" t="s">
        <v>255</v>
      </c>
      <c r="C163" s="142"/>
      <c r="D163" s="34"/>
      <c r="E163" s="31"/>
      <c r="F163" s="31"/>
      <c r="G163" s="31"/>
      <c r="H163" s="31"/>
    </row>
    <row r="164" spans="1:8" s="18" customFormat="1" ht="14.4">
      <c r="A164" s="26"/>
      <c r="B164" s="149" t="s">
        <v>122</v>
      </c>
      <c r="C164" s="25">
        <f>C137</f>
        <v>17490534.209845472</v>
      </c>
      <c r="D164" s="34"/>
      <c r="E164" s="31"/>
      <c r="F164" s="31"/>
      <c r="G164" s="31"/>
      <c r="H164" s="31"/>
    </row>
    <row r="165" spans="1:8" s="18" customFormat="1" ht="14.4">
      <c r="A165" s="26"/>
      <c r="B165" s="149" t="s">
        <v>256</v>
      </c>
      <c r="C165" s="150">
        <f>_xlfn.T.INV.2T(C161,C164)</f>
        <v>1.9599641204131306</v>
      </c>
      <c r="D165" s="34"/>
      <c r="E165" s="31"/>
      <c r="F165" s="31"/>
      <c r="G165" s="31"/>
      <c r="H165" s="31"/>
    </row>
    <row r="166" spans="1:8" s="18" customFormat="1" ht="14.4">
      <c r="A166" s="26"/>
      <c r="B166" s="149" t="s">
        <v>257</v>
      </c>
      <c r="C166" s="25">
        <f>C164*C165</f>
        <v>34280819.498155549</v>
      </c>
      <c r="D166" s="34"/>
      <c r="E166" s="31"/>
      <c r="F166" s="31"/>
      <c r="G166" s="31"/>
      <c r="H166" s="31"/>
    </row>
    <row r="167" spans="1:8" s="18" customFormat="1" ht="14.4">
      <c r="A167" s="26"/>
      <c r="B167" s="149" t="s">
        <v>258</v>
      </c>
      <c r="C167" s="25">
        <f>C159-C166</f>
        <v>29937671.625593856</v>
      </c>
      <c r="D167" s="34"/>
      <c r="E167" s="31"/>
      <c r="F167" s="31"/>
      <c r="G167" s="31"/>
      <c r="H167" s="31"/>
    </row>
    <row r="168" spans="1:8" s="18" customFormat="1" ht="14.4">
      <c r="A168" s="26"/>
      <c r="B168" s="149" t="s">
        <v>259</v>
      </c>
      <c r="C168" s="25">
        <f>C159+C167</f>
        <v>94156162.749343261</v>
      </c>
      <c r="D168" s="34"/>
      <c r="E168" s="31"/>
      <c r="F168" s="31"/>
      <c r="G168" s="31"/>
      <c r="H168" s="31"/>
    </row>
    <row r="171" spans="1:8" s="18" customFormat="1">
      <c r="A171" s="26" t="s">
        <v>260</v>
      </c>
      <c r="B171" s="31"/>
      <c r="C171" s="17"/>
      <c r="D171" s="34"/>
      <c r="E171" s="31"/>
      <c r="F171" s="31"/>
      <c r="G171" s="31"/>
      <c r="H171" s="31"/>
    </row>
    <row r="172" spans="1:8" s="18" customFormat="1" ht="14.4">
      <c r="A172" s="26"/>
      <c r="B172" s="151" t="s">
        <v>293</v>
      </c>
      <c r="C172" s="151" t="s">
        <v>294</v>
      </c>
      <c r="D172" s="34"/>
      <c r="E172" s="31"/>
      <c r="F172" s="31"/>
      <c r="G172" s="31"/>
      <c r="H172" s="31"/>
    </row>
    <row r="173" spans="1:8" s="18" customFormat="1" ht="14.4">
      <c r="A173" s="26"/>
      <c r="B173" s="146" t="s">
        <v>261</v>
      </c>
      <c r="C173" s="148">
        <f>C150</f>
        <v>504422.35504176433</v>
      </c>
      <c r="D173" s="34"/>
      <c r="E173" s="31"/>
      <c r="F173" s="31"/>
      <c r="G173" s="31"/>
      <c r="H173" s="31"/>
    </row>
    <row r="174" spans="1:8" s="18" customFormat="1" ht="14.4">
      <c r="A174" s="26"/>
      <c r="B174" s="146" t="s">
        <v>295</v>
      </c>
      <c r="C174" s="147">
        <v>10</v>
      </c>
      <c r="D174" s="34"/>
      <c r="E174" s="31"/>
      <c r="F174" s="31"/>
      <c r="G174" s="31"/>
      <c r="H174" s="31"/>
    </row>
    <row r="175" spans="1:8" s="18" customFormat="1" ht="14.4">
      <c r="A175" s="26"/>
      <c r="B175" s="146" t="s">
        <v>296</v>
      </c>
      <c r="C175" s="148">
        <f>C150*C174</f>
        <v>5044223.550417643</v>
      </c>
      <c r="D175" s="34"/>
      <c r="E175" s="31"/>
      <c r="F175" s="31"/>
      <c r="G175" s="31"/>
      <c r="H175" s="31"/>
    </row>
    <row r="176" spans="1:8" s="18" customFormat="1" ht="14.4">
      <c r="A176" s="26"/>
      <c r="B176" s="146" t="s">
        <v>297</v>
      </c>
      <c r="C176" s="148">
        <f>C175</f>
        <v>5044223.550417643</v>
      </c>
      <c r="D176" s="34"/>
      <c r="E176" s="31"/>
      <c r="F176" s="31"/>
      <c r="G176" s="31"/>
      <c r="H176" s="31"/>
    </row>
    <row r="177" spans="1:8" s="18" customFormat="1">
      <c r="A177" s="26"/>
      <c r="D177" s="34"/>
      <c r="E177" s="31"/>
      <c r="F177" s="31"/>
      <c r="G177" s="31"/>
      <c r="H177" s="31"/>
    </row>
    <row r="178" spans="1:8" s="18" customFormat="1">
      <c r="A178" s="26"/>
      <c r="B178" s="102" t="s">
        <v>137</v>
      </c>
      <c r="C178" s="91" t="s">
        <v>298</v>
      </c>
      <c r="D178" s="34"/>
      <c r="E178" s="31"/>
      <c r="F178" s="31"/>
      <c r="G178" s="31"/>
      <c r="H178" s="31"/>
    </row>
    <row r="180" spans="1:8" s="18" customFormat="1">
      <c r="A180" s="26"/>
      <c r="B180" s="31"/>
      <c r="C180" s="17"/>
      <c r="D180" s="51"/>
      <c r="E180" s="31"/>
      <c r="F180" s="31"/>
      <c r="G180" s="31"/>
      <c r="H180" s="31"/>
    </row>
    <row r="181" spans="1:8" s="18" customFormat="1">
      <c r="A181" s="26"/>
      <c r="B181" s="31"/>
      <c r="C181" s="17"/>
      <c r="D181" s="143"/>
      <c r="E181" s="31"/>
      <c r="F181" s="31"/>
      <c r="G181" s="31"/>
      <c r="H181" s="31"/>
    </row>
    <row r="182" spans="1:8" s="18" customFormat="1">
      <c r="A182" s="26"/>
      <c r="B182" s="31"/>
      <c r="C182" s="17"/>
      <c r="D182" s="143"/>
      <c r="E182" s="31"/>
      <c r="F182" s="31"/>
      <c r="G182" s="31"/>
      <c r="H182" s="31"/>
    </row>
    <row r="183" spans="1:8" s="18" customFormat="1">
      <c r="A183" s="26"/>
      <c r="B183" s="31"/>
      <c r="C183" s="17"/>
      <c r="D183" s="144"/>
      <c r="E183" s="31"/>
      <c r="F183" s="31"/>
      <c r="G183" s="31"/>
      <c r="H183" s="31"/>
    </row>
    <row r="184" spans="1:8" s="18" customFormat="1">
      <c r="A184" s="26"/>
      <c r="B184" s="31"/>
      <c r="C184" s="17"/>
      <c r="D184" s="145"/>
      <c r="E184" s="31"/>
      <c r="F184" s="31"/>
      <c r="G184" s="31"/>
      <c r="H184" s="31"/>
    </row>
    <row r="189" spans="1:8" s="18" customFormat="1">
      <c r="A189" s="26"/>
      <c r="F189" s="31"/>
      <c r="G189" s="31"/>
      <c r="H189" s="31"/>
    </row>
    <row r="190" spans="1:8" s="18" customFormat="1">
      <c r="A190" s="26"/>
      <c r="F190" s="31"/>
      <c r="G190" s="31"/>
      <c r="H190" s="31"/>
    </row>
    <row r="191" spans="1:8" s="18" customFormat="1">
      <c r="A191" s="26"/>
      <c r="F191" s="31"/>
      <c r="G191" s="31"/>
      <c r="H191" s="31"/>
    </row>
    <row r="192" spans="1:8" s="18" customFormat="1">
      <c r="A192" s="26"/>
      <c r="F192" s="31"/>
      <c r="G192" s="31"/>
      <c r="H192" s="31"/>
    </row>
    <row r="193" spans="1:8" s="18" customFormat="1">
      <c r="A193" s="26"/>
      <c r="F193" s="31"/>
      <c r="G193" s="31"/>
      <c r="H193" s="31"/>
    </row>
    <row r="194" spans="1:8" s="18" customFormat="1">
      <c r="A194" s="26"/>
      <c r="F194" s="31"/>
      <c r="G194" s="31"/>
      <c r="H194" s="31"/>
    </row>
  </sheetData>
  <mergeCells count="9">
    <mergeCell ref="B163:C163"/>
    <mergeCell ref="C123:D123"/>
    <mergeCell ref="C124:D124"/>
    <mergeCell ref="C125:D125"/>
    <mergeCell ref="B123:B126"/>
    <mergeCell ref="C126:D126"/>
    <mergeCell ref="B108:C108"/>
    <mergeCell ref="B119:D119"/>
    <mergeCell ref="B120:D120"/>
  </mergeCells>
  <conditionalFormatting sqref="C110:C116">
    <cfRule type="cellIs" dxfId="2" priority="1" operator="equal">
      <formula>TRUE</formula>
    </cfRule>
    <cfRule type="cellIs" dxfId="1" priority="2" operator="equal">
      <formula>FALSE</formula>
    </cfRule>
    <cfRule type="cellIs" dxfId="0" priority="13" operator="equal">
      <formula>$B$110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CDEF1-79BC-4CA3-8651-0E2925CE00BF}">
  <dimension ref="A1:J110"/>
  <sheetViews>
    <sheetView tabSelected="1" topLeftCell="A41" workbookViewId="0">
      <selection activeCell="B59" sqref="A1:XFD1048576"/>
    </sheetView>
  </sheetViews>
  <sheetFormatPr defaultRowHeight="13.2"/>
  <cols>
    <col min="1" max="1" width="21.88671875" style="26" customWidth="1"/>
    <col min="2" max="2" width="50.88671875" style="31" bestFit="1" customWidth="1"/>
    <col min="3" max="3" width="66" style="34" bestFit="1" customWidth="1"/>
    <col min="4" max="4" width="20.109375" style="31" customWidth="1"/>
    <col min="5" max="5" width="16.6640625" style="31" customWidth="1"/>
    <col min="6" max="6" width="20.77734375" style="31" customWidth="1"/>
    <col min="7" max="7" width="14.109375" style="18" customWidth="1"/>
    <col min="8" max="8" width="15.33203125" style="18" customWidth="1"/>
    <col min="9" max="9" width="15.109375" style="18" customWidth="1"/>
    <col min="10" max="10" width="15.33203125" style="18" customWidth="1"/>
    <col min="11" max="16384" width="8.88671875" style="18"/>
  </cols>
  <sheetData>
    <row r="1" spans="1:6">
      <c r="A1" s="52" t="s">
        <v>103</v>
      </c>
      <c r="B1" s="51" t="s">
        <v>94</v>
      </c>
      <c r="C1" s="51" t="s">
        <v>88</v>
      </c>
      <c r="D1" s="51" t="s">
        <v>89</v>
      </c>
      <c r="E1" s="51" t="s">
        <v>159</v>
      </c>
      <c r="F1" s="51" t="s">
        <v>262</v>
      </c>
    </row>
    <row r="2" spans="1:6">
      <c r="A2" s="16">
        <v>36895141</v>
      </c>
      <c r="B2" s="55">
        <v>11855260</v>
      </c>
      <c r="C2" s="55">
        <v>2706</v>
      </c>
      <c r="D2" s="31">
        <v>63</v>
      </c>
      <c r="E2" s="31">
        <v>0</v>
      </c>
      <c r="F2" s="31">
        <v>0</v>
      </c>
    </row>
    <row r="3" spans="1:6">
      <c r="A3" s="16">
        <v>36323505</v>
      </c>
      <c r="B3" s="55">
        <v>10023835</v>
      </c>
      <c r="C3" s="55">
        <v>2914</v>
      </c>
      <c r="D3" s="31">
        <v>47</v>
      </c>
      <c r="E3" s="31">
        <v>1</v>
      </c>
      <c r="F3" s="31">
        <v>47</v>
      </c>
    </row>
    <row r="4" spans="1:6">
      <c r="A4" s="16">
        <v>50866635</v>
      </c>
      <c r="B4" s="55">
        <v>15005604</v>
      </c>
      <c r="C4" s="55">
        <v>2465</v>
      </c>
      <c r="D4" s="31">
        <v>68</v>
      </c>
      <c r="E4" s="31">
        <v>0</v>
      </c>
      <c r="F4" s="31">
        <v>0</v>
      </c>
    </row>
    <row r="5" spans="1:6">
      <c r="A5" s="16">
        <v>15132763</v>
      </c>
      <c r="B5" s="17">
        <v>4294936</v>
      </c>
      <c r="C5" s="55">
        <v>2247</v>
      </c>
      <c r="D5" s="31">
        <v>39</v>
      </c>
      <c r="E5" s="31">
        <v>0</v>
      </c>
      <c r="F5" s="31">
        <v>0</v>
      </c>
    </row>
    <row r="6" spans="1:6">
      <c r="A6" s="16">
        <v>21170563</v>
      </c>
      <c r="B6" s="55">
        <v>11554404</v>
      </c>
      <c r="C6" s="55">
        <v>1602</v>
      </c>
      <c r="D6" s="31">
        <v>63</v>
      </c>
      <c r="E6" s="31">
        <v>0</v>
      </c>
      <c r="F6" s="31">
        <v>0</v>
      </c>
    </row>
    <row r="7" spans="1:6">
      <c r="A7" s="16">
        <v>34302837</v>
      </c>
      <c r="B7" s="17">
        <v>5558095</v>
      </c>
      <c r="C7" s="55">
        <v>1251</v>
      </c>
      <c r="D7" s="31">
        <v>69</v>
      </c>
      <c r="E7" s="31">
        <v>0</v>
      </c>
      <c r="F7" s="31">
        <v>0</v>
      </c>
    </row>
    <row r="8" spans="1:6">
      <c r="A8" s="16">
        <v>72637803</v>
      </c>
      <c r="B8" s="55">
        <v>15820864</v>
      </c>
      <c r="C8" s="55">
        <v>3311</v>
      </c>
      <c r="D8" s="31">
        <v>42</v>
      </c>
      <c r="E8" s="31">
        <v>0</v>
      </c>
      <c r="F8" s="31">
        <v>0</v>
      </c>
    </row>
    <row r="9" spans="1:6">
      <c r="A9" s="16">
        <v>70165972</v>
      </c>
      <c r="B9" s="55">
        <v>27736056</v>
      </c>
      <c r="C9" s="55">
        <v>3261</v>
      </c>
      <c r="D9" s="31">
        <v>34</v>
      </c>
      <c r="E9" s="31">
        <v>1</v>
      </c>
      <c r="F9" s="31">
        <v>34</v>
      </c>
    </row>
    <row r="10" spans="1:6">
      <c r="A10" s="16">
        <v>57377916</v>
      </c>
      <c r="B10" s="55">
        <v>8648324</v>
      </c>
      <c r="C10" s="55">
        <v>1910</v>
      </c>
      <c r="D10" s="31">
        <v>63</v>
      </c>
      <c r="E10" s="31">
        <v>0</v>
      </c>
      <c r="F10" s="31">
        <v>0</v>
      </c>
    </row>
    <row r="11" spans="1:6">
      <c r="A11" s="16">
        <v>82599768</v>
      </c>
      <c r="B11" s="55">
        <v>11457353</v>
      </c>
      <c r="C11" s="55">
        <v>3566</v>
      </c>
      <c r="D11" s="31">
        <v>68</v>
      </c>
      <c r="E11" s="31">
        <v>1</v>
      </c>
      <c r="F11" s="31">
        <v>68</v>
      </c>
    </row>
    <row r="12" spans="1:6">
      <c r="A12" s="16">
        <v>35327768</v>
      </c>
      <c r="B12" s="17">
        <v>10197775</v>
      </c>
      <c r="C12" s="55">
        <v>1209</v>
      </c>
      <c r="D12" s="31">
        <v>84</v>
      </c>
      <c r="E12" s="31">
        <v>0</v>
      </c>
      <c r="F12" s="31">
        <v>0</v>
      </c>
    </row>
    <row r="13" spans="1:6">
      <c r="A13" s="16">
        <v>137355633</v>
      </c>
      <c r="B13" s="55">
        <v>40011365</v>
      </c>
      <c r="C13" s="55">
        <v>3749</v>
      </c>
      <c r="D13" s="31">
        <v>45</v>
      </c>
      <c r="E13" s="31">
        <v>1</v>
      </c>
      <c r="F13" s="31">
        <v>45</v>
      </c>
    </row>
    <row r="14" spans="1:6">
      <c r="A14" s="16">
        <v>58360760</v>
      </c>
      <c r="B14" s="55">
        <v>14703405</v>
      </c>
      <c r="C14" s="55">
        <v>2566</v>
      </c>
      <c r="D14" s="31">
        <v>62</v>
      </c>
      <c r="E14" s="31">
        <v>0</v>
      </c>
      <c r="F14" s="31">
        <v>0</v>
      </c>
    </row>
    <row r="15" spans="1:6">
      <c r="A15" s="16">
        <v>48548426</v>
      </c>
      <c r="B15" s="55">
        <v>19076261</v>
      </c>
      <c r="C15" s="55">
        <v>2896</v>
      </c>
      <c r="D15" s="31">
        <v>11</v>
      </c>
      <c r="E15" s="31">
        <v>1</v>
      </c>
      <c r="F15" s="31">
        <v>11</v>
      </c>
    </row>
    <row r="16" spans="1:6">
      <c r="A16" s="16">
        <v>64038616</v>
      </c>
      <c r="B16" s="55">
        <v>20574802</v>
      </c>
      <c r="C16" s="55">
        <v>3108</v>
      </c>
      <c r="D16" s="31">
        <v>59</v>
      </c>
      <c r="E16" s="31">
        <v>0</v>
      </c>
      <c r="F16" s="31">
        <v>0</v>
      </c>
    </row>
    <row r="17" spans="1:6">
      <c r="A17" s="16">
        <v>103365956</v>
      </c>
      <c r="B17" s="17">
        <v>8953734</v>
      </c>
      <c r="C17" s="57">
        <v>852</v>
      </c>
      <c r="D17" s="31">
        <v>76</v>
      </c>
      <c r="E17" s="31">
        <v>0</v>
      </c>
      <c r="F17" s="31">
        <v>0</v>
      </c>
    </row>
    <row r="18" spans="1:6">
      <c r="A18" s="16">
        <v>81612565</v>
      </c>
      <c r="B18" s="55">
        <v>20188176</v>
      </c>
      <c r="C18" s="55">
        <v>3066</v>
      </c>
      <c r="D18" s="31">
        <v>64</v>
      </c>
      <c r="E18" s="31">
        <v>0</v>
      </c>
      <c r="F18" s="31">
        <v>0</v>
      </c>
    </row>
    <row r="19" spans="1:6">
      <c r="A19" s="16">
        <v>75030163</v>
      </c>
      <c r="B19" s="55">
        <v>23239907</v>
      </c>
      <c r="C19" s="55">
        <v>3020</v>
      </c>
      <c r="D19" s="31">
        <v>38</v>
      </c>
      <c r="E19" s="31">
        <v>0</v>
      </c>
      <c r="F19" s="31">
        <v>0</v>
      </c>
    </row>
    <row r="20" spans="1:6">
      <c r="A20" s="16">
        <v>88715192</v>
      </c>
      <c r="B20" s="55">
        <v>24411322</v>
      </c>
      <c r="C20" s="55">
        <v>3057</v>
      </c>
      <c r="D20" s="31">
        <v>47</v>
      </c>
      <c r="E20" s="31">
        <v>1</v>
      </c>
      <c r="F20" s="31">
        <v>47</v>
      </c>
    </row>
    <row r="21" spans="1:6">
      <c r="A21" s="16">
        <v>54098051</v>
      </c>
      <c r="B21" s="55">
        <v>19173094</v>
      </c>
      <c r="C21" s="55">
        <v>2880</v>
      </c>
      <c r="D21" s="31">
        <v>41</v>
      </c>
      <c r="E21" s="31">
        <v>0</v>
      </c>
      <c r="F21" s="31">
        <v>0</v>
      </c>
    </row>
    <row r="22" spans="1:6">
      <c r="A22" s="16">
        <v>33602376</v>
      </c>
      <c r="B22" s="55">
        <v>10245190</v>
      </c>
      <c r="C22" s="55">
        <v>1876</v>
      </c>
      <c r="D22" s="31">
        <v>79</v>
      </c>
      <c r="E22" s="31">
        <v>0</v>
      </c>
      <c r="F22" s="31">
        <v>0</v>
      </c>
    </row>
    <row r="23" spans="1:6">
      <c r="A23" s="16">
        <v>13090630</v>
      </c>
      <c r="B23" s="55">
        <v>6004219</v>
      </c>
      <c r="C23" s="55">
        <v>2033</v>
      </c>
      <c r="D23" s="31">
        <v>47</v>
      </c>
      <c r="E23" s="31">
        <v>0</v>
      </c>
      <c r="F23" s="31">
        <v>0</v>
      </c>
    </row>
    <row r="24" spans="1:6">
      <c r="A24" s="16">
        <v>38432823</v>
      </c>
      <c r="B24" s="55">
        <v>14414630</v>
      </c>
      <c r="C24" s="55">
        <v>3504</v>
      </c>
      <c r="D24" s="31">
        <v>52</v>
      </c>
      <c r="E24" s="31">
        <v>0</v>
      </c>
      <c r="F24" s="31">
        <v>0</v>
      </c>
    </row>
    <row r="25" spans="1:6">
      <c r="A25" s="16">
        <v>198000317</v>
      </c>
      <c r="B25" s="55">
        <v>41533432</v>
      </c>
      <c r="C25" s="55">
        <v>3804</v>
      </c>
      <c r="D25" s="31">
        <v>77</v>
      </c>
      <c r="E25" s="31">
        <v>0</v>
      </c>
      <c r="F25" s="31">
        <v>0</v>
      </c>
    </row>
    <row r="26" spans="1:6">
      <c r="A26" s="16">
        <v>195330621</v>
      </c>
      <c r="B26" s="55">
        <v>68033544</v>
      </c>
      <c r="C26" s="55">
        <v>3964</v>
      </c>
      <c r="D26" s="31">
        <v>58</v>
      </c>
      <c r="E26" s="31">
        <v>0</v>
      </c>
      <c r="F26" s="31">
        <v>0</v>
      </c>
    </row>
    <row r="27" spans="1:6">
      <c r="A27" s="16">
        <v>88513495</v>
      </c>
      <c r="B27" s="55">
        <v>28954945</v>
      </c>
      <c r="C27" s="55">
        <v>2818</v>
      </c>
      <c r="D27" s="31">
        <v>76</v>
      </c>
      <c r="E27" s="31">
        <v>0</v>
      </c>
      <c r="F27" s="31">
        <v>0</v>
      </c>
    </row>
    <row r="28" spans="1:6">
      <c r="A28" s="16">
        <v>17326650</v>
      </c>
      <c r="B28" s="55">
        <v>5692285</v>
      </c>
      <c r="C28" s="55">
        <v>2541</v>
      </c>
      <c r="D28" s="31">
        <v>29</v>
      </c>
      <c r="E28" s="31">
        <v>1</v>
      </c>
      <c r="F28" s="31">
        <v>29</v>
      </c>
    </row>
    <row r="29" spans="1:6">
      <c r="A29" s="16">
        <v>42285169</v>
      </c>
      <c r="B29" s="55">
        <v>18044396</v>
      </c>
      <c r="C29" s="55">
        <v>3235</v>
      </c>
      <c r="D29" s="31">
        <v>36</v>
      </c>
      <c r="E29" s="31">
        <v>0</v>
      </c>
      <c r="F29" s="31">
        <v>0</v>
      </c>
    </row>
    <row r="30" spans="1:6">
      <c r="A30" s="16">
        <v>38399961</v>
      </c>
      <c r="B30" s="55">
        <v>12806188</v>
      </c>
      <c r="C30" s="55">
        <v>2514</v>
      </c>
      <c r="D30" s="31">
        <v>52</v>
      </c>
      <c r="E30" s="31">
        <v>0</v>
      </c>
      <c r="F30" s="31">
        <v>0</v>
      </c>
    </row>
    <row r="31" spans="1:6">
      <c r="A31" s="16">
        <v>58645052</v>
      </c>
      <c r="B31" s="55">
        <v>21613176</v>
      </c>
      <c r="C31" s="55">
        <v>2533</v>
      </c>
      <c r="D31" s="31">
        <v>26</v>
      </c>
      <c r="E31" s="31">
        <v>1</v>
      </c>
      <c r="F31" s="31">
        <v>26</v>
      </c>
    </row>
    <row r="32" spans="1:6">
      <c r="A32" s="16">
        <v>22495466</v>
      </c>
      <c r="B32" s="55">
        <v>7031921</v>
      </c>
      <c r="C32" s="55">
        <v>1984</v>
      </c>
      <c r="D32" s="31">
        <v>53</v>
      </c>
      <c r="E32" s="31">
        <v>0</v>
      </c>
      <c r="F32" s="31">
        <v>0</v>
      </c>
    </row>
    <row r="33" spans="1:6">
      <c r="A33" s="16">
        <v>15962471</v>
      </c>
      <c r="B33" s="55">
        <v>5361050</v>
      </c>
      <c r="C33" s="57">
        <v>859</v>
      </c>
      <c r="D33" s="31">
        <v>65</v>
      </c>
      <c r="E33" s="31">
        <v>0</v>
      </c>
      <c r="F33" s="31">
        <v>0</v>
      </c>
    </row>
    <row r="34" spans="1:6">
      <c r="A34" s="16">
        <v>73661010</v>
      </c>
      <c r="B34" s="55">
        <v>22217226</v>
      </c>
      <c r="C34" s="55">
        <v>3553</v>
      </c>
      <c r="D34" s="31">
        <v>68</v>
      </c>
      <c r="E34" s="31">
        <v>0</v>
      </c>
      <c r="F34" s="31">
        <v>0</v>
      </c>
    </row>
    <row r="35" spans="1:6">
      <c r="A35" s="16">
        <v>80197993</v>
      </c>
      <c r="B35" s="55">
        <v>28309599</v>
      </c>
      <c r="C35" s="55">
        <v>3070</v>
      </c>
      <c r="D35" s="31">
        <v>52</v>
      </c>
      <c r="E35" s="31">
        <v>1</v>
      </c>
      <c r="F35" s="31">
        <v>52</v>
      </c>
    </row>
    <row r="36" spans="1:6">
      <c r="A36" s="16">
        <v>47144110</v>
      </c>
      <c r="B36" s="55">
        <v>14503650</v>
      </c>
      <c r="C36" s="55">
        <v>1995</v>
      </c>
      <c r="D36" s="31">
        <v>59</v>
      </c>
      <c r="E36" s="31">
        <v>1</v>
      </c>
      <c r="F36" s="31">
        <v>59</v>
      </c>
    </row>
    <row r="37" spans="1:6">
      <c r="A37" s="16">
        <v>13395961</v>
      </c>
      <c r="B37" s="55">
        <v>4120497</v>
      </c>
      <c r="C37" s="57">
        <v>909</v>
      </c>
      <c r="D37" s="31">
        <v>38</v>
      </c>
      <c r="E37" s="31">
        <v>0</v>
      </c>
      <c r="F37" s="31">
        <v>0</v>
      </c>
    </row>
    <row r="38" spans="1:6">
      <c r="A38" s="16">
        <v>84303558</v>
      </c>
      <c r="B38" s="55">
        <v>23624548</v>
      </c>
      <c r="C38" s="55">
        <v>3833</v>
      </c>
      <c r="D38" s="31">
        <v>49</v>
      </c>
      <c r="E38" s="31">
        <v>0</v>
      </c>
      <c r="F38" s="31">
        <v>0</v>
      </c>
    </row>
    <row r="39" spans="1:6">
      <c r="A39" s="16">
        <v>20264436</v>
      </c>
      <c r="B39" s="55">
        <v>8203822</v>
      </c>
      <c r="C39" s="55">
        <v>2323</v>
      </c>
      <c r="D39" s="31">
        <v>27</v>
      </c>
      <c r="E39" s="31">
        <v>0</v>
      </c>
      <c r="F39" s="31">
        <v>0</v>
      </c>
    </row>
    <row r="40" spans="1:6">
      <c r="A40" s="16">
        <v>70269899</v>
      </c>
      <c r="B40" s="55">
        <v>12158168</v>
      </c>
      <c r="C40" s="55">
        <v>3017</v>
      </c>
      <c r="D40" s="31">
        <v>63</v>
      </c>
      <c r="E40" s="31">
        <v>0</v>
      </c>
      <c r="F40" s="31">
        <v>0</v>
      </c>
    </row>
    <row r="41" spans="1:6">
      <c r="A41" s="16">
        <v>71726025</v>
      </c>
      <c r="B41" s="55">
        <v>16414767</v>
      </c>
      <c r="C41" s="55">
        <v>3639</v>
      </c>
      <c r="D41" s="31">
        <v>33</v>
      </c>
      <c r="E41" s="31">
        <v>1</v>
      </c>
      <c r="F41" s="31">
        <v>33</v>
      </c>
    </row>
    <row r="42" spans="1:6">
      <c r="A42" s="16">
        <v>90710620</v>
      </c>
      <c r="B42" s="55">
        <v>40222875</v>
      </c>
      <c r="C42" s="55">
        <v>3602</v>
      </c>
      <c r="D42" s="31">
        <v>40</v>
      </c>
      <c r="E42" s="31">
        <v>0</v>
      </c>
      <c r="F42" s="31">
        <v>0</v>
      </c>
    </row>
    <row r="43" spans="1:6">
      <c r="A43" s="16">
        <v>17807569</v>
      </c>
      <c r="B43" s="55">
        <v>8602333</v>
      </c>
      <c r="C43" s="55">
        <v>3004</v>
      </c>
      <c r="D43" s="31">
        <v>44</v>
      </c>
      <c r="E43" s="31">
        <v>1</v>
      </c>
      <c r="F43" s="31">
        <v>44</v>
      </c>
    </row>
    <row r="44" spans="1:6">
      <c r="A44" s="16">
        <v>33741133</v>
      </c>
      <c r="B44" s="55">
        <v>10730372</v>
      </c>
      <c r="C44" s="55">
        <v>2623</v>
      </c>
      <c r="D44" s="31">
        <v>45</v>
      </c>
      <c r="E44" s="31">
        <v>1</v>
      </c>
      <c r="F44" s="31">
        <v>45</v>
      </c>
    </row>
    <row r="45" spans="1:6">
      <c r="A45" s="16">
        <v>46982632</v>
      </c>
      <c r="B45" s="55">
        <v>20152598</v>
      </c>
      <c r="C45" s="55">
        <v>2926</v>
      </c>
      <c r="D45" s="31">
        <v>30</v>
      </c>
      <c r="E45" s="31">
        <v>0</v>
      </c>
      <c r="F45" s="31">
        <v>0</v>
      </c>
    </row>
    <row r="46" spans="1:6">
      <c r="A46" s="16">
        <v>34020814</v>
      </c>
      <c r="B46" s="55">
        <v>13806311</v>
      </c>
      <c r="C46" s="55">
        <v>3555</v>
      </c>
      <c r="D46" s="31">
        <v>58</v>
      </c>
      <c r="E46" s="31">
        <v>0</v>
      </c>
      <c r="F46" s="31">
        <v>0</v>
      </c>
    </row>
    <row r="47" spans="1:6">
      <c r="A47" s="16">
        <v>23086480</v>
      </c>
      <c r="B47" s="55">
        <v>10726406</v>
      </c>
      <c r="C47" s="55">
        <v>2009</v>
      </c>
      <c r="D47" s="31">
        <v>24</v>
      </c>
      <c r="E47" s="31">
        <v>0</v>
      </c>
      <c r="F47" s="31">
        <v>0</v>
      </c>
    </row>
    <row r="48" spans="1:6">
      <c r="A48" s="16">
        <v>26910736</v>
      </c>
      <c r="B48" s="55">
        <v>10803610</v>
      </c>
      <c r="C48" s="55">
        <v>2038</v>
      </c>
      <c r="D48" s="31">
        <v>53</v>
      </c>
      <c r="E48" s="31">
        <v>0</v>
      </c>
      <c r="F48" s="31">
        <v>0</v>
      </c>
    </row>
    <row r="49" spans="1:6">
      <c r="A49" s="16">
        <v>40435190</v>
      </c>
      <c r="B49" s="55">
        <v>13411093</v>
      </c>
      <c r="C49" s="55">
        <v>2264</v>
      </c>
      <c r="D49" s="31">
        <v>67</v>
      </c>
      <c r="E49" s="31">
        <v>1</v>
      </c>
      <c r="F49" s="31">
        <v>67</v>
      </c>
    </row>
    <row r="50" spans="1:6">
      <c r="A50" s="16">
        <v>34742066</v>
      </c>
      <c r="B50" s="55">
        <v>12051277</v>
      </c>
      <c r="C50" s="55">
        <v>3009</v>
      </c>
      <c r="D50" s="31">
        <v>55</v>
      </c>
      <c r="E50" s="31">
        <v>0</v>
      </c>
      <c r="F50" s="31">
        <v>0</v>
      </c>
    </row>
    <row r="51" spans="1:6">
      <c r="A51" s="16">
        <v>148213377</v>
      </c>
      <c r="B51" s="55">
        <v>47042215</v>
      </c>
      <c r="C51" s="55">
        <v>3803</v>
      </c>
      <c r="D51" s="31">
        <v>66</v>
      </c>
      <c r="E51" s="31">
        <v>1</v>
      </c>
      <c r="F51" s="31">
        <v>66</v>
      </c>
    </row>
    <row r="52" spans="1:6">
      <c r="A52" s="16">
        <v>28142535</v>
      </c>
      <c r="B52" s="55">
        <v>8432465</v>
      </c>
      <c r="C52" s="55">
        <v>3050</v>
      </c>
      <c r="D52" s="31">
        <v>59</v>
      </c>
      <c r="E52" s="31">
        <v>0</v>
      </c>
      <c r="F52" s="31">
        <v>0</v>
      </c>
    </row>
    <row r="53" spans="1:6">
      <c r="A53" s="16">
        <v>59843754</v>
      </c>
      <c r="B53" s="55">
        <v>19656429</v>
      </c>
      <c r="C53" s="55">
        <v>3274</v>
      </c>
      <c r="D53" s="31">
        <v>25</v>
      </c>
      <c r="E53" s="31">
        <v>1</v>
      </c>
      <c r="F53" s="31">
        <v>25</v>
      </c>
    </row>
    <row r="54" spans="1:6">
      <c r="A54" s="16">
        <v>22545080</v>
      </c>
      <c r="B54" s="55">
        <v>10005895</v>
      </c>
      <c r="C54" s="55">
        <v>2226</v>
      </c>
      <c r="D54" s="31">
        <v>49</v>
      </c>
      <c r="E54" s="31">
        <v>0</v>
      </c>
      <c r="F54" s="31">
        <v>0</v>
      </c>
    </row>
    <row r="55" spans="1:6">
      <c r="A55" s="16">
        <v>118703275</v>
      </c>
      <c r="B55" s="55">
        <v>39172785</v>
      </c>
      <c r="C55" s="55">
        <v>3070</v>
      </c>
      <c r="D55" s="31">
        <v>45</v>
      </c>
      <c r="E55" s="31">
        <v>1</v>
      </c>
      <c r="F55" s="31">
        <v>45</v>
      </c>
    </row>
    <row r="56" spans="1:6">
      <c r="A56" s="16">
        <v>23380495</v>
      </c>
      <c r="B56" s="55">
        <v>8852458</v>
      </c>
      <c r="C56" s="55">
        <v>2681</v>
      </c>
      <c r="D56" s="31">
        <v>19</v>
      </c>
      <c r="E56" s="31">
        <v>0</v>
      </c>
      <c r="F56" s="31">
        <v>0</v>
      </c>
    </row>
    <row r="57" spans="1:6">
      <c r="A57" s="16">
        <v>132384315</v>
      </c>
      <c r="B57" s="55">
        <v>26887467</v>
      </c>
      <c r="C57" s="55">
        <v>3017</v>
      </c>
      <c r="D57" s="31">
        <v>86</v>
      </c>
      <c r="E57" s="31">
        <v>0</v>
      </c>
      <c r="F57" s="31">
        <v>0</v>
      </c>
    </row>
    <row r="58" spans="1:6">
      <c r="A58" s="16">
        <v>124740460</v>
      </c>
      <c r="B58" s="55">
        <v>27537244</v>
      </c>
      <c r="C58" s="55">
        <v>2847</v>
      </c>
      <c r="D58" s="31">
        <v>62</v>
      </c>
      <c r="E58" s="31">
        <v>1</v>
      </c>
      <c r="F58" s="31">
        <v>62</v>
      </c>
    </row>
    <row r="59" spans="1:6">
      <c r="A59" s="16">
        <v>39143839</v>
      </c>
      <c r="B59" s="55">
        <v>20825300</v>
      </c>
      <c r="C59" s="55">
        <v>3211</v>
      </c>
      <c r="D59" s="31">
        <v>33</v>
      </c>
      <c r="E59" s="31">
        <v>0</v>
      </c>
      <c r="F59" s="31">
        <v>0</v>
      </c>
    </row>
    <row r="60" spans="1:6">
      <c r="A60" s="16">
        <v>63224849</v>
      </c>
      <c r="B60" s="55">
        <v>12778913</v>
      </c>
      <c r="C60" s="55">
        <v>2610</v>
      </c>
      <c r="D60" s="31">
        <v>52</v>
      </c>
      <c r="E60" s="31">
        <v>1</v>
      </c>
      <c r="F60" s="31">
        <v>52</v>
      </c>
    </row>
    <row r="61" spans="1:6">
      <c r="A61" s="16">
        <v>52330111</v>
      </c>
      <c r="B61" s="55">
        <v>13616196</v>
      </c>
      <c r="C61" s="55">
        <v>2645</v>
      </c>
      <c r="D61" s="31">
        <v>52</v>
      </c>
      <c r="E61" s="31">
        <v>0</v>
      </c>
      <c r="F61" s="31">
        <v>0</v>
      </c>
    </row>
    <row r="62" spans="1:6">
      <c r="A62" s="16">
        <v>37629831</v>
      </c>
      <c r="B62" s="55">
        <v>7849304</v>
      </c>
      <c r="C62" s="55">
        <v>3083</v>
      </c>
      <c r="D62" s="31">
        <v>52</v>
      </c>
      <c r="E62" s="31">
        <v>0</v>
      </c>
      <c r="F62" s="31">
        <v>0</v>
      </c>
    </row>
    <row r="63" spans="1:6">
      <c r="A63" s="16">
        <v>54607383</v>
      </c>
      <c r="B63" s="55">
        <v>16026496</v>
      </c>
      <c r="C63" s="55">
        <v>2723</v>
      </c>
      <c r="D63" s="31">
        <v>43</v>
      </c>
      <c r="E63" s="31">
        <v>0</v>
      </c>
      <c r="F63" s="31">
        <v>0</v>
      </c>
    </row>
    <row r="64" spans="1:6">
      <c r="A64" s="16">
        <v>82226474</v>
      </c>
      <c r="B64" s="55">
        <v>20220412</v>
      </c>
      <c r="C64" s="55">
        <v>3477</v>
      </c>
      <c r="D64" s="31">
        <v>38</v>
      </c>
      <c r="E64" s="31">
        <v>1</v>
      </c>
      <c r="F64" s="31">
        <v>38</v>
      </c>
    </row>
    <row r="65" spans="1:6">
      <c r="A65" s="16">
        <v>53089891</v>
      </c>
      <c r="B65" s="55">
        <v>14801808</v>
      </c>
      <c r="C65" s="55">
        <v>2281</v>
      </c>
      <c r="D65" s="31">
        <v>66</v>
      </c>
      <c r="E65" s="31">
        <v>0</v>
      </c>
      <c r="F65" s="31">
        <v>0</v>
      </c>
    </row>
    <row r="66" spans="1:6">
      <c r="A66" s="16">
        <v>163566459</v>
      </c>
      <c r="B66" s="55">
        <v>26541709</v>
      </c>
      <c r="C66" s="55">
        <v>2852</v>
      </c>
      <c r="D66" s="31">
        <v>64</v>
      </c>
      <c r="E66" s="31">
        <v>0</v>
      </c>
      <c r="F66" s="31">
        <v>0</v>
      </c>
    </row>
    <row r="67" spans="1:6">
      <c r="A67" s="16">
        <v>36280697</v>
      </c>
      <c r="B67" s="55">
        <v>14367854</v>
      </c>
      <c r="C67" s="55">
        <v>2819</v>
      </c>
      <c r="D67" s="31">
        <v>48</v>
      </c>
      <c r="E67" s="31">
        <v>0</v>
      </c>
      <c r="F67" s="31">
        <v>0</v>
      </c>
    </row>
    <row r="68" spans="1:6">
      <c r="A68" s="16">
        <v>61123569</v>
      </c>
      <c r="B68" s="55">
        <v>16310058</v>
      </c>
      <c r="C68" s="55">
        <v>3501</v>
      </c>
      <c r="D68" s="31">
        <v>43</v>
      </c>
      <c r="E68" s="31">
        <v>1</v>
      </c>
      <c r="F68" s="31">
        <v>43</v>
      </c>
    </row>
    <row r="69" spans="1:6">
      <c r="A69" s="16">
        <v>23649127</v>
      </c>
      <c r="B69" s="55">
        <v>9610204</v>
      </c>
      <c r="C69" s="55">
        <v>2784</v>
      </c>
      <c r="D69" s="31">
        <v>36</v>
      </c>
      <c r="E69" s="31">
        <v>0</v>
      </c>
      <c r="F69" s="31">
        <v>0</v>
      </c>
    </row>
    <row r="70" spans="1:6">
      <c r="A70" s="16">
        <v>37384046</v>
      </c>
      <c r="B70" s="55">
        <v>9684809</v>
      </c>
      <c r="C70" s="55">
        <v>2854</v>
      </c>
      <c r="D70" s="31">
        <v>47</v>
      </c>
      <c r="E70" s="31">
        <v>0</v>
      </c>
      <c r="F70" s="31">
        <v>0</v>
      </c>
    </row>
    <row r="71" spans="1:6">
      <c r="A71" s="16">
        <v>18535812</v>
      </c>
      <c r="B71" s="55">
        <v>9064880</v>
      </c>
      <c r="C71" s="55">
        <v>2558</v>
      </c>
      <c r="D71" s="31">
        <v>18</v>
      </c>
      <c r="E71" s="31">
        <v>0</v>
      </c>
      <c r="F71" s="31">
        <v>0</v>
      </c>
    </row>
    <row r="72" spans="1:6">
      <c r="A72" s="16">
        <v>16655224</v>
      </c>
      <c r="B72" s="55">
        <v>5815474</v>
      </c>
      <c r="C72" s="55">
        <v>2775</v>
      </c>
      <c r="D72" s="31">
        <v>43</v>
      </c>
      <c r="E72" s="31">
        <v>1</v>
      </c>
      <c r="F72" s="31">
        <v>43</v>
      </c>
    </row>
    <row r="73" spans="1:6">
      <c r="A73" s="16">
        <v>62318875</v>
      </c>
      <c r="B73" s="55">
        <v>26857181</v>
      </c>
      <c r="C73" s="55">
        <v>3207</v>
      </c>
      <c r="D73" s="31">
        <v>36</v>
      </c>
      <c r="E73" s="31">
        <v>0</v>
      </c>
      <c r="F73" s="31">
        <v>0</v>
      </c>
    </row>
    <row r="74" spans="1:6">
      <c r="A74" s="16">
        <v>70511035</v>
      </c>
      <c r="B74" s="55">
        <v>25642340</v>
      </c>
      <c r="C74" s="55">
        <v>3365</v>
      </c>
      <c r="D74" s="31">
        <v>62</v>
      </c>
      <c r="E74" s="31">
        <v>0</v>
      </c>
      <c r="F74" s="31">
        <v>0</v>
      </c>
    </row>
    <row r="75" spans="1:6">
      <c r="A75" s="16">
        <v>70278893</v>
      </c>
      <c r="B75" s="55">
        <v>18730762</v>
      </c>
      <c r="C75" s="55">
        <v>2957</v>
      </c>
      <c r="D75" s="31">
        <v>66</v>
      </c>
      <c r="E75" s="31">
        <v>0</v>
      </c>
      <c r="F75" s="31">
        <v>0</v>
      </c>
    </row>
    <row r="76" spans="1:6">
      <c r="A76" s="16">
        <v>75628110</v>
      </c>
      <c r="B76" s="55">
        <v>21525560</v>
      </c>
      <c r="C76" s="55">
        <v>3131</v>
      </c>
      <c r="D76" s="31">
        <v>46</v>
      </c>
      <c r="E76" s="31">
        <v>1</v>
      </c>
      <c r="F76" s="31">
        <v>46</v>
      </c>
    </row>
    <row r="80" spans="1:6">
      <c r="B80" s="18" t="s">
        <v>164</v>
      </c>
      <c r="C80" s="18"/>
      <c r="D80" s="18"/>
      <c r="E80" s="18"/>
      <c r="F80" s="18"/>
    </row>
    <row r="81" spans="2:10" ht="13.8" thickBot="1">
      <c r="B81" s="18"/>
      <c r="C81" s="18"/>
      <c r="D81" s="18"/>
      <c r="E81" s="18"/>
      <c r="F81" s="18"/>
    </row>
    <row r="82" spans="2:10">
      <c r="B82" s="122" t="s">
        <v>165</v>
      </c>
      <c r="C82" s="122"/>
      <c r="D82" s="18"/>
      <c r="E82" s="18"/>
      <c r="F82" s="18"/>
    </row>
    <row r="83" spans="2:10">
      <c r="B83" s="18" t="s">
        <v>166</v>
      </c>
      <c r="C83" s="18">
        <v>0.90032223628103503</v>
      </c>
      <c r="D83" s="18"/>
      <c r="E83" s="18"/>
      <c r="F83" s="18"/>
    </row>
    <row r="84" spans="2:10">
      <c r="B84" s="18" t="s">
        <v>167</v>
      </c>
      <c r="C84" s="18">
        <v>0.81058012914208388</v>
      </c>
      <c r="D84" s="18"/>
      <c r="E84" s="18"/>
      <c r="F84" s="18"/>
    </row>
    <row r="85" spans="2:10">
      <c r="B85" s="18" t="s">
        <v>168</v>
      </c>
      <c r="C85" s="18">
        <v>0.79685405154368416</v>
      </c>
      <c r="D85" s="18"/>
      <c r="E85" s="18"/>
      <c r="F85" s="18"/>
    </row>
    <row r="86" spans="2:10">
      <c r="B86" s="18" t="s">
        <v>169</v>
      </c>
      <c r="C86" s="18">
        <v>18153633.315927982</v>
      </c>
      <c r="D86" s="18"/>
      <c r="E86" s="18"/>
      <c r="F86" s="18"/>
    </row>
    <row r="87" spans="2:10" ht="13.8" thickBot="1">
      <c r="B87" s="121" t="s">
        <v>140</v>
      </c>
      <c r="C87" s="121">
        <v>75</v>
      </c>
      <c r="D87" s="18"/>
      <c r="E87" s="18"/>
      <c r="F87" s="18"/>
    </row>
    <row r="88" spans="2:10">
      <c r="B88" s="18"/>
      <c r="C88" s="18"/>
      <c r="D88" s="18"/>
      <c r="E88" s="18"/>
      <c r="F88" s="18"/>
    </row>
    <row r="89" spans="2:10" ht="13.8" thickBot="1">
      <c r="B89" s="18" t="s">
        <v>170</v>
      </c>
      <c r="C89" s="18"/>
      <c r="D89" s="18"/>
      <c r="E89" s="18"/>
      <c r="F89" s="18"/>
    </row>
    <row r="90" spans="2:10">
      <c r="B90" s="122"/>
      <c r="C90" s="122" t="s">
        <v>141</v>
      </c>
      <c r="D90" s="122" t="s">
        <v>175</v>
      </c>
      <c r="E90" s="122" t="s">
        <v>176</v>
      </c>
      <c r="F90" s="122" t="s">
        <v>177</v>
      </c>
      <c r="G90" s="122" t="s">
        <v>178</v>
      </c>
    </row>
    <row r="91" spans="2:10">
      <c r="B91" s="18" t="s">
        <v>171</v>
      </c>
      <c r="C91" s="18">
        <v>5</v>
      </c>
      <c r="D91" s="18">
        <v>9.7307569580185184E+16</v>
      </c>
      <c r="E91" s="18">
        <v>1.9461513916037036E+16</v>
      </c>
      <c r="F91" s="18">
        <v>59.054024963153822</v>
      </c>
      <c r="G91" s="18">
        <v>1.3960693288314125E-23</v>
      </c>
    </row>
    <row r="92" spans="2:10">
      <c r="B92" s="18" t="s">
        <v>172</v>
      </c>
      <c r="C92" s="18">
        <v>69</v>
      </c>
      <c r="D92" s="18">
        <v>2.273925377727276E+16</v>
      </c>
      <c r="E92" s="18">
        <v>329554402569170.44</v>
      </c>
      <c r="F92" s="18"/>
    </row>
    <row r="93" spans="2:10" ht="13.8" thickBot="1">
      <c r="B93" s="121" t="s">
        <v>173</v>
      </c>
      <c r="C93" s="121">
        <v>74</v>
      </c>
      <c r="D93" s="121">
        <v>1.2004682335745795E+17</v>
      </c>
      <c r="E93" s="121"/>
      <c r="F93" s="121"/>
      <c r="G93" s="121"/>
    </row>
    <row r="94" spans="2:10" ht="13.8" thickBot="1">
      <c r="B94" s="18"/>
      <c r="C94" s="18"/>
      <c r="D94" s="18"/>
      <c r="E94" s="18"/>
      <c r="F94" s="18"/>
    </row>
    <row r="95" spans="2:10">
      <c r="B95" s="122"/>
      <c r="C95" s="122" t="s">
        <v>179</v>
      </c>
      <c r="D95" s="122" t="s">
        <v>169</v>
      </c>
      <c r="E95" s="122" t="s">
        <v>142</v>
      </c>
      <c r="F95" s="122" t="s">
        <v>180</v>
      </c>
      <c r="G95" s="122" t="s">
        <v>181</v>
      </c>
      <c r="H95" s="122" t="s">
        <v>182</v>
      </c>
      <c r="I95" s="122" t="s">
        <v>199</v>
      </c>
      <c r="J95" s="122" t="s">
        <v>200</v>
      </c>
    </row>
    <row r="96" spans="2:10">
      <c r="B96" s="18" t="s">
        <v>174</v>
      </c>
      <c r="C96" s="18">
        <v>-41015567.262761585</v>
      </c>
      <c r="D96" s="18">
        <v>13736519.194609245</v>
      </c>
      <c r="E96" s="18">
        <v>-2.9858777672627372</v>
      </c>
      <c r="F96" s="18">
        <v>3.9107068003200168E-3</v>
      </c>
      <c r="G96" s="18">
        <v>-68419173.249579832</v>
      </c>
      <c r="H96" s="18">
        <v>-13611961.275943335</v>
      </c>
      <c r="I96" s="18">
        <v>-68419173.249579832</v>
      </c>
      <c r="J96" s="18">
        <v>-13611961.275943335</v>
      </c>
    </row>
    <row r="97" spans="1:10">
      <c r="B97" s="31" t="s">
        <v>243</v>
      </c>
      <c r="C97" s="18">
        <v>2.8321968174235983</v>
      </c>
      <c r="D97" s="18">
        <v>0.25201110977823821</v>
      </c>
      <c r="E97" s="18">
        <v>11.238380799623643</v>
      </c>
      <c r="F97" s="18">
        <v>3.0428675826684789E-17</v>
      </c>
      <c r="G97" s="18">
        <v>2.3294484094154155</v>
      </c>
      <c r="H97" s="18">
        <v>3.3349452254317811</v>
      </c>
      <c r="I97" s="18">
        <v>2.3294484094154155</v>
      </c>
      <c r="J97" s="18">
        <v>3.3349452254317811</v>
      </c>
    </row>
    <row r="98" spans="1:10">
      <c r="B98" s="31" t="s">
        <v>249</v>
      </c>
      <c r="C98" s="18">
        <v>3360.0633737237581</v>
      </c>
      <c r="D98" s="18">
        <v>4043.4278146249062</v>
      </c>
      <c r="E98" s="18">
        <v>0.83099378244630751</v>
      </c>
      <c r="F98" s="18">
        <v>0.40884350572369466</v>
      </c>
      <c r="G98" s="18">
        <v>-4706.3544063792688</v>
      </c>
      <c r="H98" s="18">
        <v>11426.481153826784</v>
      </c>
      <c r="I98" s="18">
        <v>-4706.3544063792688</v>
      </c>
      <c r="J98" s="18">
        <v>11426.481153826784</v>
      </c>
    </row>
    <row r="99" spans="1:10">
      <c r="B99" s="31" t="s">
        <v>245</v>
      </c>
      <c r="C99" s="18">
        <v>779933.3352105685</v>
      </c>
      <c r="D99" s="18">
        <v>163449.97458904094</v>
      </c>
      <c r="E99" s="18">
        <v>4.7716944415044393</v>
      </c>
      <c r="F99" s="18">
        <v>9.8619971345671518E-6</v>
      </c>
      <c r="G99" s="18">
        <v>453859.5578047671</v>
      </c>
      <c r="H99" s="18">
        <v>1106007.11261637</v>
      </c>
      <c r="I99" s="18">
        <v>453859.5578047671</v>
      </c>
      <c r="J99" s="18">
        <v>1106007.11261637</v>
      </c>
    </row>
    <row r="100" spans="1:10">
      <c r="B100" s="31" t="s">
        <v>246</v>
      </c>
      <c r="C100" s="18">
        <v>18140650.060200848</v>
      </c>
      <c r="D100" s="18">
        <v>15343518.33552737</v>
      </c>
      <c r="E100" s="18">
        <v>1.1823005430375653</v>
      </c>
      <c r="F100" s="18">
        <v>0.24114477094727904</v>
      </c>
      <c r="G100" s="18">
        <v>-12468831.494873282</v>
      </c>
      <c r="H100" s="18">
        <v>48750131.615274981</v>
      </c>
      <c r="I100" s="18">
        <v>-12468831.494873282</v>
      </c>
      <c r="J100" s="18">
        <v>48750131.615274981</v>
      </c>
    </row>
    <row r="101" spans="1:10" ht="13.8" thickBot="1">
      <c r="B101" s="123" t="s">
        <v>262</v>
      </c>
      <c r="C101" s="121">
        <v>-230049.97257192421</v>
      </c>
      <c r="D101" s="121">
        <v>312209.3343224125</v>
      </c>
      <c r="E101" s="121">
        <v>-0.73684527424909108</v>
      </c>
      <c r="F101" s="121">
        <v>0.46371453629528481</v>
      </c>
      <c r="G101" s="121">
        <v>-852890.55263210309</v>
      </c>
      <c r="H101" s="121">
        <v>392790.60748825467</v>
      </c>
      <c r="I101" s="121">
        <v>-852890.55263210309</v>
      </c>
      <c r="J101" s="121">
        <v>392790.60748825467</v>
      </c>
    </row>
    <row r="102" spans="1:10">
      <c r="B102" s="18"/>
      <c r="C102" s="18"/>
      <c r="D102" s="18"/>
      <c r="E102" s="18"/>
      <c r="F102" s="18"/>
    </row>
    <row r="103" spans="1:10">
      <c r="B103" s="18"/>
      <c r="C103" s="18"/>
      <c r="D103" s="18"/>
      <c r="E103" s="18"/>
      <c r="F103" s="18"/>
    </row>
    <row r="104" spans="1:10">
      <c r="A104" s="26" t="s">
        <v>263</v>
      </c>
      <c r="B104" s="18"/>
      <c r="C104" s="18"/>
      <c r="D104" s="18"/>
      <c r="E104" s="18"/>
      <c r="F104" s="18"/>
    </row>
    <row r="105" spans="1:10" ht="17.399999999999999" customHeight="1" thickBot="1">
      <c r="B105" s="152" t="s">
        <v>299</v>
      </c>
      <c r="C105" s="152">
        <v>0.05</v>
      </c>
      <c r="D105" s="18"/>
      <c r="E105" s="18"/>
      <c r="F105" s="18"/>
    </row>
    <row r="106" spans="1:10" ht="16.2" customHeight="1" thickTop="1">
      <c r="B106" s="18"/>
      <c r="C106" s="18"/>
      <c r="D106" s="18"/>
      <c r="E106" s="18"/>
      <c r="F106" s="18"/>
    </row>
    <row r="107" spans="1:10">
      <c r="B107" s="91" t="s">
        <v>130</v>
      </c>
      <c r="C107" s="112" t="s">
        <v>300</v>
      </c>
      <c r="D107" s="18"/>
      <c r="E107" s="18"/>
      <c r="F107" s="18"/>
    </row>
    <row r="108" spans="1:10">
      <c r="B108" s="91" t="s">
        <v>131</v>
      </c>
      <c r="C108" s="22" t="s">
        <v>301</v>
      </c>
    </row>
    <row r="110" spans="1:10">
      <c r="B110" s="31" t="s">
        <v>302</v>
      </c>
      <c r="C110" s="34" t="b">
        <f>IF(F101&lt;C105,TRUE,FALSE)</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0EAF-B5DA-48B2-AB06-18F1A0D655D3}">
  <dimension ref="A1:J107"/>
  <sheetViews>
    <sheetView topLeftCell="A120" workbookViewId="0">
      <selection activeCell="B107" sqref="B107"/>
    </sheetView>
  </sheetViews>
  <sheetFormatPr defaultRowHeight="13.2"/>
  <cols>
    <col min="1" max="1" width="16.88671875" style="5" customWidth="1"/>
    <col min="2" max="2" width="22.77734375" style="3" customWidth="1"/>
    <col min="3" max="3" width="18.109375" style="7" customWidth="1"/>
    <col min="4" max="4" width="18.5546875" style="4" customWidth="1"/>
    <col min="5" max="5" width="17.6640625" style="3" customWidth="1"/>
    <col min="6" max="6" width="19.44140625" style="3" customWidth="1"/>
    <col min="7" max="7" width="15.6640625" customWidth="1"/>
    <col min="8" max="8" width="14.5546875" customWidth="1"/>
    <col min="9" max="9" width="15.21875" customWidth="1"/>
    <col min="10" max="10" width="15.109375" customWidth="1"/>
  </cols>
  <sheetData>
    <row r="1" spans="1:6" ht="26.4">
      <c r="A1" s="52" t="s">
        <v>103</v>
      </c>
      <c r="B1" s="51" t="s">
        <v>94</v>
      </c>
      <c r="C1" s="53" t="s">
        <v>93</v>
      </c>
      <c r="D1" s="51" t="s">
        <v>89</v>
      </c>
      <c r="E1" s="1" t="s">
        <v>159</v>
      </c>
      <c r="F1" s="1" t="s">
        <v>262</v>
      </c>
    </row>
    <row r="2" spans="1:6">
      <c r="A2" s="16">
        <v>36895141</v>
      </c>
      <c r="B2" s="55">
        <v>11855260</v>
      </c>
      <c r="C2" s="17">
        <v>45000000</v>
      </c>
      <c r="D2" s="31">
        <v>63</v>
      </c>
      <c r="E2" s="3">
        <v>0</v>
      </c>
      <c r="F2" s="3">
        <v>0</v>
      </c>
    </row>
    <row r="3" spans="1:6">
      <c r="A3" s="16">
        <v>36323505</v>
      </c>
      <c r="B3" s="55">
        <v>10023835</v>
      </c>
      <c r="C3" s="17">
        <v>23000000</v>
      </c>
      <c r="D3" s="31">
        <v>47</v>
      </c>
      <c r="E3" s="3">
        <v>1</v>
      </c>
      <c r="F3" s="3">
        <v>47</v>
      </c>
    </row>
    <row r="4" spans="1:6">
      <c r="A4" s="16">
        <v>50866635</v>
      </c>
      <c r="B4" s="55">
        <v>15005604</v>
      </c>
      <c r="C4" s="17">
        <v>40000000</v>
      </c>
      <c r="D4" s="31">
        <v>68</v>
      </c>
      <c r="E4" s="3">
        <v>0</v>
      </c>
      <c r="F4" s="3">
        <v>0</v>
      </c>
    </row>
    <row r="5" spans="1:6">
      <c r="A5" s="16">
        <v>15132763</v>
      </c>
      <c r="B5" s="17">
        <v>4294936</v>
      </c>
      <c r="C5" s="17">
        <v>86000000</v>
      </c>
      <c r="D5" s="31">
        <v>39</v>
      </c>
      <c r="E5" s="3">
        <v>0</v>
      </c>
      <c r="F5" s="3">
        <v>0</v>
      </c>
    </row>
    <row r="6" spans="1:6">
      <c r="A6" s="16">
        <v>21170563</v>
      </c>
      <c r="B6" s="55">
        <v>11554404</v>
      </c>
      <c r="C6" s="17">
        <v>20000000</v>
      </c>
      <c r="D6" s="31">
        <v>63</v>
      </c>
      <c r="E6" s="3">
        <v>0</v>
      </c>
      <c r="F6" s="3">
        <v>0</v>
      </c>
    </row>
    <row r="7" spans="1:6">
      <c r="A7" s="16">
        <v>34302837</v>
      </c>
      <c r="B7" s="17">
        <v>5558095</v>
      </c>
      <c r="C7" s="17">
        <v>20000000</v>
      </c>
      <c r="D7" s="31">
        <v>69</v>
      </c>
      <c r="E7" s="3">
        <v>0</v>
      </c>
      <c r="F7" s="3">
        <v>0</v>
      </c>
    </row>
    <row r="8" spans="1:6">
      <c r="A8" s="16">
        <v>72637803</v>
      </c>
      <c r="B8" s="55">
        <v>15820864</v>
      </c>
      <c r="C8" s="17">
        <v>51000000</v>
      </c>
      <c r="D8" s="31">
        <v>42</v>
      </c>
      <c r="E8" s="3">
        <v>0</v>
      </c>
      <c r="F8" s="3">
        <v>0</v>
      </c>
    </row>
    <row r="9" spans="1:6">
      <c r="A9" s="16">
        <v>70165972</v>
      </c>
      <c r="B9" s="55">
        <v>27736056</v>
      </c>
      <c r="C9" s="17">
        <v>40000000</v>
      </c>
      <c r="D9" s="31">
        <v>34</v>
      </c>
      <c r="E9" s="3">
        <v>1</v>
      </c>
      <c r="F9" s="3">
        <v>34</v>
      </c>
    </row>
    <row r="10" spans="1:6">
      <c r="A10" s="16">
        <v>57377916</v>
      </c>
      <c r="B10" s="55">
        <v>8648324</v>
      </c>
      <c r="C10" s="17">
        <v>100000000</v>
      </c>
      <c r="D10" s="31">
        <v>63</v>
      </c>
      <c r="E10" s="3">
        <v>0</v>
      </c>
      <c r="F10" s="3">
        <v>0</v>
      </c>
    </row>
    <row r="11" spans="1:6">
      <c r="A11" s="16">
        <v>82599768</v>
      </c>
      <c r="B11" s="55">
        <v>11457353</v>
      </c>
      <c r="C11" s="17">
        <v>85000000</v>
      </c>
      <c r="D11" s="31">
        <v>68</v>
      </c>
      <c r="E11" s="3">
        <v>1</v>
      </c>
      <c r="F11" s="3">
        <v>68</v>
      </c>
    </row>
    <row r="12" spans="1:6">
      <c r="A12" s="16">
        <v>35327768</v>
      </c>
      <c r="B12" s="17">
        <v>10197775</v>
      </c>
      <c r="C12" s="17">
        <v>76000000</v>
      </c>
      <c r="D12" s="31">
        <v>84</v>
      </c>
      <c r="E12" s="3">
        <v>0</v>
      </c>
      <c r="F12" s="3">
        <v>0</v>
      </c>
    </row>
    <row r="13" spans="1:6">
      <c r="A13" s="16">
        <v>137355633</v>
      </c>
      <c r="B13" s="55">
        <v>40011365</v>
      </c>
      <c r="C13" s="17">
        <v>82500000</v>
      </c>
      <c r="D13" s="31">
        <v>45</v>
      </c>
      <c r="E13" s="3">
        <v>1</v>
      </c>
      <c r="F13" s="3">
        <v>45</v>
      </c>
    </row>
    <row r="14" spans="1:6">
      <c r="A14" s="16">
        <v>58360760</v>
      </c>
      <c r="B14" s="55">
        <v>14703405</v>
      </c>
      <c r="C14" s="17">
        <v>50000000</v>
      </c>
      <c r="D14" s="31">
        <v>62</v>
      </c>
      <c r="E14" s="3">
        <v>0</v>
      </c>
      <c r="F14" s="3">
        <v>0</v>
      </c>
    </row>
    <row r="15" spans="1:6">
      <c r="A15" s="16">
        <v>48548426</v>
      </c>
      <c r="B15" s="55">
        <v>19076261</v>
      </c>
      <c r="C15" s="17">
        <v>20000000</v>
      </c>
      <c r="D15" s="31">
        <v>11</v>
      </c>
      <c r="E15" s="3">
        <v>1</v>
      </c>
      <c r="F15" s="3">
        <v>11</v>
      </c>
    </row>
    <row r="16" spans="1:6">
      <c r="A16" s="16">
        <v>64038616</v>
      </c>
      <c r="B16" s="55">
        <v>20574802</v>
      </c>
      <c r="C16" s="17">
        <v>75000000</v>
      </c>
      <c r="D16" s="31">
        <v>59</v>
      </c>
      <c r="E16" s="3">
        <v>0</v>
      </c>
      <c r="F16" s="3">
        <v>0</v>
      </c>
    </row>
    <row r="17" spans="1:6">
      <c r="A17" s="16">
        <v>103365956</v>
      </c>
      <c r="B17" s="17">
        <v>8953734</v>
      </c>
      <c r="C17" s="17">
        <v>75000000</v>
      </c>
      <c r="D17" s="31">
        <v>76</v>
      </c>
      <c r="E17" s="3">
        <v>0</v>
      </c>
      <c r="F17" s="3">
        <v>0</v>
      </c>
    </row>
    <row r="18" spans="1:6">
      <c r="A18" s="16">
        <v>81612565</v>
      </c>
      <c r="B18" s="55">
        <v>20188176</v>
      </c>
      <c r="C18" s="17">
        <v>40000000</v>
      </c>
      <c r="D18" s="31">
        <v>64</v>
      </c>
      <c r="E18" s="3">
        <v>0</v>
      </c>
      <c r="F18" s="3">
        <v>0</v>
      </c>
    </row>
    <row r="19" spans="1:6">
      <c r="A19" s="16">
        <v>75030163</v>
      </c>
      <c r="B19" s="55">
        <v>23239907</v>
      </c>
      <c r="C19" s="17">
        <v>100000000</v>
      </c>
      <c r="D19" s="31">
        <v>38</v>
      </c>
      <c r="E19" s="3">
        <v>0</v>
      </c>
      <c r="F19" s="3">
        <v>0</v>
      </c>
    </row>
    <row r="20" spans="1:6">
      <c r="A20" s="16">
        <v>88715192</v>
      </c>
      <c r="B20" s="55">
        <v>24411322</v>
      </c>
      <c r="C20" s="17">
        <v>50000000</v>
      </c>
      <c r="D20" s="31">
        <v>47</v>
      </c>
      <c r="E20" s="3">
        <v>1</v>
      </c>
      <c r="F20" s="3">
        <v>47</v>
      </c>
    </row>
    <row r="21" spans="1:6">
      <c r="A21" s="16">
        <v>54098051</v>
      </c>
      <c r="B21" s="55">
        <v>19173094</v>
      </c>
      <c r="C21" s="17">
        <v>25000000</v>
      </c>
      <c r="D21" s="31">
        <v>41</v>
      </c>
      <c r="E21" s="3">
        <v>0</v>
      </c>
      <c r="F21" s="3">
        <v>0</v>
      </c>
    </row>
    <row r="22" spans="1:6">
      <c r="A22" s="16">
        <v>33602376</v>
      </c>
      <c r="B22" s="55">
        <v>10245190</v>
      </c>
      <c r="C22" s="17">
        <v>90000000</v>
      </c>
      <c r="D22" s="31">
        <v>79</v>
      </c>
      <c r="E22" s="3">
        <v>0</v>
      </c>
      <c r="F22" s="3">
        <v>0</v>
      </c>
    </row>
    <row r="23" spans="1:6">
      <c r="A23" s="16">
        <v>13090630</v>
      </c>
      <c r="B23" s="55">
        <v>6004219</v>
      </c>
      <c r="C23" s="17">
        <v>60000000</v>
      </c>
      <c r="D23" s="31">
        <v>47</v>
      </c>
      <c r="E23" s="3">
        <v>0</v>
      </c>
      <c r="F23" s="3">
        <v>0</v>
      </c>
    </row>
    <row r="24" spans="1:6">
      <c r="A24" s="16">
        <v>38432823</v>
      </c>
      <c r="B24" s="55">
        <v>14414630</v>
      </c>
      <c r="C24" s="17">
        <v>30000000</v>
      </c>
      <c r="D24" s="31">
        <v>52</v>
      </c>
      <c r="E24" s="3">
        <v>0</v>
      </c>
      <c r="F24" s="3">
        <v>0</v>
      </c>
    </row>
    <row r="25" spans="1:6">
      <c r="A25" s="16">
        <v>198000317</v>
      </c>
      <c r="B25" s="55">
        <v>41533432</v>
      </c>
      <c r="C25" s="17">
        <v>100000000</v>
      </c>
      <c r="D25" s="31">
        <v>77</v>
      </c>
      <c r="E25" s="3">
        <v>0</v>
      </c>
      <c r="F25" s="3">
        <v>0</v>
      </c>
    </row>
    <row r="26" spans="1:6">
      <c r="A26" s="16">
        <v>195330621</v>
      </c>
      <c r="B26" s="55">
        <v>68033544</v>
      </c>
      <c r="C26" s="17">
        <v>80000000</v>
      </c>
      <c r="D26" s="31">
        <v>58</v>
      </c>
      <c r="E26" s="3">
        <v>0</v>
      </c>
      <c r="F26" s="3">
        <v>0</v>
      </c>
    </row>
    <row r="27" spans="1:6">
      <c r="A27" s="16">
        <v>88513495</v>
      </c>
      <c r="B27" s="55">
        <v>28954945</v>
      </c>
      <c r="C27" s="17">
        <v>45000000</v>
      </c>
      <c r="D27" s="31">
        <v>76</v>
      </c>
      <c r="E27" s="3">
        <v>0</v>
      </c>
      <c r="F27" s="3">
        <v>0</v>
      </c>
    </row>
    <row r="28" spans="1:6">
      <c r="A28" s="16">
        <v>17326650</v>
      </c>
      <c r="B28" s="55">
        <v>5692285</v>
      </c>
      <c r="C28" s="17">
        <v>28000000</v>
      </c>
      <c r="D28" s="31">
        <v>29</v>
      </c>
      <c r="E28" s="3">
        <v>1</v>
      </c>
      <c r="F28" s="3">
        <v>29</v>
      </c>
    </row>
    <row r="29" spans="1:6">
      <c r="A29" s="16">
        <v>42285169</v>
      </c>
      <c r="B29" s="55">
        <v>18044396</v>
      </c>
      <c r="C29" s="17">
        <v>70000000</v>
      </c>
      <c r="D29" s="31">
        <v>36</v>
      </c>
      <c r="E29" s="3">
        <v>0</v>
      </c>
      <c r="F29" s="3">
        <v>0</v>
      </c>
    </row>
    <row r="30" spans="1:6">
      <c r="A30" s="16">
        <v>38399961</v>
      </c>
      <c r="B30" s="55">
        <v>12806188</v>
      </c>
      <c r="C30" s="17">
        <v>45000000</v>
      </c>
      <c r="D30" s="31">
        <v>52</v>
      </c>
      <c r="E30" s="3">
        <v>0</v>
      </c>
      <c r="F30" s="3">
        <v>0</v>
      </c>
    </row>
    <row r="31" spans="1:6">
      <c r="A31" s="16">
        <v>58645052</v>
      </c>
      <c r="B31" s="55">
        <v>21613176</v>
      </c>
      <c r="C31" s="17">
        <v>64000000</v>
      </c>
      <c r="D31" s="31">
        <v>26</v>
      </c>
      <c r="E31" s="3">
        <v>1</v>
      </c>
      <c r="F31" s="3">
        <v>26</v>
      </c>
    </row>
    <row r="32" spans="1:6">
      <c r="A32" s="16">
        <v>22495466</v>
      </c>
      <c r="B32" s="55">
        <v>7031921</v>
      </c>
      <c r="C32" s="17">
        <v>27000000</v>
      </c>
      <c r="D32" s="31">
        <v>53</v>
      </c>
      <c r="E32" s="3">
        <v>0</v>
      </c>
      <c r="F32" s="3">
        <v>0</v>
      </c>
    </row>
    <row r="33" spans="1:6">
      <c r="A33" s="16">
        <v>15962471</v>
      </c>
      <c r="B33" s="55">
        <v>5361050</v>
      </c>
      <c r="C33" s="17">
        <v>40000000</v>
      </c>
      <c r="D33" s="31">
        <v>65</v>
      </c>
      <c r="E33" s="3">
        <v>0</v>
      </c>
      <c r="F33" s="3">
        <v>0</v>
      </c>
    </row>
    <row r="34" spans="1:6">
      <c r="A34" s="16">
        <v>73661010</v>
      </c>
      <c r="B34" s="55">
        <v>22217226</v>
      </c>
      <c r="C34" s="17">
        <v>75000000</v>
      </c>
      <c r="D34" s="31">
        <v>68</v>
      </c>
      <c r="E34" s="3">
        <v>0</v>
      </c>
      <c r="F34" s="3">
        <v>0</v>
      </c>
    </row>
    <row r="35" spans="1:6">
      <c r="A35" s="16">
        <v>80197993</v>
      </c>
      <c r="B35" s="55">
        <v>28309599</v>
      </c>
      <c r="C35" s="17">
        <v>35000000</v>
      </c>
      <c r="D35" s="31">
        <v>52</v>
      </c>
      <c r="E35" s="3">
        <v>1</v>
      </c>
      <c r="F35" s="3">
        <v>52</v>
      </c>
    </row>
    <row r="36" spans="1:6">
      <c r="A36" s="16">
        <v>47144110</v>
      </c>
      <c r="B36" s="55">
        <v>14503650</v>
      </c>
      <c r="C36" s="17">
        <v>25000000</v>
      </c>
      <c r="D36" s="31">
        <v>59</v>
      </c>
      <c r="E36" s="3">
        <v>1</v>
      </c>
      <c r="F36" s="3">
        <v>59</v>
      </c>
    </row>
    <row r="37" spans="1:6">
      <c r="A37" s="16">
        <v>13395961</v>
      </c>
      <c r="B37" s="55">
        <v>4120497</v>
      </c>
      <c r="C37" s="17">
        <v>20000000</v>
      </c>
      <c r="D37" s="31">
        <v>38</v>
      </c>
      <c r="E37" s="3">
        <v>0</v>
      </c>
      <c r="F37" s="3">
        <v>0</v>
      </c>
    </row>
    <row r="38" spans="1:6">
      <c r="A38" s="16">
        <v>84303558</v>
      </c>
      <c r="B38" s="55">
        <v>23624548</v>
      </c>
      <c r="C38" s="17">
        <v>85000000</v>
      </c>
      <c r="D38" s="31">
        <v>49</v>
      </c>
      <c r="E38" s="3">
        <v>0</v>
      </c>
      <c r="F38" s="3">
        <v>0</v>
      </c>
    </row>
    <row r="39" spans="1:6">
      <c r="A39" s="16">
        <v>20264436</v>
      </c>
      <c r="B39" s="55">
        <v>8203822</v>
      </c>
      <c r="C39" s="17">
        <v>20500000</v>
      </c>
      <c r="D39" s="31">
        <v>27</v>
      </c>
      <c r="E39" s="3">
        <v>0</v>
      </c>
      <c r="F39" s="3">
        <v>0</v>
      </c>
    </row>
    <row r="40" spans="1:6">
      <c r="A40" s="16">
        <v>70269899</v>
      </c>
      <c r="B40" s="55">
        <v>12158168</v>
      </c>
      <c r="C40" s="17">
        <v>24000000</v>
      </c>
      <c r="D40" s="31">
        <v>63</v>
      </c>
      <c r="E40" s="3">
        <v>0</v>
      </c>
      <c r="F40" s="3">
        <v>0</v>
      </c>
    </row>
    <row r="41" spans="1:6">
      <c r="A41" s="16">
        <v>71726025</v>
      </c>
      <c r="B41" s="55">
        <v>16414767</v>
      </c>
      <c r="C41" s="17">
        <v>50000000</v>
      </c>
      <c r="D41" s="31">
        <v>33</v>
      </c>
      <c r="E41" s="3">
        <v>1</v>
      </c>
      <c r="F41" s="3">
        <v>33</v>
      </c>
    </row>
    <row r="42" spans="1:6">
      <c r="A42" s="16">
        <v>90710620</v>
      </c>
      <c r="B42" s="55">
        <v>40222875</v>
      </c>
      <c r="C42" s="17">
        <v>45000000</v>
      </c>
      <c r="D42" s="31">
        <v>40</v>
      </c>
      <c r="E42" s="3">
        <v>0</v>
      </c>
      <c r="F42" s="3">
        <v>0</v>
      </c>
    </row>
    <row r="43" spans="1:6">
      <c r="A43" s="16">
        <v>17807569</v>
      </c>
      <c r="B43" s="55">
        <v>8602333</v>
      </c>
      <c r="C43" s="17">
        <v>35000000</v>
      </c>
      <c r="D43" s="31">
        <v>44</v>
      </c>
      <c r="E43" s="3">
        <v>1</v>
      </c>
      <c r="F43" s="3">
        <v>44</v>
      </c>
    </row>
    <row r="44" spans="1:6">
      <c r="A44" s="16">
        <v>33741133</v>
      </c>
      <c r="B44" s="55">
        <v>10730372</v>
      </c>
      <c r="C44" s="17">
        <v>20000000</v>
      </c>
      <c r="D44" s="31">
        <v>45</v>
      </c>
      <c r="E44" s="3">
        <v>1</v>
      </c>
      <c r="F44" s="3">
        <v>45</v>
      </c>
    </row>
    <row r="45" spans="1:6">
      <c r="A45" s="16">
        <v>46982632</v>
      </c>
      <c r="B45" s="55">
        <v>20152598</v>
      </c>
      <c r="C45" s="17">
        <v>50000000</v>
      </c>
      <c r="D45" s="31">
        <v>30</v>
      </c>
      <c r="E45" s="3">
        <v>0</v>
      </c>
      <c r="F45" s="3">
        <v>0</v>
      </c>
    </row>
    <row r="46" spans="1:6">
      <c r="A46" s="16">
        <v>34020814</v>
      </c>
      <c r="B46" s="55">
        <v>13806311</v>
      </c>
      <c r="C46" s="17">
        <v>33000000</v>
      </c>
      <c r="D46" s="31">
        <v>58</v>
      </c>
      <c r="E46" s="3">
        <v>0</v>
      </c>
      <c r="F46" s="3">
        <v>0</v>
      </c>
    </row>
    <row r="47" spans="1:6">
      <c r="A47" s="16">
        <v>23086480</v>
      </c>
      <c r="B47" s="55">
        <v>10726406</v>
      </c>
      <c r="C47" s="17">
        <v>20000000</v>
      </c>
      <c r="D47" s="31">
        <v>24</v>
      </c>
      <c r="E47" s="3">
        <v>0</v>
      </c>
      <c r="F47" s="3">
        <v>0</v>
      </c>
    </row>
    <row r="48" spans="1:6">
      <c r="A48" s="16">
        <v>26910736</v>
      </c>
      <c r="B48" s="55">
        <v>10803610</v>
      </c>
      <c r="C48" s="17">
        <v>20000000</v>
      </c>
      <c r="D48" s="31">
        <v>53</v>
      </c>
      <c r="E48" s="3">
        <v>0</v>
      </c>
      <c r="F48" s="3">
        <v>0</v>
      </c>
    </row>
    <row r="49" spans="1:6">
      <c r="A49" s="16">
        <v>40435190</v>
      </c>
      <c r="B49" s="55">
        <v>13411093</v>
      </c>
      <c r="C49" s="17">
        <v>30000000</v>
      </c>
      <c r="D49" s="31">
        <v>67</v>
      </c>
      <c r="E49" s="3">
        <v>1</v>
      </c>
      <c r="F49" s="3">
        <v>67</v>
      </c>
    </row>
    <row r="50" spans="1:6">
      <c r="A50" s="16">
        <v>34742066</v>
      </c>
      <c r="B50" s="55">
        <v>12051277</v>
      </c>
      <c r="C50" s="17">
        <v>30000000</v>
      </c>
      <c r="D50" s="31">
        <v>55</v>
      </c>
      <c r="E50" s="3">
        <v>0</v>
      </c>
      <c r="F50" s="3">
        <v>0</v>
      </c>
    </row>
    <row r="51" spans="1:6">
      <c r="A51" s="16">
        <v>148213377</v>
      </c>
      <c r="B51" s="55">
        <v>47042215</v>
      </c>
      <c r="C51" s="17">
        <v>72500000</v>
      </c>
      <c r="D51" s="31">
        <v>66</v>
      </c>
      <c r="E51" s="3">
        <v>1</v>
      </c>
      <c r="F51" s="3">
        <v>66</v>
      </c>
    </row>
    <row r="52" spans="1:6">
      <c r="A52" s="16">
        <v>28142535</v>
      </c>
      <c r="B52" s="55">
        <v>8432465</v>
      </c>
      <c r="C52" s="17">
        <v>50000000</v>
      </c>
      <c r="D52" s="31">
        <v>59</v>
      </c>
      <c r="E52" s="3">
        <v>0</v>
      </c>
      <c r="F52" s="3">
        <v>0</v>
      </c>
    </row>
    <row r="53" spans="1:6">
      <c r="A53" s="16">
        <v>59843754</v>
      </c>
      <c r="B53" s="55">
        <v>19656429</v>
      </c>
      <c r="C53" s="17">
        <v>33000000</v>
      </c>
      <c r="D53" s="31">
        <v>25</v>
      </c>
      <c r="E53" s="3">
        <v>1</v>
      </c>
      <c r="F53" s="3">
        <v>25</v>
      </c>
    </row>
    <row r="54" spans="1:6">
      <c r="A54" s="16">
        <v>22545080</v>
      </c>
      <c r="B54" s="55">
        <v>10005895</v>
      </c>
      <c r="C54" s="17">
        <v>50000000</v>
      </c>
      <c r="D54" s="31">
        <v>49</v>
      </c>
      <c r="E54" s="3">
        <v>0</v>
      </c>
      <c r="F54" s="3">
        <v>0</v>
      </c>
    </row>
    <row r="55" spans="1:6">
      <c r="A55" s="16">
        <v>118703275</v>
      </c>
      <c r="B55" s="55">
        <v>39172785</v>
      </c>
      <c r="C55" s="17">
        <v>52000000</v>
      </c>
      <c r="D55" s="31">
        <v>45</v>
      </c>
      <c r="E55" s="3">
        <v>1</v>
      </c>
      <c r="F55" s="3">
        <v>45</v>
      </c>
    </row>
    <row r="56" spans="1:6">
      <c r="A56" s="16">
        <v>23380495</v>
      </c>
      <c r="B56" s="55">
        <v>8852458</v>
      </c>
      <c r="C56" s="17">
        <v>20000000</v>
      </c>
      <c r="D56" s="31">
        <v>19</v>
      </c>
      <c r="E56" s="3">
        <v>0</v>
      </c>
      <c r="F56" s="3">
        <v>0</v>
      </c>
    </row>
    <row r="57" spans="1:6">
      <c r="A57" s="16">
        <v>132384315</v>
      </c>
      <c r="B57" s="55">
        <v>26887467</v>
      </c>
      <c r="C57" s="17">
        <v>90000000</v>
      </c>
      <c r="D57" s="31">
        <v>86</v>
      </c>
      <c r="E57" s="3">
        <v>0</v>
      </c>
      <c r="F57" s="3">
        <v>0</v>
      </c>
    </row>
    <row r="58" spans="1:6">
      <c r="A58" s="16">
        <v>124740460</v>
      </c>
      <c r="B58" s="55">
        <v>27537244</v>
      </c>
      <c r="C58" s="17">
        <v>35000000</v>
      </c>
      <c r="D58" s="31">
        <v>62</v>
      </c>
      <c r="E58" s="3">
        <v>1</v>
      </c>
      <c r="F58" s="3">
        <v>62</v>
      </c>
    </row>
    <row r="59" spans="1:6">
      <c r="A59" s="16">
        <v>39143839</v>
      </c>
      <c r="B59" s="55">
        <v>20825300</v>
      </c>
      <c r="C59" s="17">
        <v>20000000</v>
      </c>
      <c r="D59" s="31">
        <v>33</v>
      </c>
      <c r="E59" s="3">
        <v>0</v>
      </c>
      <c r="F59" s="3">
        <v>0</v>
      </c>
    </row>
    <row r="60" spans="1:6">
      <c r="A60" s="16">
        <v>63224849</v>
      </c>
      <c r="B60" s="55">
        <v>12778913</v>
      </c>
      <c r="C60" s="17">
        <v>85000000</v>
      </c>
      <c r="D60" s="31">
        <v>52</v>
      </c>
      <c r="E60" s="3">
        <v>1</v>
      </c>
      <c r="F60" s="3">
        <v>52</v>
      </c>
    </row>
    <row r="61" spans="1:6">
      <c r="A61" s="16">
        <v>52330111</v>
      </c>
      <c r="B61" s="55">
        <v>13616196</v>
      </c>
      <c r="C61" s="17">
        <v>40000000</v>
      </c>
      <c r="D61" s="31">
        <v>52</v>
      </c>
      <c r="E61" s="3">
        <v>0</v>
      </c>
      <c r="F61" s="3">
        <v>0</v>
      </c>
    </row>
    <row r="62" spans="1:6">
      <c r="A62" s="16">
        <v>37629831</v>
      </c>
      <c r="B62" s="55">
        <v>7849304</v>
      </c>
      <c r="C62" s="17">
        <v>35000000</v>
      </c>
      <c r="D62" s="31">
        <v>52</v>
      </c>
      <c r="E62" s="3">
        <v>0</v>
      </c>
      <c r="F62" s="3">
        <v>0</v>
      </c>
    </row>
    <row r="63" spans="1:6">
      <c r="A63" s="16">
        <v>54607383</v>
      </c>
      <c r="B63" s="55">
        <v>16026496</v>
      </c>
      <c r="C63" s="17">
        <v>25000000</v>
      </c>
      <c r="D63" s="31">
        <v>43</v>
      </c>
      <c r="E63" s="3">
        <v>0</v>
      </c>
      <c r="F63" s="3">
        <v>0</v>
      </c>
    </row>
    <row r="64" spans="1:6">
      <c r="A64" s="16">
        <v>82226474</v>
      </c>
      <c r="B64" s="55">
        <v>20220412</v>
      </c>
      <c r="C64" s="17">
        <v>80000000</v>
      </c>
      <c r="D64" s="31">
        <v>38</v>
      </c>
      <c r="E64" s="3">
        <v>1</v>
      </c>
      <c r="F64" s="3">
        <v>38</v>
      </c>
    </row>
    <row r="65" spans="1:6">
      <c r="A65" s="16">
        <v>53089891</v>
      </c>
      <c r="B65" s="55">
        <v>14801808</v>
      </c>
      <c r="C65" s="17">
        <v>40000000</v>
      </c>
      <c r="D65" s="31">
        <v>66</v>
      </c>
      <c r="E65" s="3">
        <v>0</v>
      </c>
      <c r="F65" s="3">
        <v>0</v>
      </c>
    </row>
    <row r="66" spans="1:6">
      <c r="A66" s="16">
        <v>163566459</v>
      </c>
      <c r="B66" s="55">
        <v>26541709</v>
      </c>
      <c r="C66" s="17">
        <v>55000000</v>
      </c>
      <c r="D66" s="31">
        <v>64</v>
      </c>
      <c r="E66" s="3">
        <v>0</v>
      </c>
      <c r="F66" s="3">
        <v>0</v>
      </c>
    </row>
    <row r="67" spans="1:6">
      <c r="A67" s="16">
        <v>36280697</v>
      </c>
      <c r="B67" s="55">
        <v>14367854</v>
      </c>
      <c r="C67" s="17">
        <v>60000000</v>
      </c>
      <c r="D67" s="31">
        <v>48</v>
      </c>
      <c r="E67" s="3">
        <v>0</v>
      </c>
      <c r="F67" s="3">
        <v>0</v>
      </c>
    </row>
    <row r="68" spans="1:6">
      <c r="A68" s="16">
        <v>61123569</v>
      </c>
      <c r="B68" s="55">
        <v>16310058</v>
      </c>
      <c r="C68" s="17">
        <v>60000000</v>
      </c>
      <c r="D68" s="31">
        <v>43</v>
      </c>
      <c r="E68" s="3">
        <v>1</v>
      </c>
      <c r="F68" s="3">
        <v>43</v>
      </c>
    </row>
    <row r="69" spans="1:6">
      <c r="A69" s="16">
        <v>23649127</v>
      </c>
      <c r="B69" s="55">
        <v>9610204</v>
      </c>
      <c r="C69" s="17">
        <v>40000000</v>
      </c>
      <c r="D69" s="31">
        <v>36</v>
      </c>
      <c r="E69" s="3">
        <v>0</v>
      </c>
      <c r="F69" s="3">
        <v>0</v>
      </c>
    </row>
    <row r="70" spans="1:6">
      <c r="A70" s="16">
        <v>37384046</v>
      </c>
      <c r="B70" s="55">
        <v>9684809</v>
      </c>
      <c r="C70" s="17">
        <v>80000000</v>
      </c>
      <c r="D70" s="31">
        <v>47</v>
      </c>
      <c r="E70" s="3">
        <v>0</v>
      </c>
      <c r="F70" s="3">
        <v>0</v>
      </c>
    </row>
    <row r="71" spans="1:6">
      <c r="A71" s="16">
        <v>18535812</v>
      </c>
      <c r="B71" s="55">
        <v>9064880</v>
      </c>
      <c r="C71" s="17">
        <v>30000000</v>
      </c>
      <c r="D71" s="31">
        <v>18</v>
      </c>
      <c r="E71" s="3">
        <v>0</v>
      </c>
      <c r="F71" s="3">
        <v>0</v>
      </c>
    </row>
    <row r="72" spans="1:6">
      <c r="A72" s="16">
        <v>16655224</v>
      </c>
      <c r="B72" s="55">
        <v>5815474</v>
      </c>
      <c r="C72" s="17">
        <v>25000000</v>
      </c>
      <c r="D72" s="31">
        <v>43</v>
      </c>
      <c r="E72" s="3">
        <v>1</v>
      </c>
      <c r="F72" s="3">
        <v>43</v>
      </c>
    </row>
    <row r="73" spans="1:6">
      <c r="A73" s="16">
        <v>62318875</v>
      </c>
      <c r="B73" s="55">
        <v>26857181</v>
      </c>
      <c r="C73" s="17">
        <v>45000000</v>
      </c>
      <c r="D73" s="31">
        <v>36</v>
      </c>
      <c r="E73" s="3">
        <v>0</v>
      </c>
      <c r="F73" s="3">
        <v>0</v>
      </c>
    </row>
    <row r="74" spans="1:6">
      <c r="A74" s="16">
        <v>70511035</v>
      </c>
      <c r="B74" s="55">
        <v>25642340</v>
      </c>
      <c r="C74" s="17">
        <v>54000000</v>
      </c>
      <c r="D74" s="31">
        <v>62</v>
      </c>
      <c r="E74" s="3">
        <v>0</v>
      </c>
      <c r="F74" s="3">
        <v>0</v>
      </c>
    </row>
    <row r="75" spans="1:6">
      <c r="A75" s="16">
        <v>70278893</v>
      </c>
      <c r="B75" s="55">
        <v>18730762</v>
      </c>
      <c r="C75" s="17">
        <v>65000000</v>
      </c>
      <c r="D75" s="31">
        <v>66</v>
      </c>
      <c r="E75" s="3">
        <v>0</v>
      </c>
      <c r="F75" s="3">
        <v>0</v>
      </c>
    </row>
    <row r="76" spans="1:6">
      <c r="A76" s="16">
        <v>75628110</v>
      </c>
      <c r="B76" s="55">
        <v>21525560</v>
      </c>
      <c r="C76" s="17">
        <v>54000000</v>
      </c>
      <c r="D76" s="31">
        <v>46</v>
      </c>
      <c r="E76" s="3">
        <v>1</v>
      </c>
      <c r="F76" s="3">
        <v>46</v>
      </c>
    </row>
    <row r="80" spans="1:6">
      <c r="B80" t="s">
        <v>164</v>
      </c>
      <c r="C80"/>
      <c r="D80"/>
      <c r="E80"/>
      <c r="F80"/>
    </row>
    <row r="81" spans="2:10" ht="13.8" thickBot="1">
      <c r="B81"/>
      <c r="C81"/>
      <c r="D81"/>
      <c r="E81"/>
      <c r="F81"/>
    </row>
    <row r="82" spans="2:10">
      <c r="B82" s="77" t="s">
        <v>165</v>
      </c>
      <c r="C82" s="77"/>
      <c r="D82"/>
      <c r="E82"/>
      <c r="F82"/>
    </row>
    <row r="83" spans="2:10">
      <c r="B83" t="s">
        <v>166</v>
      </c>
      <c r="C83">
        <v>0.90998299598148547</v>
      </c>
      <c r="D83"/>
      <c r="E83"/>
      <c r="F83"/>
    </row>
    <row r="84" spans="2:10">
      <c r="B84" t="s">
        <v>167</v>
      </c>
      <c r="C84">
        <v>0.8280690529754402</v>
      </c>
      <c r="D84"/>
      <c r="E84"/>
      <c r="F84"/>
    </row>
    <row r="85" spans="2:10">
      <c r="B85" t="s">
        <v>168</v>
      </c>
      <c r="C85">
        <v>0.81561028869829821</v>
      </c>
      <c r="D85"/>
      <c r="E85"/>
      <c r="F85"/>
    </row>
    <row r="86" spans="2:10">
      <c r="B86" t="s">
        <v>169</v>
      </c>
      <c r="C86">
        <v>17295288.806089796</v>
      </c>
      <c r="D86"/>
      <c r="E86"/>
      <c r="F86"/>
    </row>
    <row r="87" spans="2:10" ht="13.8" thickBot="1">
      <c r="B87" s="41" t="s">
        <v>140</v>
      </c>
      <c r="C87" s="41">
        <v>75</v>
      </c>
      <c r="D87"/>
      <c r="E87"/>
      <c r="F87"/>
    </row>
    <row r="88" spans="2:10">
      <c r="B88"/>
      <c r="C88"/>
      <c r="D88"/>
      <c r="E88"/>
      <c r="F88"/>
    </row>
    <row r="89" spans="2:10" ht="13.8" thickBot="1">
      <c r="B89" t="s">
        <v>170</v>
      </c>
      <c r="C89"/>
      <c r="D89"/>
      <c r="E89"/>
      <c r="F89"/>
    </row>
    <row r="90" spans="2:10">
      <c r="B90" s="42"/>
      <c r="C90" s="42" t="s">
        <v>141</v>
      </c>
      <c r="D90" s="42" t="s">
        <v>175</v>
      </c>
      <c r="E90" s="42" t="s">
        <v>176</v>
      </c>
      <c r="F90" s="42" t="s">
        <v>177</v>
      </c>
      <c r="G90" s="42" t="s">
        <v>178</v>
      </c>
    </row>
    <row r="91" spans="2:10">
      <c r="B91" t="s">
        <v>171</v>
      </c>
      <c r="C91">
        <v>5</v>
      </c>
      <c r="D91">
        <v>9.9407059330320144E+16</v>
      </c>
      <c r="E91">
        <v>1.9881411866064028E+16</v>
      </c>
      <c r="F91">
        <v>66.464782104810425</v>
      </c>
      <c r="G91">
        <v>5.0917872075572484E-25</v>
      </c>
    </row>
    <row r="92" spans="2:10">
      <c r="B92" t="s">
        <v>172</v>
      </c>
      <c r="C92">
        <v>69</v>
      </c>
      <c r="D92">
        <v>2.0639764027137796E+16</v>
      </c>
      <c r="E92">
        <v>299127014886055</v>
      </c>
      <c r="F92"/>
    </row>
    <row r="93" spans="2:10" ht="13.8" thickBot="1">
      <c r="B93" s="41" t="s">
        <v>173</v>
      </c>
      <c r="C93" s="41">
        <v>74</v>
      </c>
      <c r="D93" s="41">
        <v>1.2004682335745794E+17</v>
      </c>
      <c r="E93" s="41"/>
      <c r="F93" s="41"/>
      <c r="G93" s="41"/>
    </row>
    <row r="94" spans="2:10" ht="13.8" thickBot="1">
      <c r="B94"/>
      <c r="C94"/>
      <c r="D94"/>
      <c r="E94"/>
      <c r="F94"/>
    </row>
    <row r="95" spans="2:10">
      <c r="B95" s="42"/>
      <c r="C95" s="42" t="s">
        <v>179</v>
      </c>
      <c r="D95" s="42" t="s">
        <v>169</v>
      </c>
      <c r="E95" s="42" t="s">
        <v>142</v>
      </c>
      <c r="F95" s="42" t="s">
        <v>180</v>
      </c>
      <c r="G95" s="42" t="s">
        <v>181</v>
      </c>
      <c r="H95" s="42" t="s">
        <v>182</v>
      </c>
      <c r="I95" s="42" t="s">
        <v>199</v>
      </c>
      <c r="J95" s="42" t="s">
        <v>200</v>
      </c>
    </row>
    <row r="96" spans="2:10">
      <c r="B96" t="s">
        <v>174</v>
      </c>
      <c r="C96">
        <v>-35555909.364708789</v>
      </c>
      <c r="D96">
        <v>8600826.3616852723</v>
      </c>
      <c r="E96">
        <v>-4.134010834482404</v>
      </c>
      <c r="F96">
        <v>9.874126759033598E-5</v>
      </c>
      <c r="G96">
        <v>-52714088.481086269</v>
      </c>
      <c r="H96">
        <v>-18397730.248331308</v>
      </c>
      <c r="I96">
        <v>-52714088.481086269</v>
      </c>
      <c r="J96">
        <v>-18397730.248331308</v>
      </c>
    </row>
    <row r="97" spans="1:10">
      <c r="B97" s="3" t="s">
        <v>243</v>
      </c>
      <c r="C97">
        <v>2.7831972217996643</v>
      </c>
      <c r="D97">
        <v>0.19692126097922899</v>
      </c>
      <c r="E97">
        <v>14.133553725787042</v>
      </c>
      <c r="F97">
        <v>4.6842959950281934E-22</v>
      </c>
      <c r="G97">
        <v>2.390350055072016</v>
      </c>
      <c r="H97">
        <v>3.1760443885273126</v>
      </c>
      <c r="I97">
        <v>2.390350055072016</v>
      </c>
      <c r="J97">
        <v>3.1760443885273126</v>
      </c>
    </row>
    <row r="98" spans="1:10">
      <c r="B98" s="3" t="s">
        <v>93</v>
      </c>
      <c r="C98">
        <v>0.26915135507490101</v>
      </c>
      <c r="D98">
        <v>9.6498429989474416E-2</v>
      </c>
      <c r="E98">
        <v>2.7891785918616372</v>
      </c>
      <c r="F98">
        <v>6.8243755560111301E-3</v>
      </c>
      <c r="G98">
        <v>7.6642254602352466E-2</v>
      </c>
      <c r="H98">
        <v>0.46166045554744956</v>
      </c>
      <c r="I98">
        <v>7.6642254602352466E-2</v>
      </c>
      <c r="J98">
        <v>0.46166045554744956</v>
      </c>
    </row>
    <row r="99" spans="1:10">
      <c r="B99" s="3" t="s">
        <v>245</v>
      </c>
      <c r="C99">
        <v>605744.68890287436</v>
      </c>
      <c r="D99">
        <v>158117.46999949648</v>
      </c>
      <c r="E99">
        <v>3.8309788849062874</v>
      </c>
      <c r="F99">
        <v>2.7813901743778917E-4</v>
      </c>
      <c r="G99">
        <v>290308.96707902296</v>
      </c>
      <c r="H99">
        <v>921180.41072672582</v>
      </c>
      <c r="I99">
        <v>290308.96707902296</v>
      </c>
      <c r="J99">
        <v>921180.41072672582</v>
      </c>
    </row>
    <row r="100" spans="1:10">
      <c r="B100" s="3" t="s">
        <v>246</v>
      </c>
      <c r="C100">
        <v>15543605.604590537</v>
      </c>
      <c r="D100">
        <v>14636455.780508734</v>
      </c>
      <c r="E100">
        <v>1.061978790335967</v>
      </c>
      <c r="F100">
        <v>0.29194820729949122</v>
      </c>
      <c r="G100">
        <v>-13655324.74815516</v>
      </c>
      <c r="H100">
        <v>44742535.957336232</v>
      </c>
      <c r="I100">
        <v>-13655324.74815516</v>
      </c>
      <c r="J100">
        <v>44742535.957336232</v>
      </c>
    </row>
    <row r="101" spans="1:10" ht="13.8" thickBot="1">
      <c r="B101" s="78" t="s">
        <v>262</v>
      </c>
      <c r="C101" s="41">
        <v>-154302.78567629622</v>
      </c>
      <c r="D101" s="41">
        <v>297541.090619519</v>
      </c>
      <c r="E101" s="41">
        <v>-0.5185931978504813</v>
      </c>
      <c r="F101" s="41">
        <v>0.60570364386389919</v>
      </c>
      <c r="G101" s="41">
        <v>-747881.02021371212</v>
      </c>
      <c r="H101" s="41">
        <v>439275.44886111969</v>
      </c>
      <c r="I101" s="41">
        <v>-747881.02021371212</v>
      </c>
      <c r="J101" s="41">
        <v>439275.44886111969</v>
      </c>
    </row>
    <row r="102" spans="1:10">
      <c r="B102"/>
      <c r="C102"/>
      <c r="D102"/>
      <c r="E102"/>
      <c r="F102"/>
    </row>
    <row r="103" spans="1:10">
      <c r="B103"/>
      <c r="C103"/>
      <c r="D103"/>
      <c r="E103"/>
      <c r="F103"/>
    </row>
    <row r="104" spans="1:10">
      <c r="B104"/>
    </row>
    <row r="105" spans="1:10" ht="24.6" customHeight="1">
      <c r="A105" s="5" t="s">
        <v>264</v>
      </c>
      <c r="B105" s="82" t="s">
        <v>268</v>
      </c>
      <c r="C105" s="84" t="s">
        <v>265</v>
      </c>
      <c r="D105" s="84"/>
      <c r="E105" s="84"/>
      <c r="F105" s="84"/>
      <c r="G105" s="84"/>
      <c r="H105" s="84"/>
      <c r="I105" s="84"/>
      <c r="J105" s="84"/>
    </row>
    <row r="106" spans="1:10" ht="29.4" customHeight="1">
      <c r="B106" s="82" t="s">
        <v>269</v>
      </c>
      <c r="C106" s="87" t="s">
        <v>266</v>
      </c>
      <c r="D106" s="87"/>
      <c r="E106" s="87"/>
      <c r="F106" s="87"/>
      <c r="G106" s="87"/>
      <c r="H106" s="87"/>
      <c r="I106" s="87"/>
      <c r="J106" s="87"/>
    </row>
    <row r="107" spans="1:10" ht="37.200000000000003" customHeight="1">
      <c r="B107" s="82" t="s">
        <v>208</v>
      </c>
      <c r="C107" s="87" t="s">
        <v>267</v>
      </c>
      <c r="D107" s="87"/>
      <c r="E107" s="87"/>
      <c r="F107" s="87"/>
      <c r="G107" s="87"/>
      <c r="H107" s="87"/>
      <c r="I107" s="87"/>
      <c r="J107" s="87"/>
    </row>
  </sheetData>
  <mergeCells count="3">
    <mergeCell ref="C105:J105"/>
    <mergeCell ref="C106:J106"/>
    <mergeCell ref="C107:J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Copyright</vt:lpstr>
      <vt:lpstr>Exhibit 1</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Company>Hamburg Media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ROHIT GHOSH</cp:lastModifiedBy>
  <dcterms:created xsi:type="dcterms:W3CDTF">2007-09-01T03:44:28Z</dcterms:created>
  <dcterms:modified xsi:type="dcterms:W3CDTF">2025-11-27T10:19:47Z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gt;&lt;version val=&quot;16204&quot;/&gt;&lt;partner val=&quot;530&quot;/&gt;&lt;CXlWorkbook id=&quot;1&quot;&gt;&lt;m_cxllink/&gt;&lt;/CXlWorkbook&gt;&lt;/root&gt;">
    <vt:bool>false</vt:bool>
  </property>
</Properties>
</file>