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QAM-II\"/>
    </mc:Choice>
  </mc:AlternateContent>
  <xr:revisionPtr revIDLastSave="0" documentId="13_ncr:1_{51B1CB6C-58EF-4CDF-85EA-7B3237D4F4CF}" xr6:coauthVersionLast="47" xr6:coauthVersionMax="47" xr10:uidLastSave="{00000000-0000-0000-0000-000000000000}"/>
  <bookViews>
    <workbookView xWindow="-108" yWindow="-108" windowWidth="23256" windowHeight="13176" firstSheet="1" activeTab="4" xr2:uid="{F59390CC-F2C4-4AAF-BD51-23310F5E8909}"/>
  </bookViews>
  <sheets>
    <sheet name="Answer Report 1" sheetId="2" r:id="rId1"/>
    <sheet name="Sensitivity Report 1" sheetId="3" r:id="rId2"/>
    <sheet name="Limits Report 1" sheetId="4" r:id="rId3"/>
    <sheet name="Sensitivity Report 3" sheetId="7" r:id="rId4"/>
    <sheet name="Sheet1" sheetId="1" r:id="rId5"/>
  </sheets>
  <definedNames>
    <definedName name="solver_adj" localSheetId="4" hidden="1">Sheet1!$E$3:$G$3</definedName>
    <definedName name="solver_cvg" localSheetId="4" hidden="1">0.0001</definedName>
    <definedName name="solver_drv" localSheetId="4" hidden="1">2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Sheet1!$E$8:$E$11</definedName>
    <definedName name="solver_lhs2" localSheetId="4" hidden="1">Sheet1!$E$8</definedName>
    <definedName name="solver_lhs3" localSheetId="4" hidden="1">Sheet1!$E$8</definedName>
    <definedName name="solver_lhs4" localSheetId="4" hidden="1">Sheet1!$E$9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Sheet1!$E$5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1</definedName>
    <definedName name="solver_rel3" localSheetId="4" hidden="1">1</definedName>
    <definedName name="solver_rel4" localSheetId="4" hidden="1">1</definedName>
    <definedName name="solver_rhs1" localSheetId="4" hidden="1">Sheet1!$G$8:$G$11</definedName>
    <definedName name="solver_rhs2" localSheetId="4" hidden="1">Sheet1!$G$8</definedName>
    <definedName name="solver_rhs3" localSheetId="4" hidden="1">Sheet1!$G$8</definedName>
    <definedName name="solver_rhs4" localSheetId="4" hidden="1">Sheet1!$G$9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2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5" i="1"/>
</calcChain>
</file>

<file path=xl/sharedStrings.xml><?xml version="1.0" encoding="utf-8"?>
<sst xmlns="http://schemas.openxmlformats.org/spreadsheetml/2006/main" count="179" uniqueCount="73">
  <si>
    <t>S</t>
  </si>
  <si>
    <t>D</t>
  </si>
  <si>
    <t>OBJECTIVE FUNCTION</t>
  </si>
  <si>
    <t>CONSTRAINT</t>
  </si>
  <si>
    <t>LHS</t>
  </si>
  <si>
    <t>SIGN</t>
  </si>
  <si>
    <t>RHS</t>
  </si>
  <si>
    <t>&lt;=</t>
  </si>
  <si>
    <t>DECISION VARIABLES</t>
  </si>
  <si>
    <t>Microsoft Excel 16.0 Answer Report</t>
  </si>
  <si>
    <t>Worksheet: [Parc Inc Solution.xlsx]Sheet1</t>
  </si>
  <si>
    <t>Report Created: 24/11/2025 11:21:05</t>
  </si>
  <si>
    <t>Result: Solver found a solution.  All Constraints and optimality conditions are satisfied.</t>
  </si>
  <si>
    <t>Solver Engine</t>
  </si>
  <si>
    <t>Engine: Simplex LP</t>
  </si>
  <si>
    <t>Solution Time: 0.046 Seconds.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</si>
  <si>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</si>
  <si>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</si>
  <si>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</si>
  <si>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</si>
  <si>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</si>
  <si>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</si>
  <si>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</si>
  <si>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</si>
  <si>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</si>
  <si>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</si>
  <si>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</si>
  <si>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</si>
  <si>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</si>
  <si>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</si>
  <si>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</si>
  <si>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</si>
  <si>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$E$5</t>
  </si>
  <si>
    <t>OBJECTIVE FUNCTION S</t>
  </si>
  <si>
    <t>$E$3</t>
  </si>
  <si>
    <t>DECISION VARIABLES S</t>
  </si>
  <si>
    <t>Contin</t>
  </si>
  <si>
    <t>$F$3</t>
  </si>
  <si>
    <t>DECISION VARIABLES D</t>
  </si>
  <si>
    <t>$E$10</t>
  </si>
  <si>
    <t>$E$10&lt;=$G$10</t>
  </si>
  <si>
    <t>Binding</t>
  </si>
  <si>
    <t>$E$11</t>
  </si>
  <si>
    <t>$E$11&lt;=$G$11</t>
  </si>
  <si>
    <t>Not Binding</t>
  </si>
  <si>
    <t>$E$8</t>
  </si>
  <si>
    <t>$E$8&lt;=$G$8</t>
  </si>
  <si>
    <t>$E$9</t>
  </si>
  <si>
    <t>$E$9&lt;=$G$9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</si>
  <si>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</si>
  <si>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</si>
  <si>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</si>
  <si>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</si>
  <si>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</si>
  <si>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</si>
  <si>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</si>
  <si>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</si>
  <si>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</si>
  <si>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</si>
  <si>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</si>
  <si>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</si>
  <si>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</si>
  <si>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</si>
  <si>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</si>
  <si>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</si>
  <si>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</si>
  <si>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</si>
  <si>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</si>
  <si>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</si>
  <si>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L</t>
  </si>
  <si>
    <t>$G$3</t>
  </si>
  <si>
    <t>DECISION VARIABLES L</t>
  </si>
  <si>
    <t>Report Created: 27/11/2025 14:59:32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</si>
</sst>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5" xfId="0" applyBorder="1"/>
    <xf numFmtId="0" fontId="3" fillId="0" borderId="4" xfId="0" applyFont="1" applyBorder="1" applyAlignment="1">
      <alignment horizontal="center"/>
    </xf>
    <xf numFmtId="0" fontId="0" fillId="0" borderId="6" xfId="0" applyBorder="1"/>
    <xf numFmtId="2" fontId="0" fillId="0" borderId="5" xfId="0" applyNumberFormat="1" applyBorder="1"/>
    <xf numFmtId="2" fontId="0" fillId="0" borderId="6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3" borderId="7" xfId="1" applyNumberFormat="1" applyFont="1" applyFill="1" applyBorder="1" applyAlignment="1">
      <alignment horizontal="center" vertical="center"/>
    </xf>
    <xf numFmtId="2" fontId="5" fillId="3" borderId="8" xfId="1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6" xfId="0" applyFill="1" applyBorder="1" applyAlignment="1"/>
    <xf numFmtId="0" fontId="0" fillId="0" borderId="5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DD8-107F-40A3-B5A0-478F52741D82}">
  <dimension ref="A1:G30"/>
  <sheetViews>
    <sheetView showGridLines="0" workbookViewId="0"/>
  </sheetViews>
  <sheetFormatPr defaultRowHeight="14.4" x14ac:dyDescent="0.3"/>
  <cols>
    <col min="1" max="1" width="2.33203125" customWidth="1"/>
    <col min="2" max="2" width="6" bestFit="1" customWidth="1"/>
    <col min="3" max="3" width="20.44140625" bestFit="1" customWidth="1"/>
    <col min="4" max="4" width="12.5546875" bestFit="1" customWidth="1"/>
    <col min="5" max="5" width="13.44140625" bestFit="1" customWidth="1"/>
    <col min="6" max="6" width="10.109375" bestFit="1" customWidth="1"/>
    <col min="7" max="7" width="5.6640625" bestFit="1" customWidth="1"/>
  </cols>
  <sheetData>
    <row r="1" spans="1:5" x14ac:dyDescent="0.3">
      <c r="A1" s="4" t="s">
        <v>9</v>
      </c>
    </row>
    <row r="2" spans="1:5" x14ac:dyDescent="0.3">
      <c r="A2" s="4" t="s">
        <v>10</v>
      </c>
    </row>
    <row r="3" spans="1:5" x14ac:dyDescent="0.3">
      <c r="A3" s="4" t="s">
        <v>11</v>
      </c>
    </row>
    <row r="4" spans="1:5" x14ac:dyDescent="0.3">
      <c r="A4" s="4" t="s">
        <v>12</v>
      </c>
    </row>
    <row r="5" spans="1:5" x14ac:dyDescent="0.3">
      <c r="A5" s="4" t="s">
        <v>13</v>
      </c>
    </row>
    <row r="6" spans="1:5" x14ac:dyDescent="0.3">
      <c r="A6" s="4"/>
      <c r="B6" t="s">
        <v>14</v>
      </c>
    </row>
    <row r="7" spans="1:5" x14ac:dyDescent="0.3">
      <c r="A7" s="4"/>
      <c r="B7" t="s">
        <v>15</v>
      </c>
    </row>
    <row r="8" spans="1:5" x14ac:dyDescent="0.3">
      <c r="A8" s="4"/>
      <c r="B8" t="s">
        <v>16</v>
      </c>
    </row>
    <row r="9" spans="1:5" x14ac:dyDescent="0.3">
      <c r="A9" s="4" t="s">
        <v>17</v>
      </c>
    </row>
    <row r="10" spans="1:5" x14ac:dyDescent="0.3">
      <c r="B10" t="s">
        <v>18</v>
      </c>
    </row>
    <row r="11" spans="1:5" x14ac:dyDescent="0.3">
      <c r="B11" t="s">
        <v>19</v>
      </c>
    </row>
    <row r="14" spans="1:5" ht="15" thickBot="1" x14ac:dyDescent="0.35">
      <c r="A14" t="s">
        <v>20</v>
      </c>
    </row>
    <row r="15" spans="1:5" ht="15" thickBot="1" x14ac:dyDescent="0.35">
      <c r="B15" s="6" t="s">
        <v>21</v>
      </c>
      <c r="C15" s="6" t="s">
        <v>22</v>
      </c>
      <c r="D15" s="6" t="s">
        <v>23</v>
      </c>
      <c r="E15" s="6" t="s">
        <v>24</v>
      </c>
    </row>
    <row r="16" spans="1:5" ht="15" thickBot="1" x14ac:dyDescent="0.35">
      <c r="B16" s="5" t="s">
        <v>32</v>
      </c>
      <c r="C16" s="5" t="s">
        <v>33</v>
      </c>
      <c r="D16" s="8">
        <v>0</v>
      </c>
      <c r="E16" s="8">
        <v>7668</v>
      </c>
    </row>
    <row r="19" spans="1:7" ht="15" thickBot="1" x14ac:dyDescent="0.35">
      <c r="A19" t="s">
        <v>25</v>
      </c>
    </row>
    <row r="20" spans="1:7" ht="15" thickBot="1" x14ac:dyDescent="0.35">
      <c r="B20" s="6" t="s">
        <v>21</v>
      </c>
      <c r="C20" s="6" t="s">
        <v>22</v>
      </c>
      <c r="D20" s="6" t="s">
        <v>23</v>
      </c>
      <c r="E20" s="6" t="s">
        <v>24</v>
      </c>
      <c r="F20" s="6" t="s">
        <v>26</v>
      </c>
    </row>
    <row r="21" spans="1:7" x14ac:dyDescent="0.3">
      <c r="B21" s="7" t="s">
        <v>34</v>
      </c>
      <c r="C21" s="7" t="s">
        <v>35</v>
      </c>
      <c r="D21" s="9">
        <v>0</v>
      </c>
      <c r="E21" s="9">
        <v>540</v>
      </c>
      <c r="F21" s="7" t="s">
        <v>36</v>
      </c>
    </row>
    <row r="22" spans="1:7" ht="15" thickBot="1" x14ac:dyDescent="0.35">
      <c r="B22" s="5" t="s">
        <v>37</v>
      </c>
      <c r="C22" s="5" t="s">
        <v>38</v>
      </c>
      <c r="D22" s="8">
        <v>0</v>
      </c>
      <c r="E22" s="8">
        <v>252</v>
      </c>
      <c r="F22" s="5" t="s">
        <v>36</v>
      </c>
    </row>
    <row r="25" spans="1:7" ht="15" thickBot="1" x14ac:dyDescent="0.35">
      <c r="A25" t="s">
        <v>27</v>
      </c>
    </row>
    <row r="26" spans="1:7" ht="15" thickBot="1" x14ac:dyDescent="0.35">
      <c r="B26" s="6" t="s">
        <v>21</v>
      </c>
      <c r="C26" s="6" t="s">
        <v>22</v>
      </c>
      <c r="D26" s="6" t="s">
        <v>28</v>
      </c>
      <c r="E26" s="6" t="s">
        <v>29</v>
      </c>
      <c r="F26" s="6" t="s">
        <v>30</v>
      </c>
      <c r="G26" s="6" t="s">
        <v>31</v>
      </c>
    </row>
    <row r="27" spans="1:7" x14ac:dyDescent="0.3">
      <c r="B27" s="7" t="s">
        <v>39</v>
      </c>
      <c r="C27" s="7" t="s">
        <v>4</v>
      </c>
      <c r="D27" s="9">
        <v>708</v>
      </c>
      <c r="E27" s="7" t="s">
        <v>40</v>
      </c>
      <c r="F27" s="7" t="s">
        <v>41</v>
      </c>
      <c r="G27" s="7">
        <v>0</v>
      </c>
    </row>
    <row r="28" spans="1:7" x14ac:dyDescent="0.3">
      <c r="B28" s="7" t="s">
        <v>42</v>
      </c>
      <c r="C28" s="7" t="s">
        <v>4</v>
      </c>
      <c r="D28" s="9">
        <v>117</v>
      </c>
      <c r="E28" s="7" t="s">
        <v>43</v>
      </c>
      <c r="F28" s="7" t="s">
        <v>44</v>
      </c>
      <c r="G28" s="7">
        <v>18</v>
      </c>
    </row>
    <row r="29" spans="1:7" x14ac:dyDescent="0.3">
      <c r="B29" s="7" t="s">
        <v>45</v>
      </c>
      <c r="C29" s="7" t="s">
        <v>4</v>
      </c>
      <c r="D29" s="9">
        <v>630</v>
      </c>
      <c r="E29" s="7" t="s">
        <v>46</v>
      </c>
      <c r="F29" s="7" t="s">
        <v>41</v>
      </c>
      <c r="G29" s="7">
        <v>0</v>
      </c>
    </row>
    <row r="30" spans="1:7" ht="15" thickBot="1" x14ac:dyDescent="0.35">
      <c r="B30" s="5" t="s">
        <v>47</v>
      </c>
      <c r="C30" s="5" t="s">
        <v>4</v>
      </c>
      <c r="D30" s="8">
        <v>480</v>
      </c>
      <c r="E30" s="5" t="s">
        <v>48</v>
      </c>
      <c r="F30" s="5" t="s">
        <v>44</v>
      </c>
      <c r="G30" s="5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146E-C50F-4B0A-8444-E5B21B4A9DBF}">
  <dimension ref="A1:J18"/>
  <sheetViews>
    <sheetView showGridLines="0" workbookViewId="0">
      <selection activeCell="I15" sqref="I15"/>
    </sheetView>
  </sheetViews>
  <sheetFormatPr defaultRowHeight="14.4" x14ac:dyDescent="0.3"/>
  <cols>
    <col min="1" max="1" width="36" style="1" bestFit="1" customWidth="1"/>
    <col min="2" max="2" width="6" style="1" bestFit="1" customWidth="1"/>
    <col min="3" max="3" width="20" style="1" bestFit="1" customWidth="1"/>
    <col min="4" max="4" width="5.6640625" style="1" bestFit="1" customWidth="1"/>
    <col min="5" max="5" width="8.33203125" style="1" bestFit="1" customWidth="1"/>
    <col min="6" max="6" width="10.109375" style="1" bestFit="1" customWidth="1"/>
    <col min="7" max="7" width="35.21875" style="1" bestFit="1" customWidth="1"/>
    <col min="8" max="8" width="12" style="1" bestFit="1" customWidth="1"/>
    <col min="9" max="9" width="5.88671875" style="1" bestFit="1" customWidth="1"/>
    <col min="10" max="10" width="6.5546875" style="1" bestFit="1" customWidth="1"/>
    <col min="11" max="16384" width="8.88671875" style="1"/>
  </cols>
  <sheetData>
    <row r="1" spans="1:10" x14ac:dyDescent="0.3">
      <c r="A1" s="16" t="s">
        <v>49</v>
      </c>
    </row>
    <row r="2" spans="1:10" x14ac:dyDescent="0.3">
      <c r="A2" s="16" t="s">
        <v>10</v>
      </c>
    </row>
    <row r="3" spans="1:10" x14ac:dyDescent="0.3">
      <c r="A3" s="16" t="s">
        <v>11</v>
      </c>
    </row>
    <row r="6" spans="1:10" ht="15" thickBot="1" x14ac:dyDescent="0.35">
      <c r="A6" s="1" t="s">
        <v>25</v>
      </c>
    </row>
    <row r="7" spans="1:10" x14ac:dyDescent="0.3">
      <c r="B7" s="21" t="s">
        <v>21</v>
      </c>
      <c r="C7" s="21" t="s">
        <v>22</v>
      </c>
      <c r="D7" s="14" t="s">
        <v>50</v>
      </c>
      <c r="E7" s="14" t="s">
        <v>52</v>
      </c>
      <c r="F7" s="12" t="s">
        <v>54</v>
      </c>
      <c r="G7" s="12" t="s">
        <v>56</v>
      </c>
      <c r="H7" s="12" t="s">
        <v>56</v>
      </c>
      <c r="I7" s="12" t="s">
        <v>65</v>
      </c>
      <c r="J7" s="12" t="s">
        <v>68</v>
      </c>
    </row>
    <row r="8" spans="1:10" ht="15" thickBot="1" x14ac:dyDescent="0.35">
      <c r="B8" s="22"/>
      <c r="C8" s="22"/>
      <c r="D8" s="15" t="s">
        <v>51</v>
      </c>
      <c r="E8" s="15" t="s">
        <v>53</v>
      </c>
      <c r="F8" s="13" t="s">
        <v>55</v>
      </c>
      <c r="G8" s="13" t="s">
        <v>57</v>
      </c>
      <c r="H8" s="13" t="s">
        <v>58</v>
      </c>
      <c r="I8" s="13" t="s">
        <v>66</v>
      </c>
      <c r="J8" s="13" t="s">
        <v>66</v>
      </c>
    </row>
    <row r="9" spans="1:10" x14ac:dyDescent="0.3">
      <c r="B9" s="17" t="s">
        <v>34</v>
      </c>
      <c r="C9" s="17" t="s">
        <v>35</v>
      </c>
      <c r="D9" s="17">
        <v>540</v>
      </c>
      <c r="E9" s="17">
        <v>0</v>
      </c>
      <c r="F9" s="17">
        <v>10</v>
      </c>
      <c r="G9" s="17">
        <v>3.5000000000000031</v>
      </c>
      <c r="H9" s="17">
        <v>3.7000000000000006</v>
      </c>
      <c r="I9" s="18">
        <v>0</v>
      </c>
      <c r="J9" s="18">
        <v>540</v>
      </c>
    </row>
    <row r="10" spans="1:10" ht="15" thickBot="1" x14ac:dyDescent="0.35">
      <c r="B10" s="19" t="s">
        <v>37</v>
      </c>
      <c r="C10" s="19" t="s">
        <v>38</v>
      </c>
      <c r="D10" s="19">
        <v>252</v>
      </c>
      <c r="E10" s="19">
        <v>0</v>
      </c>
      <c r="F10" s="19">
        <v>9</v>
      </c>
      <c r="G10" s="19">
        <v>5.2857142857142865</v>
      </c>
      <c r="H10" s="19">
        <v>2.3333333333333348</v>
      </c>
      <c r="I10" s="20">
        <v>0</v>
      </c>
      <c r="J10" s="20">
        <v>252</v>
      </c>
    </row>
    <row r="12" spans="1:10" ht="15" thickBot="1" x14ac:dyDescent="0.35">
      <c r="A12" s="1" t="s">
        <v>27</v>
      </c>
    </row>
    <row r="13" spans="1:10" x14ac:dyDescent="0.3">
      <c r="B13" s="12"/>
      <c r="C13" s="12"/>
      <c r="D13" s="12" t="s">
        <v>50</v>
      </c>
      <c r="E13" s="12" t="s">
        <v>59</v>
      </c>
      <c r="F13" s="12" t="s">
        <v>61</v>
      </c>
      <c r="G13" s="12" t="s">
        <v>56</v>
      </c>
      <c r="H13" s="12" t="s">
        <v>56</v>
      </c>
    </row>
    <row r="14" spans="1:10" ht="15" thickBot="1" x14ac:dyDescent="0.35">
      <c r="B14" s="13" t="s">
        <v>21</v>
      </c>
      <c r="C14" s="13" t="s">
        <v>22</v>
      </c>
      <c r="D14" s="13" t="s">
        <v>51</v>
      </c>
      <c r="E14" s="13" t="s">
        <v>60</v>
      </c>
      <c r="F14" s="13" t="s">
        <v>62</v>
      </c>
      <c r="G14" s="13" t="s">
        <v>57</v>
      </c>
      <c r="H14" s="13" t="s">
        <v>58</v>
      </c>
    </row>
    <row r="15" spans="1:10" x14ac:dyDescent="0.3">
      <c r="B15" s="17" t="s">
        <v>39</v>
      </c>
      <c r="C15" s="17" t="s">
        <v>4</v>
      </c>
      <c r="D15" s="17">
        <v>708</v>
      </c>
      <c r="E15" s="17">
        <v>6.9374999999999991</v>
      </c>
      <c r="F15" s="17">
        <v>708</v>
      </c>
      <c r="G15" s="17">
        <v>192.00000000000006</v>
      </c>
      <c r="H15" s="17">
        <v>128.00000000000014</v>
      </c>
    </row>
    <row r="16" spans="1:10" x14ac:dyDescent="0.3">
      <c r="B16" s="17" t="s">
        <v>42</v>
      </c>
      <c r="C16" s="17" t="s">
        <v>4</v>
      </c>
      <c r="D16" s="17">
        <v>117</v>
      </c>
      <c r="E16" s="17">
        <v>0</v>
      </c>
      <c r="F16" s="17">
        <v>135</v>
      </c>
      <c r="G16" s="18">
        <v>1E+30</v>
      </c>
      <c r="H16" s="17">
        <v>18.000000000000007</v>
      </c>
    </row>
    <row r="17" spans="2:8" x14ac:dyDescent="0.3">
      <c r="B17" s="17" t="s">
        <v>45</v>
      </c>
      <c r="C17" s="17" t="s">
        <v>4</v>
      </c>
      <c r="D17" s="17">
        <v>630</v>
      </c>
      <c r="E17" s="17">
        <v>4.3750000000000018</v>
      </c>
      <c r="F17" s="17">
        <v>630</v>
      </c>
      <c r="G17" s="17">
        <v>52.363636363636402</v>
      </c>
      <c r="H17" s="17">
        <v>134.40000000000003</v>
      </c>
    </row>
    <row r="18" spans="2:8" ht="15" thickBot="1" x14ac:dyDescent="0.35">
      <c r="B18" s="19" t="s">
        <v>47</v>
      </c>
      <c r="C18" s="19" t="s">
        <v>4</v>
      </c>
      <c r="D18" s="19">
        <v>480</v>
      </c>
      <c r="E18" s="19">
        <v>0</v>
      </c>
      <c r="F18" s="19">
        <v>600</v>
      </c>
      <c r="G18" s="20">
        <v>1E+30</v>
      </c>
      <c r="H18" s="19">
        <v>119.99999999999994</v>
      </c>
    </row>
  </sheetData>
  <mergeCells count="2">
    <mergeCell ref="B7:B8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635B-6F50-4A1C-A050-25E0865189E3}">
  <dimension ref="A1:J14"/>
  <sheetViews>
    <sheetView showGridLines="0" topLeftCell="A14" workbookViewId="0">
      <selection activeCell="I11" activeCellId="1" sqref="F11:F14 I11:I14"/>
    </sheetView>
  </sheetViews>
  <sheetFormatPr defaultRowHeight="14.4" x14ac:dyDescent="0.3"/>
  <cols>
    <col min="1" max="1" width="2.33203125" customWidth="1"/>
    <col min="2" max="2" width="5" bestFit="1" customWidth="1"/>
    <col min="3" max="3" width="20.44140625" bestFit="1" customWidth="1"/>
    <col min="4" max="4" width="7.5546875" bestFit="1" customWidth="1"/>
    <col min="5" max="5" width="2.33203125" customWidth="1"/>
    <col min="6" max="6" width="5.88671875" bestFit="1" customWidth="1"/>
    <col min="7" max="7" width="9.109375" bestFit="1" customWidth="1"/>
    <col min="8" max="8" width="2.33203125" customWidth="1"/>
    <col min="9" max="9" width="6.5546875" bestFit="1" customWidth="1"/>
    <col min="10" max="10" width="9.109375" bestFit="1" customWidth="1"/>
  </cols>
  <sheetData>
    <row r="1" spans="1:10" x14ac:dyDescent="0.3">
      <c r="A1" s="4" t="s">
        <v>63</v>
      </c>
    </row>
    <row r="2" spans="1:10" x14ac:dyDescent="0.3">
      <c r="A2" s="4" t="s">
        <v>10</v>
      </c>
    </row>
    <row r="3" spans="1:10" x14ac:dyDescent="0.3">
      <c r="A3" s="4" t="s">
        <v>11</v>
      </c>
    </row>
    <row r="5" spans="1:10" ht="15" thickBot="1" x14ac:dyDescent="0.35"/>
    <row r="6" spans="1:10" x14ac:dyDescent="0.3">
      <c r="B6" s="10"/>
      <c r="C6" s="10" t="s">
        <v>54</v>
      </c>
      <c r="D6" s="10"/>
    </row>
    <row r="7" spans="1:10" ht="15" thickBot="1" x14ac:dyDescent="0.35">
      <c r="B7" s="11" t="s">
        <v>21</v>
      </c>
      <c r="C7" s="11" t="s">
        <v>22</v>
      </c>
      <c r="D7" s="11" t="s">
        <v>51</v>
      </c>
    </row>
    <row r="8" spans="1:10" ht="15" thickBot="1" x14ac:dyDescent="0.35">
      <c r="B8" s="5" t="s">
        <v>32</v>
      </c>
      <c r="C8" s="5" t="s">
        <v>33</v>
      </c>
      <c r="D8" s="8">
        <v>7668</v>
      </c>
    </row>
    <row r="10" spans="1:10" ht="15" thickBot="1" x14ac:dyDescent="0.35"/>
    <row r="11" spans="1:10" x14ac:dyDescent="0.3">
      <c r="B11" s="10"/>
      <c r="C11" s="10" t="s">
        <v>64</v>
      </c>
      <c r="D11" s="10"/>
      <c r="F11" s="10" t="s">
        <v>65</v>
      </c>
      <c r="G11" s="10" t="s">
        <v>54</v>
      </c>
      <c r="I11" s="10" t="s">
        <v>68</v>
      </c>
      <c r="J11" s="10" t="s">
        <v>54</v>
      </c>
    </row>
    <row r="12" spans="1:10" ht="15" thickBot="1" x14ac:dyDescent="0.35">
      <c r="B12" s="11" t="s">
        <v>21</v>
      </c>
      <c r="C12" s="11" t="s">
        <v>22</v>
      </c>
      <c r="D12" s="11" t="s">
        <v>51</v>
      </c>
      <c r="F12" s="11" t="s">
        <v>66</v>
      </c>
      <c r="G12" s="11" t="s">
        <v>67</v>
      </c>
      <c r="I12" s="11" t="s">
        <v>66</v>
      </c>
      <c r="J12" s="11" t="s">
        <v>67</v>
      </c>
    </row>
    <row r="13" spans="1:10" x14ac:dyDescent="0.3">
      <c r="B13" s="7" t="s">
        <v>34</v>
      </c>
      <c r="C13" s="7" t="s">
        <v>35</v>
      </c>
      <c r="D13" s="9">
        <v>540</v>
      </c>
      <c r="F13" s="9">
        <v>0</v>
      </c>
      <c r="G13" s="9">
        <v>2268</v>
      </c>
      <c r="I13" s="9">
        <v>540</v>
      </c>
      <c r="J13" s="9">
        <v>7668</v>
      </c>
    </row>
    <row r="14" spans="1:10" ht="15" thickBot="1" x14ac:dyDescent="0.35">
      <c r="B14" s="5" t="s">
        <v>37</v>
      </c>
      <c r="C14" s="5" t="s">
        <v>38</v>
      </c>
      <c r="D14" s="8">
        <v>252</v>
      </c>
      <c r="F14" s="8">
        <v>0</v>
      </c>
      <c r="G14" s="8">
        <v>5400</v>
      </c>
      <c r="I14" s="8">
        <v>252</v>
      </c>
      <c r="J14" s="8">
        <v>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C9F6-D56A-4ACF-923D-59843139F0DE}">
  <dimension ref="A1:H19"/>
  <sheetViews>
    <sheetView showGridLines="0" workbookViewId="0"/>
  </sheetViews>
  <sheetFormatPr defaultRowHeight="14.4" x14ac:dyDescent="0.3"/>
  <cols>
    <col min="1" max="1" width="2.33203125" customWidth="1"/>
    <col min="2" max="2" width="6" bestFit="1" customWidth="1"/>
    <col min="3" max="3" width="20" bestFit="1" customWidth="1"/>
    <col min="4" max="4" width="6" bestFit="1" customWidth="1"/>
    <col min="5" max="5" width="8.33203125" bestFit="1" customWidth="1"/>
    <col min="6" max="6" width="10.109375" bestFit="1" customWidth="1"/>
    <col min="7" max="8" width="12" bestFit="1" customWidth="1"/>
  </cols>
  <sheetData>
    <row r="1" spans="1:8" x14ac:dyDescent="0.3">
      <c r="A1" s="4" t="s">
        <v>49</v>
      </c>
    </row>
    <row r="2" spans="1:8" x14ac:dyDescent="0.3">
      <c r="A2" s="4" t="s">
        <v>10</v>
      </c>
    </row>
    <row r="3" spans="1:8" x14ac:dyDescent="0.3">
      <c r="A3" s="4" t="s">
        <v>72</v>
      </c>
    </row>
    <row r="6" spans="1:8" ht="15" thickBot="1" x14ac:dyDescent="0.35">
      <c r="A6" t="s">
        <v>25</v>
      </c>
    </row>
    <row r="7" spans="1:8" x14ac:dyDescent="0.3">
      <c r="B7" s="29"/>
      <c r="C7" s="29"/>
      <c r="D7" s="29" t="s">
        <v>50</v>
      </c>
      <c r="E7" s="29" t="s">
        <v>52</v>
      </c>
      <c r="F7" s="29" t="s">
        <v>54</v>
      </c>
      <c r="G7" s="29" t="s">
        <v>56</v>
      </c>
      <c r="H7" s="29" t="s">
        <v>56</v>
      </c>
    </row>
    <row r="8" spans="1:8" ht="15" thickBot="1" x14ac:dyDescent="0.35">
      <c r="B8" s="30" t="s">
        <v>21</v>
      </c>
      <c r="C8" s="30" t="s">
        <v>22</v>
      </c>
      <c r="D8" s="30" t="s">
        <v>51</v>
      </c>
      <c r="E8" s="30" t="s">
        <v>53</v>
      </c>
      <c r="F8" s="30" t="s">
        <v>55</v>
      </c>
      <c r="G8" s="30" t="s">
        <v>57</v>
      </c>
      <c r="H8" s="30" t="s">
        <v>58</v>
      </c>
    </row>
    <row r="9" spans="1:8" x14ac:dyDescent="0.3">
      <c r="B9" s="27" t="s">
        <v>34</v>
      </c>
      <c r="C9" s="27" t="s">
        <v>35</v>
      </c>
      <c r="D9" s="27">
        <v>280</v>
      </c>
      <c r="E9" s="27">
        <v>0</v>
      </c>
      <c r="F9" s="27">
        <v>10</v>
      </c>
      <c r="G9" s="27">
        <v>2.0699999999999985</v>
      </c>
      <c r="H9" s="27">
        <v>4.8599999999999994</v>
      </c>
    </row>
    <row r="10" spans="1:8" x14ac:dyDescent="0.3">
      <c r="B10" s="27" t="s">
        <v>37</v>
      </c>
      <c r="C10" s="27" t="s">
        <v>38</v>
      </c>
      <c r="D10" s="27">
        <v>0</v>
      </c>
      <c r="E10" s="27">
        <v>-1.1499999999999995</v>
      </c>
      <c r="F10" s="27">
        <v>9</v>
      </c>
      <c r="G10" s="27">
        <v>1.1499999999999995</v>
      </c>
      <c r="H10" s="27">
        <v>1E+30</v>
      </c>
    </row>
    <row r="11" spans="1:8" ht="15" thickBot="1" x14ac:dyDescent="0.35">
      <c r="B11" s="28" t="s">
        <v>70</v>
      </c>
      <c r="C11" s="28" t="s">
        <v>71</v>
      </c>
      <c r="D11" s="28">
        <v>428</v>
      </c>
      <c r="E11" s="28">
        <v>0</v>
      </c>
      <c r="F11" s="28">
        <v>12.850000000000001</v>
      </c>
      <c r="G11" s="28">
        <v>12.149999999999999</v>
      </c>
      <c r="H11" s="28">
        <v>0.94090909090909058</v>
      </c>
    </row>
    <row r="13" spans="1:8" ht="15" thickBot="1" x14ac:dyDescent="0.35">
      <c r="A13" t="s">
        <v>27</v>
      </c>
    </row>
    <row r="14" spans="1:8" x14ac:dyDescent="0.3">
      <c r="B14" s="29"/>
      <c r="C14" s="29"/>
      <c r="D14" s="29" t="s">
        <v>50</v>
      </c>
      <c r="E14" s="29" t="s">
        <v>59</v>
      </c>
      <c r="F14" s="29" t="s">
        <v>61</v>
      </c>
      <c r="G14" s="29" t="s">
        <v>56</v>
      </c>
      <c r="H14" s="29" t="s">
        <v>56</v>
      </c>
    </row>
    <row r="15" spans="1:8" ht="15" thickBot="1" x14ac:dyDescent="0.35">
      <c r="B15" s="30" t="s">
        <v>21</v>
      </c>
      <c r="C15" s="30" t="s">
        <v>22</v>
      </c>
      <c r="D15" s="30" t="s">
        <v>51</v>
      </c>
      <c r="E15" s="30" t="s">
        <v>60</v>
      </c>
      <c r="F15" s="30" t="s">
        <v>62</v>
      </c>
      <c r="G15" s="30" t="s">
        <v>57</v>
      </c>
      <c r="H15" s="30" t="s">
        <v>58</v>
      </c>
    </row>
    <row r="16" spans="1:8" x14ac:dyDescent="0.3">
      <c r="B16" s="27" t="s">
        <v>45</v>
      </c>
      <c r="C16" s="27" t="s">
        <v>4</v>
      </c>
      <c r="D16" s="27">
        <v>538.40000000000009</v>
      </c>
      <c r="E16" s="27">
        <v>0</v>
      </c>
      <c r="F16" s="27">
        <v>630</v>
      </c>
      <c r="G16" s="27">
        <v>1E+30</v>
      </c>
      <c r="H16" s="27">
        <v>91.600000000000023</v>
      </c>
    </row>
    <row r="17" spans="2:8" x14ac:dyDescent="0.3">
      <c r="B17" s="27" t="s">
        <v>47</v>
      </c>
      <c r="C17" s="27" t="s">
        <v>4</v>
      </c>
      <c r="D17" s="27">
        <v>568</v>
      </c>
      <c r="E17" s="27">
        <v>0</v>
      </c>
      <c r="F17" s="27">
        <v>600</v>
      </c>
      <c r="G17" s="27">
        <v>1E+30</v>
      </c>
      <c r="H17" s="27">
        <v>32.000000000000007</v>
      </c>
    </row>
    <row r="18" spans="2:8" x14ac:dyDescent="0.3">
      <c r="B18" s="27" t="s">
        <v>39</v>
      </c>
      <c r="C18" s="27" t="s">
        <v>4</v>
      </c>
      <c r="D18" s="27">
        <v>708</v>
      </c>
      <c r="E18" s="27">
        <v>8.1</v>
      </c>
      <c r="F18" s="27">
        <v>708</v>
      </c>
      <c r="G18" s="27">
        <v>144.6315789473685</v>
      </c>
      <c r="H18" s="27">
        <v>168</v>
      </c>
    </row>
    <row r="19" spans="2:8" ht="15" thickBot="1" x14ac:dyDescent="0.35">
      <c r="B19" s="28" t="s">
        <v>42</v>
      </c>
      <c r="C19" s="28" t="s">
        <v>4</v>
      </c>
      <c r="D19" s="28">
        <v>135</v>
      </c>
      <c r="E19" s="28">
        <v>19.000000000000007</v>
      </c>
      <c r="F19" s="28">
        <v>135</v>
      </c>
      <c r="G19" s="28">
        <v>9.6000000000000014</v>
      </c>
      <c r="H19" s="28">
        <v>64.2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436D-B0AB-43F4-9310-0DA8BB6A9467}">
  <dimension ref="D2:O11"/>
  <sheetViews>
    <sheetView tabSelected="1" workbookViewId="0">
      <selection activeCell="K6" sqref="K6"/>
    </sheetView>
  </sheetViews>
  <sheetFormatPr defaultRowHeight="14.4" x14ac:dyDescent="0.3"/>
  <cols>
    <col min="1" max="3" width="8.88671875" style="1"/>
    <col min="4" max="4" width="19.109375" style="1" bestFit="1" customWidth="1"/>
    <col min="5" max="5" width="8.5546875" style="1" bestFit="1" customWidth="1"/>
    <col min="6" max="6" width="7.5546875" style="1" bestFit="1" customWidth="1"/>
    <col min="7" max="7" width="6.5546875" style="1" bestFit="1" customWidth="1"/>
    <col min="8" max="16384" width="8.88671875" style="1"/>
  </cols>
  <sheetData>
    <row r="2" spans="4:15" x14ac:dyDescent="0.3">
      <c r="E2" s="1" t="s">
        <v>0</v>
      </c>
      <c r="F2" s="1" t="s">
        <v>1</v>
      </c>
      <c r="G2" s="1" t="s">
        <v>69</v>
      </c>
    </row>
    <row r="3" spans="4:15" x14ac:dyDescent="0.3">
      <c r="D3" s="1" t="s">
        <v>8</v>
      </c>
      <c r="E3" s="24">
        <v>280</v>
      </c>
      <c r="F3" s="25">
        <v>0</v>
      </c>
      <c r="G3" s="26">
        <v>428</v>
      </c>
    </row>
    <row r="5" spans="4:15" x14ac:dyDescent="0.3">
      <c r="D5" s="1" t="s">
        <v>2</v>
      </c>
      <c r="E5" s="23">
        <f>10*E3+9*F3 + 12.85*G3</f>
        <v>8299.7999999999993</v>
      </c>
      <c r="F5" s="23"/>
      <c r="G5" s="23"/>
    </row>
    <row r="7" spans="4:15" x14ac:dyDescent="0.3">
      <c r="D7" s="1" t="s">
        <v>3</v>
      </c>
      <c r="E7" s="1" t="s">
        <v>4</v>
      </c>
      <c r="F7" s="1" t="s">
        <v>5</v>
      </c>
      <c r="G7" s="1" t="s">
        <v>6</v>
      </c>
    </row>
    <row r="8" spans="4:15" x14ac:dyDescent="0.3">
      <c r="E8" s="3">
        <f>(7/10)*E3+F3 + 0.8*G3</f>
        <v>538.40000000000009</v>
      </c>
      <c r="F8" s="1" t="s">
        <v>7</v>
      </c>
      <c r="G8" s="3">
        <v>630</v>
      </c>
      <c r="O8" s="2"/>
    </row>
    <row r="9" spans="4:15" x14ac:dyDescent="0.3">
      <c r="E9" s="3">
        <f>(1/2)*E3+(5/6)*F3 + G3</f>
        <v>568</v>
      </c>
      <c r="F9" s="1" t="s">
        <v>7</v>
      </c>
      <c r="G9" s="3">
        <v>600</v>
      </c>
    </row>
    <row r="10" spans="4:15" x14ac:dyDescent="0.3">
      <c r="E10" s="3">
        <f>E3+(2/3)*F3 + G3</f>
        <v>708</v>
      </c>
      <c r="F10" s="1" t="s">
        <v>7</v>
      </c>
      <c r="G10" s="3">
        <v>708</v>
      </c>
    </row>
    <row r="11" spans="4:15" x14ac:dyDescent="0.3">
      <c r="E11" s="3">
        <f>(1/10)*E3+(1/4)*F3 + (1/4)*G3</f>
        <v>135</v>
      </c>
      <c r="F11" s="1" t="s">
        <v>7</v>
      </c>
      <c r="G11" s="3">
        <v>135</v>
      </c>
    </row>
  </sheetData>
  <mergeCells count="1"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 Report 1</vt:lpstr>
      <vt:lpstr>Sensitivity Report 1</vt:lpstr>
      <vt:lpstr>Limits Report 1</vt:lpstr>
      <vt:lpstr>Sensitivity Report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2025-11-24T05:33:52Z</dcterms:created>
  <dcterms:modified xsi:type="dcterms:W3CDTF">2025-11-27T10:19:52Z</dcterms:modified>
</cp:coreProperties>
</file>