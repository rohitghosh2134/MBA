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6C12DC3B-534F-4B7B-AC9F-EDA48125D01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ZEPTO USERS FOR Q8,Q10,Q20" sheetId="3" r:id="rId2"/>
    <sheet name="HYPOTHESIS 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A2" i="3" a="1"/>
  <c r="A2" i="3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<sst xmlns="http://schemas.openxmlformats.org/spreadsheetml/2006/main" count="2381" uniqueCount="157">
  <si>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</si>
  <si>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</si>
  <si>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</si>
  <si>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</si>
  <si>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</si>
  <si>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</si>
  <si>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</si>
  <si>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</si>
  <si>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</si>
  <si>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</si>
  <si>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</si>
  <si>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</si>
  <si>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</si>
  <si>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</si>
  <si>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</si>
  <si>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</si>
  <si>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</si>
  <si>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</si>
  <si>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</si>
  <si>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</si>
  <si>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</si>
  <si>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</si>
  <si>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</si>
  <si>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</si>
  <si>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</si>
  <si>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Q7_num</t>
  </si>
  <si>
    <t>Q8_num</t>
  </si>
  <si>
    <t>Q10_num</t>
  </si>
  <si>
    <t>Q12_num</t>
  </si>
  <si>
    <t>Q18_num</t>
  </si>
  <si>
    <t>Q20_num</t>
  </si>
  <si>
    <t>Q23_num</t>
  </si>
  <si>
    <t>Q25_num</t>
  </si>
  <si>
    <t>Q11_Complain_to_customer_support</t>
  </si>
  <si>
    <t>Q11_Return_item_in_app</t>
  </si>
  <si>
    <t>Q11_Post_on_social_media</t>
  </si>
  <si>
    <t>Q11_Complain_to_friends_family</t>
  </si>
  <si>
    <t>Q11_Do_nothing</t>
  </si>
  <si>
    <t>Q11_num_actions</t>
  </si>
  <si>
    <t>25–34</t>
  </si>
  <si>
    <t>Male</t>
  </si>
  <si>
    <t>Village</t>
  </si>
  <si>
    <t>Employed (salaried)</t>
  </si>
  <si>
    <t>&lt; ₹20,000</t>
  </si>
  <si>
    <t>Instamart, Local grocery app, None</t>
  </si>
  <si>
    <t>Weekly</t>
  </si>
  <si>
    <t>Yes</t>
  </si>
  <si>
    <t>Instamart</t>
  </si>
  <si>
    <t>6+ times</t>
  </si>
  <si>
    <t>Complain to friends/family, Do nothing, Return item in app</t>
  </si>
  <si>
    <t>No</t>
  </si>
  <si>
    <t>Very unlikely</t>
  </si>
  <si>
    <t>Probably no</t>
  </si>
  <si>
    <t>Very likely</t>
  </si>
  <si>
    <t>6–10%</t>
  </si>
  <si>
    <t>Non-binary</t>
  </si>
  <si>
    <t>Urban</t>
  </si>
  <si>
    <t>Student</t>
  </si>
  <si>
    <t>₹20–40k</t>
  </si>
  <si>
    <t>Local grocery app, Zepto</t>
  </si>
  <si>
    <t>2–3 times/week</t>
  </si>
  <si>
    <t>0 times</t>
  </si>
  <si>
    <t>Do nothing</t>
  </si>
  <si>
    <t>Likely</t>
  </si>
  <si>
    <t>Definitely yes</t>
  </si>
  <si>
    <t>Neutral</t>
  </si>
  <si>
    <t>11–20%</t>
  </si>
  <si>
    <t>18–24</t>
  </si>
  <si>
    <t>Female</t>
  </si>
  <si>
    <t>₹40–60k</t>
  </si>
  <si>
    <t>Blinkit, Local grocery app, Zepto</t>
  </si>
  <si>
    <t>Zepto</t>
  </si>
  <si>
    <t>Complain to customer support, Return item in app</t>
  </si>
  <si>
    <t>Probably yes</t>
  </si>
  <si>
    <t>up to 5%</t>
  </si>
  <si>
    <t>Sub-urban</t>
  </si>
  <si>
    <t>2–3 times</t>
  </si>
  <si>
    <t>Do nothing, Return item in app</t>
  </si>
  <si>
    <t>Unlikely</t>
  </si>
  <si>
    <t>Might or might not</t>
  </si>
  <si>
    <t>Self-employed</t>
  </si>
  <si>
    <t>₹60–100k</t>
  </si>
  <si>
    <t>Blinkit, None</t>
  </si>
  <si>
    <t>&gt;20%</t>
  </si>
  <si>
    <t>Do nothing, Post on social media</t>
  </si>
  <si>
    <t>0%</t>
  </si>
  <si>
    <t>Blinkit, Local grocery app</t>
  </si>
  <si>
    <t>Blinkit, Instamart, Zepto</t>
  </si>
  <si>
    <t>Blinkit, Instamart</t>
  </si>
  <si>
    <t>&gt; ₹100k</t>
  </si>
  <si>
    <t>Do nothing, Post on social media, Return item in app</t>
  </si>
  <si>
    <t>Blinkit, Local grocery app, None</t>
  </si>
  <si>
    <t>Rarely</t>
  </si>
  <si>
    <t>Local grocery app, None</t>
  </si>
  <si>
    <t>Complain to customer support, Post on social media</t>
  </si>
  <si>
    <t>Prefer not to say</t>
  </si>
  <si>
    <t>Instamart, None, Zepto</t>
  </si>
  <si>
    <t>45–54</t>
  </si>
  <si>
    <t>Blinkit</t>
  </si>
  <si>
    <t>1 time</t>
  </si>
  <si>
    <t>Complain to friends/family</t>
  </si>
  <si>
    <t>Monthly</t>
  </si>
  <si>
    <t>4–5 times</t>
  </si>
  <si>
    <t>Definitely no</t>
  </si>
  <si>
    <t>None, Zepto</t>
  </si>
  <si>
    <t>Complain to friends/family, Do nothing</t>
  </si>
  <si>
    <t>Complain to customer support</t>
  </si>
  <si>
    <t>Local grocery app</t>
  </si>
  <si>
    <t>Daily</t>
  </si>
  <si>
    <t>55+</t>
  </si>
  <si>
    <t>Instamart, None</t>
  </si>
  <si>
    <t>Instamart, Local grocery app</t>
  </si>
  <si>
    <t>Never</t>
  </si>
  <si>
    <t>Complain to customer support, Do nothing, Return item in app</t>
  </si>
  <si>
    <t>Other</t>
  </si>
  <si>
    <t>Blinkit, None, Zepto</t>
  </si>
  <si>
    <t>35–44</t>
  </si>
  <si>
    <t>Complain to customer support, Complain to friends/family, Post on social media</t>
  </si>
  <si>
    <t>Instamart, Zepto</t>
  </si>
  <si>
    <t>Twice a month</t>
  </si>
  <si>
    <t>Blinkit, Instamart, Local grocery app</t>
  </si>
  <si>
    <t>Post on social media, Return item in app</t>
  </si>
  <si>
    <t>Blinkit, Instamart, None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</si>
  <si>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</si>
  <si>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</si>
  <si>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</si>
  <si>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</si>
  <si>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</si>
  <si>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Homemaker</t>
  </si>
  <si>
    <t>Complain to friends/family, Do nothing, Post on social media</t>
  </si>
  <si>
    <t>Complain to customer support, Complain to friends/family, Return item in app</t>
  </si>
  <si>
    <t>Blinkit, Zepto</t>
  </si>
  <si>
    <t>Instamart, Local grocery app, Zepto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</si>
  <si>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</si>
  <si>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</si>
  <si>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</si>
  <si>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</si>
  <si>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Local grocery app, None, Zepto</t>
  </si>
  <si>
    <t>HYPOTHESIS</t>
  </si>
  <si>
    <t>Are Zepto’s ratings/recommendations significantly lower because customers receive poor-quality perishable items?</t>
  </si>
  <si>
    <t>Null Hypothesis</t>
  </si>
  <si>
    <r>
      <t xml:space="preserve">There is </t>
    </r>
    <r>
      <rPr>
        <b/>
        <sz val="11"/>
        <color theme="1"/>
        <rFont val="Calibri"/>
        <family val="2"/>
        <scheme val="minor"/>
      </rPr>
      <t>no significant relationship</t>
    </r>
    <r>
      <rPr>
        <sz val="11"/>
        <color theme="1"/>
        <rFont val="Calibri"/>
        <family val="2"/>
        <scheme val="minor"/>
      </rPr>
      <t xml:space="preserve"> between poor-quality perishable items and Zepto’s recommendation rating.</t>
    </r>
  </si>
  <si>
    <t>Alternative Hypothesis</t>
  </si>
  <si>
    <r>
      <t xml:space="preserve">There is a </t>
    </r>
    <r>
      <rPr>
        <b/>
        <sz val="11"/>
        <color theme="1"/>
        <rFont val="Calibri"/>
        <family val="2"/>
        <scheme val="minor"/>
      </rPr>
      <t>significant negative relationship</t>
    </r>
    <r>
      <rPr>
        <sz val="11"/>
        <color theme="1"/>
        <rFont val="Calibri"/>
        <family val="2"/>
        <scheme val="minor"/>
      </rPr>
      <t xml:space="preserve"> between poor-quality perishable items and Zepto’s recommendation rating.</t>
    </r>
  </si>
  <si>
    <t>Significance Level</t>
  </si>
  <si>
    <t>VARIABLES USED</t>
  </si>
  <si>
    <t>Poor quality received?</t>
  </si>
  <si>
    <t>Frequency of poor quality</t>
  </si>
  <si>
    <t>Zepto rating proxy</t>
  </si>
  <si>
    <r>
      <t>Q20_num</t>
    </r>
    <r>
      <rPr>
        <sz val="11"/>
        <color theme="1"/>
        <rFont val="Calibri"/>
        <family val="2"/>
        <scheme val="minor"/>
      </rPr>
      <t xml:space="preserve"> (Recommend Zepto)</t>
    </r>
  </si>
  <si>
    <t>CHECKING CORRELATION OF Q20 WITH OTHERS</t>
  </si>
  <si>
    <t>DEPENDENT VARIABLE</t>
  </si>
  <si>
    <t>Q20 VS Q8</t>
  </si>
  <si>
    <t>q8_num</t>
  </si>
  <si>
    <t>q10_num</t>
  </si>
  <si>
    <t>q20_num</t>
  </si>
  <si>
    <t>q20 vs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</si>
</sst>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ZEPTO USERS FOR Q8,Q10,Q20"/>
      <sheetName val="HYPOTHESIS "/>
    </sheetNames>
    <sheetDataSet>
      <sheetData sheetId="0">
        <row r="1">
          <cell r="AA1" t="str">
            <v>Q8_num</v>
          </cell>
          <cell r="AB1" t="str">
            <v>Q10_num</v>
          </cell>
          <cell r="AC1" t="str">
            <v>Q12_num</v>
          </cell>
          <cell r="AE1" t="str">
            <v>Q20_num</v>
          </cell>
        </row>
        <row r="2">
          <cell r="AA2">
            <v>2</v>
          </cell>
          <cell r="AB2">
            <v>5</v>
          </cell>
          <cell r="AC2">
            <v>0</v>
          </cell>
          <cell r="AE2">
            <v>2</v>
          </cell>
        </row>
        <row r="3">
          <cell r="AA3">
            <v>1</v>
          </cell>
          <cell r="AB3">
            <v>1</v>
          </cell>
          <cell r="AC3">
            <v>1</v>
          </cell>
          <cell r="AE3">
            <v>5</v>
          </cell>
        </row>
        <row r="4">
          <cell r="AA4">
            <v>2</v>
          </cell>
          <cell r="AB4">
            <v>1</v>
          </cell>
          <cell r="AC4">
            <v>1</v>
          </cell>
          <cell r="AE4">
            <v>4</v>
          </cell>
        </row>
        <row r="5">
          <cell r="AA5">
            <v>2</v>
          </cell>
          <cell r="AB5">
            <v>3</v>
          </cell>
          <cell r="AC5">
            <v>1</v>
          </cell>
          <cell r="AE5">
            <v>3</v>
          </cell>
        </row>
        <row r="6">
          <cell r="AA6">
            <v>1</v>
          </cell>
          <cell r="AB6">
            <v>1</v>
          </cell>
          <cell r="AC6">
            <v>1</v>
          </cell>
          <cell r="AE6">
            <v>2</v>
          </cell>
        </row>
        <row r="7">
          <cell r="AA7">
            <v>2</v>
          </cell>
          <cell r="AB7">
            <v>1</v>
          </cell>
          <cell r="AC7">
            <v>1</v>
          </cell>
          <cell r="AE7">
            <v>3</v>
          </cell>
        </row>
        <row r="8">
          <cell r="AA8">
            <v>1</v>
          </cell>
          <cell r="AB8">
            <v>1</v>
          </cell>
          <cell r="AC8">
            <v>0</v>
          </cell>
          <cell r="AE8">
            <v>4</v>
          </cell>
        </row>
        <row r="9">
          <cell r="AA9">
            <v>2</v>
          </cell>
          <cell r="AB9">
            <v>3</v>
          </cell>
          <cell r="AC9">
            <v>1</v>
          </cell>
          <cell r="AE9">
            <v>2</v>
          </cell>
        </row>
        <row r="10">
          <cell r="AA10">
            <v>1</v>
          </cell>
          <cell r="AB10">
            <v>1</v>
          </cell>
          <cell r="AC10">
            <v>1</v>
          </cell>
          <cell r="AE10">
            <v>3</v>
          </cell>
        </row>
        <row r="11">
          <cell r="AA11">
            <v>2</v>
          </cell>
          <cell r="AB11">
            <v>3</v>
          </cell>
          <cell r="AC11">
            <v>0</v>
          </cell>
          <cell r="AE11">
            <v>4</v>
          </cell>
        </row>
        <row r="12">
          <cell r="AA12">
            <v>1</v>
          </cell>
          <cell r="AB12">
            <v>1</v>
          </cell>
          <cell r="AC12">
            <v>1</v>
          </cell>
          <cell r="AE12">
            <v>2</v>
          </cell>
        </row>
        <row r="13">
          <cell r="AA13">
            <v>2</v>
          </cell>
          <cell r="AB13">
            <v>1</v>
          </cell>
          <cell r="AC13">
            <v>0</v>
          </cell>
          <cell r="AE13">
            <v>3</v>
          </cell>
        </row>
        <row r="14">
          <cell r="AA14">
            <v>2</v>
          </cell>
          <cell r="AB14">
            <v>3</v>
          </cell>
          <cell r="AC14">
            <v>1</v>
          </cell>
          <cell r="AE14">
            <v>5</v>
          </cell>
        </row>
        <row r="15">
          <cell r="AA15">
            <v>1</v>
          </cell>
          <cell r="AB15">
            <v>1</v>
          </cell>
          <cell r="AC15">
            <v>1</v>
          </cell>
          <cell r="AE15">
            <v>5</v>
          </cell>
        </row>
        <row r="16">
          <cell r="AA16">
            <v>2</v>
          </cell>
          <cell r="AB16">
            <v>2</v>
          </cell>
          <cell r="AC16">
            <v>1</v>
          </cell>
          <cell r="AE16">
            <v>2</v>
          </cell>
        </row>
        <row r="17">
          <cell r="AA17">
            <v>2</v>
          </cell>
          <cell r="AB17">
            <v>4</v>
          </cell>
          <cell r="AC17">
            <v>1</v>
          </cell>
          <cell r="AE17">
            <v>1</v>
          </cell>
        </row>
        <row r="18">
          <cell r="AA18">
            <v>2</v>
          </cell>
          <cell r="AB18">
            <v>3</v>
          </cell>
          <cell r="AC18">
            <v>1</v>
          </cell>
          <cell r="AE18">
            <v>1</v>
          </cell>
        </row>
        <row r="19">
          <cell r="AA19">
            <v>2</v>
          </cell>
          <cell r="AB19">
            <v>2</v>
          </cell>
          <cell r="AC19">
            <v>1</v>
          </cell>
          <cell r="AE19">
            <v>4</v>
          </cell>
        </row>
        <row r="20">
          <cell r="AA20">
            <v>2</v>
          </cell>
          <cell r="AB20">
            <v>3</v>
          </cell>
          <cell r="AC20">
            <v>0</v>
          </cell>
          <cell r="AE20">
            <v>1</v>
          </cell>
        </row>
        <row r="21">
          <cell r="AA21">
            <v>2</v>
          </cell>
          <cell r="AB21">
            <v>5</v>
          </cell>
          <cell r="AC21">
            <v>0</v>
          </cell>
          <cell r="AE21">
            <v>4</v>
          </cell>
        </row>
        <row r="22">
          <cell r="AA22">
            <v>2</v>
          </cell>
          <cell r="AB22">
            <v>1</v>
          </cell>
          <cell r="AC22">
            <v>1</v>
          </cell>
          <cell r="AE22">
            <v>2</v>
          </cell>
        </row>
        <row r="23">
          <cell r="AA23">
            <v>1</v>
          </cell>
          <cell r="AB23">
            <v>1</v>
          </cell>
          <cell r="AC23">
            <v>0</v>
          </cell>
          <cell r="AE23">
            <v>1</v>
          </cell>
        </row>
        <row r="24">
          <cell r="AA24">
            <v>1</v>
          </cell>
          <cell r="AB24">
            <v>1</v>
          </cell>
          <cell r="AC24">
            <v>0</v>
          </cell>
          <cell r="AE24">
            <v>4</v>
          </cell>
        </row>
        <row r="25">
          <cell r="AA25">
            <v>2</v>
          </cell>
          <cell r="AB25">
            <v>2</v>
          </cell>
          <cell r="AC25">
            <v>0</v>
          </cell>
          <cell r="AE25">
            <v>5</v>
          </cell>
        </row>
        <row r="26">
          <cell r="AA26">
            <v>2</v>
          </cell>
          <cell r="AB26">
            <v>1</v>
          </cell>
          <cell r="AC26">
            <v>0</v>
          </cell>
          <cell r="AE26">
            <v>4</v>
          </cell>
        </row>
        <row r="27">
          <cell r="AA27">
            <v>1</v>
          </cell>
          <cell r="AB27">
            <v>1</v>
          </cell>
          <cell r="AC27">
            <v>1</v>
          </cell>
          <cell r="AE27">
            <v>2</v>
          </cell>
        </row>
        <row r="28">
          <cell r="AA28">
            <v>1</v>
          </cell>
          <cell r="AB28">
            <v>1</v>
          </cell>
          <cell r="AC28">
            <v>1</v>
          </cell>
          <cell r="AE28">
            <v>5</v>
          </cell>
        </row>
        <row r="29">
          <cell r="AA29">
            <v>2</v>
          </cell>
          <cell r="AB29">
            <v>4</v>
          </cell>
          <cell r="AC29">
            <v>0</v>
          </cell>
          <cell r="AE29">
            <v>3</v>
          </cell>
        </row>
        <row r="30">
          <cell r="AA30">
            <v>2</v>
          </cell>
          <cell r="AB30">
            <v>1</v>
          </cell>
          <cell r="AC30">
            <v>1</v>
          </cell>
          <cell r="AE30">
            <v>4</v>
          </cell>
        </row>
        <row r="31">
          <cell r="AA31">
            <v>2</v>
          </cell>
          <cell r="AB31">
            <v>1</v>
          </cell>
          <cell r="AC31">
            <v>0</v>
          </cell>
          <cell r="AE31">
            <v>1</v>
          </cell>
        </row>
        <row r="32">
          <cell r="AA32">
            <v>1</v>
          </cell>
          <cell r="AB32">
            <v>1</v>
          </cell>
          <cell r="AC32">
            <v>1</v>
          </cell>
          <cell r="AE32">
            <v>3</v>
          </cell>
        </row>
        <row r="33">
          <cell r="AA33">
            <v>1</v>
          </cell>
          <cell r="AB33">
            <v>1</v>
          </cell>
          <cell r="AC33">
            <v>0</v>
          </cell>
          <cell r="AE33">
            <v>4</v>
          </cell>
        </row>
        <row r="34">
          <cell r="AA34">
            <v>2</v>
          </cell>
          <cell r="AB34">
            <v>3</v>
          </cell>
          <cell r="AC34">
            <v>0</v>
          </cell>
          <cell r="AE34">
            <v>3</v>
          </cell>
        </row>
        <row r="35">
          <cell r="AA35">
            <v>1</v>
          </cell>
          <cell r="AB35">
            <v>1</v>
          </cell>
          <cell r="AC35">
            <v>1</v>
          </cell>
          <cell r="AE35">
            <v>1</v>
          </cell>
        </row>
        <row r="36">
          <cell r="AA36">
            <v>1</v>
          </cell>
          <cell r="AB36">
            <v>1</v>
          </cell>
          <cell r="AC36">
            <v>0</v>
          </cell>
          <cell r="AE36">
            <v>4</v>
          </cell>
        </row>
        <row r="37">
          <cell r="AA37">
            <v>2</v>
          </cell>
          <cell r="AB37">
            <v>5</v>
          </cell>
          <cell r="AC37">
            <v>0</v>
          </cell>
          <cell r="AE37">
            <v>3</v>
          </cell>
        </row>
        <row r="38">
          <cell r="AA38">
            <v>1</v>
          </cell>
          <cell r="AB38">
            <v>1</v>
          </cell>
          <cell r="AC38">
            <v>0</v>
          </cell>
          <cell r="AE38">
            <v>2</v>
          </cell>
        </row>
        <row r="39">
          <cell r="AA39">
            <v>1</v>
          </cell>
          <cell r="AB39">
            <v>1</v>
          </cell>
          <cell r="AC39">
            <v>1</v>
          </cell>
          <cell r="AE39">
            <v>4</v>
          </cell>
        </row>
        <row r="40">
          <cell r="AA40">
            <v>1</v>
          </cell>
          <cell r="AB40">
            <v>1</v>
          </cell>
          <cell r="AC40">
            <v>0</v>
          </cell>
          <cell r="AE40">
            <v>3</v>
          </cell>
        </row>
        <row r="41">
          <cell r="AA41">
            <v>2</v>
          </cell>
          <cell r="AB41">
            <v>2</v>
          </cell>
          <cell r="AC41">
            <v>1</v>
          </cell>
          <cell r="AE41">
            <v>3</v>
          </cell>
        </row>
        <row r="42">
          <cell r="AA42">
            <v>1</v>
          </cell>
          <cell r="AB42">
            <v>1</v>
          </cell>
          <cell r="AC42">
            <v>0</v>
          </cell>
          <cell r="AE42">
            <v>4</v>
          </cell>
        </row>
        <row r="43">
          <cell r="AA43">
            <v>2</v>
          </cell>
          <cell r="AB43">
            <v>1</v>
          </cell>
          <cell r="AC43">
            <v>1</v>
          </cell>
          <cell r="AE43">
            <v>4</v>
          </cell>
        </row>
        <row r="44">
          <cell r="AA44">
            <v>1</v>
          </cell>
          <cell r="AB44">
            <v>1</v>
          </cell>
          <cell r="AC44">
            <v>1</v>
          </cell>
          <cell r="AE44">
            <v>3</v>
          </cell>
        </row>
        <row r="45">
          <cell r="AA45">
            <v>2</v>
          </cell>
          <cell r="AB45">
            <v>2</v>
          </cell>
          <cell r="AC45">
            <v>1</v>
          </cell>
          <cell r="AE45">
            <v>5</v>
          </cell>
        </row>
        <row r="46">
          <cell r="AA46">
            <v>2</v>
          </cell>
          <cell r="AB46">
            <v>5</v>
          </cell>
          <cell r="AC46">
            <v>1</v>
          </cell>
          <cell r="AE46">
            <v>2</v>
          </cell>
        </row>
        <row r="47">
          <cell r="AA47">
            <v>2</v>
          </cell>
          <cell r="AB47">
            <v>1</v>
          </cell>
          <cell r="AC47">
            <v>0</v>
          </cell>
          <cell r="AE47">
            <v>2</v>
          </cell>
        </row>
        <row r="48">
          <cell r="AA48">
            <v>2</v>
          </cell>
          <cell r="AB48">
            <v>4</v>
          </cell>
          <cell r="AC48">
            <v>0</v>
          </cell>
          <cell r="AE48">
            <v>4</v>
          </cell>
        </row>
        <row r="49">
          <cell r="AA49">
            <v>2</v>
          </cell>
          <cell r="AB49">
            <v>5</v>
          </cell>
          <cell r="AC49">
            <v>1</v>
          </cell>
          <cell r="AE49">
            <v>2</v>
          </cell>
        </row>
        <row r="50">
          <cell r="AA50">
            <v>2</v>
          </cell>
          <cell r="AB50">
            <v>1</v>
          </cell>
          <cell r="AC50">
            <v>1</v>
          </cell>
          <cell r="AE50">
            <v>1</v>
          </cell>
        </row>
        <row r="51">
          <cell r="AA51">
            <v>1</v>
          </cell>
          <cell r="AB51">
            <v>1</v>
          </cell>
          <cell r="AC51">
            <v>1</v>
          </cell>
          <cell r="AE51">
            <v>4</v>
          </cell>
        </row>
        <row r="52">
          <cell r="AA52">
            <v>2</v>
          </cell>
          <cell r="AB52">
            <v>2</v>
          </cell>
          <cell r="AC52">
            <v>1</v>
          </cell>
          <cell r="AE52">
            <v>2</v>
          </cell>
        </row>
        <row r="53">
          <cell r="AA53">
            <v>2</v>
          </cell>
          <cell r="AB53">
            <v>5</v>
          </cell>
          <cell r="AC53">
            <v>1</v>
          </cell>
          <cell r="AE53">
            <v>5</v>
          </cell>
        </row>
        <row r="54">
          <cell r="AA54">
            <v>2</v>
          </cell>
          <cell r="AB54">
            <v>2</v>
          </cell>
          <cell r="AC54">
            <v>1</v>
          </cell>
          <cell r="AE54">
            <v>1</v>
          </cell>
        </row>
        <row r="55">
          <cell r="AA55">
            <v>2</v>
          </cell>
          <cell r="AB55">
            <v>2</v>
          </cell>
          <cell r="AC55">
            <v>1</v>
          </cell>
          <cell r="AE55">
            <v>4</v>
          </cell>
        </row>
        <row r="56">
          <cell r="AA56">
            <v>2</v>
          </cell>
          <cell r="AB56">
            <v>3</v>
          </cell>
          <cell r="AC56">
            <v>0</v>
          </cell>
          <cell r="AE56">
            <v>4</v>
          </cell>
        </row>
        <row r="57">
          <cell r="AA57">
            <v>2</v>
          </cell>
          <cell r="AB57">
            <v>5</v>
          </cell>
          <cell r="AC57">
            <v>0</v>
          </cell>
          <cell r="AE57">
            <v>1</v>
          </cell>
        </row>
        <row r="58">
          <cell r="AA58">
            <v>1</v>
          </cell>
          <cell r="AB58">
            <v>1</v>
          </cell>
          <cell r="AC58">
            <v>0</v>
          </cell>
          <cell r="AE58">
            <v>1</v>
          </cell>
        </row>
        <row r="59">
          <cell r="AA59">
            <v>2</v>
          </cell>
          <cell r="AB59">
            <v>1</v>
          </cell>
          <cell r="AC59">
            <v>0</v>
          </cell>
          <cell r="AE59">
            <v>3</v>
          </cell>
        </row>
        <row r="60">
          <cell r="AA60">
            <v>1</v>
          </cell>
          <cell r="AB60">
            <v>1</v>
          </cell>
          <cell r="AC60">
            <v>0</v>
          </cell>
          <cell r="AE60">
            <v>3</v>
          </cell>
        </row>
        <row r="61">
          <cell r="AA61">
            <v>2</v>
          </cell>
          <cell r="AB61">
            <v>1</v>
          </cell>
          <cell r="AC61">
            <v>0</v>
          </cell>
          <cell r="AE61">
            <v>5</v>
          </cell>
        </row>
        <row r="62">
          <cell r="AA62">
            <v>2</v>
          </cell>
          <cell r="AB62">
            <v>3</v>
          </cell>
          <cell r="AC62">
            <v>0</v>
          </cell>
          <cell r="AE62">
            <v>5</v>
          </cell>
        </row>
        <row r="63">
          <cell r="AA63">
            <v>1</v>
          </cell>
          <cell r="AB63">
            <v>1</v>
          </cell>
          <cell r="AC63">
            <v>0</v>
          </cell>
          <cell r="AE63">
            <v>2</v>
          </cell>
        </row>
        <row r="64">
          <cell r="AA64">
            <v>1</v>
          </cell>
          <cell r="AB64">
            <v>1</v>
          </cell>
          <cell r="AC64">
            <v>1</v>
          </cell>
          <cell r="AE64">
            <v>5</v>
          </cell>
        </row>
        <row r="65">
          <cell r="AA65">
            <v>2</v>
          </cell>
          <cell r="AB65">
            <v>1</v>
          </cell>
          <cell r="AC65">
            <v>0</v>
          </cell>
          <cell r="AE65">
            <v>5</v>
          </cell>
        </row>
        <row r="66">
          <cell r="AA66">
            <v>2</v>
          </cell>
          <cell r="AB66">
            <v>5</v>
          </cell>
          <cell r="AC66">
            <v>1</v>
          </cell>
          <cell r="AE66">
            <v>2</v>
          </cell>
        </row>
        <row r="67">
          <cell r="AA67">
            <v>2</v>
          </cell>
          <cell r="AB67">
            <v>2</v>
          </cell>
          <cell r="AC67">
            <v>0</v>
          </cell>
          <cell r="AE67">
            <v>2</v>
          </cell>
        </row>
        <row r="68">
          <cell r="AA68">
            <v>2</v>
          </cell>
          <cell r="AB68">
            <v>1</v>
          </cell>
          <cell r="AC68">
            <v>1</v>
          </cell>
          <cell r="AE68">
            <v>2</v>
          </cell>
        </row>
        <row r="69">
          <cell r="AA69">
            <v>2</v>
          </cell>
          <cell r="AB69">
            <v>1</v>
          </cell>
          <cell r="AC69">
            <v>0</v>
          </cell>
          <cell r="AE69">
            <v>2</v>
          </cell>
        </row>
        <row r="70">
          <cell r="AA70">
            <v>2</v>
          </cell>
          <cell r="AB70">
            <v>3</v>
          </cell>
          <cell r="AC70">
            <v>0</v>
          </cell>
          <cell r="AE70">
            <v>4</v>
          </cell>
        </row>
        <row r="71">
          <cell r="AA71">
            <v>2</v>
          </cell>
          <cell r="AB71">
            <v>3</v>
          </cell>
          <cell r="AC71">
            <v>1</v>
          </cell>
          <cell r="AE71">
            <v>5</v>
          </cell>
        </row>
        <row r="72">
          <cell r="AA72">
            <v>1</v>
          </cell>
          <cell r="AB72">
            <v>1</v>
          </cell>
          <cell r="AC72">
            <v>1</v>
          </cell>
          <cell r="AE72">
            <v>4</v>
          </cell>
        </row>
        <row r="73">
          <cell r="AA73">
            <v>2</v>
          </cell>
          <cell r="AB73">
            <v>1</v>
          </cell>
          <cell r="AC73">
            <v>0</v>
          </cell>
          <cell r="AE73">
            <v>1</v>
          </cell>
        </row>
        <row r="74">
          <cell r="AA74">
            <v>2</v>
          </cell>
          <cell r="AB74">
            <v>2</v>
          </cell>
          <cell r="AC74">
            <v>1</v>
          </cell>
          <cell r="AE74">
            <v>4</v>
          </cell>
        </row>
        <row r="75">
          <cell r="AA75">
            <v>1</v>
          </cell>
          <cell r="AB75">
            <v>1</v>
          </cell>
          <cell r="AC75">
            <v>0</v>
          </cell>
          <cell r="AE75">
            <v>4</v>
          </cell>
        </row>
        <row r="76">
          <cell r="AA76">
            <v>1</v>
          </cell>
          <cell r="AB76">
            <v>1</v>
          </cell>
          <cell r="AC76">
            <v>1</v>
          </cell>
          <cell r="AE76">
            <v>2</v>
          </cell>
        </row>
        <row r="77">
          <cell r="AA77">
            <v>1</v>
          </cell>
          <cell r="AB77">
            <v>1</v>
          </cell>
          <cell r="AC77">
            <v>1</v>
          </cell>
          <cell r="AE77">
            <v>4</v>
          </cell>
        </row>
        <row r="78">
          <cell r="AA78">
            <v>2</v>
          </cell>
          <cell r="AB78">
            <v>2</v>
          </cell>
          <cell r="AC78">
            <v>1</v>
          </cell>
          <cell r="AE78">
            <v>2</v>
          </cell>
        </row>
        <row r="79">
          <cell r="AA79">
            <v>1</v>
          </cell>
          <cell r="AB79">
            <v>1</v>
          </cell>
          <cell r="AC79">
            <v>1</v>
          </cell>
          <cell r="AE79">
            <v>5</v>
          </cell>
        </row>
        <row r="80">
          <cell r="AA80">
            <v>2</v>
          </cell>
          <cell r="AB80">
            <v>1</v>
          </cell>
          <cell r="AC80">
            <v>0</v>
          </cell>
          <cell r="AE80">
            <v>4</v>
          </cell>
        </row>
        <row r="81">
          <cell r="AA81">
            <v>1</v>
          </cell>
          <cell r="AB81">
            <v>1</v>
          </cell>
          <cell r="AC81">
            <v>1</v>
          </cell>
          <cell r="AE81">
            <v>4</v>
          </cell>
        </row>
        <row r="82">
          <cell r="AA82">
            <v>2</v>
          </cell>
          <cell r="AB82">
            <v>1</v>
          </cell>
          <cell r="AC82">
            <v>0</v>
          </cell>
          <cell r="AE82">
            <v>2</v>
          </cell>
        </row>
        <row r="83">
          <cell r="AA83">
            <v>1</v>
          </cell>
          <cell r="AB83">
            <v>1</v>
          </cell>
          <cell r="AC83">
            <v>0</v>
          </cell>
          <cell r="AE83">
            <v>3</v>
          </cell>
        </row>
        <row r="84">
          <cell r="AA84">
            <v>2</v>
          </cell>
          <cell r="AB84">
            <v>5</v>
          </cell>
          <cell r="AC84">
            <v>0</v>
          </cell>
          <cell r="AE84">
            <v>4</v>
          </cell>
        </row>
        <row r="85">
          <cell r="AA85">
            <v>2</v>
          </cell>
          <cell r="AB85">
            <v>2</v>
          </cell>
          <cell r="AC85">
            <v>0</v>
          </cell>
          <cell r="AE85">
            <v>3</v>
          </cell>
        </row>
        <row r="86">
          <cell r="AA86">
            <v>1</v>
          </cell>
          <cell r="AB86">
            <v>1</v>
          </cell>
          <cell r="AC86">
            <v>0</v>
          </cell>
          <cell r="AE86">
            <v>4</v>
          </cell>
        </row>
        <row r="87">
          <cell r="AA87">
            <v>2</v>
          </cell>
          <cell r="AB87">
            <v>2</v>
          </cell>
          <cell r="AC87">
            <v>1</v>
          </cell>
          <cell r="AE87">
            <v>2</v>
          </cell>
        </row>
        <row r="88">
          <cell r="AA88">
            <v>1</v>
          </cell>
          <cell r="AB88">
            <v>1</v>
          </cell>
          <cell r="AC88">
            <v>0</v>
          </cell>
          <cell r="AE88">
            <v>2</v>
          </cell>
        </row>
        <row r="89">
          <cell r="AA89">
            <v>1</v>
          </cell>
          <cell r="AB89">
            <v>1</v>
          </cell>
          <cell r="AC89">
            <v>1</v>
          </cell>
          <cell r="AE89">
            <v>5</v>
          </cell>
        </row>
        <row r="90">
          <cell r="AA90">
            <v>2</v>
          </cell>
          <cell r="AB90">
            <v>3</v>
          </cell>
          <cell r="AC90">
            <v>0</v>
          </cell>
          <cell r="AE90">
            <v>2</v>
          </cell>
        </row>
        <row r="91">
          <cell r="AA91">
            <v>2</v>
          </cell>
          <cell r="AB91">
            <v>4</v>
          </cell>
          <cell r="AC91">
            <v>1</v>
          </cell>
          <cell r="AE91">
            <v>4</v>
          </cell>
        </row>
        <row r="92">
          <cell r="AA92">
            <v>1</v>
          </cell>
          <cell r="AB92">
            <v>1</v>
          </cell>
          <cell r="AC92">
            <v>1</v>
          </cell>
          <cell r="AE92">
            <v>5</v>
          </cell>
        </row>
        <row r="93">
          <cell r="AA93">
            <v>2</v>
          </cell>
          <cell r="AB93">
            <v>2</v>
          </cell>
          <cell r="AC93">
            <v>1</v>
          </cell>
          <cell r="AE93">
            <v>2</v>
          </cell>
        </row>
        <row r="94">
          <cell r="AA94">
            <v>1</v>
          </cell>
          <cell r="AB94">
            <v>1</v>
          </cell>
          <cell r="AC94">
            <v>0</v>
          </cell>
          <cell r="AE94">
            <v>4</v>
          </cell>
        </row>
        <row r="95">
          <cell r="AA95">
            <v>2</v>
          </cell>
          <cell r="AB95">
            <v>3</v>
          </cell>
          <cell r="AC95">
            <v>0</v>
          </cell>
          <cell r="AE95">
            <v>4</v>
          </cell>
        </row>
        <row r="96">
          <cell r="AA96">
            <v>1</v>
          </cell>
          <cell r="AB96">
            <v>1</v>
          </cell>
          <cell r="AC96">
            <v>1</v>
          </cell>
          <cell r="AE96">
            <v>3</v>
          </cell>
        </row>
        <row r="97">
          <cell r="AA97">
            <v>2</v>
          </cell>
          <cell r="AB97">
            <v>2</v>
          </cell>
          <cell r="AC97">
            <v>0</v>
          </cell>
          <cell r="AE97">
            <v>2</v>
          </cell>
        </row>
        <row r="98">
          <cell r="AA98">
            <v>2</v>
          </cell>
          <cell r="AB98">
            <v>1</v>
          </cell>
          <cell r="AC98">
            <v>1</v>
          </cell>
          <cell r="AE98">
            <v>2</v>
          </cell>
        </row>
        <row r="99">
          <cell r="AA99">
            <v>1</v>
          </cell>
          <cell r="AB99">
            <v>1</v>
          </cell>
          <cell r="AC99">
            <v>0</v>
          </cell>
          <cell r="AE99">
            <v>5</v>
          </cell>
        </row>
        <row r="100">
          <cell r="AA100">
            <v>2</v>
          </cell>
          <cell r="AB100">
            <v>3</v>
          </cell>
          <cell r="AC100">
            <v>0</v>
          </cell>
          <cell r="AE100">
            <v>3</v>
          </cell>
        </row>
        <row r="101">
          <cell r="AA101">
            <v>2</v>
          </cell>
          <cell r="AB101">
            <v>2</v>
          </cell>
          <cell r="AC101">
            <v>1</v>
          </cell>
          <cell r="AE101">
            <v>1</v>
          </cell>
        </row>
        <row r="102">
          <cell r="AA102">
            <v>2</v>
          </cell>
          <cell r="AB102">
            <v>4</v>
          </cell>
          <cell r="AC102">
            <v>1</v>
          </cell>
          <cell r="AE102">
            <v>3</v>
          </cell>
        </row>
        <row r="103">
          <cell r="AA103">
            <v>1</v>
          </cell>
          <cell r="AB103">
            <v>1</v>
          </cell>
          <cell r="AC103">
            <v>0</v>
          </cell>
          <cell r="AE103">
            <v>2</v>
          </cell>
        </row>
        <row r="104">
          <cell r="AA104">
            <v>2</v>
          </cell>
          <cell r="AB104">
            <v>4</v>
          </cell>
          <cell r="AC104">
            <v>1</v>
          </cell>
          <cell r="AE104">
            <v>4</v>
          </cell>
        </row>
        <row r="105">
          <cell r="AA105">
            <v>1</v>
          </cell>
          <cell r="AB105">
            <v>1</v>
          </cell>
          <cell r="AC105">
            <v>0</v>
          </cell>
          <cell r="AE105">
            <v>3</v>
          </cell>
        </row>
        <row r="106">
          <cell r="AA106">
            <v>2</v>
          </cell>
          <cell r="AB106">
            <v>3</v>
          </cell>
          <cell r="AC106">
            <v>1</v>
          </cell>
          <cell r="AE106">
            <v>3</v>
          </cell>
        </row>
        <row r="107">
          <cell r="AA107">
            <v>1</v>
          </cell>
          <cell r="AB107">
            <v>1</v>
          </cell>
          <cell r="AC107">
            <v>0</v>
          </cell>
          <cell r="AE107">
            <v>5</v>
          </cell>
        </row>
        <row r="108">
          <cell r="AA108">
            <v>2</v>
          </cell>
          <cell r="AB108">
            <v>1</v>
          </cell>
          <cell r="AC108">
            <v>0</v>
          </cell>
          <cell r="AE108">
            <v>3</v>
          </cell>
        </row>
        <row r="109">
          <cell r="AA109">
            <v>2</v>
          </cell>
          <cell r="AB109">
            <v>2</v>
          </cell>
          <cell r="AC109">
            <v>0</v>
          </cell>
          <cell r="AE109">
            <v>2</v>
          </cell>
        </row>
        <row r="110">
          <cell r="AA110">
            <v>2</v>
          </cell>
          <cell r="AB110">
            <v>1</v>
          </cell>
          <cell r="AC110">
            <v>0</v>
          </cell>
          <cell r="AE110">
            <v>3</v>
          </cell>
        </row>
        <row r="111">
          <cell r="AA111">
            <v>2</v>
          </cell>
          <cell r="AB111">
            <v>2</v>
          </cell>
          <cell r="AC111">
            <v>0</v>
          </cell>
          <cell r="AE111">
            <v>3</v>
          </cell>
        </row>
        <row r="112">
          <cell r="AA112">
            <v>1</v>
          </cell>
          <cell r="AB112">
            <v>1</v>
          </cell>
          <cell r="AC112">
            <v>1</v>
          </cell>
          <cell r="AE112">
            <v>5</v>
          </cell>
        </row>
        <row r="113">
          <cell r="AA113">
            <v>2</v>
          </cell>
          <cell r="AB113">
            <v>3</v>
          </cell>
          <cell r="AC113">
            <v>0</v>
          </cell>
          <cell r="AE113">
            <v>4</v>
          </cell>
        </row>
        <row r="114">
          <cell r="AA114">
            <v>1</v>
          </cell>
          <cell r="AB114">
            <v>1</v>
          </cell>
          <cell r="AC114">
            <v>0</v>
          </cell>
          <cell r="AE114">
            <v>4</v>
          </cell>
        </row>
        <row r="115">
          <cell r="AA115">
            <v>1</v>
          </cell>
          <cell r="AB115">
            <v>1</v>
          </cell>
          <cell r="AC115">
            <v>1</v>
          </cell>
          <cell r="AE115">
            <v>3</v>
          </cell>
        </row>
        <row r="116">
          <cell r="AA116">
            <v>1</v>
          </cell>
          <cell r="AB116">
            <v>1</v>
          </cell>
          <cell r="AC116">
            <v>1</v>
          </cell>
          <cell r="AE116">
            <v>5</v>
          </cell>
        </row>
        <row r="117">
          <cell r="AA117">
            <v>1</v>
          </cell>
          <cell r="AB117">
            <v>1</v>
          </cell>
          <cell r="AC117">
            <v>1</v>
          </cell>
          <cell r="AE117">
            <v>1</v>
          </cell>
        </row>
        <row r="118">
          <cell r="AA118">
            <v>1</v>
          </cell>
          <cell r="AB118">
            <v>1</v>
          </cell>
          <cell r="AC118">
            <v>0</v>
          </cell>
          <cell r="AE118">
            <v>4</v>
          </cell>
        </row>
        <row r="119">
          <cell r="AA119">
            <v>2</v>
          </cell>
          <cell r="AB119">
            <v>5</v>
          </cell>
          <cell r="AC119">
            <v>1</v>
          </cell>
          <cell r="AE119">
            <v>3</v>
          </cell>
        </row>
        <row r="120">
          <cell r="AA120">
            <v>1</v>
          </cell>
          <cell r="AB120">
            <v>1</v>
          </cell>
          <cell r="AC120">
            <v>0</v>
          </cell>
          <cell r="AE120">
            <v>3</v>
          </cell>
        </row>
        <row r="121">
          <cell r="AA121">
            <v>2</v>
          </cell>
          <cell r="AB121">
            <v>1</v>
          </cell>
          <cell r="AC121">
            <v>1</v>
          </cell>
          <cell r="AE121">
            <v>2</v>
          </cell>
        </row>
        <row r="122">
          <cell r="AA122">
            <v>2</v>
          </cell>
          <cell r="AB122">
            <v>2</v>
          </cell>
          <cell r="AC122">
            <v>1</v>
          </cell>
          <cell r="AE122">
            <v>4</v>
          </cell>
        </row>
        <row r="123">
          <cell r="AA123">
            <v>2</v>
          </cell>
          <cell r="AB123">
            <v>1</v>
          </cell>
          <cell r="AC123">
            <v>1</v>
          </cell>
          <cell r="AE123">
            <v>3</v>
          </cell>
        </row>
        <row r="124">
          <cell r="AA124">
            <v>1</v>
          </cell>
          <cell r="AB124">
            <v>1</v>
          </cell>
          <cell r="AC124">
            <v>1</v>
          </cell>
          <cell r="AE124">
            <v>4</v>
          </cell>
        </row>
        <row r="125">
          <cell r="AA125">
            <v>1</v>
          </cell>
          <cell r="AB125">
            <v>1</v>
          </cell>
          <cell r="AC125">
            <v>1</v>
          </cell>
          <cell r="AE125">
            <v>1</v>
          </cell>
        </row>
        <row r="126">
          <cell r="AA126">
            <v>2</v>
          </cell>
          <cell r="AB126">
            <v>1</v>
          </cell>
          <cell r="AC126">
            <v>1</v>
          </cell>
          <cell r="AE126">
            <v>4</v>
          </cell>
        </row>
        <row r="127">
          <cell r="AA127">
            <v>1</v>
          </cell>
          <cell r="AB127">
            <v>1</v>
          </cell>
          <cell r="AC127">
            <v>1</v>
          </cell>
          <cell r="AE127">
            <v>5</v>
          </cell>
        </row>
        <row r="128">
          <cell r="AA128">
            <v>2</v>
          </cell>
          <cell r="AB128">
            <v>4</v>
          </cell>
          <cell r="AC128">
            <v>1</v>
          </cell>
          <cell r="AE128">
            <v>3</v>
          </cell>
        </row>
        <row r="129">
          <cell r="AA129">
            <v>1</v>
          </cell>
          <cell r="AB129">
            <v>1</v>
          </cell>
          <cell r="AC129">
            <v>0</v>
          </cell>
          <cell r="AE129">
            <v>5</v>
          </cell>
        </row>
        <row r="130">
          <cell r="AA130">
            <v>2</v>
          </cell>
          <cell r="AB130">
            <v>1</v>
          </cell>
          <cell r="AC130">
            <v>1</v>
          </cell>
          <cell r="AE130">
            <v>3</v>
          </cell>
        </row>
        <row r="131">
          <cell r="AA131">
            <v>1</v>
          </cell>
          <cell r="AB131">
            <v>1</v>
          </cell>
          <cell r="AC131">
            <v>1</v>
          </cell>
          <cell r="AE131">
            <v>3</v>
          </cell>
        </row>
        <row r="132">
          <cell r="AA132">
            <v>2</v>
          </cell>
          <cell r="AB132">
            <v>1</v>
          </cell>
          <cell r="AC132">
            <v>0</v>
          </cell>
          <cell r="AE132">
            <v>5</v>
          </cell>
        </row>
        <row r="133">
          <cell r="AA133">
            <v>2</v>
          </cell>
          <cell r="AB133">
            <v>5</v>
          </cell>
          <cell r="AC133">
            <v>1</v>
          </cell>
          <cell r="AE133">
            <v>2</v>
          </cell>
        </row>
        <row r="134">
          <cell r="AA134">
            <v>2</v>
          </cell>
          <cell r="AB134">
            <v>4</v>
          </cell>
          <cell r="AC134">
            <v>0</v>
          </cell>
          <cell r="AE134">
            <v>1</v>
          </cell>
        </row>
        <row r="135">
          <cell r="AA135">
            <v>1</v>
          </cell>
          <cell r="AB135">
            <v>1</v>
          </cell>
          <cell r="AC135">
            <v>0</v>
          </cell>
          <cell r="AE135">
            <v>5</v>
          </cell>
        </row>
        <row r="136">
          <cell r="AA136">
            <v>2</v>
          </cell>
          <cell r="AB136">
            <v>1</v>
          </cell>
          <cell r="AC136">
            <v>0</v>
          </cell>
          <cell r="AE136">
            <v>3</v>
          </cell>
        </row>
        <row r="137">
          <cell r="AA137">
            <v>1</v>
          </cell>
          <cell r="AB137">
            <v>1</v>
          </cell>
          <cell r="AC137">
            <v>0</v>
          </cell>
          <cell r="AE137">
            <v>3</v>
          </cell>
        </row>
        <row r="138">
          <cell r="AA138">
            <v>1</v>
          </cell>
          <cell r="AB138">
            <v>1</v>
          </cell>
          <cell r="AC138">
            <v>1</v>
          </cell>
          <cell r="AE138">
            <v>4</v>
          </cell>
        </row>
        <row r="139">
          <cell r="AA139">
            <v>2</v>
          </cell>
          <cell r="AB139">
            <v>5</v>
          </cell>
          <cell r="AC139">
            <v>1</v>
          </cell>
          <cell r="AE139">
            <v>1</v>
          </cell>
        </row>
        <row r="140">
          <cell r="AA140">
            <v>1</v>
          </cell>
          <cell r="AB140">
            <v>1</v>
          </cell>
          <cell r="AC140">
            <v>1</v>
          </cell>
          <cell r="AE140">
            <v>5</v>
          </cell>
        </row>
        <row r="141">
          <cell r="AA141">
            <v>2</v>
          </cell>
          <cell r="AB141">
            <v>1</v>
          </cell>
          <cell r="AC141">
            <v>1</v>
          </cell>
          <cell r="AE141">
            <v>5</v>
          </cell>
        </row>
        <row r="142">
          <cell r="AA142">
            <v>1</v>
          </cell>
          <cell r="AB142">
            <v>1</v>
          </cell>
          <cell r="AC142">
            <v>0</v>
          </cell>
          <cell r="AE142">
            <v>1</v>
          </cell>
        </row>
        <row r="143">
          <cell r="AA143">
            <v>1</v>
          </cell>
          <cell r="AB143">
            <v>1</v>
          </cell>
          <cell r="AC143">
            <v>1</v>
          </cell>
          <cell r="AE143">
            <v>3</v>
          </cell>
        </row>
        <row r="144">
          <cell r="AA144">
            <v>2</v>
          </cell>
          <cell r="AB144">
            <v>1</v>
          </cell>
          <cell r="AC144">
            <v>1</v>
          </cell>
          <cell r="AE144">
            <v>3</v>
          </cell>
        </row>
        <row r="145">
          <cell r="AA145">
            <v>2</v>
          </cell>
          <cell r="AB145">
            <v>1</v>
          </cell>
          <cell r="AC145">
            <v>0</v>
          </cell>
          <cell r="AE145">
            <v>5</v>
          </cell>
        </row>
        <row r="146">
          <cell r="AA146">
            <v>2</v>
          </cell>
          <cell r="AB146">
            <v>1</v>
          </cell>
          <cell r="AC146">
            <v>1</v>
          </cell>
          <cell r="AE146">
            <v>5</v>
          </cell>
        </row>
        <row r="147">
          <cell r="AA147">
            <v>1</v>
          </cell>
          <cell r="AB147">
            <v>1</v>
          </cell>
          <cell r="AC147">
            <v>0</v>
          </cell>
          <cell r="AE147">
            <v>4</v>
          </cell>
        </row>
        <row r="148">
          <cell r="AA148">
            <v>1</v>
          </cell>
          <cell r="AB148">
            <v>1</v>
          </cell>
          <cell r="AC148">
            <v>0</v>
          </cell>
          <cell r="AE148">
            <v>5</v>
          </cell>
        </row>
        <row r="149">
          <cell r="AA149">
            <v>2</v>
          </cell>
          <cell r="AB149">
            <v>5</v>
          </cell>
          <cell r="AC149">
            <v>1</v>
          </cell>
          <cell r="AE149">
            <v>1</v>
          </cell>
        </row>
        <row r="150">
          <cell r="AA150">
            <v>1</v>
          </cell>
          <cell r="AB150">
            <v>1</v>
          </cell>
          <cell r="AC150">
            <v>0</v>
          </cell>
          <cell r="AE150">
            <v>4</v>
          </cell>
        </row>
        <row r="151">
          <cell r="AA151">
            <v>1</v>
          </cell>
          <cell r="AB151">
            <v>1</v>
          </cell>
          <cell r="AC151">
            <v>0</v>
          </cell>
          <cell r="AE151">
            <v>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1"/>
  <sheetViews>
    <sheetView topLeftCell="W1" workbookViewId="0">
      <selection activeCell="AC2" sqref="AC2:AC151"/>
    </sheetView>
  </sheetViews>
  <sheetFormatPr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  <col min="26" max="27" width="8.21875" bestFit="1" customWidth="1"/>
    <col min="28" max="33" width="9.21875" bestFit="1" customWidth="1"/>
    <col min="34" max="34" width="33.109375" bestFit="1" customWidth="1"/>
    <col min="35" max="35" width="22.88671875" bestFit="1" customWidth="1"/>
    <col min="36" max="36" width="24.44140625" bestFit="1" customWidth="1"/>
    <col min="37" max="37" width="29.6640625" bestFit="1" customWidth="1"/>
    <col min="38" max="38" width="15.33203125" bestFit="1" customWidth="1"/>
    <col min="39" max="39" width="16.332031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2</v>
      </c>
      <c r="N2">
        <v>3</v>
      </c>
      <c r="O2">
        <v>3</v>
      </c>
      <c r="P2">
        <v>3</v>
      </c>
      <c r="Q2">
        <v>2</v>
      </c>
      <c r="R2" t="s">
        <v>51</v>
      </c>
      <c r="S2">
        <v>3</v>
      </c>
      <c r="T2" t="s">
        <v>52</v>
      </c>
      <c r="U2">
        <v>3</v>
      </c>
      <c r="V2">
        <v>3</v>
      </c>
      <c r="W2" t="s">
        <v>53</v>
      </c>
      <c r="X2">
        <v>165</v>
      </c>
      <c r="Y2" t="s">
        <v>54</v>
      </c>
      <c r="Z2">
        <v>5</v>
      </c>
      <c r="AA2">
        <v>2</v>
      </c>
      <c r="AB2">
        <v>5</v>
      </c>
      <c r="AC2">
        <f>IF(L2="No",0,1)</f>
        <v>0</v>
      </c>
      <c r="AD2">
        <v>1</v>
      </c>
      <c r="AE2">
        <v>2</v>
      </c>
      <c r="AF2">
        <v>5</v>
      </c>
      <c r="AG2">
        <v>3</v>
      </c>
      <c r="AH2">
        <v>1</v>
      </c>
      <c r="AI2">
        <v>2</v>
      </c>
      <c r="AJ2">
        <v>1</v>
      </c>
      <c r="AK2">
        <v>2</v>
      </c>
      <c r="AL2">
        <v>2</v>
      </c>
      <c r="AM2">
        <v>8</v>
      </c>
    </row>
    <row r="3" spans="1:39" x14ac:dyDescent="0.3">
      <c r="A3" t="s">
        <v>39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50</v>
      </c>
      <c r="J3" t="s">
        <v>61</v>
      </c>
      <c r="K3" t="s">
        <v>62</v>
      </c>
      <c r="L3" t="s">
        <v>46</v>
      </c>
      <c r="M3">
        <v>4</v>
      </c>
      <c r="N3">
        <v>4</v>
      </c>
      <c r="O3">
        <v>4</v>
      </c>
      <c r="P3">
        <v>4</v>
      </c>
      <c r="Q3">
        <v>4</v>
      </c>
      <c r="R3" t="s">
        <v>63</v>
      </c>
      <c r="S3">
        <v>2</v>
      </c>
      <c r="T3" t="s">
        <v>64</v>
      </c>
      <c r="U3">
        <v>4</v>
      </c>
      <c r="V3">
        <v>4</v>
      </c>
      <c r="W3" t="s">
        <v>65</v>
      </c>
      <c r="X3">
        <v>47</v>
      </c>
      <c r="Y3" t="s">
        <v>66</v>
      </c>
      <c r="Z3">
        <v>6</v>
      </c>
      <c r="AA3">
        <v>1</v>
      </c>
      <c r="AB3">
        <v>1</v>
      </c>
      <c r="AC3">
        <f t="shared" ref="AC3:AC66" si="0">IF(L3="No",0,1)</f>
        <v>1</v>
      </c>
      <c r="AD3">
        <v>4</v>
      </c>
      <c r="AE3">
        <v>5</v>
      </c>
      <c r="AF3">
        <v>3</v>
      </c>
      <c r="AG3">
        <v>4</v>
      </c>
      <c r="AH3">
        <v>1</v>
      </c>
      <c r="AI3">
        <v>1</v>
      </c>
      <c r="AJ3">
        <v>1</v>
      </c>
      <c r="AK3">
        <v>1</v>
      </c>
      <c r="AL3">
        <v>2</v>
      </c>
      <c r="AM3">
        <v>6</v>
      </c>
    </row>
    <row r="4" spans="1:39" x14ac:dyDescent="0.3">
      <c r="A4" t="s">
        <v>67</v>
      </c>
      <c r="B4" t="s">
        <v>68</v>
      </c>
      <c r="C4" t="s">
        <v>56</v>
      </c>
      <c r="D4" t="s">
        <v>57</v>
      </c>
      <c r="E4" t="s">
        <v>69</v>
      </c>
      <c r="F4" t="s">
        <v>70</v>
      </c>
      <c r="G4" t="s">
        <v>45</v>
      </c>
      <c r="H4" t="s">
        <v>46</v>
      </c>
      <c r="I4" t="s">
        <v>71</v>
      </c>
      <c r="J4" t="s">
        <v>61</v>
      </c>
      <c r="K4" t="s">
        <v>72</v>
      </c>
      <c r="L4" t="s">
        <v>46</v>
      </c>
      <c r="M4">
        <v>3</v>
      </c>
      <c r="N4">
        <v>3</v>
      </c>
      <c r="O4">
        <v>3</v>
      </c>
      <c r="P4">
        <v>3</v>
      </c>
      <c r="Q4">
        <v>3</v>
      </c>
      <c r="R4" t="s">
        <v>53</v>
      </c>
      <c r="S4">
        <v>2</v>
      </c>
      <c r="T4" t="s">
        <v>73</v>
      </c>
      <c r="U4">
        <v>4</v>
      </c>
      <c r="V4">
        <v>4</v>
      </c>
      <c r="W4" t="s">
        <v>65</v>
      </c>
      <c r="X4">
        <v>114</v>
      </c>
      <c r="Y4" t="s">
        <v>74</v>
      </c>
      <c r="Z4">
        <v>5</v>
      </c>
      <c r="AA4">
        <v>2</v>
      </c>
      <c r="AB4">
        <v>1</v>
      </c>
      <c r="AC4">
        <f t="shared" si="0"/>
        <v>1</v>
      </c>
      <c r="AD4">
        <v>5</v>
      </c>
      <c r="AE4">
        <v>4</v>
      </c>
      <c r="AF4">
        <v>3</v>
      </c>
      <c r="AG4">
        <v>2</v>
      </c>
      <c r="AH4">
        <v>2</v>
      </c>
      <c r="AI4">
        <v>2</v>
      </c>
      <c r="AJ4">
        <v>1</v>
      </c>
      <c r="AK4">
        <v>1</v>
      </c>
      <c r="AL4">
        <v>1</v>
      </c>
      <c r="AM4">
        <v>7</v>
      </c>
    </row>
    <row r="5" spans="1:39" x14ac:dyDescent="0.3">
      <c r="A5" t="s">
        <v>67</v>
      </c>
      <c r="B5" t="s">
        <v>40</v>
      </c>
      <c r="C5" t="s">
        <v>75</v>
      </c>
      <c r="D5" t="s">
        <v>57</v>
      </c>
      <c r="E5" t="s">
        <v>43</v>
      </c>
      <c r="F5" t="s">
        <v>70</v>
      </c>
      <c r="G5" t="s">
        <v>60</v>
      </c>
      <c r="H5" t="s">
        <v>46</v>
      </c>
      <c r="I5" t="s">
        <v>71</v>
      </c>
      <c r="J5" t="s">
        <v>76</v>
      </c>
      <c r="K5" t="s">
        <v>77</v>
      </c>
      <c r="L5" t="s">
        <v>46</v>
      </c>
      <c r="M5">
        <v>2</v>
      </c>
      <c r="N5">
        <v>2</v>
      </c>
      <c r="O5">
        <v>2</v>
      </c>
      <c r="P5">
        <v>2</v>
      </c>
      <c r="Q5">
        <v>2</v>
      </c>
      <c r="R5" t="s">
        <v>78</v>
      </c>
      <c r="S5">
        <v>4</v>
      </c>
      <c r="T5" t="s">
        <v>79</v>
      </c>
      <c r="U5">
        <v>3</v>
      </c>
      <c r="V5">
        <v>2</v>
      </c>
      <c r="W5" t="s">
        <v>51</v>
      </c>
      <c r="X5">
        <v>70</v>
      </c>
      <c r="Y5" t="s">
        <v>74</v>
      </c>
      <c r="Z5">
        <v>6</v>
      </c>
      <c r="AA5">
        <v>2</v>
      </c>
      <c r="AB5">
        <v>3</v>
      </c>
      <c r="AC5">
        <f t="shared" si="0"/>
        <v>1</v>
      </c>
      <c r="AD5">
        <v>2</v>
      </c>
      <c r="AE5">
        <v>3</v>
      </c>
      <c r="AF5">
        <v>1</v>
      </c>
      <c r="AG5">
        <v>2</v>
      </c>
      <c r="AH5">
        <v>1</v>
      </c>
      <c r="AI5">
        <v>2</v>
      </c>
      <c r="AJ5">
        <v>1</v>
      </c>
      <c r="AK5">
        <v>1</v>
      </c>
      <c r="AL5">
        <v>2</v>
      </c>
      <c r="AM5">
        <v>7</v>
      </c>
    </row>
    <row r="6" spans="1:39" x14ac:dyDescent="0.3">
      <c r="A6" t="s">
        <v>67</v>
      </c>
      <c r="B6" t="s">
        <v>68</v>
      </c>
      <c r="C6" t="s">
        <v>56</v>
      </c>
      <c r="D6" t="s">
        <v>80</v>
      </c>
      <c r="E6" t="s">
        <v>81</v>
      </c>
      <c r="F6" t="s">
        <v>82</v>
      </c>
      <c r="G6" t="s">
        <v>45</v>
      </c>
      <c r="H6" t="s">
        <v>50</v>
      </c>
      <c r="J6" t="s">
        <v>61</v>
      </c>
      <c r="K6" t="s">
        <v>62</v>
      </c>
      <c r="L6" t="s">
        <v>46</v>
      </c>
      <c r="M6">
        <v>4</v>
      </c>
      <c r="N6">
        <v>4</v>
      </c>
      <c r="O6">
        <v>4</v>
      </c>
      <c r="P6">
        <v>4</v>
      </c>
      <c r="Q6">
        <v>4</v>
      </c>
      <c r="R6" t="s">
        <v>63</v>
      </c>
      <c r="S6">
        <v>3</v>
      </c>
      <c r="T6" t="s">
        <v>52</v>
      </c>
      <c r="U6">
        <v>4</v>
      </c>
      <c r="V6">
        <v>4</v>
      </c>
      <c r="W6" t="s">
        <v>65</v>
      </c>
      <c r="X6">
        <v>91</v>
      </c>
      <c r="Y6" t="s">
        <v>83</v>
      </c>
      <c r="Z6">
        <v>5</v>
      </c>
      <c r="AA6">
        <v>1</v>
      </c>
      <c r="AB6">
        <v>1</v>
      </c>
      <c r="AC6">
        <f t="shared" si="0"/>
        <v>1</v>
      </c>
      <c r="AD6">
        <v>4</v>
      </c>
      <c r="AE6">
        <v>2</v>
      </c>
      <c r="AF6">
        <v>3</v>
      </c>
      <c r="AG6">
        <v>5</v>
      </c>
      <c r="AH6">
        <v>1</v>
      </c>
      <c r="AI6">
        <v>1</v>
      </c>
      <c r="AJ6">
        <v>1</v>
      </c>
      <c r="AK6">
        <v>1</v>
      </c>
      <c r="AL6">
        <v>2</v>
      </c>
      <c r="AM6">
        <v>6</v>
      </c>
    </row>
    <row r="7" spans="1:39" x14ac:dyDescent="0.3">
      <c r="A7" t="s">
        <v>67</v>
      </c>
      <c r="B7" t="s">
        <v>68</v>
      </c>
      <c r="C7" t="s">
        <v>56</v>
      </c>
      <c r="D7" t="s">
        <v>57</v>
      </c>
      <c r="E7" t="s">
        <v>58</v>
      </c>
      <c r="F7" t="s">
        <v>47</v>
      </c>
      <c r="G7" t="s">
        <v>45</v>
      </c>
      <c r="H7" t="s">
        <v>46</v>
      </c>
      <c r="I7" t="s">
        <v>47</v>
      </c>
      <c r="J7" t="s">
        <v>61</v>
      </c>
      <c r="K7" t="s">
        <v>84</v>
      </c>
      <c r="L7" t="s">
        <v>46</v>
      </c>
      <c r="M7">
        <v>4</v>
      </c>
      <c r="N7">
        <v>3</v>
      </c>
      <c r="O7">
        <v>4</v>
      </c>
      <c r="P7">
        <v>3</v>
      </c>
      <c r="Q7">
        <v>3</v>
      </c>
      <c r="R7" t="s">
        <v>53</v>
      </c>
      <c r="S7">
        <v>2</v>
      </c>
      <c r="T7" t="s">
        <v>79</v>
      </c>
      <c r="U7">
        <v>4</v>
      </c>
      <c r="V7">
        <v>4</v>
      </c>
      <c r="W7" t="s">
        <v>51</v>
      </c>
      <c r="X7">
        <v>19</v>
      </c>
      <c r="Y7" t="s">
        <v>85</v>
      </c>
      <c r="Z7">
        <v>5</v>
      </c>
      <c r="AA7">
        <v>2</v>
      </c>
      <c r="AB7">
        <v>1</v>
      </c>
      <c r="AC7">
        <f t="shared" si="0"/>
        <v>1</v>
      </c>
      <c r="AD7">
        <v>5</v>
      </c>
      <c r="AE7">
        <v>3</v>
      </c>
      <c r="AF7">
        <v>1</v>
      </c>
      <c r="AG7">
        <v>1</v>
      </c>
      <c r="AH7">
        <v>1</v>
      </c>
      <c r="AI7">
        <v>1</v>
      </c>
      <c r="AJ7">
        <v>2</v>
      </c>
      <c r="AK7">
        <v>1</v>
      </c>
      <c r="AL7">
        <v>2</v>
      </c>
      <c r="AM7">
        <v>7</v>
      </c>
    </row>
    <row r="8" spans="1:39" x14ac:dyDescent="0.3">
      <c r="A8" t="s">
        <v>39</v>
      </c>
      <c r="B8" t="s">
        <v>40</v>
      </c>
      <c r="C8" t="s">
        <v>75</v>
      </c>
      <c r="D8" t="s">
        <v>80</v>
      </c>
      <c r="E8" t="s">
        <v>58</v>
      </c>
      <c r="F8" t="s">
        <v>86</v>
      </c>
      <c r="G8" t="s">
        <v>60</v>
      </c>
      <c r="H8" t="s">
        <v>50</v>
      </c>
      <c r="J8" t="s">
        <v>61</v>
      </c>
      <c r="K8" t="s">
        <v>62</v>
      </c>
      <c r="L8" t="s">
        <v>50</v>
      </c>
      <c r="M8">
        <v>3</v>
      </c>
      <c r="N8">
        <v>3</v>
      </c>
      <c r="O8">
        <v>4</v>
      </c>
      <c r="P8">
        <v>4</v>
      </c>
      <c r="Q8">
        <v>3</v>
      </c>
      <c r="R8" t="s">
        <v>78</v>
      </c>
      <c r="S8">
        <v>3</v>
      </c>
      <c r="T8" t="s">
        <v>73</v>
      </c>
      <c r="U8">
        <v>4</v>
      </c>
      <c r="V8">
        <v>3</v>
      </c>
      <c r="W8" t="s">
        <v>65</v>
      </c>
      <c r="X8">
        <v>114</v>
      </c>
      <c r="Y8" t="s">
        <v>54</v>
      </c>
      <c r="Z8">
        <v>6</v>
      </c>
      <c r="AA8">
        <v>1</v>
      </c>
      <c r="AB8">
        <v>1</v>
      </c>
      <c r="AC8">
        <f t="shared" si="0"/>
        <v>0</v>
      </c>
      <c r="AD8">
        <v>2</v>
      </c>
      <c r="AE8">
        <v>4</v>
      </c>
      <c r="AF8">
        <v>3</v>
      </c>
      <c r="AG8">
        <v>3</v>
      </c>
      <c r="AH8">
        <v>1</v>
      </c>
      <c r="AI8">
        <v>1</v>
      </c>
      <c r="AJ8">
        <v>1</v>
      </c>
      <c r="AK8">
        <v>1</v>
      </c>
      <c r="AL8">
        <v>2</v>
      </c>
      <c r="AM8">
        <v>6</v>
      </c>
    </row>
    <row r="9" spans="1:39" x14ac:dyDescent="0.3">
      <c r="A9" t="s">
        <v>67</v>
      </c>
      <c r="B9" t="s">
        <v>68</v>
      </c>
      <c r="C9" t="s">
        <v>56</v>
      </c>
      <c r="D9" t="s">
        <v>57</v>
      </c>
      <c r="E9" t="s">
        <v>81</v>
      </c>
      <c r="F9" t="s">
        <v>87</v>
      </c>
      <c r="G9" t="s">
        <v>60</v>
      </c>
      <c r="H9" t="s">
        <v>46</v>
      </c>
      <c r="I9" t="s">
        <v>47</v>
      </c>
      <c r="J9" t="s">
        <v>76</v>
      </c>
      <c r="K9" t="s">
        <v>62</v>
      </c>
      <c r="L9" t="s">
        <v>46</v>
      </c>
      <c r="M9">
        <v>3</v>
      </c>
      <c r="N9">
        <v>3</v>
      </c>
      <c r="O9">
        <v>4</v>
      </c>
      <c r="P9">
        <v>3</v>
      </c>
      <c r="Q9">
        <v>3</v>
      </c>
      <c r="R9" t="s">
        <v>53</v>
      </c>
      <c r="S9">
        <v>3</v>
      </c>
      <c r="T9" t="s">
        <v>52</v>
      </c>
      <c r="U9">
        <v>3</v>
      </c>
      <c r="V9">
        <v>3</v>
      </c>
      <c r="W9" t="s">
        <v>78</v>
      </c>
      <c r="X9">
        <v>71</v>
      </c>
      <c r="Y9" t="s">
        <v>54</v>
      </c>
      <c r="Z9">
        <v>6</v>
      </c>
      <c r="AA9">
        <v>2</v>
      </c>
      <c r="AB9">
        <v>3</v>
      </c>
      <c r="AC9">
        <f t="shared" si="0"/>
        <v>1</v>
      </c>
      <c r="AD9">
        <v>5</v>
      </c>
      <c r="AE9">
        <v>2</v>
      </c>
      <c r="AF9">
        <v>2</v>
      </c>
      <c r="AG9">
        <v>3</v>
      </c>
      <c r="AH9">
        <v>1</v>
      </c>
      <c r="AI9">
        <v>1</v>
      </c>
      <c r="AJ9">
        <v>1</v>
      </c>
      <c r="AK9">
        <v>1</v>
      </c>
      <c r="AL9">
        <v>2</v>
      </c>
      <c r="AM9">
        <v>6</v>
      </c>
    </row>
    <row r="10" spans="1:39" x14ac:dyDescent="0.3">
      <c r="A10" t="s">
        <v>67</v>
      </c>
      <c r="B10" t="s">
        <v>40</v>
      </c>
      <c r="C10" t="s">
        <v>41</v>
      </c>
      <c r="D10" t="s">
        <v>57</v>
      </c>
      <c r="E10" t="s">
        <v>58</v>
      </c>
      <c r="F10" t="s">
        <v>88</v>
      </c>
      <c r="G10" t="s">
        <v>60</v>
      </c>
      <c r="H10" t="s">
        <v>50</v>
      </c>
      <c r="J10" t="s">
        <v>61</v>
      </c>
      <c r="K10" t="s">
        <v>62</v>
      </c>
      <c r="L10" t="s">
        <v>46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63</v>
      </c>
      <c r="S10">
        <v>3</v>
      </c>
      <c r="T10" t="s">
        <v>79</v>
      </c>
      <c r="U10">
        <v>4</v>
      </c>
      <c r="V10">
        <v>4</v>
      </c>
      <c r="W10" t="s">
        <v>53</v>
      </c>
      <c r="X10">
        <v>197</v>
      </c>
      <c r="Y10" t="s">
        <v>66</v>
      </c>
      <c r="Z10">
        <v>6</v>
      </c>
      <c r="AA10">
        <v>1</v>
      </c>
      <c r="AB10">
        <v>1</v>
      </c>
      <c r="AC10">
        <f t="shared" si="0"/>
        <v>1</v>
      </c>
      <c r="AD10">
        <v>4</v>
      </c>
      <c r="AE10">
        <v>3</v>
      </c>
      <c r="AF10">
        <v>5</v>
      </c>
      <c r="AG10">
        <v>4</v>
      </c>
      <c r="AH10">
        <v>1</v>
      </c>
      <c r="AI10">
        <v>1</v>
      </c>
      <c r="AJ10">
        <v>1</v>
      </c>
      <c r="AK10">
        <v>1</v>
      </c>
      <c r="AL10">
        <v>2</v>
      </c>
      <c r="AM10">
        <v>6</v>
      </c>
    </row>
    <row r="11" spans="1:39" x14ac:dyDescent="0.3">
      <c r="A11" t="s">
        <v>39</v>
      </c>
      <c r="B11" t="s">
        <v>40</v>
      </c>
      <c r="C11" t="s">
        <v>56</v>
      </c>
      <c r="D11" t="s">
        <v>42</v>
      </c>
      <c r="E11" t="s">
        <v>89</v>
      </c>
      <c r="F11" t="s">
        <v>47</v>
      </c>
      <c r="G11" t="s">
        <v>60</v>
      </c>
      <c r="H11" t="s">
        <v>46</v>
      </c>
      <c r="I11" t="s">
        <v>47</v>
      </c>
      <c r="J11" t="s">
        <v>76</v>
      </c>
      <c r="K11" t="s">
        <v>90</v>
      </c>
      <c r="L11" t="s">
        <v>50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78</v>
      </c>
      <c r="S11">
        <v>4</v>
      </c>
      <c r="T11" t="s">
        <v>73</v>
      </c>
      <c r="U11">
        <v>3</v>
      </c>
      <c r="V11">
        <v>3</v>
      </c>
      <c r="W11" t="s">
        <v>63</v>
      </c>
      <c r="X11">
        <v>143</v>
      </c>
      <c r="Y11" t="s">
        <v>85</v>
      </c>
      <c r="Z11">
        <v>6</v>
      </c>
      <c r="AA11">
        <v>2</v>
      </c>
      <c r="AB11">
        <v>3</v>
      </c>
      <c r="AC11">
        <f t="shared" si="0"/>
        <v>0</v>
      </c>
      <c r="AD11">
        <v>2</v>
      </c>
      <c r="AE11">
        <v>4</v>
      </c>
      <c r="AF11">
        <v>4</v>
      </c>
      <c r="AG11">
        <v>1</v>
      </c>
      <c r="AH11">
        <v>1</v>
      </c>
      <c r="AI11">
        <v>2</v>
      </c>
      <c r="AJ11">
        <v>2</v>
      </c>
      <c r="AK11">
        <v>1</v>
      </c>
      <c r="AL11">
        <v>2</v>
      </c>
      <c r="AM11">
        <v>8</v>
      </c>
    </row>
    <row r="12" spans="1:39" x14ac:dyDescent="0.3">
      <c r="A12" t="s">
        <v>67</v>
      </c>
      <c r="B12" t="s">
        <v>40</v>
      </c>
      <c r="C12" t="s">
        <v>56</v>
      </c>
      <c r="D12" t="s">
        <v>57</v>
      </c>
      <c r="E12" t="s">
        <v>69</v>
      </c>
      <c r="F12" t="s">
        <v>91</v>
      </c>
      <c r="G12" t="s">
        <v>92</v>
      </c>
      <c r="H12" t="s">
        <v>50</v>
      </c>
      <c r="J12" t="s">
        <v>61</v>
      </c>
      <c r="K12" t="s">
        <v>62</v>
      </c>
      <c r="L12" t="s">
        <v>46</v>
      </c>
      <c r="M12">
        <v>4</v>
      </c>
      <c r="N12">
        <v>4</v>
      </c>
      <c r="O12">
        <v>4</v>
      </c>
      <c r="P12">
        <v>3</v>
      </c>
      <c r="Q12">
        <v>3</v>
      </c>
      <c r="R12" t="s">
        <v>65</v>
      </c>
      <c r="S12">
        <v>3</v>
      </c>
      <c r="T12" t="s">
        <v>52</v>
      </c>
      <c r="U12">
        <v>3</v>
      </c>
      <c r="V12">
        <v>4</v>
      </c>
      <c r="W12" t="s">
        <v>51</v>
      </c>
      <c r="X12">
        <v>21</v>
      </c>
      <c r="Y12" t="s">
        <v>66</v>
      </c>
      <c r="Z12">
        <v>2</v>
      </c>
      <c r="AA12">
        <v>1</v>
      </c>
      <c r="AB12">
        <v>1</v>
      </c>
      <c r="AC12">
        <f t="shared" si="0"/>
        <v>1</v>
      </c>
      <c r="AD12">
        <v>3</v>
      </c>
      <c r="AE12">
        <v>2</v>
      </c>
      <c r="AF12">
        <v>1</v>
      </c>
      <c r="AG12">
        <v>4</v>
      </c>
      <c r="AH12">
        <v>1</v>
      </c>
      <c r="AI12">
        <v>1</v>
      </c>
      <c r="AJ12">
        <v>1</v>
      </c>
      <c r="AK12">
        <v>1</v>
      </c>
      <c r="AL12">
        <v>2</v>
      </c>
      <c r="AM12">
        <v>6</v>
      </c>
    </row>
    <row r="13" spans="1:39" x14ac:dyDescent="0.3">
      <c r="A13" t="s">
        <v>39</v>
      </c>
      <c r="B13" t="s">
        <v>68</v>
      </c>
      <c r="C13" t="s">
        <v>75</v>
      </c>
      <c r="D13" t="s">
        <v>57</v>
      </c>
      <c r="E13" t="s">
        <v>69</v>
      </c>
      <c r="F13" t="s">
        <v>44</v>
      </c>
      <c r="G13" t="s">
        <v>45</v>
      </c>
      <c r="H13" t="s">
        <v>46</v>
      </c>
      <c r="I13" t="s">
        <v>47</v>
      </c>
      <c r="J13" t="s">
        <v>61</v>
      </c>
      <c r="K13" t="s">
        <v>72</v>
      </c>
      <c r="L13" t="s">
        <v>50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51</v>
      </c>
      <c r="S13">
        <v>4</v>
      </c>
      <c r="T13" t="s">
        <v>79</v>
      </c>
      <c r="U13">
        <v>3</v>
      </c>
      <c r="V13">
        <v>3</v>
      </c>
      <c r="W13" t="s">
        <v>78</v>
      </c>
      <c r="X13">
        <v>59</v>
      </c>
      <c r="Y13" t="s">
        <v>66</v>
      </c>
      <c r="Z13">
        <v>5</v>
      </c>
      <c r="AA13">
        <v>2</v>
      </c>
      <c r="AB13">
        <v>1</v>
      </c>
      <c r="AC13">
        <f t="shared" si="0"/>
        <v>0</v>
      </c>
      <c r="AD13">
        <v>1</v>
      </c>
      <c r="AE13">
        <v>3</v>
      </c>
      <c r="AF13">
        <v>2</v>
      </c>
      <c r="AG13">
        <v>4</v>
      </c>
      <c r="AH13">
        <v>2</v>
      </c>
      <c r="AI13">
        <v>2</v>
      </c>
      <c r="AJ13">
        <v>1</v>
      </c>
      <c r="AK13">
        <v>1</v>
      </c>
      <c r="AL13">
        <v>1</v>
      </c>
      <c r="AM13">
        <v>7</v>
      </c>
    </row>
    <row r="14" spans="1:39" x14ac:dyDescent="0.3">
      <c r="A14" t="s">
        <v>67</v>
      </c>
      <c r="B14" t="s">
        <v>68</v>
      </c>
      <c r="C14" t="s">
        <v>56</v>
      </c>
      <c r="D14" t="s">
        <v>42</v>
      </c>
      <c r="E14" t="s">
        <v>43</v>
      </c>
      <c r="F14" t="s">
        <v>93</v>
      </c>
      <c r="G14" t="s">
        <v>45</v>
      </c>
      <c r="H14" t="s">
        <v>46</v>
      </c>
      <c r="I14" t="s">
        <v>71</v>
      </c>
      <c r="J14" t="s">
        <v>76</v>
      </c>
      <c r="K14" t="s">
        <v>94</v>
      </c>
      <c r="L14" t="s">
        <v>46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63</v>
      </c>
      <c r="S14">
        <v>4</v>
      </c>
      <c r="T14" t="s">
        <v>64</v>
      </c>
      <c r="U14">
        <v>3</v>
      </c>
      <c r="V14">
        <v>3</v>
      </c>
      <c r="W14" t="s">
        <v>65</v>
      </c>
      <c r="X14">
        <v>18</v>
      </c>
      <c r="Y14" t="s">
        <v>54</v>
      </c>
      <c r="Z14">
        <v>5</v>
      </c>
      <c r="AA14">
        <v>2</v>
      </c>
      <c r="AB14">
        <v>3</v>
      </c>
      <c r="AC14">
        <f t="shared" si="0"/>
        <v>1</v>
      </c>
      <c r="AD14">
        <v>4</v>
      </c>
      <c r="AE14">
        <v>5</v>
      </c>
      <c r="AF14">
        <v>3</v>
      </c>
      <c r="AG14">
        <v>3</v>
      </c>
      <c r="AH14">
        <v>2</v>
      </c>
      <c r="AI14">
        <v>1</v>
      </c>
      <c r="AJ14">
        <v>2</v>
      </c>
      <c r="AK14">
        <v>1</v>
      </c>
      <c r="AL14">
        <v>1</v>
      </c>
      <c r="AM14">
        <v>7</v>
      </c>
    </row>
    <row r="15" spans="1:39" x14ac:dyDescent="0.3">
      <c r="A15" t="s">
        <v>39</v>
      </c>
      <c r="B15" t="s">
        <v>68</v>
      </c>
      <c r="C15" t="s">
        <v>56</v>
      </c>
      <c r="D15" t="s">
        <v>42</v>
      </c>
      <c r="E15" t="s">
        <v>95</v>
      </c>
      <c r="F15" t="s">
        <v>96</v>
      </c>
      <c r="G15" t="s">
        <v>45</v>
      </c>
      <c r="H15" t="s">
        <v>50</v>
      </c>
      <c r="J15" t="s">
        <v>61</v>
      </c>
      <c r="K15" t="s">
        <v>62</v>
      </c>
      <c r="L15" t="s">
        <v>46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53</v>
      </c>
      <c r="S15">
        <v>3</v>
      </c>
      <c r="T15" t="s">
        <v>64</v>
      </c>
      <c r="U15">
        <v>5</v>
      </c>
      <c r="V15">
        <v>4</v>
      </c>
      <c r="W15" t="s">
        <v>63</v>
      </c>
      <c r="X15">
        <v>208</v>
      </c>
      <c r="Y15" t="s">
        <v>54</v>
      </c>
      <c r="Z15">
        <v>5</v>
      </c>
      <c r="AA15">
        <v>1</v>
      </c>
      <c r="AB15">
        <v>1</v>
      </c>
      <c r="AC15">
        <f t="shared" si="0"/>
        <v>1</v>
      </c>
      <c r="AD15">
        <v>5</v>
      </c>
      <c r="AE15">
        <v>5</v>
      </c>
      <c r="AF15">
        <v>4</v>
      </c>
      <c r="AG15">
        <v>3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6</v>
      </c>
    </row>
    <row r="16" spans="1:39" x14ac:dyDescent="0.3">
      <c r="A16" t="s">
        <v>97</v>
      </c>
      <c r="B16" t="s">
        <v>68</v>
      </c>
      <c r="C16" t="s">
        <v>56</v>
      </c>
      <c r="D16" t="s">
        <v>57</v>
      </c>
      <c r="E16" t="s">
        <v>95</v>
      </c>
      <c r="F16" t="s">
        <v>87</v>
      </c>
      <c r="G16" t="s">
        <v>45</v>
      </c>
      <c r="H16" t="s">
        <v>46</v>
      </c>
      <c r="I16" t="s">
        <v>98</v>
      </c>
      <c r="J16" t="s">
        <v>99</v>
      </c>
      <c r="K16" t="s">
        <v>100</v>
      </c>
      <c r="L16" t="s">
        <v>46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63</v>
      </c>
      <c r="S16">
        <v>3</v>
      </c>
      <c r="T16" t="s">
        <v>52</v>
      </c>
      <c r="U16">
        <v>3</v>
      </c>
      <c r="V16">
        <v>3</v>
      </c>
      <c r="W16" t="s">
        <v>51</v>
      </c>
      <c r="X16">
        <v>37</v>
      </c>
      <c r="Y16" t="s">
        <v>66</v>
      </c>
      <c r="Z16">
        <v>5</v>
      </c>
      <c r="AA16">
        <v>2</v>
      </c>
      <c r="AB16">
        <v>2</v>
      </c>
      <c r="AC16">
        <f t="shared" si="0"/>
        <v>1</v>
      </c>
      <c r="AD16">
        <v>4</v>
      </c>
      <c r="AE16">
        <v>2</v>
      </c>
      <c r="AF16">
        <v>1</v>
      </c>
      <c r="AG16">
        <v>4</v>
      </c>
      <c r="AH16">
        <v>1</v>
      </c>
      <c r="AI16">
        <v>1</v>
      </c>
      <c r="AJ16">
        <v>1</v>
      </c>
      <c r="AK16">
        <v>2</v>
      </c>
      <c r="AL16">
        <v>1</v>
      </c>
      <c r="AM16">
        <v>6</v>
      </c>
    </row>
    <row r="17" spans="1:39" x14ac:dyDescent="0.3">
      <c r="A17" t="s">
        <v>67</v>
      </c>
      <c r="B17" t="s">
        <v>95</v>
      </c>
      <c r="C17" t="s">
        <v>75</v>
      </c>
      <c r="D17" t="s">
        <v>42</v>
      </c>
      <c r="E17" t="s">
        <v>43</v>
      </c>
      <c r="F17" t="s">
        <v>70</v>
      </c>
      <c r="G17" t="s">
        <v>101</v>
      </c>
      <c r="H17" t="s">
        <v>46</v>
      </c>
      <c r="I17" t="s">
        <v>71</v>
      </c>
      <c r="J17" t="s">
        <v>102</v>
      </c>
      <c r="K17" t="s">
        <v>100</v>
      </c>
      <c r="L17" t="s">
        <v>46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78</v>
      </c>
      <c r="S17">
        <v>4</v>
      </c>
      <c r="T17" t="s">
        <v>103</v>
      </c>
      <c r="U17">
        <v>3</v>
      </c>
      <c r="V17">
        <v>3</v>
      </c>
      <c r="W17" t="s">
        <v>78</v>
      </c>
      <c r="X17">
        <v>82</v>
      </c>
      <c r="Y17" t="s">
        <v>85</v>
      </c>
      <c r="Z17">
        <v>3</v>
      </c>
      <c r="AA17">
        <v>2</v>
      </c>
      <c r="AB17">
        <v>4</v>
      </c>
      <c r="AC17">
        <f t="shared" si="0"/>
        <v>1</v>
      </c>
      <c r="AD17">
        <v>2</v>
      </c>
      <c r="AE17">
        <v>1</v>
      </c>
      <c r="AF17">
        <v>2</v>
      </c>
      <c r="AG17">
        <v>1</v>
      </c>
      <c r="AH17">
        <v>1</v>
      </c>
      <c r="AI17">
        <v>1</v>
      </c>
      <c r="AJ17">
        <v>1</v>
      </c>
      <c r="AK17">
        <v>2</v>
      </c>
      <c r="AL17">
        <v>1</v>
      </c>
      <c r="AM17">
        <v>6</v>
      </c>
    </row>
    <row r="18" spans="1:39" x14ac:dyDescent="0.3">
      <c r="A18" t="s">
        <v>67</v>
      </c>
      <c r="B18" t="s">
        <v>40</v>
      </c>
      <c r="C18" t="s">
        <v>56</v>
      </c>
      <c r="D18" t="s">
        <v>42</v>
      </c>
      <c r="E18" t="s">
        <v>69</v>
      </c>
      <c r="F18" t="s">
        <v>104</v>
      </c>
      <c r="G18" t="s">
        <v>60</v>
      </c>
      <c r="H18" t="s">
        <v>46</v>
      </c>
      <c r="I18" t="s">
        <v>71</v>
      </c>
      <c r="J18" t="s">
        <v>76</v>
      </c>
      <c r="K18" t="s">
        <v>105</v>
      </c>
      <c r="L18" t="s">
        <v>46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53</v>
      </c>
      <c r="S18">
        <v>3</v>
      </c>
      <c r="T18" t="s">
        <v>103</v>
      </c>
      <c r="U18">
        <v>3</v>
      </c>
      <c r="V18">
        <v>4</v>
      </c>
      <c r="W18" t="s">
        <v>65</v>
      </c>
      <c r="X18">
        <v>110</v>
      </c>
      <c r="Y18" t="s">
        <v>85</v>
      </c>
      <c r="Z18">
        <v>6</v>
      </c>
      <c r="AA18">
        <v>2</v>
      </c>
      <c r="AB18">
        <v>3</v>
      </c>
      <c r="AC18">
        <f t="shared" si="0"/>
        <v>1</v>
      </c>
      <c r="AD18">
        <v>5</v>
      </c>
      <c r="AE18">
        <v>1</v>
      </c>
      <c r="AF18">
        <v>3</v>
      </c>
      <c r="AG18">
        <v>1</v>
      </c>
      <c r="AH18">
        <v>1</v>
      </c>
      <c r="AI18">
        <v>1</v>
      </c>
      <c r="AJ18">
        <v>1</v>
      </c>
      <c r="AK18">
        <v>2</v>
      </c>
      <c r="AL18">
        <v>2</v>
      </c>
      <c r="AM18">
        <v>7</v>
      </c>
    </row>
    <row r="19" spans="1:39" x14ac:dyDescent="0.3">
      <c r="A19" t="s">
        <v>97</v>
      </c>
      <c r="B19" t="s">
        <v>40</v>
      </c>
      <c r="C19" t="s">
        <v>56</v>
      </c>
      <c r="D19" t="s">
        <v>42</v>
      </c>
      <c r="E19" t="s">
        <v>69</v>
      </c>
      <c r="F19" t="s">
        <v>71</v>
      </c>
      <c r="G19" t="s">
        <v>45</v>
      </c>
      <c r="H19" t="s">
        <v>46</v>
      </c>
      <c r="I19" t="s">
        <v>71</v>
      </c>
      <c r="J19" t="s">
        <v>99</v>
      </c>
      <c r="K19" t="s">
        <v>106</v>
      </c>
      <c r="L19" t="s">
        <v>46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63</v>
      </c>
      <c r="S19">
        <v>3</v>
      </c>
      <c r="T19" t="s">
        <v>73</v>
      </c>
      <c r="U19">
        <v>3</v>
      </c>
      <c r="V19">
        <v>3</v>
      </c>
      <c r="W19" t="s">
        <v>53</v>
      </c>
      <c r="X19">
        <v>137</v>
      </c>
      <c r="Y19" t="s">
        <v>74</v>
      </c>
      <c r="Z19">
        <v>5</v>
      </c>
      <c r="AA19">
        <v>2</v>
      </c>
      <c r="AB19">
        <v>2</v>
      </c>
      <c r="AC19">
        <f t="shared" si="0"/>
        <v>1</v>
      </c>
      <c r="AD19">
        <v>4</v>
      </c>
      <c r="AE19">
        <v>4</v>
      </c>
      <c r="AF19">
        <v>5</v>
      </c>
      <c r="AG19">
        <v>2</v>
      </c>
      <c r="AH19">
        <v>2</v>
      </c>
      <c r="AI19">
        <v>1</v>
      </c>
      <c r="AJ19">
        <v>1</v>
      </c>
      <c r="AK19">
        <v>1</v>
      </c>
      <c r="AL19">
        <v>1</v>
      </c>
      <c r="AM19">
        <v>6</v>
      </c>
    </row>
    <row r="20" spans="1:39" x14ac:dyDescent="0.3">
      <c r="A20" t="s">
        <v>67</v>
      </c>
      <c r="B20" t="s">
        <v>68</v>
      </c>
      <c r="C20" t="s">
        <v>56</v>
      </c>
      <c r="D20" t="s">
        <v>42</v>
      </c>
      <c r="E20" t="s">
        <v>69</v>
      </c>
      <c r="F20" t="s">
        <v>82</v>
      </c>
      <c r="G20" t="s">
        <v>45</v>
      </c>
      <c r="H20" t="s">
        <v>46</v>
      </c>
      <c r="I20" t="s">
        <v>98</v>
      </c>
      <c r="J20" t="s">
        <v>76</v>
      </c>
      <c r="K20" t="s">
        <v>77</v>
      </c>
      <c r="L20" t="s">
        <v>50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78</v>
      </c>
      <c r="S20">
        <v>3</v>
      </c>
      <c r="T20" t="s">
        <v>103</v>
      </c>
      <c r="U20">
        <v>4</v>
      </c>
      <c r="V20">
        <v>3</v>
      </c>
      <c r="W20" t="s">
        <v>63</v>
      </c>
      <c r="X20">
        <v>136</v>
      </c>
      <c r="Y20" t="s">
        <v>74</v>
      </c>
      <c r="Z20">
        <v>5</v>
      </c>
      <c r="AA20">
        <v>2</v>
      </c>
      <c r="AB20">
        <v>3</v>
      </c>
      <c r="AC20">
        <f t="shared" si="0"/>
        <v>0</v>
      </c>
      <c r="AD20">
        <v>2</v>
      </c>
      <c r="AE20">
        <v>1</v>
      </c>
      <c r="AF20">
        <v>4</v>
      </c>
      <c r="AG20">
        <v>2</v>
      </c>
      <c r="AH20">
        <v>1</v>
      </c>
      <c r="AI20">
        <v>2</v>
      </c>
      <c r="AJ20">
        <v>1</v>
      </c>
      <c r="AK20">
        <v>1</v>
      </c>
      <c r="AL20">
        <v>2</v>
      </c>
      <c r="AM20">
        <v>7</v>
      </c>
    </row>
    <row r="21" spans="1:39" x14ac:dyDescent="0.3">
      <c r="A21" t="s">
        <v>39</v>
      </c>
      <c r="B21" t="s">
        <v>40</v>
      </c>
      <c r="C21" t="s">
        <v>75</v>
      </c>
      <c r="D21" t="s">
        <v>80</v>
      </c>
      <c r="E21" t="s">
        <v>58</v>
      </c>
      <c r="F21" t="s">
        <v>107</v>
      </c>
      <c r="G21" t="s">
        <v>108</v>
      </c>
      <c r="H21" t="s">
        <v>46</v>
      </c>
      <c r="I21" t="s">
        <v>98</v>
      </c>
      <c r="J21" t="s">
        <v>48</v>
      </c>
      <c r="K21" t="s">
        <v>62</v>
      </c>
      <c r="L21" t="s">
        <v>50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63</v>
      </c>
      <c r="S21">
        <v>4</v>
      </c>
      <c r="T21" t="s">
        <v>73</v>
      </c>
      <c r="U21">
        <v>2</v>
      </c>
      <c r="V21">
        <v>3</v>
      </c>
      <c r="W21" t="s">
        <v>51</v>
      </c>
      <c r="X21">
        <v>24</v>
      </c>
      <c r="Y21" t="s">
        <v>66</v>
      </c>
      <c r="Z21">
        <v>7</v>
      </c>
      <c r="AA21">
        <v>2</v>
      </c>
      <c r="AB21">
        <v>5</v>
      </c>
      <c r="AC21">
        <f t="shared" si="0"/>
        <v>0</v>
      </c>
      <c r="AD21">
        <v>4</v>
      </c>
      <c r="AE21">
        <v>4</v>
      </c>
      <c r="AF21">
        <v>1</v>
      </c>
      <c r="AG21">
        <v>4</v>
      </c>
      <c r="AH21">
        <v>1</v>
      </c>
      <c r="AI21">
        <v>1</v>
      </c>
      <c r="AJ21">
        <v>1</v>
      </c>
      <c r="AK21">
        <v>1</v>
      </c>
      <c r="AL21">
        <v>2</v>
      </c>
      <c r="AM21">
        <v>6</v>
      </c>
    </row>
    <row r="22" spans="1:39" x14ac:dyDescent="0.3">
      <c r="A22" t="s">
        <v>109</v>
      </c>
      <c r="B22" t="s">
        <v>40</v>
      </c>
      <c r="C22" t="s">
        <v>56</v>
      </c>
      <c r="D22" t="s">
        <v>57</v>
      </c>
      <c r="E22" t="s">
        <v>43</v>
      </c>
      <c r="F22" t="s">
        <v>47</v>
      </c>
      <c r="G22" t="s">
        <v>45</v>
      </c>
      <c r="H22" t="s">
        <v>46</v>
      </c>
      <c r="I22" t="s">
        <v>47</v>
      </c>
      <c r="J22" t="s">
        <v>61</v>
      </c>
      <c r="K22" t="s">
        <v>62</v>
      </c>
      <c r="L22" t="s">
        <v>46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63</v>
      </c>
      <c r="S22">
        <v>4</v>
      </c>
      <c r="T22" t="s">
        <v>52</v>
      </c>
      <c r="U22">
        <v>2</v>
      </c>
      <c r="V22">
        <v>2</v>
      </c>
      <c r="W22" t="s">
        <v>78</v>
      </c>
      <c r="X22">
        <v>54</v>
      </c>
      <c r="Y22" t="s">
        <v>74</v>
      </c>
      <c r="Z22">
        <v>5</v>
      </c>
      <c r="AA22">
        <v>2</v>
      </c>
      <c r="AB22">
        <v>1</v>
      </c>
      <c r="AC22">
        <f t="shared" si="0"/>
        <v>1</v>
      </c>
      <c r="AD22">
        <v>4</v>
      </c>
      <c r="AE22">
        <v>2</v>
      </c>
      <c r="AF22">
        <v>2</v>
      </c>
      <c r="AG22">
        <v>2</v>
      </c>
      <c r="AH22">
        <v>1</v>
      </c>
      <c r="AI22">
        <v>1</v>
      </c>
      <c r="AJ22">
        <v>1</v>
      </c>
      <c r="AK22">
        <v>1</v>
      </c>
      <c r="AL22">
        <v>2</v>
      </c>
      <c r="AM22">
        <v>6</v>
      </c>
    </row>
    <row r="23" spans="1:39" x14ac:dyDescent="0.3">
      <c r="A23" t="s">
        <v>67</v>
      </c>
      <c r="B23" t="s">
        <v>40</v>
      </c>
      <c r="C23" t="s">
        <v>75</v>
      </c>
      <c r="D23" t="s">
        <v>57</v>
      </c>
      <c r="E23" t="s">
        <v>81</v>
      </c>
      <c r="F23" t="s">
        <v>110</v>
      </c>
      <c r="G23" t="s">
        <v>45</v>
      </c>
      <c r="H23" t="s">
        <v>50</v>
      </c>
      <c r="J23" t="s">
        <v>61</v>
      </c>
      <c r="K23" t="s">
        <v>62</v>
      </c>
      <c r="L23" t="s">
        <v>50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63</v>
      </c>
      <c r="S23">
        <v>4</v>
      </c>
      <c r="T23" t="s">
        <v>103</v>
      </c>
      <c r="U23">
        <v>4</v>
      </c>
      <c r="V23">
        <v>3</v>
      </c>
      <c r="W23" t="s">
        <v>65</v>
      </c>
      <c r="X23">
        <v>96</v>
      </c>
      <c r="Y23" t="s">
        <v>74</v>
      </c>
      <c r="Z23">
        <v>5</v>
      </c>
      <c r="AA23">
        <v>1</v>
      </c>
      <c r="AB23">
        <v>1</v>
      </c>
      <c r="AC23">
        <f t="shared" si="0"/>
        <v>0</v>
      </c>
      <c r="AD23">
        <v>4</v>
      </c>
      <c r="AE23">
        <v>1</v>
      </c>
      <c r="AF23">
        <v>3</v>
      </c>
      <c r="AG23">
        <v>2</v>
      </c>
      <c r="AH23">
        <v>1</v>
      </c>
      <c r="AI23">
        <v>1</v>
      </c>
      <c r="AJ23">
        <v>1</v>
      </c>
      <c r="AK23">
        <v>1</v>
      </c>
      <c r="AL23">
        <v>2</v>
      </c>
      <c r="AM23">
        <v>6</v>
      </c>
    </row>
    <row r="24" spans="1:39" x14ac:dyDescent="0.3">
      <c r="A24" t="s">
        <v>39</v>
      </c>
      <c r="B24" t="s">
        <v>68</v>
      </c>
      <c r="C24" t="s">
        <v>41</v>
      </c>
      <c r="D24" t="s">
        <v>42</v>
      </c>
      <c r="E24" t="s">
        <v>58</v>
      </c>
      <c r="F24" t="s">
        <v>111</v>
      </c>
      <c r="G24" t="s">
        <v>112</v>
      </c>
      <c r="H24" t="s">
        <v>50</v>
      </c>
      <c r="J24" t="s">
        <v>61</v>
      </c>
      <c r="K24" t="s">
        <v>62</v>
      </c>
      <c r="L24" t="s">
        <v>50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51</v>
      </c>
      <c r="S24">
        <v>2</v>
      </c>
      <c r="T24" t="s">
        <v>73</v>
      </c>
      <c r="U24">
        <v>4</v>
      </c>
      <c r="V24">
        <v>4</v>
      </c>
      <c r="W24" t="s">
        <v>78</v>
      </c>
      <c r="X24">
        <v>35</v>
      </c>
      <c r="Y24" t="s">
        <v>83</v>
      </c>
      <c r="Z24">
        <v>1</v>
      </c>
      <c r="AA24">
        <v>1</v>
      </c>
      <c r="AB24">
        <v>1</v>
      </c>
      <c r="AC24">
        <f t="shared" si="0"/>
        <v>0</v>
      </c>
      <c r="AD24">
        <v>1</v>
      </c>
      <c r="AE24">
        <v>4</v>
      </c>
      <c r="AF24">
        <v>2</v>
      </c>
      <c r="AG24">
        <v>5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6</v>
      </c>
    </row>
    <row r="25" spans="1:39" x14ac:dyDescent="0.3">
      <c r="A25" t="s">
        <v>67</v>
      </c>
      <c r="B25" t="s">
        <v>55</v>
      </c>
      <c r="C25" t="s">
        <v>56</v>
      </c>
      <c r="D25" t="s">
        <v>42</v>
      </c>
      <c r="E25" t="s">
        <v>43</v>
      </c>
      <c r="F25" t="s">
        <v>86</v>
      </c>
      <c r="G25" t="s">
        <v>101</v>
      </c>
      <c r="H25" t="s">
        <v>46</v>
      </c>
      <c r="I25" t="s">
        <v>98</v>
      </c>
      <c r="J25" t="s">
        <v>99</v>
      </c>
      <c r="K25" t="s">
        <v>113</v>
      </c>
      <c r="L25" t="s">
        <v>50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63</v>
      </c>
      <c r="S25">
        <v>3</v>
      </c>
      <c r="T25" t="s">
        <v>64</v>
      </c>
      <c r="U25">
        <v>4</v>
      </c>
      <c r="V25">
        <v>3</v>
      </c>
      <c r="W25" t="s">
        <v>53</v>
      </c>
      <c r="X25">
        <v>127</v>
      </c>
      <c r="Y25" t="s">
        <v>66</v>
      </c>
      <c r="Z25">
        <v>3</v>
      </c>
      <c r="AA25">
        <v>2</v>
      </c>
      <c r="AB25">
        <v>2</v>
      </c>
      <c r="AC25">
        <f t="shared" si="0"/>
        <v>0</v>
      </c>
      <c r="AD25">
        <v>4</v>
      </c>
      <c r="AE25">
        <v>5</v>
      </c>
      <c r="AF25">
        <v>5</v>
      </c>
      <c r="AG25">
        <v>4</v>
      </c>
      <c r="AH25">
        <v>2</v>
      </c>
      <c r="AI25">
        <v>2</v>
      </c>
      <c r="AJ25">
        <v>1</v>
      </c>
      <c r="AK25">
        <v>1</v>
      </c>
      <c r="AL25">
        <v>2</v>
      </c>
      <c r="AM25">
        <v>8</v>
      </c>
    </row>
    <row r="26" spans="1:39" x14ac:dyDescent="0.3">
      <c r="A26" t="s">
        <v>39</v>
      </c>
      <c r="B26" t="s">
        <v>40</v>
      </c>
      <c r="C26" t="s">
        <v>41</v>
      </c>
      <c r="D26" t="s">
        <v>57</v>
      </c>
      <c r="E26" t="s">
        <v>89</v>
      </c>
      <c r="F26" t="s">
        <v>91</v>
      </c>
      <c r="G26" t="s">
        <v>92</v>
      </c>
      <c r="H26" t="s">
        <v>46</v>
      </c>
      <c r="I26" t="s">
        <v>98</v>
      </c>
      <c r="J26" t="s">
        <v>61</v>
      </c>
      <c r="K26" t="s">
        <v>49</v>
      </c>
      <c r="L26" t="s">
        <v>50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51</v>
      </c>
      <c r="S26">
        <v>3</v>
      </c>
      <c r="T26" t="s">
        <v>73</v>
      </c>
      <c r="U26">
        <v>4</v>
      </c>
      <c r="V26">
        <v>3</v>
      </c>
      <c r="W26" t="s">
        <v>63</v>
      </c>
      <c r="X26">
        <v>161</v>
      </c>
      <c r="Y26" t="s">
        <v>74</v>
      </c>
      <c r="Z26">
        <v>2</v>
      </c>
      <c r="AA26">
        <v>2</v>
      </c>
      <c r="AB26">
        <v>1</v>
      </c>
      <c r="AC26">
        <f t="shared" si="0"/>
        <v>0</v>
      </c>
      <c r="AD26">
        <v>1</v>
      </c>
      <c r="AE26">
        <v>4</v>
      </c>
      <c r="AF26">
        <v>4</v>
      </c>
      <c r="AG26">
        <v>2</v>
      </c>
      <c r="AH26">
        <v>1</v>
      </c>
      <c r="AI26">
        <v>2</v>
      </c>
      <c r="AJ26">
        <v>1</v>
      </c>
      <c r="AK26">
        <v>2</v>
      </c>
      <c r="AL26">
        <v>2</v>
      </c>
      <c r="AM26">
        <v>8</v>
      </c>
    </row>
    <row r="27" spans="1:39" x14ac:dyDescent="0.3">
      <c r="A27" t="s">
        <v>39</v>
      </c>
      <c r="B27" t="s">
        <v>40</v>
      </c>
      <c r="C27" t="s">
        <v>56</v>
      </c>
      <c r="D27" t="s">
        <v>114</v>
      </c>
      <c r="E27" t="s">
        <v>81</v>
      </c>
      <c r="F27" t="s">
        <v>115</v>
      </c>
      <c r="G27" t="s">
        <v>60</v>
      </c>
      <c r="H27" t="s">
        <v>50</v>
      </c>
      <c r="J27" t="s">
        <v>61</v>
      </c>
      <c r="K27" t="s">
        <v>62</v>
      </c>
      <c r="L27" t="s">
        <v>46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53</v>
      </c>
      <c r="S27">
        <v>3</v>
      </c>
      <c r="T27" t="s">
        <v>52</v>
      </c>
      <c r="U27">
        <v>4</v>
      </c>
      <c r="V27">
        <v>4</v>
      </c>
      <c r="W27" t="s">
        <v>78</v>
      </c>
      <c r="X27">
        <v>44</v>
      </c>
      <c r="Y27" t="s">
        <v>74</v>
      </c>
      <c r="Z27">
        <v>6</v>
      </c>
      <c r="AA27">
        <v>1</v>
      </c>
      <c r="AB27">
        <v>1</v>
      </c>
      <c r="AC27">
        <f t="shared" si="0"/>
        <v>1</v>
      </c>
      <c r="AD27">
        <v>5</v>
      </c>
      <c r="AE27">
        <v>2</v>
      </c>
      <c r="AF27">
        <v>2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2</v>
      </c>
      <c r="AM27">
        <v>6</v>
      </c>
    </row>
    <row r="28" spans="1:39" x14ac:dyDescent="0.3">
      <c r="A28" t="s">
        <v>67</v>
      </c>
      <c r="B28" t="s">
        <v>95</v>
      </c>
      <c r="C28" t="s">
        <v>75</v>
      </c>
      <c r="D28" t="s">
        <v>80</v>
      </c>
      <c r="E28" t="s">
        <v>95</v>
      </c>
      <c r="F28" t="s">
        <v>104</v>
      </c>
      <c r="G28" t="s">
        <v>108</v>
      </c>
      <c r="H28" t="s">
        <v>50</v>
      </c>
      <c r="J28" t="s">
        <v>61</v>
      </c>
      <c r="K28" t="s">
        <v>62</v>
      </c>
      <c r="L28" t="s">
        <v>46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53</v>
      </c>
      <c r="S28">
        <v>4</v>
      </c>
      <c r="T28" t="s">
        <v>64</v>
      </c>
      <c r="U28">
        <v>3</v>
      </c>
      <c r="V28">
        <v>4</v>
      </c>
      <c r="W28" t="s">
        <v>63</v>
      </c>
      <c r="X28">
        <v>139</v>
      </c>
      <c r="Y28" t="s">
        <v>85</v>
      </c>
      <c r="Z28">
        <v>7</v>
      </c>
      <c r="AA28">
        <v>1</v>
      </c>
      <c r="AB28">
        <v>1</v>
      </c>
      <c r="AC28">
        <f t="shared" si="0"/>
        <v>1</v>
      </c>
      <c r="AD28">
        <v>5</v>
      </c>
      <c r="AE28">
        <v>5</v>
      </c>
      <c r="AF28">
        <v>4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2</v>
      </c>
      <c r="AM28">
        <v>6</v>
      </c>
    </row>
    <row r="29" spans="1:39" x14ac:dyDescent="0.3">
      <c r="A29" t="s">
        <v>67</v>
      </c>
      <c r="B29" t="s">
        <v>40</v>
      </c>
      <c r="C29" t="s">
        <v>75</v>
      </c>
      <c r="D29" t="s">
        <v>57</v>
      </c>
      <c r="E29" t="s">
        <v>58</v>
      </c>
      <c r="F29" t="s">
        <v>47</v>
      </c>
      <c r="G29" t="s">
        <v>108</v>
      </c>
      <c r="H29" t="s">
        <v>46</v>
      </c>
      <c r="I29" t="s">
        <v>47</v>
      </c>
      <c r="J29" t="s">
        <v>102</v>
      </c>
      <c r="K29" t="s">
        <v>106</v>
      </c>
      <c r="L29" t="s">
        <v>50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63</v>
      </c>
      <c r="S29">
        <v>5</v>
      </c>
      <c r="T29" t="s">
        <v>79</v>
      </c>
      <c r="U29">
        <v>2</v>
      </c>
      <c r="V29">
        <v>3</v>
      </c>
      <c r="W29" t="s">
        <v>63</v>
      </c>
      <c r="X29">
        <v>179</v>
      </c>
      <c r="Y29" t="s">
        <v>85</v>
      </c>
      <c r="Z29">
        <v>7</v>
      </c>
      <c r="AA29">
        <v>2</v>
      </c>
      <c r="AB29">
        <v>4</v>
      </c>
      <c r="AC29">
        <f t="shared" si="0"/>
        <v>0</v>
      </c>
      <c r="AD29">
        <v>4</v>
      </c>
      <c r="AE29">
        <v>3</v>
      </c>
      <c r="AF29">
        <v>4</v>
      </c>
      <c r="AG29">
        <v>1</v>
      </c>
      <c r="AH29">
        <v>2</v>
      </c>
      <c r="AI29">
        <v>1</v>
      </c>
      <c r="AJ29">
        <v>1</v>
      </c>
      <c r="AK29">
        <v>1</v>
      </c>
      <c r="AL29">
        <v>1</v>
      </c>
      <c r="AM29">
        <v>6</v>
      </c>
    </row>
    <row r="30" spans="1:39" x14ac:dyDescent="0.3">
      <c r="A30" t="s">
        <v>67</v>
      </c>
      <c r="B30" t="s">
        <v>68</v>
      </c>
      <c r="C30" t="s">
        <v>56</v>
      </c>
      <c r="D30" t="s">
        <v>57</v>
      </c>
      <c r="E30" t="s">
        <v>43</v>
      </c>
      <c r="F30" t="s">
        <v>71</v>
      </c>
      <c r="G30" t="s">
        <v>60</v>
      </c>
      <c r="H30" t="s">
        <v>46</v>
      </c>
      <c r="I30" t="s">
        <v>71</v>
      </c>
      <c r="J30" t="s">
        <v>61</v>
      </c>
      <c r="K30" t="s">
        <v>49</v>
      </c>
      <c r="L30" t="s">
        <v>46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78</v>
      </c>
      <c r="S30">
        <v>4</v>
      </c>
      <c r="T30" t="s">
        <v>73</v>
      </c>
      <c r="U30">
        <v>3</v>
      </c>
      <c r="V30">
        <v>2</v>
      </c>
      <c r="W30" t="s">
        <v>65</v>
      </c>
      <c r="X30">
        <v>161</v>
      </c>
      <c r="Y30" t="s">
        <v>74</v>
      </c>
      <c r="Z30">
        <v>6</v>
      </c>
      <c r="AA30">
        <v>2</v>
      </c>
      <c r="AB30">
        <v>1</v>
      </c>
      <c r="AC30">
        <f t="shared" si="0"/>
        <v>1</v>
      </c>
      <c r="AD30">
        <v>2</v>
      </c>
      <c r="AE30">
        <v>4</v>
      </c>
      <c r="AF30">
        <v>3</v>
      </c>
      <c r="AG30">
        <v>2</v>
      </c>
      <c r="AH30">
        <v>1</v>
      </c>
      <c r="AI30">
        <v>2</v>
      </c>
      <c r="AJ30">
        <v>1</v>
      </c>
      <c r="AK30">
        <v>2</v>
      </c>
      <c r="AL30">
        <v>2</v>
      </c>
      <c r="AM30">
        <v>8</v>
      </c>
    </row>
    <row r="31" spans="1:39" x14ac:dyDescent="0.3">
      <c r="A31" t="s">
        <v>116</v>
      </c>
      <c r="B31" t="s">
        <v>40</v>
      </c>
      <c r="C31" t="s">
        <v>75</v>
      </c>
      <c r="D31" t="s">
        <v>42</v>
      </c>
      <c r="E31" t="s">
        <v>43</v>
      </c>
      <c r="F31" t="s">
        <v>82</v>
      </c>
      <c r="G31" t="s">
        <v>108</v>
      </c>
      <c r="H31" t="s">
        <v>46</v>
      </c>
      <c r="I31" t="s">
        <v>98</v>
      </c>
      <c r="J31" t="s">
        <v>61</v>
      </c>
      <c r="K31" t="s">
        <v>117</v>
      </c>
      <c r="L31" t="s">
        <v>50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53</v>
      </c>
      <c r="S31">
        <v>2</v>
      </c>
      <c r="T31" t="s">
        <v>103</v>
      </c>
      <c r="U31">
        <v>4</v>
      </c>
      <c r="V31">
        <v>4</v>
      </c>
      <c r="W31" t="s">
        <v>51</v>
      </c>
      <c r="X31">
        <v>71</v>
      </c>
      <c r="Y31" t="s">
        <v>85</v>
      </c>
      <c r="Z31">
        <v>7</v>
      </c>
      <c r="AA31">
        <v>2</v>
      </c>
      <c r="AB31">
        <v>1</v>
      </c>
      <c r="AC31">
        <f t="shared" si="0"/>
        <v>0</v>
      </c>
      <c r="AD31">
        <v>5</v>
      </c>
      <c r="AE31">
        <v>1</v>
      </c>
      <c r="AF31">
        <v>1</v>
      </c>
      <c r="AG31">
        <v>1</v>
      </c>
      <c r="AH31">
        <v>2</v>
      </c>
      <c r="AI31">
        <v>1</v>
      </c>
      <c r="AJ31">
        <v>2</v>
      </c>
      <c r="AK31">
        <v>2</v>
      </c>
      <c r="AL31">
        <v>1</v>
      </c>
      <c r="AM31">
        <v>8</v>
      </c>
    </row>
    <row r="32" spans="1:39" x14ac:dyDescent="0.3">
      <c r="A32" t="s">
        <v>116</v>
      </c>
      <c r="B32" t="s">
        <v>68</v>
      </c>
      <c r="C32" t="s">
        <v>56</v>
      </c>
      <c r="D32" t="s">
        <v>42</v>
      </c>
      <c r="E32" t="s">
        <v>58</v>
      </c>
      <c r="F32" t="s">
        <v>118</v>
      </c>
      <c r="G32" t="s">
        <v>119</v>
      </c>
      <c r="H32" t="s">
        <v>50</v>
      </c>
      <c r="J32" t="s">
        <v>61</v>
      </c>
      <c r="K32" t="s">
        <v>62</v>
      </c>
      <c r="L32" t="s">
        <v>46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63</v>
      </c>
      <c r="S32">
        <v>3</v>
      </c>
      <c r="T32" t="s">
        <v>79</v>
      </c>
      <c r="U32">
        <v>4</v>
      </c>
      <c r="V32">
        <v>4</v>
      </c>
      <c r="W32" t="s">
        <v>78</v>
      </c>
      <c r="X32">
        <v>17</v>
      </c>
      <c r="Y32" t="s">
        <v>74</v>
      </c>
      <c r="Z32">
        <v>4</v>
      </c>
      <c r="AA32">
        <v>1</v>
      </c>
      <c r="AB32">
        <v>1</v>
      </c>
      <c r="AC32">
        <f t="shared" si="0"/>
        <v>1</v>
      </c>
      <c r="AD32">
        <v>4</v>
      </c>
      <c r="AE32">
        <v>3</v>
      </c>
      <c r="AF32">
        <v>2</v>
      </c>
      <c r="AG32">
        <v>2</v>
      </c>
      <c r="AH32">
        <v>1</v>
      </c>
      <c r="AI32">
        <v>1</v>
      </c>
      <c r="AJ32">
        <v>1</v>
      </c>
      <c r="AK32">
        <v>1</v>
      </c>
      <c r="AL32">
        <v>2</v>
      </c>
      <c r="AM32">
        <v>6</v>
      </c>
    </row>
    <row r="33" spans="1:39" x14ac:dyDescent="0.3">
      <c r="A33" t="s">
        <v>67</v>
      </c>
      <c r="B33" t="s">
        <v>40</v>
      </c>
      <c r="C33" t="s">
        <v>75</v>
      </c>
      <c r="D33" t="s">
        <v>57</v>
      </c>
      <c r="E33" t="s">
        <v>58</v>
      </c>
      <c r="F33" t="s">
        <v>120</v>
      </c>
      <c r="G33" t="s">
        <v>108</v>
      </c>
      <c r="H33" t="s">
        <v>50</v>
      </c>
      <c r="J33" t="s">
        <v>61</v>
      </c>
      <c r="K33" t="s">
        <v>62</v>
      </c>
      <c r="L33" t="s">
        <v>50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63</v>
      </c>
      <c r="S33">
        <v>2</v>
      </c>
      <c r="T33" t="s">
        <v>73</v>
      </c>
      <c r="U33">
        <v>5</v>
      </c>
      <c r="V33">
        <v>5</v>
      </c>
      <c r="W33" t="s">
        <v>53</v>
      </c>
      <c r="X33">
        <v>133</v>
      </c>
      <c r="Y33" t="s">
        <v>66</v>
      </c>
      <c r="Z33">
        <v>7</v>
      </c>
      <c r="AA33">
        <v>1</v>
      </c>
      <c r="AB33">
        <v>1</v>
      </c>
      <c r="AC33">
        <f t="shared" si="0"/>
        <v>0</v>
      </c>
      <c r="AD33">
        <v>4</v>
      </c>
      <c r="AE33">
        <v>4</v>
      </c>
      <c r="AF33">
        <v>5</v>
      </c>
      <c r="AG33">
        <v>4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6</v>
      </c>
    </row>
    <row r="34" spans="1:39" x14ac:dyDescent="0.3">
      <c r="A34" t="s">
        <v>39</v>
      </c>
      <c r="B34" t="s">
        <v>40</v>
      </c>
      <c r="C34" t="s">
        <v>56</v>
      </c>
      <c r="D34" t="s">
        <v>42</v>
      </c>
      <c r="E34" t="s">
        <v>43</v>
      </c>
      <c r="F34" t="s">
        <v>91</v>
      </c>
      <c r="G34" t="s">
        <v>60</v>
      </c>
      <c r="H34" t="s">
        <v>46</v>
      </c>
      <c r="I34" t="s">
        <v>98</v>
      </c>
      <c r="J34" t="s">
        <v>76</v>
      </c>
      <c r="K34" t="s">
        <v>121</v>
      </c>
      <c r="L34" t="s">
        <v>50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63</v>
      </c>
      <c r="S34">
        <v>3</v>
      </c>
      <c r="T34" t="s">
        <v>79</v>
      </c>
      <c r="U34">
        <v>3</v>
      </c>
      <c r="V34">
        <v>3</v>
      </c>
      <c r="W34" t="s">
        <v>53</v>
      </c>
      <c r="X34">
        <v>146</v>
      </c>
      <c r="Y34" t="s">
        <v>66</v>
      </c>
      <c r="Z34">
        <v>6</v>
      </c>
      <c r="AA34">
        <v>2</v>
      </c>
      <c r="AB34">
        <v>3</v>
      </c>
      <c r="AC34">
        <f t="shared" si="0"/>
        <v>0</v>
      </c>
      <c r="AD34">
        <v>4</v>
      </c>
      <c r="AE34">
        <v>3</v>
      </c>
      <c r="AF34">
        <v>5</v>
      </c>
      <c r="AG34">
        <v>4</v>
      </c>
      <c r="AH34">
        <v>1</v>
      </c>
      <c r="AI34">
        <v>2</v>
      </c>
      <c r="AJ34">
        <v>2</v>
      </c>
      <c r="AK34">
        <v>1</v>
      </c>
      <c r="AL34">
        <v>1</v>
      </c>
      <c r="AM34">
        <v>7</v>
      </c>
    </row>
    <row r="35" spans="1:39" x14ac:dyDescent="0.3">
      <c r="A35" t="s">
        <v>67</v>
      </c>
      <c r="B35" t="s">
        <v>40</v>
      </c>
      <c r="C35" t="s">
        <v>56</v>
      </c>
      <c r="D35" t="s">
        <v>57</v>
      </c>
      <c r="E35" t="s">
        <v>58</v>
      </c>
      <c r="F35" t="s">
        <v>71</v>
      </c>
      <c r="G35" t="s">
        <v>45</v>
      </c>
      <c r="H35" t="s">
        <v>50</v>
      </c>
      <c r="J35" t="s">
        <v>61</v>
      </c>
      <c r="K35" t="s">
        <v>62</v>
      </c>
      <c r="L35" t="s">
        <v>46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78</v>
      </c>
      <c r="S35">
        <v>3</v>
      </c>
      <c r="T35" t="s">
        <v>103</v>
      </c>
      <c r="U35">
        <v>4</v>
      </c>
      <c r="V35">
        <v>4</v>
      </c>
      <c r="W35" t="s">
        <v>53</v>
      </c>
      <c r="X35">
        <v>160</v>
      </c>
      <c r="Y35" t="s">
        <v>74</v>
      </c>
      <c r="Z35">
        <v>5</v>
      </c>
      <c r="AA35">
        <v>1</v>
      </c>
      <c r="AB35">
        <v>1</v>
      </c>
      <c r="AC35">
        <f t="shared" si="0"/>
        <v>1</v>
      </c>
      <c r="AD35">
        <v>2</v>
      </c>
      <c r="AE35">
        <v>1</v>
      </c>
      <c r="AF35">
        <v>5</v>
      </c>
      <c r="AG35">
        <v>2</v>
      </c>
      <c r="AH35">
        <v>1</v>
      </c>
      <c r="AI35">
        <v>1</v>
      </c>
      <c r="AJ35">
        <v>1</v>
      </c>
      <c r="AK35">
        <v>1</v>
      </c>
      <c r="AL35">
        <v>2</v>
      </c>
      <c r="AM35">
        <v>6</v>
      </c>
    </row>
    <row r="36" spans="1:39" x14ac:dyDescent="0.3">
      <c r="A36" t="s">
        <v>39</v>
      </c>
      <c r="B36" t="s">
        <v>40</v>
      </c>
      <c r="C36" t="s">
        <v>75</v>
      </c>
      <c r="D36" t="s">
        <v>42</v>
      </c>
      <c r="E36" t="s">
        <v>69</v>
      </c>
      <c r="F36" t="s">
        <v>98</v>
      </c>
      <c r="G36" t="s">
        <v>60</v>
      </c>
      <c r="H36" t="s">
        <v>50</v>
      </c>
      <c r="J36" t="s">
        <v>61</v>
      </c>
      <c r="K36" t="s">
        <v>62</v>
      </c>
      <c r="L36" t="s">
        <v>50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63</v>
      </c>
      <c r="S36">
        <v>4</v>
      </c>
      <c r="T36" t="s">
        <v>73</v>
      </c>
      <c r="U36">
        <v>3</v>
      </c>
      <c r="V36">
        <v>3</v>
      </c>
      <c r="W36" t="s">
        <v>63</v>
      </c>
      <c r="X36">
        <v>105</v>
      </c>
      <c r="Y36" t="s">
        <v>74</v>
      </c>
      <c r="Z36">
        <v>6</v>
      </c>
      <c r="AA36">
        <v>1</v>
      </c>
      <c r="AB36">
        <v>1</v>
      </c>
      <c r="AC36">
        <f t="shared" si="0"/>
        <v>0</v>
      </c>
      <c r="AD36">
        <v>4</v>
      </c>
      <c r="AE36">
        <v>4</v>
      </c>
      <c r="AF36">
        <v>4</v>
      </c>
      <c r="AG36">
        <v>2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6</v>
      </c>
    </row>
    <row r="37" spans="1:39" x14ac:dyDescent="0.3">
      <c r="A37" t="s">
        <v>67</v>
      </c>
      <c r="B37" t="s">
        <v>40</v>
      </c>
      <c r="C37" t="s">
        <v>56</v>
      </c>
      <c r="D37" t="s">
        <v>42</v>
      </c>
      <c r="E37" t="s">
        <v>89</v>
      </c>
      <c r="F37" t="s">
        <v>122</v>
      </c>
      <c r="G37" t="s">
        <v>60</v>
      </c>
      <c r="H37" t="s">
        <v>46</v>
      </c>
      <c r="I37" t="s">
        <v>98</v>
      </c>
      <c r="J37" t="s">
        <v>48</v>
      </c>
      <c r="K37" t="s">
        <v>62</v>
      </c>
      <c r="L37" t="s">
        <v>50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53</v>
      </c>
      <c r="S37">
        <v>4</v>
      </c>
      <c r="T37" t="s">
        <v>79</v>
      </c>
      <c r="U37">
        <v>3</v>
      </c>
      <c r="V37">
        <v>3</v>
      </c>
      <c r="W37" t="s">
        <v>65</v>
      </c>
      <c r="X37">
        <v>58</v>
      </c>
      <c r="Y37" t="s">
        <v>74</v>
      </c>
      <c r="Z37">
        <v>6</v>
      </c>
      <c r="AA37">
        <v>2</v>
      </c>
      <c r="AB37">
        <v>5</v>
      </c>
      <c r="AC37">
        <f t="shared" si="0"/>
        <v>0</v>
      </c>
      <c r="AD37">
        <v>5</v>
      </c>
      <c r="AE37">
        <v>3</v>
      </c>
      <c r="AF37">
        <v>3</v>
      </c>
      <c r="AG37">
        <v>2</v>
      </c>
      <c r="AH37">
        <v>1</v>
      </c>
      <c r="AI37">
        <v>1</v>
      </c>
      <c r="AJ37">
        <v>1</v>
      </c>
      <c r="AK37">
        <v>1</v>
      </c>
      <c r="AL37">
        <v>2</v>
      </c>
      <c r="AM37">
        <v>6</v>
      </c>
    </row>
    <row r="38" spans="1:39" x14ac:dyDescent="0.3">
      <c r="A38" t="s">
        <v>67</v>
      </c>
      <c r="B38" t="s">
        <v>40</v>
      </c>
      <c r="C38" t="s">
        <v>41</v>
      </c>
      <c r="D38" t="s">
        <v>57</v>
      </c>
      <c r="E38" t="s">
        <v>69</v>
      </c>
      <c r="F38" t="s">
        <v>122</v>
      </c>
      <c r="G38" t="s">
        <v>112</v>
      </c>
      <c r="H38" t="s">
        <v>50</v>
      </c>
      <c r="J38" t="s">
        <v>61</v>
      </c>
      <c r="K38" t="s">
        <v>62</v>
      </c>
      <c r="L38" t="s">
        <v>50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78</v>
      </c>
      <c r="S38">
        <v>3</v>
      </c>
      <c r="T38" t="s">
        <v>52</v>
      </c>
      <c r="U38">
        <v>3</v>
      </c>
      <c r="V38">
        <v>3</v>
      </c>
      <c r="W38" t="s">
        <v>51</v>
      </c>
      <c r="X38">
        <v>23</v>
      </c>
      <c r="Y38" t="s">
        <v>54</v>
      </c>
      <c r="Z38">
        <v>1</v>
      </c>
      <c r="AA38">
        <v>1</v>
      </c>
      <c r="AB38">
        <v>1</v>
      </c>
      <c r="AC38">
        <f t="shared" si="0"/>
        <v>0</v>
      </c>
      <c r="AD38">
        <v>2</v>
      </c>
      <c r="AE38">
        <v>2</v>
      </c>
      <c r="AF38">
        <v>1</v>
      </c>
      <c r="AG38">
        <v>3</v>
      </c>
      <c r="AH38">
        <v>1</v>
      </c>
      <c r="AI38">
        <v>1</v>
      </c>
      <c r="AJ38">
        <v>1</v>
      </c>
      <c r="AK38">
        <v>1</v>
      </c>
      <c r="AL38">
        <v>2</v>
      </c>
      <c r="AM38">
        <v>6</v>
      </c>
    </row>
    <row r="39" spans="1:39" x14ac:dyDescent="0.3">
      <c r="A39" t="s">
        <v>67</v>
      </c>
      <c r="B39" t="s">
        <v>95</v>
      </c>
      <c r="C39" t="s">
        <v>56</v>
      </c>
      <c r="D39" t="s">
        <v>57</v>
      </c>
      <c r="E39" t="s">
        <v>58</v>
      </c>
      <c r="F39" t="s">
        <v>59</v>
      </c>
      <c r="G39" t="s">
        <v>60</v>
      </c>
      <c r="H39" t="s">
        <v>50</v>
      </c>
      <c r="J39" t="s">
        <v>61</v>
      </c>
      <c r="K39" t="s">
        <v>62</v>
      </c>
      <c r="L39" t="s">
        <v>46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51</v>
      </c>
      <c r="S39">
        <v>4</v>
      </c>
      <c r="T39" t="s">
        <v>73</v>
      </c>
      <c r="U39">
        <v>4</v>
      </c>
      <c r="V39">
        <v>3</v>
      </c>
      <c r="W39" t="s">
        <v>53</v>
      </c>
      <c r="X39">
        <v>92</v>
      </c>
      <c r="Y39" t="s">
        <v>66</v>
      </c>
      <c r="Z39">
        <v>6</v>
      </c>
      <c r="AA39">
        <v>1</v>
      </c>
      <c r="AB39">
        <v>1</v>
      </c>
      <c r="AC39">
        <f t="shared" si="0"/>
        <v>1</v>
      </c>
      <c r="AD39">
        <v>1</v>
      </c>
      <c r="AE39">
        <v>4</v>
      </c>
      <c r="AF39">
        <v>5</v>
      </c>
      <c r="AG39">
        <v>4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6</v>
      </c>
    </row>
    <row r="40" spans="1:39" x14ac:dyDescent="0.3">
      <c r="A40" t="s">
        <v>39</v>
      </c>
      <c r="B40" t="s">
        <v>95</v>
      </c>
      <c r="C40" t="s">
        <v>56</v>
      </c>
      <c r="D40" t="s">
        <v>42</v>
      </c>
      <c r="E40" t="s">
        <v>58</v>
      </c>
      <c r="F40" t="s">
        <v>120</v>
      </c>
      <c r="G40" t="s">
        <v>45</v>
      </c>
      <c r="H40" t="s">
        <v>50</v>
      </c>
      <c r="J40" t="s">
        <v>61</v>
      </c>
      <c r="K40" t="s">
        <v>62</v>
      </c>
      <c r="L40" t="s">
        <v>50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53</v>
      </c>
      <c r="S40">
        <v>3</v>
      </c>
      <c r="T40" t="s">
        <v>79</v>
      </c>
      <c r="U40">
        <v>4</v>
      </c>
      <c r="V40">
        <v>4</v>
      </c>
      <c r="W40" t="s">
        <v>53</v>
      </c>
      <c r="X40">
        <v>99</v>
      </c>
      <c r="Y40" t="s">
        <v>74</v>
      </c>
      <c r="Z40">
        <v>5</v>
      </c>
      <c r="AA40">
        <v>1</v>
      </c>
      <c r="AB40">
        <v>1</v>
      </c>
      <c r="AC40">
        <f t="shared" si="0"/>
        <v>0</v>
      </c>
      <c r="AD40">
        <v>5</v>
      </c>
      <c r="AE40">
        <v>3</v>
      </c>
      <c r="AF40">
        <v>5</v>
      </c>
      <c r="AG40">
        <v>2</v>
      </c>
      <c r="AH40">
        <v>1</v>
      </c>
      <c r="AI40">
        <v>1</v>
      </c>
      <c r="AJ40">
        <v>1</v>
      </c>
      <c r="AK40">
        <v>1</v>
      </c>
      <c r="AL40">
        <v>2</v>
      </c>
      <c r="AM40">
        <v>6</v>
      </c>
    </row>
    <row r="41" spans="1:39" x14ac:dyDescent="0.3">
      <c r="A41" t="s">
        <v>39</v>
      </c>
      <c r="B41" t="s">
        <v>68</v>
      </c>
      <c r="C41" t="s">
        <v>56</v>
      </c>
      <c r="D41" t="s">
        <v>42</v>
      </c>
      <c r="E41" t="s">
        <v>43</v>
      </c>
      <c r="F41" t="s">
        <v>115</v>
      </c>
      <c r="G41" t="s">
        <v>92</v>
      </c>
      <c r="H41" t="s">
        <v>46</v>
      </c>
      <c r="I41" t="s">
        <v>98</v>
      </c>
      <c r="J41" t="s">
        <v>99</v>
      </c>
      <c r="K41" t="s">
        <v>123</v>
      </c>
      <c r="L41" t="s">
        <v>46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78</v>
      </c>
      <c r="S41">
        <v>4</v>
      </c>
      <c r="T41" t="s">
        <v>79</v>
      </c>
      <c r="U41">
        <v>2</v>
      </c>
      <c r="V41">
        <v>2</v>
      </c>
      <c r="W41" t="s">
        <v>65</v>
      </c>
      <c r="X41">
        <v>127</v>
      </c>
      <c r="Y41" t="s">
        <v>66</v>
      </c>
      <c r="Z41">
        <v>2</v>
      </c>
      <c r="AA41">
        <v>2</v>
      </c>
      <c r="AB41">
        <v>2</v>
      </c>
      <c r="AC41">
        <f t="shared" si="0"/>
        <v>1</v>
      </c>
      <c r="AD41">
        <v>2</v>
      </c>
      <c r="AE41">
        <v>3</v>
      </c>
      <c r="AF41">
        <v>3</v>
      </c>
      <c r="AG41">
        <v>4</v>
      </c>
      <c r="AH41">
        <v>1</v>
      </c>
      <c r="AI41">
        <v>1</v>
      </c>
      <c r="AJ41">
        <v>2</v>
      </c>
      <c r="AK41">
        <v>2</v>
      </c>
      <c r="AL41">
        <v>1</v>
      </c>
      <c r="AM41">
        <v>7</v>
      </c>
    </row>
    <row r="42" spans="1:39" x14ac:dyDescent="0.3">
      <c r="A42" t="s">
        <v>67</v>
      </c>
      <c r="B42" t="s">
        <v>68</v>
      </c>
      <c r="C42" t="s">
        <v>56</v>
      </c>
      <c r="D42" t="s">
        <v>42</v>
      </c>
      <c r="E42" t="s">
        <v>58</v>
      </c>
      <c r="F42" t="s">
        <v>93</v>
      </c>
      <c r="G42" t="s">
        <v>101</v>
      </c>
      <c r="H42" t="s">
        <v>50</v>
      </c>
      <c r="J42" t="s">
        <v>61</v>
      </c>
      <c r="K42" t="s">
        <v>62</v>
      </c>
      <c r="L42" t="s">
        <v>50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53</v>
      </c>
      <c r="S42">
        <v>3</v>
      </c>
      <c r="T42" t="s">
        <v>73</v>
      </c>
      <c r="U42">
        <v>4</v>
      </c>
      <c r="V42">
        <v>4</v>
      </c>
      <c r="W42" t="s">
        <v>78</v>
      </c>
      <c r="X42">
        <v>77</v>
      </c>
      <c r="Y42" t="s">
        <v>74</v>
      </c>
      <c r="Z42">
        <v>3</v>
      </c>
      <c r="AA42">
        <v>1</v>
      </c>
      <c r="AB42">
        <v>1</v>
      </c>
      <c r="AC42">
        <f t="shared" si="0"/>
        <v>0</v>
      </c>
      <c r="AD42">
        <v>5</v>
      </c>
      <c r="AE42">
        <v>4</v>
      </c>
      <c r="AF42">
        <v>2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2</v>
      </c>
      <c r="AM42">
        <v>6</v>
      </c>
    </row>
    <row r="43" spans="1:39" x14ac:dyDescent="0.3">
      <c r="A43" t="s">
        <v>67</v>
      </c>
      <c r="B43" t="s">
        <v>40</v>
      </c>
      <c r="C43" t="s">
        <v>75</v>
      </c>
      <c r="D43" t="s">
        <v>80</v>
      </c>
      <c r="E43" t="s">
        <v>43</v>
      </c>
      <c r="F43" t="s">
        <v>104</v>
      </c>
      <c r="G43" t="s">
        <v>112</v>
      </c>
      <c r="H43" t="s">
        <v>46</v>
      </c>
      <c r="I43" t="s">
        <v>71</v>
      </c>
      <c r="J43" t="s">
        <v>61</v>
      </c>
      <c r="K43" t="s">
        <v>124</v>
      </c>
      <c r="L43" t="s">
        <v>46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53</v>
      </c>
      <c r="S43">
        <v>1</v>
      </c>
      <c r="T43" t="s">
        <v>73</v>
      </c>
      <c r="U43">
        <v>5</v>
      </c>
      <c r="V43">
        <v>4</v>
      </c>
      <c r="W43" t="s">
        <v>63</v>
      </c>
      <c r="X43">
        <v>137</v>
      </c>
      <c r="Y43" t="s">
        <v>54</v>
      </c>
      <c r="Z43">
        <v>1</v>
      </c>
      <c r="AA43">
        <v>2</v>
      </c>
      <c r="AB43">
        <v>1</v>
      </c>
      <c r="AC43">
        <f t="shared" si="0"/>
        <v>1</v>
      </c>
      <c r="AD43">
        <v>5</v>
      </c>
      <c r="AE43">
        <v>4</v>
      </c>
      <c r="AF43">
        <v>4</v>
      </c>
      <c r="AG43">
        <v>3</v>
      </c>
      <c r="AH43">
        <v>1</v>
      </c>
      <c r="AI43">
        <v>1</v>
      </c>
      <c r="AJ43">
        <v>2</v>
      </c>
      <c r="AK43">
        <v>1</v>
      </c>
      <c r="AL43">
        <v>1</v>
      </c>
      <c r="AM43">
        <v>6</v>
      </c>
    </row>
    <row r="44" spans="1:39" x14ac:dyDescent="0.3">
      <c r="A44" t="s">
        <v>67</v>
      </c>
      <c r="B44" t="s">
        <v>68</v>
      </c>
      <c r="C44" t="s">
        <v>75</v>
      </c>
      <c r="D44" t="s">
        <v>114</v>
      </c>
      <c r="E44" t="s">
        <v>95</v>
      </c>
      <c r="F44" t="s">
        <v>71</v>
      </c>
      <c r="G44" t="s">
        <v>119</v>
      </c>
      <c r="H44" t="s">
        <v>50</v>
      </c>
      <c r="J44" t="s">
        <v>61</v>
      </c>
      <c r="K44" t="s">
        <v>62</v>
      </c>
      <c r="L44" t="s">
        <v>46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63</v>
      </c>
      <c r="S44">
        <v>3</v>
      </c>
      <c r="T44" t="s">
        <v>79</v>
      </c>
      <c r="U44">
        <v>5</v>
      </c>
      <c r="V44">
        <v>5</v>
      </c>
      <c r="W44" t="s">
        <v>65</v>
      </c>
      <c r="X44">
        <v>89</v>
      </c>
      <c r="Y44" t="s">
        <v>74</v>
      </c>
      <c r="Z44">
        <v>4</v>
      </c>
      <c r="AA44">
        <v>1</v>
      </c>
      <c r="AB44">
        <v>1</v>
      </c>
      <c r="AC44">
        <f t="shared" si="0"/>
        <v>1</v>
      </c>
      <c r="AD44">
        <v>4</v>
      </c>
      <c r="AE44">
        <v>3</v>
      </c>
      <c r="AF44">
        <v>3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2</v>
      </c>
      <c r="AM44">
        <v>6</v>
      </c>
    </row>
    <row r="45" spans="1:39" x14ac:dyDescent="0.3">
      <c r="A45" t="s">
        <v>116</v>
      </c>
      <c r="B45" t="s">
        <v>40</v>
      </c>
      <c r="C45" t="s">
        <v>41</v>
      </c>
      <c r="D45" t="s">
        <v>57</v>
      </c>
      <c r="E45" t="s">
        <v>43</v>
      </c>
      <c r="F45" t="s">
        <v>71</v>
      </c>
      <c r="G45" t="s">
        <v>108</v>
      </c>
      <c r="H45" t="s">
        <v>46</v>
      </c>
      <c r="I45" t="s">
        <v>71</v>
      </c>
      <c r="J45" t="s">
        <v>99</v>
      </c>
      <c r="K45" t="s">
        <v>125</v>
      </c>
      <c r="L45" t="s">
        <v>46</v>
      </c>
      <c r="M45">
        <v>4</v>
      </c>
      <c r="N45">
        <v>4</v>
      </c>
      <c r="O45">
        <v>4</v>
      </c>
      <c r="P45">
        <v>4</v>
      </c>
      <c r="Q45">
        <v>4</v>
      </c>
      <c r="R45" t="s">
        <v>65</v>
      </c>
      <c r="S45">
        <v>2</v>
      </c>
      <c r="T45" t="s">
        <v>64</v>
      </c>
      <c r="U45">
        <v>5</v>
      </c>
      <c r="V45">
        <v>4</v>
      </c>
      <c r="W45" t="s">
        <v>78</v>
      </c>
      <c r="X45">
        <v>46</v>
      </c>
      <c r="Y45" t="s">
        <v>66</v>
      </c>
      <c r="Z45">
        <v>7</v>
      </c>
      <c r="AA45">
        <v>2</v>
      </c>
      <c r="AB45">
        <v>2</v>
      </c>
      <c r="AC45">
        <f t="shared" si="0"/>
        <v>1</v>
      </c>
      <c r="AD45">
        <v>3</v>
      </c>
      <c r="AE45">
        <v>5</v>
      </c>
      <c r="AF45">
        <v>2</v>
      </c>
      <c r="AG45">
        <v>4</v>
      </c>
      <c r="AH45">
        <v>2</v>
      </c>
      <c r="AI45">
        <v>1</v>
      </c>
      <c r="AJ45">
        <v>2</v>
      </c>
      <c r="AK45">
        <v>1</v>
      </c>
      <c r="AL45">
        <v>2</v>
      </c>
      <c r="AM45">
        <v>8</v>
      </c>
    </row>
    <row r="46" spans="1:39" x14ac:dyDescent="0.3">
      <c r="A46" t="s">
        <v>67</v>
      </c>
      <c r="B46" t="s">
        <v>40</v>
      </c>
      <c r="C46" t="s">
        <v>56</v>
      </c>
      <c r="D46" t="s">
        <v>57</v>
      </c>
      <c r="E46" t="s">
        <v>81</v>
      </c>
      <c r="F46" t="s">
        <v>115</v>
      </c>
      <c r="G46" t="s">
        <v>101</v>
      </c>
      <c r="H46" t="s">
        <v>46</v>
      </c>
      <c r="I46" t="s">
        <v>71</v>
      </c>
      <c r="J46" t="s">
        <v>48</v>
      </c>
      <c r="K46" t="s">
        <v>126</v>
      </c>
      <c r="L46" t="s">
        <v>46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78</v>
      </c>
      <c r="S46">
        <v>4</v>
      </c>
      <c r="T46" t="s">
        <v>52</v>
      </c>
      <c r="U46">
        <v>3</v>
      </c>
      <c r="V46">
        <v>3</v>
      </c>
      <c r="W46" t="s">
        <v>78</v>
      </c>
      <c r="X46">
        <v>94</v>
      </c>
      <c r="Y46" t="s">
        <v>85</v>
      </c>
      <c r="Z46">
        <v>3</v>
      </c>
      <c r="AA46">
        <v>2</v>
      </c>
      <c r="AB46">
        <v>5</v>
      </c>
      <c r="AC46">
        <f t="shared" si="0"/>
        <v>1</v>
      </c>
      <c r="AD46">
        <v>2</v>
      </c>
      <c r="AE46">
        <v>2</v>
      </c>
      <c r="AF46">
        <v>2</v>
      </c>
      <c r="AG46">
        <v>1</v>
      </c>
      <c r="AH46">
        <v>2</v>
      </c>
      <c r="AI46">
        <v>1</v>
      </c>
      <c r="AJ46">
        <v>1</v>
      </c>
      <c r="AK46">
        <v>2</v>
      </c>
      <c r="AL46">
        <v>2</v>
      </c>
      <c r="AM46">
        <v>8</v>
      </c>
    </row>
    <row r="47" spans="1:39" x14ac:dyDescent="0.3">
      <c r="A47" t="s">
        <v>67</v>
      </c>
      <c r="B47" t="s">
        <v>68</v>
      </c>
      <c r="C47" t="s">
        <v>56</v>
      </c>
      <c r="D47" t="s">
        <v>57</v>
      </c>
      <c r="E47" t="s">
        <v>58</v>
      </c>
      <c r="G47" t="s">
        <v>45</v>
      </c>
      <c r="H47" t="s">
        <v>46</v>
      </c>
      <c r="I47" t="s">
        <v>71</v>
      </c>
      <c r="J47" t="s">
        <v>61</v>
      </c>
      <c r="K47" t="s">
        <v>124</v>
      </c>
      <c r="L47" t="s">
        <v>50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63</v>
      </c>
      <c r="S47">
        <v>2</v>
      </c>
      <c r="T47" t="s">
        <v>52</v>
      </c>
      <c r="U47">
        <v>4</v>
      </c>
      <c r="V47">
        <v>4</v>
      </c>
      <c r="W47" t="s">
        <v>51</v>
      </c>
      <c r="X47">
        <v>67</v>
      </c>
      <c r="Y47" t="s">
        <v>74</v>
      </c>
      <c r="Z47">
        <v>5</v>
      </c>
      <c r="AA47">
        <v>2</v>
      </c>
      <c r="AB47">
        <v>1</v>
      </c>
      <c r="AC47">
        <f t="shared" si="0"/>
        <v>0</v>
      </c>
      <c r="AD47">
        <v>4</v>
      </c>
      <c r="AE47">
        <v>2</v>
      </c>
      <c r="AF47">
        <v>1</v>
      </c>
      <c r="AG47">
        <v>2</v>
      </c>
      <c r="AH47">
        <v>1</v>
      </c>
      <c r="AI47">
        <v>1</v>
      </c>
      <c r="AJ47">
        <v>2</v>
      </c>
      <c r="AK47">
        <v>1</v>
      </c>
      <c r="AL47">
        <v>1</v>
      </c>
      <c r="AM47">
        <v>6</v>
      </c>
    </row>
    <row r="48" spans="1:39" x14ac:dyDescent="0.3">
      <c r="A48" t="s">
        <v>39</v>
      </c>
      <c r="B48" t="s">
        <v>40</v>
      </c>
      <c r="C48" t="s">
        <v>75</v>
      </c>
      <c r="D48" t="s">
        <v>57</v>
      </c>
      <c r="E48" t="s">
        <v>43</v>
      </c>
      <c r="F48" t="s">
        <v>47</v>
      </c>
      <c r="G48" t="s">
        <v>60</v>
      </c>
      <c r="H48" t="s">
        <v>46</v>
      </c>
      <c r="I48" t="s">
        <v>47</v>
      </c>
      <c r="J48" t="s">
        <v>102</v>
      </c>
      <c r="K48" t="s">
        <v>127</v>
      </c>
      <c r="L48" t="s">
        <v>50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51</v>
      </c>
      <c r="S48">
        <v>5</v>
      </c>
      <c r="T48" t="s">
        <v>73</v>
      </c>
      <c r="U48">
        <v>2</v>
      </c>
      <c r="V48">
        <v>2</v>
      </c>
      <c r="W48" t="s">
        <v>63</v>
      </c>
      <c r="X48">
        <v>201</v>
      </c>
      <c r="Y48" t="s">
        <v>66</v>
      </c>
      <c r="Z48">
        <v>6</v>
      </c>
      <c r="AA48">
        <v>2</v>
      </c>
      <c r="AB48">
        <v>4</v>
      </c>
      <c r="AC48">
        <f t="shared" si="0"/>
        <v>0</v>
      </c>
      <c r="AD48">
        <v>1</v>
      </c>
      <c r="AE48">
        <v>4</v>
      </c>
      <c r="AF48">
        <v>4</v>
      </c>
      <c r="AG48">
        <v>4</v>
      </c>
      <c r="AH48">
        <v>1</v>
      </c>
      <c r="AI48">
        <v>2</v>
      </c>
      <c r="AJ48">
        <v>1</v>
      </c>
      <c r="AK48">
        <v>1</v>
      </c>
      <c r="AL48">
        <v>1</v>
      </c>
      <c r="AM48">
        <v>6</v>
      </c>
    </row>
    <row r="49" spans="1:39" x14ac:dyDescent="0.3">
      <c r="A49" t="s">
        <v>116</v>
      </c>
      <c r="B49" t="s">
        <v>68</v>
      </c>
      <c r="C49" t="s">
        <v>41</v>
      </c>
      <c r="D49" t="s">
        <v>57</v>
      </c>
      <c r="E49" t="s">
        <v>58</v>
      </c>
      <c r="F49" t="s">
        <v>59</v>
      </c>
      <c r="G49" t="s">
        <v>101</v>
      </c>
      <c r="H49" t="s">
        <v>46</v>
      </c>
      <c r="I49" t="s">
        <v>71</v>
      </c>
      <c r="J49" t="s">
        <v>48</v>
      </c>
      <c r="K49" t="s">
        <v>124</v>
      </c>
      <c r="L49" t="s">
        <v>46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53</v>
      </c>
      <c r="S49">
        <v>3</v>
      </c>
      <c r="T49" t="s">
        <v>52</v>
      </c>
      <c r="U49">
        <v>4</v>
      </c>
      <c r="V49">
        <v>3</v>
      </c>
      <c r="W49" t="s">
        <v>65</v>
      </c>
      <c r="X49">
        <v>101</v>
      </c>
      <c r="Y49" t="s">
        <v>66</v>
      </c>
      <c r="Z49">
        <v>3</v>
      </c>
      <c r="AA49">
        <v>2</v>
      </c>
      <c r="AB49">
        <v>5</v>
      </c>
      <c r="AC49">
        <f t="shared" si="0"/>
        <v>1</v>
      </c>
      <c r="AD49">
        <v>5</v>
      </c>
      <c r="AE49">
        <v>2</v>
      </c>
      <c r="AF49">
        <v>3</v>
      </c>
      <c r="AG49">
        <v>4</v>
      </c>
      <c r="AH49">
        <v>1</v>
      </c>
      <c r="AI49">
        <v>1</v>
      </c>
      <c r="AJ49">
        <v>2</v>
      </c>
      <c r="AK49">
        <v>1</v>
      </c>
      <c r="AL49">
        <v>1</v>
      </c>
      <c r="AM49">
        <v>6</v>
      </c>
    </row>
    <row r="50" spans="1:39" x14ac:dyDescent="0.3">
      <c r="A50" t="s">
        <v>97</v>
      </c>
      <c r="B50" t="s">
        <v>40</v>
      </c>
      <c r="C50" t="s">
        <v>56</v>
      </c>
      <c r="D50" t="s">
        <v>57</v>
      </c>
      <c r="E50" t="s">
        <v>69</v>
      </c>
      <c r="F50" t="s">
        <v>107</v>
      </c>
      <c r="G50" t="s">
        <v>45</v>
      </c>
      <c r="H50" t="s">
        <v>46</v>
      </c>
      <c r="I50" t="s">
        <v>71</v>
      </c>
      <c r="J50" t="s">
        <v>61</v>
      </c>
      <c r="K50" t="s">
        <v>127</v>
      </c>
      <c r="L50" t="s">
        <v>46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63</v>
      </c>
      <c r="S50">
        <v>4</v>
      </c>
      <c r="T50" t="s">
        <v>103</v>
      </c>
      <c r="U50">
        <v>3</v>
      </c>
      <c r="V50">
        <v>3</v>
      </c>
      <c r="W50" t="s">
        <v>53</v>
      </c>
      <c r="X50">
        <v>206</v>
      </c>
      <c r="Y50" t="s">
        <v>74</v>
      </c>
      <c r="Z50">
        <v>5</v>
      </c>
      <c r="AA50">
        <v>2</v>
      </c>
      <c r="AB50">
        <v>1</v>
      </c>
      <c r="AC50">
        <f t="shared" si="0"/>
        <v>1</v>
      </c>
      <c r="AD50">
        <v>4</v>
      </c>
      <c r="AE50">
        <v>1</v>
      </c>
      <c r="AF50">
        <v>5</v>
      </c>
      <c r="AG50">
        <v>2</v>
      </c>
      <c r="AH50">
        <v>1</v>
      </c>
      <c r="AI50">
        <v>2</v>
      </c>
      <c r="AJ50">
        <v>1</v>
      </c>
      <c r="AK50">
        <v>1</v>
      </c>
      <c r="AL50">
        <v>1</v>
      </c>
      <c r="AM50">
        <v>6</v>
      </c>
    </row>
    <row r="51" spans="1:39" x14ac:dyDescent="0.3">
      <c r="A51" t="s">
        <v>97</v>
      </c>
      <c r="B51" t="s">
        <v>68</v>
      </c>
      <c r="C51" t="s">
        <v>56</v>
      </c>
      <c r="D51" t="s">
        <v>57</v>
      </c>
      <c r="E51" t="s">
        <v>69</v>
      </c>
      <c r="F51" t="s">
        <v>71</v>
      </c>
      <c r="G51" t="s">
        <v>119</v>
      </c>
      <c r="H51" t="s">
        <v>50</v>
      </c>
      <c r="J51" t="s">
        <v>61</v>
      </c>
      <c r="K51" t="s">
        <v>62</v>
      </c>
      <c r="L51" t="s">
        <v>46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63</v>
      </c>
      <c r="S51">
        <v>4</v>
      </c>
      <c r="T51" t="s">
        <v>73</v>
      </c>
      <c r="U51">
        <v>3</v>
      </c>
      <c r="V51">
        <v>3</v>
      </c>
      <c r="W51" t="s">
        <v>65</v>
      </c>
      <c r="X51">
        <v>108</v>
      </c>
      <c r="Y51" t="s">
        <v>83</v>
      </c>
      <c r="Z51">
        <v>4</v>
      </c>
      <c r="AA51">
        <v>1</v>
      </c>
      <c r="AB51">
        <v>1</v>
      </c>
      <c r="AC51">
        <f t="shared" si="0"/>
        <v>1</v>
      </c>
      <c r="AD51">
        <v>4</v>
      </c>
      <c r="AE51">
        <v>4</v>
      </c>
      <c r="AF51">
        <v>3</v>
      </c>
      <c r="AG51">
        <v>5</v>
      </c>
      <c r="AH51">
        <v>1</v>
      </c>
      <c r="AI51">
        <v>1</v>
      </c>
      <c r="AJ51">
        <v>1</v>
      </c>
      <c r="AK51">
        <v>1</v>
      </c>
      <c r="AL51">
        <v>2</v>
      </c>
      <c r="AM51">
        <v>6</v>
      </c>
    </row>
    <row r="52" spans="1:39" x14ac:dyDescent="0.3">
      <c r="A52" t="s">
        <v>109</v>
      </c>
      <c r="B52" t="s">
        <v>68</v>
      </c>
      <c r="C52" t="s">
        <v>56</v>
      </c>
      <c r="D52" t="s">
        <v>42</v>
      </c>
      <c r="E52" t="s">
        <v>89</v>
      </c>
      <c r="F52" t="s">
        <v>71</v>
      </c>
      <c r="G52" t="s">
        <v>101</v>
      </c>
      <c r="H52" t="s">
        <v>46</v>
      </c>
      <c r="I52" t="s">
        <v>71</v>
      </c>
      <c r="J52" t="s">
        <v>99</v>
      </c>
      <c r="K52" t="s">
        <v>105</v>
      </c>
      <c r="L52" t="s">
        <v>46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53</v>
      </c>
      <c r="S52">
        <v>2</v>
      </c>
      <c r="T52" t="s">
        <v>52</v>
      </c>
      <c r="U52">
        <v>4</v>
      </c>
      <c r="V52">
        <v>4</v>
      </c>
      <c r="W52" t="s">
        <v>65</v>
      </c>
      <c r="X52">
        <v>140</v>
      </c>
      <c r="Y52" t="s">
        <v>74</v>
      </c>
      <c r="Z52">
        <v>3</v>
      </c>
      <c r="AA52">
        <v>2</v>
      </c>
      <c r="AB52">
        <v>2</v>
      </c>
      <c r="AC52">
        <f t="shared" si="0"/>
        <v>1</v>
      </c>
      <c r="AD52">
        <v>5</v>
      </c>
      <c r="AE52">
        <v>2</v>
      </c>
      <c r="AF52">
        <v>3</v>
      </c>
      <c r="AG52">
        <v>2</v>
      </c>
      <c r="AH52">
        <v>1</v>
      </c>
      <c r="AI52">
        <v>1</v>
      </c>
      <c r="AJ52">
        <v>1</v>
      </c>
      <c r="AK52">
        <v>2</v>
      </c>
      <c r="AL52">
        <v>2</v>
      </c>
      <c r="AM52">
        <v>7</v>
      </c>
    </row>
    <row r="53" spans="1:39" x14ac:dyDescent="0.3">
      <c r="A53" t="s">
        <v>39</v>
      </c>
      <c r="B53" t="s">
        <v>40</v>
      </c>
      <c r="C53" t="s">
        <v>75</v>
      </c>
      <c r="D53" t="s">
        <v>57</v>
      </c>
      <c r="E53" t="s">
        <v>58</v>
      </c>
      <c r="F53" t="s">
        <v>115</v>
      </c>
      <c r="G53" t="s">
        <v>60</v>
      </c>
      <c r="H53" t="s">
        <v>46</v>
      </c>
      <c r="I53" t="s">
        <v>98</v>
      </c>
      <c r="J53" t="s">
        <v>48</v>
      </c>
      <c r="K53" t="s">
        <v>124</v>
      </c>
      <c r="L53" t="s">
        <v>46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63</v>
      </c>
      <c r="S53">
        <v>3</v>
      </c>
      <c r="T53" t="s">
        <v>64</v>
      </c>
      <c r="U53">
        <v>3</v>
      </c>
      <c r="V53">
        <v>3</v>
      </c>
      <c r="W53" t="s">
        <v>51</v>
      </c>
      <c r="X53">
        <v>57</v>
      </c>
      <c r="Y53" t="s">
        <v>54</v>
      </c>
      <c r="Z53">
        <v>6</v>
      </c>
      <c r="AA53">
        <v>2</v>
      </c>
      <c r="AB53">
        <v>5</v>
      </c>
      <c r="AC53">
        <f t="shared" si="0"/>
        <v>1</v>
      </c>
      <c r="AD53">
        <v>4</v>
      </c>
      <c r="AE53">
        <v>5</v>
      </c>
      <c r="AF53">
        <v>1</v>
      </c>
      <c r="AG53">
        <v>3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6</v>
      </c>
    </row>
    <row r="54" spans="1:39" x14ac:dyDescent="0.3">
      <c r="A54" t="s">
        <v>67</v>
      </c>
      <c r="B54" t="s">
        <v>68</v>
      </c>
      <c r="C54" t="s">
        <v>56</v>
      </c>
      <c r="D54" t="s">
        <v>128</v>
      </c>
      <c r="E54" t="s">
        <v>81</v>
      </c>
      <c r="F54" t="s">
        <v>71</v>
      </c>
      <c r="G54" t="s">
        <v>101</v>
      </c>
      <c r="H54" t="s">
        <v>46</v>
      </c>
      <c r="I54" t="s">
        <v>71</v>
      </c>
      <c r="J54" t="s">
        <v>99</v>
      </c>
      <c r="K54" t="s">
        <v>62</v>
      </c>
      <c r="L54" t="s">
        <v>46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63</v>
      </c>
      <c r="S54">
        <v>3</v>
      </c>
      <c r="T54" t="s">
        <v>103</v>
      </c>
      <c r="U54">
        <v>4</v>
      </c>
      <c r="V54">
        <v>3</v>
      </c>
      <c r="W54" t="s">
        <v>78</v>
      </c>
      <c r="X54">
        <v>11</v>
      </c>
      <c r="Y54" t="s">
        <v>83</v>
      </c>
      <c r="Z54">
        <v>3</v>
      </c>
      <c r="AA54">
        <v>2</v>
      </c>
      <c r="AB54">
        <v>2</v>
      </c>
      <c r="AC54">
        <f t="shared" si="0"/>
        <v>1</v>
      </c>
      <c r="AD54">
        <v>4</v>
      </c>
      <c r="AE54">
        <v>1</v>
      </c>
      <c r="AF54">
        <v>2</v>
      </c>
      <c r="AG54">
        <v>5</v>
      </c>
      <c r="AH54">
        <v>1</v>
      </c>
      <c r="AI54">
        <v>1</v>
      </c>
      <c r="AJ54">
        <v>1</v>
      </c>
      <c r="AK54">
        <v>1</v>
      </c>
      <c r="AL54">
        <v>2</v>
      </c>
      <c r="AM54">
        <v>6</v>
      </c>
    </row>
    <row r="55" spans="1:39" x14ac:dyDescent="0.3">
      <c r="A55" t="s">
        <v>116</v>
      </c>
      <c r="B55" t="s">
        <v>68</v>
      </c>
      <c r="C55" t="s">
        <v>56</v>
      </c>
      <c r="D55" t="s">
        <v>42</v>
      </c>
      <c r="E55" t="s">
        <v>69</v>
      </c>
      <c r="F55" t="s">
        <v>96</v>
      </c>
      <c r="G55" t="s">
        <v>45</v>
      </c>
      <c r="H55" t="s">
        <v>46</v>
      </c>
      <c r="I55" t="s">
        <v>71</v>
      </c>
      <c r="J55" t="s">
        <v>99</v>
      </c>
      <c r="K55" t="s">
        <v>127</v>
      </c>
      <c r="L55" t="s">
        <v>46</v>
      </c>
      <c r="M55">
        <v>3</v>
      </c>
      <c r="N55">
        <v>3</v>
      </c>
      <c r="O55">
        <v>3</v>
      </c>
      <c r="P55">
        <v>3</v>
      </c>
      <c r="Q55">
        <v>3</v>
      </c>
      <c r="R55" t="s">
        <v>65</v>
      </c>
      <c r="S55">
        <v>3</v>
      </c>
      <c r="T55" t="s">
        <v>73</v>
      </c>
      <c r="U55">
        <v>3</v>
      </c>
      <c r="V55">
        <v>4</v>
      </c>
      <c r="W55" t="s">
        <v>63</v>
      </c>
      <c r="X55">
        <v>141</v>
      </c>
      <c r="Y55" t="s">
        <v>83</v>
      </c>
      <c r="Z55">
        <v>5</v>
      </c>
      <c r="AA55">
        <v>2</v>
      </c>
      <c r="AB55">
        <v>2</v>
      </c>
      <c r="AC55">
        <f t="shared" si="0"/>
        <v>1</v>
      </c>
      <c r="AD55">
        <v>3</v>
      </c>
      <c r="AE55">
        <v>4</v>
      </c>
      <c r="AF55">
        <v>4</v>
      </c>
      <c r="AG55">
        <v>5</v>
      </c>
      <c r="AH55">
        <v>1</v>
      </c>
      <c r="AI55">
        <v>2</v>
      </c>
      <c r="AJ55">
        <v>1</v>
      </c>
      <c r="AK55">
        <v>1</v>
      </c>
      <c r="AL55">
        <v>1</v>
      </c>
      <c r="AM55">
        <v>6</v>
      </c>
    </row>
    <row r="56" spans="1:39" x14ac:dyDescent="0.3">
      <c r="A56" t="s">
        <v>109</v>
      </c>
      <c r="B56" t="s">
        <v>40</v>
      </c>
      <c r="C56" t="s">
        <v>56</v>
      </c>
      <c r="D56" t="s">
        <v>57</v>
      </c>
      <c r="E56" t="s">
        <v>43</v>
      </c>
      <c r="F56" t="s">
        <v>47</v>
      </c>
      <c r="G56" t="s">
        <v>92</v>
      </c>
      <c r="H56" t="s">
        <v>46</v>
      </c>
      <c r="I56" t="s">
        <v>47</v>
      </c>
      <c r="J56" t="s">
        <v>76</v>
      </c>
      <c r="K56" t="s">
        <v>125</v>
      </c>
      <c r="L56" t="s">
        <v>50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63</v>
      </c>
      <c r="S56">
        <v>3</v>
      </c>
      <c r="T56" t="s">
        <v>73</v>
      </c>
      <c r="U56">
        <v>4</v>
      </c>
      <c r="V56">
        <v>4</v>
      </c>
      <c r="W56" t="s">
        <v>78</v>
      </c>
      <c r="X56">
        <v>26</v>
      </c>
      <c r="Y56" t="s">
        <v>74</v>
      </c>
      <c r="Z56">
        <v>2</v>
      </c>
      <c r="AA56">
        <v>2</v>
      </c>
      <c r="AB56">
        <v>3</v>
      </c>
      <c r="AC56">
        <f t="shared" si="0"/>
        <v>0</v>
      </c>
      <c r="AD56">
        <v>4</v>
      </c>
      <c r="AE56">
        <v>4</v>
      </c>
      <c r="AF56">
        <v>2</v>
      </c>
      <c r="AG56">
        <v>2</v>
      </c>
      <c r="AH56">
        <v>2</v>
      </c>
      <c r="AI56">
        <v>1</v>
      </c>
      <c r="AJ56">
        <v>2</v>
      </c>
      <c r="AK56">
        <v>1</v>
      </c>
      <c r="AL56">
        <v>2</v>
      </c>
      <c r="AM56">
        <v>8</v>
      </c>
    </row>
    <row r="57" spans="1:39" x14ac:dyDescent="0.3">
      <c r="A57" t="s">
        <v>67</v>
      </c>
      <c r="B57" t="s">
        <v>68</v>
      </c>
      <c r="C57" t="s">
        <v>56</v>
      </c>
      <c r="D57" t="s">
        <v>128</v>
      </c>
      <c r="E57" t="s">
        <v>43</v>
      </c>
      <c r="F57" t="s">
        <v>88</v>
      </c>
      <c r="G57" t="s">
        <v>45</v>
      </c>
      <c r="H57" t="s">
        <v>46</v>
      </c>
      <c r="I57" t="s">
        <v>47</v>
      </c>
      <c r="J57" t="s">
        <v>48</v>
      </c>
      <c r="K57" t="s">
        <v>124</v>
      </c>
      <c r="L57" t="s">
        <v>50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51</v>
      </c>
      <c r="S57">
        <v>4</v>
      </c>
      <c r="T57" t="s">
        <v>103</v>
      </c>
      <c r="U57">
        <v>2</v>
      </c>
      <c r="V57">
        <v>2</v>
      </c>
      <c r="W57" t="s">
        <v>78</v>
      </c>
      <c r="X57">
        <v>46</v>
      </c>
      <c r="Y57" t="s">
        <v>66</v>
      </c>
      <c r="Z57">
        <v>5</v>
      </c>
      <c r="AA57">
        <v>2</v>
      </c>
      <c r="AB57">
        <v>5</v>
      </c>
      <c r="AC57">
        <f t="shared" si="0"/>
        <v>0</v>
      </c>
      <c r="AD57">
        <v>1</v>
      </c>
      <c r="AE57">
        <v>1</v>
      </c>
      <c r="AF57">
        <v>2</v>
      </c>
      <c r="AG57">
        <v>4</v>
      </c>
      <c r="AH57">
        <v>1</v>
      </c>
      <c r="AI57">
        <v>1</v>
      </c>
      <c r="AJ57">
        <v>2</v>
      </c>
      <c r="AK57">
        <v>1</v>
      </c>
      <c r="AL57">
        <v>1</v>
      </c>
      <c r="AM57">
        <v>6</v>
      </c>
    </row>
    <row r="58" spans="1:39" x14ac:dyDescent="0.3">
      <c r="A58" t="s">
        <v>67</v>
      </c>
      <c r="B58" t="s">
        <v>68</v>
      </c>
      <c r="C58" t="s">
        <v>41</v>
      </c>
      <c r="D58" t="s">
        <v>42</v>
      </c>
      <c r="E58" t="s">
        <v>58</v>
      </c>
      <c r="F58" t="s">
        <v>44</v>
      </c>
      <c r="G58" t="s">
        <v>45</v>
      </c>
      <c r="H58" t="s">
        <v>50</v>
      </c>
      <c r="J58" t="s">
        <v>61</v>
      </c>
      <c r="K58" t="s">
        <v>62</v>
      </c>
      <c r="L58" t="s">
        <v>50</v>
      </c>
      <c r="M58">
        <v>2</v>
      </c>
      <c r="N58">
        <v>2</v>
      </c>
      <c r="O58">
        <v>2</v>
      </c>
      <c r="P58">
        <v>3</v>
      </c>
      <c r="Q58">
        <v>3</v>
      </c>
      <c r="R58" t="s">
        <v>65</v>
      </c>
      <c r="S58">
        <v>4</v>
      </c>
      <c r="T58" t="s">
        <v>103</v>
      </c>
      <c r="U58">
        <v>3</v>
      </c>
      <c r="V58">
        <v>4</v>
      </c>
      <c r="W58" t="s">
        <v>51</v>
      </c>
      <c r="X58">
        <v>39</v>
      </c>
      <c r="Y58" t="s">
        <v>74</v>
      </c>
      <c r="Z58">
        <v>5</v>
      </c>
      <c r="AA58">
        <v>1</v>
      </c>
      <c r="AB58">
        <v>1</v>
      </c>
      <c r="AC58">
        <f t="shared" si="0"/>
        <v>0</v>
      </c>
      <c r="AD58">
        <v>3</v>
      </c>
      <c r="AE58">
        <v>1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2</v>
      </c>
      <c r="AM58">
        <v>6</v>
      </c>
    </row>
    <row r="59" spans="1:39" x14ac:dyDescent="0.3">
      <c r="A59" t="s">
        <v>67</v>
      </c>
      <c r="B59" t="s">
        <v>68</v>
      </c>
      <c r="C59" t="s">
        <v>41</v>
      </c>
      <c r="D59" t="s">
        <v>42</v>
      </c>
      <c r="E59" t="s">
        <v>81</v>
      </c>
      <c r="F59" t="s">
        <v>120</v>
      </c>
      <c r="G59" t="s">
        <v>60</v>
      </c>
      <c r="H59" t="s">
        <v>46</v>
      </c>
      <c r="I59" t="s">
        <v>47</v>
      </c>
      <c r="J59" t="s">
        <v>61</v>
      </c>
      <c r="K59" t="s">
        <v>49</v>
      </c>
      <c r="L59" t="s">
        <v>50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63</v>
      </c>
      <c r="S59">
        <v>3</v>
      </c>
      <c r="T59" t="s">
        <v>79</v>
      </c>
      <c r="U59">
        <v>4</v>
      </c>
      <c r="V59">
        <v>3</v>
      </c>
      <c r="W59" t="s">
        <v>78</v>
      </c>
      <c r="X59">
        <v>98</v>
      </c>
      <c r="Y59" t="s">
        <v>74</v>
      </c>
      <c r="Z59">
        <v>6</v>
      </c>
      <c r="AA59">
        <v>2</v>
      </c>
      <c r="AB59">
        <v>1</v>
      </c>
      <c r="AC59">
        <f t="shared" si="0"/>
        <v>0</v>
      </c>
      <c r="AD59">
        <v>4</v>
      </c>
      <c r="AE59">
        <v>3</v>
      </c>
      <c r="AF59">
        <v>2</v>
      </c>
      <c r="AG59">
        <v>2</v>
      </c>
      <c r="AH59">
        <v>1</v>
      </c>
      <c r="AI59">
        <v>2</v>
      </c>
      <c r="AJ59">
        <v>1</v>
      </c>
      <c r="AK59">
        <v>2</v>
      </c>
      <c r="AL59">
        <v>2</v>
      </c>
      <c r="AM59">
        <v>8</v>
      </c>
    </row>
    <row r="60" spans="1:39" x14ac:dyDescent="0.3">
      <c r="A60" t="s">
        <v>67</v>
      </c>
      <c r="B60" t="s">
        <v>40</v>
      </c>
      <c r="C60" t="s">
        <v>56</v>
      </c>
      <c r="D60" t="s">
        <v>57</v>
      </c>
      <c r="E60" t="s">
        <v>43</v>
      </c>
      <c r="G60" t="s">
        <v>45</v>
      </c>
      <c r="H60" t="s">
        <v>50</v>
      </c>
      <c r="J60" t="s">
        <v>61</v>
      </c>
      <c r="K60" t="s">
        <v>62</v>
      </c>
      <c r="L60" t="s">
        <v>50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53</v>
      </c>
      <c r="S60">
        <v>4</v>
      </c>
      <c r="T60" t="s">
        <v>79</v>
      </c>
      <c r="U60">
        <v>3</v>
      </c>
      <c r="V60">
        <v>3</v>
      </c>
      <c r="W60" t="s">
        <v>65</v>
      </c>
      <c r="X60">
        <v>133</v>
      </c>
      <c r="Y60" t="s">
        <v>66</v>
      </c>
      <c r="Z60">
        <v>5</v>
      </c>
      <c r="AA60">
        <v>1</v>
      </c>
      <c r="AB60">
        <v>1</v>
      </c>
      <c r="AC60">
        <f t="shared" si="0"/>
        <v>0</v>
      </c>
      <c r="AD60">
        <v>5</v>
      </c>
      <c r="AE60">
        <v>3</v>
      </c>
      <c r="AF60">
        <v>3</v>
      </c>
      <c r="AG60">
        <v>4</v>
      </c>
      <c r="AH60">
        <v>1</v>
      </c>
      <c r="AI60">
        <v>1</v>
      </c>
      <c r="AJ60">
        <v>1</v>
      </c>
      <c r="AK60">
        <v>1</v>
      </c>
      <c r="AL60">
        <v>2</v>
      </c>
      <c r="AM60">
        <v>6</v>
      </c>
    </row>
    <row r="61" spans="1:39" x14ac:dyDescent="0.3">
      <c r="A61" t="s">
        <v>67</v>
      </c>
      <c r="B61" t="s">
        <v>40</v>
      </c>
      <c r="C61" t="s">
        <v>75</v>
      </c>
      <c r="D61" t="s">
        <v>80</v>
      </c>
      <c r="E61" t="s">
        <v>95</v>
      </c>
      <c r="G61" t="s">
        <v>60</v>
      </c>
      <c r="H61" t="s">
        <v>46</v>
      </c>
      <c r="I61" t="s">
        <v>98</v>
      </c>
      <c r="J61" t="s">
        <v>61</v>
      </c>
      <c r="K61" t="s">
        <v>90</v>
      </c>
      <c r="L61" t="s">
        <v>50</v>
      </c>
      <c r="M61">
        <v>3</v>
      </c>
      <c r="N61">
        <v>3</v>
      </c>
      <c r="O61">
        <v>3</v>
      </c>
      <c r="P61">
        <v>3</v>
      </c>
      <c r="Q61">
        <v>3</v>
      </c>
      <c r="R61" t="s">
        <v>65</v>
      </c>
      <c r="S61">
        <v>3</v>
      </c>
      <c r="T61" t="s">
        <v>64</v>
      </c>
      <c r="U61">
        <v>4</v>
      </c>
      <c r="V61">
        <v>4</v>
      </c>
      <c r="W61" t="s">
        <v>63</v>
      </c>
      <c r="X61">
        <v>133</v>
      </c>
      <c r="Y61" t="s">
        <v>85</v>
      </c>
      <c r="Z61">
        <v>6</v>
      </c>
      <c r="AA61">
        <v>2</v>
      </c>
      <c r="AB61">
        <v>1</v>
      </c>
      <c r="AC61">
        <f t="shared" si="0"/>
        <v>0</v>
      </c>
      <c r="AD61">
        <v>3</v>
      </c>
      <c r="AE61">
        <v>5</v>
      </c>
      <c r="AF61">
        <v>4</v>
      </c>
      <c r="AG61">
        <v>1</v>
      </c>
      <c r="AH61">
        <v>1</v>
      </c>
      <c r="AI61">
        <v>2</v>
      </c>
      <c r="AJ61">
        <v>2</v>
      </c>
      <c r="AK61">
        <v>1</v>
      </c>
      <c r="AL61">
        <v>2</v>
      </c>
      <c r="AM61">
        <v>8</v>
      </c>
    </row>
    <row r="62" spans="1:39" x14ac:dyDescent="0.3">
      <c r="A62" t="s">
        <v>39</v>
      </c>
      <c r="B62" t="s">
        <v>68</v>
      </c>
      <c r="C62" t="s">
        <v>56</v>
      </c>
      <c r="D62" t="s">
        <v>57</v>
      </c>
      <c r="E62" t="s">
        <v>95</v>
      </c>
      <c r="F62" t="s">
        <v>47</v>
      </c>
      <c r="G62" t="s">
        <v>45</v>
      </c>
      <c r="H62" t="s">
        <v>46</v>
      </c>
      <c r="I62" t="s">
        <v>47</v>
      </c>
      <c r="J62" t="s">
        <v>76</v>
      </c>
      <c r="K62" t="s">
        <v>123</v>
      </c>
      <c r="L62" t="s">
        <v>50</v>
      </c>
      <c r="M62">
        <v>2</v>
      </c>
      <c r="N62">
        <v>2</v>
      </c>
      <c r="O62">
        <v>2</v>
      </c>
      <c r="P62">
        <v>2</v>
      </c>
      <c r="Q62">
        <v>2</v>
      </c>
      <c r="R62" t="s">
        <v>65</v>
      </c>
      <c r="S62">
        <v>4</v>
      </c>
      <c r="T62" t="s">
        <v>64</v>
      </c>
      <c r="U62">
        <v>3</v>
      </c>
      <c r="V62">
        <v>2</v>
      </c>
      <c r="W62" t="s">
        <v>65</v>
      </c>
      <c r="X62">
        <v>131</v>
      </c>
      <c r="Y62" t="s">
        <v>74</v>
      </c>
      <c r="Z62">
        <v>5</v>
      </c>
      <c r="AA62">
        <v>2</v>
      </c>
      <c r="AB62">
        <v>3</v>
      </c>
      <c r="AC62">
        <f t="shared" si="0"/>
        <v>0</v>
      </c>
      <c r="AD62">
        <v>3</v>
      </c>
      <c r="AE62">
        <v>5</v>
      </c>
      <c r="AF62">
        <v>3</v>
      </c>
      <c r="AG62">
        <v>2</v>
      </c>
      <c r="AH62">
        <v>1</v>
      </c>
      <c r="AI62">
        <v>1</v>
      </c>
      <c r="AJ62">
        <v>2</v>
      </c>
      <c r="AK62">
        <v>2</v>
      </c>
      <c r="AL62">
        <v>1</v>
      </c>
      <c r="AM62">
        <v>7</v>
      </c>
    </row>
    <row r="63" spans="1:39" x14ac:dyDescent="0.3">
      <c r="A63" t="s">
        <v>67</v>
      </c>
      <c r="B63" t="s">
        <v>40</v>
      </c>
      <c r="C63" t="s">
        <v>41</v>
      </c>
      <c r="D63" t="s">
        <v>42</v>
      </c>
      <c r="E63" t="s">
        <v>69</v>
      </c>
      <c r="F63" t="s">
        <v>47</v>
      </c>
      <c r="G63" t="s">
        <v>45</v>
      </c>
      <c r="H63" t="s">
        <v>50</v>
      </c>
      <c r="J63" t="s">
        <v>61</v>
      </c>
      <c r="K63" t="s">
        <v>62</v>
      </c>
      <c r="L63" t="s">
        <v>50</v>
      </c>
      <c r="M63">
        <v>3</v>
      </c>
      <c r="N63">
        <v>3</v>
      </c>
      <c r="O63">
        <v>4</v>
      </c>
      <c r="P63">
        <v>2</v>
      </c>
      <c r="Q63">
        <v>3</v>
      </c>
      <c r="R63" t="s">
        <v>65</v>
      </c>
      <c r="S63">
        <v>3</v>
      </c>
      <c r="T63" t="s">
        <v>52</v>
      </c>
      <c r="U63">
        <v>3</v>
      </c>
      <c r="V63">
        <v>3</v>
      </c>
      <c r="W63" t="s">
        <v>63</v>
      </c>
      <c r="X63">
        <v>138</v>
      </c>
      <c r="Y63" t="s">
        <v>74</v>
      </c>
      <c r="Z63">
        <v>5</v>
      </c>
      <c r="AA63">
        <v>1</v>
      </c>
      <c r="AB63">
        <v>1</v>
      </c>
      <c r="AC63">
        <f t="shared" si="0"/>
        <v>0</v>
      </c>
      <c r="AD63">
        <v>3</v>
      </c>
      <c r="AE63">
        <v>2</v>
      </c>
      <c r="AF63">
        <v>4</v>
      </c>
      <c r="AG63">
        <v>2</v>
      </c>
      <c r="AH63">
        <v>1</v>
      </c>
      <c r="AI63">
        <v>1</v>
      </c>
      <c r="AJ63">
        <v>1</v>
      </c>
      <c r="AK63">
        <v>1</v>
      </c>
      <c r="AL63">
        <v>2</v>
      </c>
      <c r="AM63">
        <v>6</v>
      </c>
    </row>
    <row r="64" spans="1:39" x14ac:dyDescent="0.3">
      <c r="A64" t="s">
        <v>67</v>
      </c>
      <c r="B64" t="s">
        <v>68</v>
      </c>
      <c r="C64" t="s">
        <v>56</v>
      </c>
      <c r="D64" t="s">
        <v>57</v>
      </c>
      <c r="E64" t="s">
        <v>81</v>
      </c>
      <c r="F64" t="s">
        <v>71</v>
      </c>
      <c r="G64" t="s">
        <v>60</v>
      </c>
      <c r="H64" t="s">
        <v>50</v>
      </c>
      <c r="J64" t="s">
        <v>61</v>
      </c>
      <c r="K64" t="s">
        <v>62</v>
      </c>
      <c r="L64" t="s">
        <v>46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53</v>
      </c>
      <c r="S64">
        <v>2</v>
      </c>
      <c r="T64" t="s">
        <v>64</v>
      </c>
      <c r="U64">
        <v>4</v>
      </c>
      <c r="V64">
        <v>4</v>
      </c>
      <c r="W64" t="s">
        <v>53</v>
      </c>
      <c r="X64">
        <v>160</v>
      </c>
      <c r="Y64" t="s">
        <v>83</v>
      </c>
      <c r="Z64">
        <v>6</v>
      </c>
      <c r="AA64">
        <v>1</v>
      </c>
      <c r="AB64">
        <v>1</v>
      </c>
      <c r="AC64">
        <f t="shared" si="0"/>
        <v>1</v>
      </c>
      <c r="AD64">
        <v>5</v>
      </c>
      <c r="AE64">
        <v>5</v>
      </c>
      <c r="AF64">
        <v>5</v>
      </c>
      <c r="AG64">
        <v>5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6</v>
      </c>
    </row>
    <row r="65" spans="1:39" x14ac:dyDescent="0.3">
      <c r="A65" t="s">
        <v>39</v>
      </c>
      <c r="B65" t="s">
        <v>40</v>
      </c>
      <c r="C65" t="s">
        <v>41</v>
      </c>
      <c r="D65" t="s">
        <v>57</v>
      </c>
      <c r="E65" t="s">
        <v>81</v>
      </c>
      <c r="F65" t="s">
        <v>107</v>
      </c>
      <c r="G65" t="s">
        <v>60</v>
      </c>
      <c r="H65" t="s">
        <v>46</v>
      </c>
      <c r="I65" t="s">
        <v>98</v>
      </c>
      <c r="J65" t="s">
        <v>61</v>
      </c>
      <c r="K65" t="s">
        <v>124</v>
      </c>
      <c r="L65" t="s">
        <v>50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63</v>
      </c>
      <c r="S65">
        <v>3</v>
      </c>
      <c r="T65" t="s">
        <v>64</v>
      </c>
      <c r="U65">
        <v>4</v>
      </c>
      <c r="V65">
        <v>3</v>
      </c>
      <c r="W65" t="s">
        <v>78</v>
      </c>
      <c r="X65">
        <v>52</v>
      </c>
      <c r="Y65" t="s">
        <v>83</v>
      </c>
      <c r="Z65">
        <v>6</v>
      </c>
      <c r="AA65">
        <v>2</v>
      </c>
      <c r="AB65">
        <v>1</v>
      </c>
      <c r="AC65">
        <f t="shared" si="0"/>
        <v>0</v>
      </c>
      <c r="AD65">
        <v>4</v>
      </c>
      <c r="AE65">
        <v>5</v>
      </c>
      <c r="AF65">
        <v>2</v>
      </c>
      <c r="AG65">
        <v>5</v>
      </c>
      <c r="AH65">
        <v>1</v>
      </c>
      <c r="AI65">
        <v>1</v>
      </c>
      <c r="AJ65">
        <v>2</v>
      </c>
      <c r="AK65">
        <v>1</v>
      </c>
      <c r="AL65">
        <v>1</v>
      </c>
      <c r="AM65">
        <v>6</v>
      </c>
    </row>
    <row r="66" spans="1:39" x14ac:dyDescent="0.3">
      <c r="A66" t="s">
        <v>67</v>
      </c>
      <c r="B66" t="s">
        <v>68</v>
      </c>
      <c r="C66" t="s">
        <v>56</v>
      </c>
      <c r="D66" t="s">
        <v>114</v>
      </c>
      <c r="E66" t="s">
        <v>43</v>
      </c>
      <c r="F66" t="s">
        <v>59</v>
      </c>
      <c r="G66" t="s">
        <v>101</v>
      </c>
      <c r="H66" t="s">
        <v>46</v>
      </c>
      <c r="I66" t="s">
        <v>71</v>
      </c>
      <c r="J66" t="s">
        <v>48</v>
      </c>
      <c r="K66" t="s">
        <v>105</v>
      </c>
      <c r="L66" t="s">
        <v>46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63</v>
      </c>
      <c r="S66">
        <v>4</v>
      </c>
      <c r="T66" t="s">
        <v>52</v>
      </c>
      <c r="U66">
        <v>3</v>
      </c>
      <c r="V66">
        <v>3</v>
      </c>
      <c r="W66" t="s">
        <v>63</v>
      </c>
      <c r="X66">
        <v>127</v>
      </c>
      <c r="Y66" t="s">
        <v>85</v>
      </c>
      <c r="Z66">
        <v>3</v>
      </c>
      <c r="AA66">
        <v>2</v>
      </c>
      <c r="AB66">
        <v>5</v>
      </c>
      <c r="AC66">
        <f t="shared" si="0"/>
        <v>1</v>
      </c>
      <c r="AD66">
        <v>4</v>
      </c>
      <c r="AE66">
        <v>2</v>
      </c>
      <c r="AF66">
        <v>4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2</v>
      </c>
      <c r="AM66">
        <v>7</v>
      </c>
    </row>
    <row r="67" spans="1:39" x14ac:dyDescent="0.3">
      <c r="A67" t="s">
        <v>67</v>
      </c>
      <c r="B67" t="s">
        <v>68</v>
      </c>
      <c r="C67" t="s">
        <v>56</v>
      </c>
      <c r="D67" t="s">
        <v>42</v>
      </c>
      <c r="E67" t="s">
        <v>58</v>
      </c>
      <c r="F67" t="s">
        <v>107</v>
      </c>
      <c r="G67" t="s">
        <v>92</v>
      </c>
      <c r="H67" t="s">
        <v>46</v>
      </c>
      <c r="I67" t="s">
        <v>47</v>
      </c>
      <c r="J67" t="s">
        <v>99</v>
      </c>
      <c r="K67" t="s">
        <v>105</v>
      </c>
      <c r="L67" t="s">
        <v>50</v>
      </c>
      <c r="M67">
        <v>2</v>
      </c>
      <c r="N67">
        <v>3</v>
      </c>
      <c r="O67">
        <v>3</v>
      </c>
      <c r="P67">
        <v>2</v>
      </c>
      <c r="Q67">
        <v>3</v>
      </c>
      <c r="R67" t="s">
        <v>65</v>
      </c>
      <c r="S67">
        <v>3</v>
      </c>
      <c r="T67" t="s">
        <v>52</v>
      </c>
      <c r="U67">
        <v>4</v>
      </c>
      <c r="V67">
        <v>3</v>
      </c>
      <c r="W67" t="s">
        <v>78</v>
      </c>
      <c r="X67">
        <v>0</v>
      </c>
      <c r="Y67" t="s">
        <v>54</v>
      </c>
      <c r="Z67">
        <v>2</v>
      </c>
      <c r="AA67">
        <v>2</v>
      </c>
      <c r="AB67">
        <v>2</v>
      </c>
      <c r="AC67">
        <f t="shared" ref="AC67:AC130" si="1">IF(L67="No",0,1)</f>
        <v>0</v>
      </c>
      <c r="AD67">
        <v>3</v>
      </c>
      <c r="AE67">
        <v>2</v>
      </c>
      <c r="AF67">
        <v>2</v>
      </c>
      <c r="AG67">
        <v>3</v>
      </c>
      <c r="AH67">
        <v>1</v>
      </c>
      <c r="AI67">
        <v>1</v>
      </c>
      <c r="AJ67">
        <v>1</v>
      </c>
      <c r="AK67">
        <v>2</v>
      </c>
      <c r="AL67">
        <v>2</v>
      </c>
      <c r="AM67">
        <v>7</v>
      </c>
    </row>
    <row r="68" spans="1:39" x14ac:dyDescent="0.3">
      <c r="A68" t="s">
        <v>67</v>
      </c>
      <c r="B68" t="s">
        <v>55</v>
      </c>
      <c r="C68" t="s">
        <v>41</v>
      </c>
      <c r="D68" t="s">
        <v>128</v>
      </c>
      <c r="E68" t="s">
        <v>58</v>
      </c>
      <c r="F68" t="s">
        <v>98</v>
      </c>
      <c r="G68" t="s">
        <v>108</v>
      </c>
      <c r="H68" t="s">
        <v>46</v>
      </c>
      <c r="I68" t="s">
        <v>98</v>
      </c>
      <c r="J68" t="s">
        <v>61</v>
      </c>
      <c r="K68" t="s">
        <v>62</v>
      </c>
      <c r="L68" t="s">
        <v>46</v>
      </c>
      <c r="M68">
        <v>3</v>
      </c>
      <c r="N68">
        <v>3</v>
      </c>
      <c r="O68">
        <v>3</v>
      </c>
      <c r="P68">
        <v>3</v>
      </c>
      <c r="Q68">
        <v>3</v>
      </c>
      <c r="R68" t="s">
        <v>65</v>
      </c>
      <c r="S68">
        <v>3</v>
      </c>
      <c r="T68" t="s">
        <v>52</v>
      </c>
      <c r="U68">
        <v>3</v>
      </c>
      <c r="V68">
        <v>4</v>
      </c>
      <c r="W68" t="s">
        <v>65</v>
      </c>
      <c r="X68">
        <v>92</v>
      </c>
      <c r="Y68" t="s">
        <v>66</v>
      </c>
      <c r="Z68">
        <v>7</v>
      </c>
      <c r="AA68">
        <v>2</v>
      </c>
      <c r="AB68">
        <v>1</v>
      </c>
      <c r="AC68">
        <f t="shared" si="1"/>
        <v>1</v>
      </c>
      <c r="AD68">
        <v>3</v>
      </c>
      <c r="AE68">
        <v>2</v>
      </c>
      <c r="AF68">
        <v>3</v>
      </c>
      <c r="AG68">
        <v>4</v>
      </c>
      <c r="AH68">
        <v>1</v>
      </c>
      <c r="AI68">
        <v>1</v>
      </c>
      <c r="AJ68">
        <v>1</v>
      </c>
      <c r="AK68">
        <v>1</v>
      </c>
      <c r="AL68">
        <v>2</v>
      </c>
      <c r="AM68">
        <v>6</v>
      </c>
    </row>
    <row r="69" spans="1:39" x14ac:dyDescent="0.3">
      <c r="A69" t="s">
        <v>67</v>
      </c>
      <c r="B69" t="s">
        <v>40</v>
      </c>
      <c r="C69" t="s">
        <v>56</v>
      </c>
      <c r="D69" t="s">
        <v>80</v>
      </c>
      <c r="E69" t="s">
        <v>58</v>
      </c>
      <c r="F69" t="s">
        <v>93</v>
      </c>
      <c r="G69" t="s">
        <v>119</v>
      </c>
      <c r="H69" t="s">
        <v>46</v>
      </c>
      <c r="I69" t="s">
        <v>98</v>
      </c>
      <c r="J69" t="s">
        <v>61</v>
      </c>
      <c r="K69" t="s">
        <v>123</v>
      </c>
      <c r="L69" t="s">
        <v>50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53</v>
      </c>
      <c r="S69">
        <v>4</v>
      </c>
      <c r="T69" t="s">
        <v>52</v>
      </c>
      <c r="U69">
        <v>3</v>
      </c>
      <c r="V69">
        <v>3</v>
      </c>
      <c r="W69" t="s">
        <v>65</v>
      </c>
      <c r="X69">
        <v>93</v>
      </c>
      <c r="Y69" t="s">
        <v>85</v>
      </c>
      <c r="Z69">
        <v>4</v>
      </c>
      <c r="AA69">
        <v>2</v>
      </c>
      <c r="AB69">
        <v>1</v>
      </c>
      <c r="AC69">
        <f t="shared" si="1"/>
        <v>0</v>
      </c>
      <c r="AD69">
        <v>5</v>
      </c>
      <c r="AE69">
        <v>2</v>
      </c>
      <c r="AF69">
        <v>3</v>
      </c>
      <c r="AG69">
        <v>1</v>
      </c>
      <c r="AH69">
        <v>1</v>
      </c>
      <c r="AI69">
        <v>1</v>
      </c>
      <c r="AJ69">
        <v>2</v>
      </c>
      <c r="AK69">
        <v>2</v>
      </c>
      <c r="AL69">
        <v>1</v>
      </c>
      <c r="AM69">
        <v>7</v>
      </c>
    </row>
    <row r="70" spans="1:39" x14ac:dyDescent="0.3">
      <c r="A70" t="s">
        <v>67</v>
      </c>
      <c r="B70" t="s">
        <v>40</v>
      </c>
      <c r="C70" t="s">
        <v>75</v>
      </c>
      <c r="D70" t="s">
        <v>57</v>
      </c>
      <c r="E70" t="s">
        <v>81</v>
      </c>
      <c r="F70" t="s">
        <v>107</v>
      </c>
      <c r="G70" t="s">
        <v>45</v>
      </c>
      <c r="H70" t="s">
        <v>46</v>
      </c>
      <c r="I70" t="s">
        <v>98</v>
      </c>
      <c r="J70" t="s">
        <v>76</v>
      </c>
      <c r="K70" t="s">
        <v>129</v>
      </c>
      <c r="L70" t="s">
        <v>50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63</v>
      </c>
      <c r="S70">
        <v>2</v>
      </c>
      <c r="T70" t="s">
        <v>73</v>
      </c>
      <c r="U70">
        <v>4</v>
      </c>
      <c r="V70">
        <v>4</v>
      </c>
      <c r="W70" t="s">
        <v>53</v>
      </c>
      <c r="X70">
        <v>148</v>
      </c>
      <c r="Y70" t="s">
        <v>74</v>
      </c>
      <c r="Z70">
        <v>5</v>
      </c>
      <c r="AA70">
        <v>2</v>
      </c>
      <c r="AB70">
        <v>3</v>
      </c>
      <c r="AC70">
        <f t="shared" si="1"/>
        <v>0</v>
      </c>
      <c r="AD70">
        <v>4</v>
      </c>
      <c r="AE70">
        <v>4</v>
      </c>
      <c r="AF70">
        <v>5</v>
      </c>
      <c r="AG70">
        <v>2</v>
      </c>
      <c r="AH70">
        <v>1</v>
      </c>
      <c r="AI70">
        <v>1</v>
      </c>
      <c r="AJ70">
        <v>2</v>
      </c>
      <c r="AK70">
        <v>2</v>
      </c>
      <c r="AL70">
        <v>2</v>
      </c>
      <c r="AM70">
        <v>8</v>
      </c>
    </row>
    <row r="71" spans="1:39" x14ac:dyDescent="0.3">
      <c r="A71" t="s">
        <v>39</v>
      </c>
      <c r="B71" t="s">
        <v>68</v>
      </c>
      <c r="C71" t="s">
        <v>56</v>
      </c>
      <c r="D71" t="s">
        <v>42</v>
      </c>
      <c r="E71" t="s">
        <v>43</v>
      </c>
      <c r="F71" t="s">
        <v>70</v>
      </c>
      <c r="G71" t="s">
        <v>45</v>
      </c>
      <c r="H71" t="s">
        <v>46</v>
      </c>
      <c r="I71" t="s">
        <v>71</v>
      </c>
      <c r="J71" t="s">
        <v>76</v>
      </c>
      <c r="K71" t="s">
        <v>127</v>
      </c>
      <c r="L71" t="s">
        <v>46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53</v>
      </c>
      <c r="S71">
        <v>3</v>
      </c>
      <c r="T71" t="s">
        <v>64</v>
      </c>
      <c r="U71">
        <v>4</v>
      </c>
      <c r="V71">
        <v>4</v>
      </c>
      <c r="W71" t="s">
        <v>51</v>
      </c>
      <c r="X71">
        <v>61</v>
      </c>
      <c r="Y71" t="s">
        <v>54</v>
      </c>
      <c r="Z71">
        <v>5</v>
      </c>
      <c r="AA71">
        <v>2</v>
      </c>
      <c r="AB71">
        <v>3</v>
      </c>
      <c r="AC71">
        <f t="shared" si="1"/>
        <v>1</v>
      </c>
      <c r="AD71">
        <v>5</v>
      </c>
      <c r="AE71">
        <v>5</v>
      </c>
      <c r="AF71">
        <v>1</v>
      </c>
      <c r="AG71">
        <v>3</v>
      </c>
      <c r="AH71">
        <v>1</v>
      </c>
      <c r="AI71">
        <v>2</v>
      </c>
      <c r="AJ71">
        <v>1</v>
      </c>
      <c r="AK71">
        <v>1</v>
      </c>
      <c r="AL71">
        <v>1</v>
      </c>
      <c r="AM71">
        <v>6</v>
      </c>
    </row>
    <row r="72" spans="1:39" x14ac:dyDescent="0.3">
      <c r="A72" t="s">
        <v>116</v>
      </c>
      <c r="B72" t="s">
        <v>68</v>
      </c>
      <c r="C72" t="s">
        <v>56</v>
      </c>
      <c r="D72" t="s">
        <v>57</v>
      </c>
      <c r="E72" t="s">
        <v>81</v>
      </c>
      <c r="F72" t="s">
        <v>115</v>
      </c>
      <c r="G72" t="s">
        <v>92</v>
      </c>
      <c r="H72" t="s">
        <v>50</v>
      </c>
      <c r="J72" t="s">
        <v>61</v>
      </c>
      <c r="K72" t="s">
        <v>62</v>
      </c>
      <c r="L72" t="s">
        <v>46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63</v>
      </c>
      <c r="S72">
        <v>2</v>
      </c>
      <c r="T72" t="s">
        <v>73</v>
      </c>
      <c r="U72">
        <v>4</v>
      </c>
      <c r="V72">
        <v>4</v>
      </c>
      <c r="W72" t="s">
        <v>63</v>
      </c>
      <c r="X72">
        <v>89</v>
      </c>
      <c r="Y72" t="s">
        <v>74</v>
      </c>
      <c r="Z72">
        <v>2</v>
      </c>
      <c r="AA72">
        <v>1</v>
      </c>
      <c r="AB72">
        <v>1</v>
      </c>
      <c r="AC72">
        <f t="shared" si="1"/>
        <v>1</v>
      </c>
      <c r="AD72">
        <v>4</v>
      </c>
      <c r="AE72">
        <v>4</v>
      </c>
      <c r="AF72">
        <v>4</v>
      </c>
      <c r="AG72">
        <v>2</v>
      </c>
      <c r="AH72">
        <v>1</v>
      </c>
      <c r="AI72">
        <v>1</v>
      </c>
      <c r="AJ72">
        <v>1</v>
      </c>
      <c r="AK72">
        <v>1</v>
      </c>
      <c r="AL72">
        <v>2</v>
      </c>
      <c r="AM72">
        <v>6</v>
      </c>
    </row>
    <row r="73" spans="1:39" x14ac:dyDescent="0.3">
      <c r="A73" t="s">
        <v>67</v>
      </c>
      <c r="B73" t="s">
        <v>68</v>
      </c>
      <c r="C73" t="s">
        <v>56</v>
      </c>
      <c r="D73" t="s">
        <v>57</v>
      </c>
      <c r="E73" t="s">
        <v>58</v>
      </c>
      <c r="F73" t="s">
        <v>107</v>
      </c>
      <c r="G73" t="s">
        <v>60</v>
      </c>
      <c r="H73" t="s">
        <v>46</v>
      </c>
      <c r="I73" t="s">
        <v>71</v>
      </c>
      <c r="J73" t="s">
        <v>61</v>
      </c>
      <c r="K73" t="s">
        <v>130</v>
      </c>
      <c r="L73" t="s">
        <v>50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53</v>
      </c>
      <c r="S73">
        <v>4</v>
      </c>
      <c r="T73" t="s">
        <v>103</v>
      </c>
      <c r="U73">
        <v>2</v>
      </c>
      <c r="V73">
        <v>3</v>
      </c>
      <c r="W73" t="s">
        <v>63</v>
      </c>
      <c r="X73">
        <v>126</v>
      </c>
      <c r="Y73" t="s">
        <v>54</v>
      </c>
      <c r="Z73">
        <v>6</v>
      </c>
      <c r="AA73">
        <v>2</v>
      </c>
      <c r="AB73">
        <v>1</v>
      </c>
      <c r="AC73">
        <f t="shared" si="1"/>
        <v>0</v>
      </c>
      <c r="AD73">
        <v>5</v>
      </c>
      <c r="AE73">
        <v>1</v>
      </c>
      <c r="AF73">
        <v>4</v>
      </c>
      <c r="AG73">
        <v>3</v>
      </c>
      <c r="AH73">
        <v>2</v>
      </c>
      <c r="AI73">
        <v>2</v>
      </c>
      <c r="AJ73">
        <v>1</v>
      </c>
      <c r="AK73">
        <v>2</v>
      </c>
      <c r="AL73">
        <v>1</v>
      </c>
      <c r="AM73">
        <v>8</v>
      </c>
    </row>
    <row r="74" spans="1:39" x14ac:dyDescent="0.3">
      <c r="A74" t="s">
        <v>39</v>
      </c>
      <c r="B74" t="s">
        <v>68</v>
      </c>
      <c r="C74" t="s">
        <v>56</v>
      </c>
      <c r="D74" t="s">
        <v>57</v>
      </c>
      <c r="E74" t="s">
        <v>58</v>
      </c>
      <c r="F74" t="s">
        <v>96</v>
      </c>
      <c r="G74" t="s">
        <v>119</v>
      </c>
      <c r="H74" t="s">
        <v>46</v>
      </c>
      <c r="I74" t="s">
        <v>71</v>
      </c>
      <c r="J74" t="s">
        <v>99</v>
      </c>
      <c r="K74" t="s">
        <v>121</v>
      </c>
      <c r="L74" t="s">
        <v>46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63</v>
      </c>
      <c r="S74">
        <v>3</v>
      </c>
      <c r="T74" t="s">
        <v>73</v>
      </c>
      <c r="U74">
        <v>3</v>
      </c>
      <c r="V74">
        <v>4</v>
      </c>
      <c r="W74" t="s">
        <v>63</v>
      </c>
      <c r="X74">
        <v>105</v>
      </c>
      <c r="Y74" t="s">
        <v>66</v>
      </c>
      <c r="Z74">
        <v>4</v>
      </c>
      <c r="AA74">
        <v>2</v>
      </c>
      <c r="AB74">
        <v>2</v>
      </c>
      <c r="AC74">
        <f t="shared" si="1"/>
        <v>1</v>
      </c>
      <c r="AD74">
        <v>4</v>
      </c>
      <c r="AE74">
        <v>4</v>
      </c>
      <c r="AF74">
        <v>4</v>
      </c>
      <c r="AG74">
        <v>4</v>
      </c>
      <c r="AH74">
        <v>1</v>
      </c>
      <c r="AI74">
        <v>2</v>
      </c>
      <c r="AJ74">
        <v>2</v>
      </c>
      <c r="AK74">
        <v>1</v>
      </c>
      <c r="AL74">
        <v>1</v>
      </c>
      <c r="AM74">
        <v>7</v>
      </c>
    </row>
    <row r="75" spans="1:39" x14ac:dyDescent="0.3">
      <c r="A75" t="s">
        <v>67</v>
      </c>
      <c r="B75" t="s">
        <v>68</v>
      </c>
      <c r="C75" t="s">
        <v>56</v>
      </c>
      <c r="D75" t="s">
        <v>128</v>
      </c>
      <c r="E75" t="s">
        <v>95</v>
      </c>
      <c r="G75" t="s">
        <v>119</v>
      </c>
      <c r="H75" t="s">
        <v>50</v>
      </c>
      <c r="J75" t="s">
        <v>61</v>
      </c>
      <c r="K75" t="s">
        <v>62</v>
      </c>
      <c r="L75" t="s">
        <v>50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63</v>
      </c>
      <c r="S75">
        <v>3</v>
      </c>
      <c r="T75" t="s">
        <v>73</v>
      </c>
      <c r="U75">
        <v>3</v>
      </c>
      <c r="V75">
        <v>3</v>
      </c>
      <c r="W75" t="s">
        <v>78</v>
      </c>
      <c r="X75">
        <v>0</v>
      </c>
      <c r="Y75" t="s">
        <v>74</v>
      </c>
      <c r="Z75">
        <v>4</v>
      </c>
      <c r="AA75">
        <v>1</v>
      </c>
      <c r="AB75">
        <v>1</v>
      </c>
      <c r="AC75">
        <f t="shared" si="1"/>
        <v>0</v>
      </c>
      <c r="AD75">
        <v>4</v>
      </c>
      <c r="AE75">
        <v>4</v>
      </c>
      <c r="AF75">
        <v>2</v>
      </c>
      <c r="AG75">
        <v>2</v>
      </c>
      <c r="AH75">
        <v>1</v>
      </c>
      <c r="AI75">
        <v>1</v>
      </c>
      <c r="AJ75">
        <v>1</v>
      </c>
      <c r="AK75">
        <v>1</v>
      </c>
      <c r="AL75">
        <v>2</v>
      </c>
      <c r="AM75">
        <v>6</v>
      </c>
    </row>
    <row r="76" spans="1:39" x14ac:dyDescent="0.3">
      <c r="A76" t="s">
        <v>67</v>
      </c>
      <c r="B76" t="s">
        <v>40</v>
      </c>
      <c r="C76" t="s">
        <v>41</v>
      </c>
      <c r="D76" t="s">
        <v>42</v>
      </c>
      <c r="E76" t="s">
        <v>58</v>
      </c>
      <c r="F76" t="s">
        <v>59</v>
      </c>
      <c r="G76" t="s">
        <v>92</v>
      </c>
      <c r="H76" t="s">
        <v>50</v>
      </c>
      <c r="J76" t="s">
        <v>61</v>
      </c>
      <c r="K76" t="s">
        <v>62</v>
      </c>
      <c r="L76" t="s">
        <v>46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51</v>
      </c>
      <c r="S76">
        <v>4</v>
      </c>
      <c r="T76" t="s">
        <v>52</v>
      </c>
      <c r="U76">
        <v>2</v>
      </c>
      <c r="V76">
        <v>3</v>
      </c>
      <c r="W76" t="s">
        <v>53</v>
      </c>
      <c r="X76">
        <v>118</v>
      </c>
      <c r="Y76" t="s">
        <v>74</v>
      </c>
      <c r="Z76">
        <v>2</v>
      </c>
      <c r="AA76">
        <v>1</v>
      </c>
      <c r="AB76">
        <v>1</v>
      </c>
      <c r="AC76">
        <f t="shared" si="1"/>
        <v>1</v>
      </c>
      <c r="AD76">
        <v>1</v>
      </c>
      <c r="AE76">
        <v>2</v>
      </c>
      <c r="AF76">
        <v>5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6</v>
      </c>
    </row>
    <row r="77" spans="1:39" x14ac:dyDescent="0.3">
      <c r="A77" t="s">
        <v>67</v>
      </c>
      <c r="B77" t="s">
        <v>40</v>
      </c>
      <c r="C77" t="s">
        <v>75</v>
      </c>
      <c r="D77" t="s">
        <v>57</v>
      </c>
      <c r="E77" t="s">
        <v>58</v>
      </c>
      <c r="F77" t="s">
        <v>91</v>
      </c>
      <c r="G77" t="s">
        <v>112</v>
      </c>
      <c r="H77" t="s">
        <v>50</v>
      </c>
      <c r="J77" t="s">
        <v>61</v>
      </c>
      <c r="K77" t="s">
        <v>62</v>
      </c>
      <c r="L77" t="s">
        <v>46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53</v>
      </c>
      <c r="S77">
        <v>3</v>
      </c>
      <c r="T77" t="s">
        <v>73</v>
      </c>
      <c r="U77">
        <v>4</v>
      </c>
      <c r="V77">
        <v>4</v>
      </c>
      <c r="W77" t="s">
        <v>63</v>
      </c>
      <c r="X77">
        <v>153</v>
      </c>
      <c r="Y77" t="s">
        <v>54</v>
      </c>
      <c r="Z77">
        <v>1</v>
      </c>
      <c r="AA77">
        <v>1</v>
      </c>
      <c r="AB77">
        <v>1</v>
      </c>
      <c r="AC77">
        <f t="shared" si="1"/>
        <v>1</v>
      </c>
      <c r="AD77">
        <v>5</v>
      </c>
      <c r="AE77">
        <v>4</v>
      </c>
      <c r="AF77">
        <v>4</v>
      </c>
      <c r="AG77">
        <v>3</v>
      </c>
      <c r="AH77">
        <v>1</v>
      </c>
      <c r="AI77">
        <v>1</v>
      </c>
      <c r="AJ77">
        <v>1</v>
      </c>
      <c r="AK77">
        <v>1</v>
      </c>
      <c r="AL77">
        <v>2</v>
      </c>
      <c r="AM77">
        <v>6</v>
      </c>
    </row>
    <row r="78" spans="1:39" x14ac:dyDescent="0.3">
      <c r="A78" t="s">
        <v>67</v>
      </c>
      <c r="B78" t="s">
        <v>68</v>
      </c>
      <c r="C78" t="s">
        <v>56</v>
      </c>
      <c r="D78" t="s">
        <v>57</v>
      </c>
      <c r="E78" t="s">
        <v>43</v>
      </c>
      <c r="F78" t="s">
        <v>98</v>
      </c>
      <c r="G78" t="s">
        <v>101</v>
      </c>
      <c r="H78" t="s">
        <v>46</v>
      </c>
      <c r="I78" t="s">
        <v>98</v>
      </c>
      <c r="J78" t="s">
        <v>99</v>
      </c>
      <c r="K78" t="s">
        <v>124</v>
      </c>
      <c r="L78" t="s">
        <v>46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53</v>
      </c>
      <c r="S78">
        <v>3</v>
      </c>
      <c r="T78" t="s">
        <v>52</v>
      </c>
      <c r="U78">
        <v>4</v>
      </c>
      <c r="V78">
        <v>3</v>
      </c>
      <c r="W78" t="s">
        <v>65</v>
      </c>
      <c r="X78">
        <v>80</v>
      </c>
      <c r="Y78" t="s">
        <v>83</v>
      </c>
      <c r="Z78">
        <v>3</v>
      </c>
      <c r="AA78">
        <v>2</v>
      </c>
      <c r="AB78">
        <v>2</v>
      </c>
      <c r="AC78">
        <f t="shared" si="1"/>
        <v>1</v>
      </c>
      <c r="AD78">
        <v>5</v>
      </c>
      <c r="AE78">
        <v>2</v>
      </c>
      <c r="AF78">
        <v>3</v>
      </c>
      <c r="AG78">
        <v>5</v>
      </c>
      <c r="AH78">
        <v>1</v>
      </c>
      <c r="AI78">
        <v>1</v>
      </c>
      <c r="AJ78">
        <v>2</v>
      </c>
      <c r="AK78">
        <v>1</v>
      </c>
      <c r="AL78">
        <v>1</v>
      </c>
      <c r="AM78">
        <v>6</v>
      </c>
    </row>
    <row r="79" spans="1:39" x14ac:dyDescent="0.3">
      <c r="A79" t="s">
        <v>67</v>
      </c>
      <c r="B79" t="s">
        <v>40</v>
      </c>
      <c r="C79" t="s">
        <v>56</v>
      </c>
      <c r="D79" t="s">
        <v>57</v>
      </c>
      <c r="E79" t="s">
        <v>58</v>
      </c>
      <c r="F79" t="s">
        <v>71</v>
      </c>
      <c r="G79" t="s">
        <v>45</v>
      </c>
      <c r="H79" t="s">
        <v>50</v>
      </c>
      <c r="J79" t="s">
        <v>61</v>
      </c>
      <c r="K79" t="s">
        <v>62</v>
      </c>
      <c r="L79" t="s">
        <v>46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53</v>
      </c>
      <c r="S79">
        <v>3</v>
      </c>
      <c r="T79" t="s">
        <v>64</v>
      </c>
      <c r="U79">
        <v>5</v>
      </c>
      <c r="V79">
        <v>4</v>
      </c>
      <c r="W79" t="s">
        <v>65</v>
      </c>
      <c r="X79">
        <v>71</v>
      </c>
      <c r="Y79" t="s">
        <v>74</v>
      </c>
      <c r="Z79">
        <v>5</v>
      </c>
      <c r="AA79">
        <v>1</v>
      </c>
      <c r="AB79">
        <v>1</v>
      </c>
      <c r="AC79">
        <f t="shared" si="1"/>
        <v>1</v>
      </c>
      <c r="AD79">
        <v>5</v>
      </c>
      <c r="AE79">
        <v>5</v>
      </c>
      <c r="AF79">
        <v>3</v>
      </c>
      <c r="AG79">
        <v>2</v>
      </c>
      <c r="AH79">
        <v>1</v>
      </c>
      <c r="AI79">
        <v>1</v>
      </c>
      <c r="AJ79">
        <v>1</v>
      </c>
      <c r="AK79">
        <v>1</v>
      </c>
      <c r="AL79">
        <v>2</v>
      </c>
      <c r="AM79">
        <v>6</v>
      </c>
    </row>
    <row r="80" spans="1:39" x14ac:dyDescent="0.3">
      <c r="A80" t="s">
        <v>67</v>
      </c>
      <c r="B80" t="s">
        <v>68</v>
      </c>
      <c r="C80" t="s">
        <v>56</v>
      </c>
      <c r="D80" t="s">
        <v>57</v>
      </c>
      <c r="E80" t="s">
        <v>89</v>
      </c>
      <c r="F80" t="s">
        <v>47</v>
      </c>
      <c r="G80" t="s">
        <v>112</v>
      </c>
      <c r="H80" t="s">
        <v>46</v>
      </c>
      <c r="I80" t="s">
        <v>47</v>
      </c>
      <c r="J80" t="s">
        <v>61</v>
      </c>
      <c r="K80" t="s">
        <v>106</v>
      </c>
      <c r="L80" t="s">
        <v>50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53</v>
      </c>
      <c r="S80">
        <v>2</v>
      </c>
      <c r="T80" t="s">
        <v>73</v>
      </c>
      <c r="U80">
        <v>3</v>
      </c>
      <c r="V80">
        <v>3</v>
      </c>
      <c r="W80" t="s">
        <v>65</v>
      </c>
      <c r="X80">
        <v>116</v>
      </c>
      <c r="Y80" t="s">
        <v>66</v>
      </c>
      <c r="Z80">
        <v>1</v>
      </c>
      <c r="AA80">
        <v>2</v>
      </c>
      <c r="AB80">
        <v>1</v>
      </c>
      <c r="AC80">
        <f t="shared" si="1"/>
        <v>0</v>
      </c>
      <c r="AD80">
        <v>5</v>
      </c>
      <c r="AE80">
        <v>4</v>
      </c>
      <c r="AF80">
        <v>3</v>
      </c>
      <c r="AG80">
        <v>4</v>
      </c>
      <c r="AH80">
        <v>2</v>
      </c>
      <c r="AI80">
        <v>1</v>
      </c>
      <c r="AJ80">
        <v>1</v>
      </c>
      <c r="AK80">
        <v>1</v>
      </c>
      <c r="AL80">
        <v>1</v>
      </c>
      <c r="AM80">
        <v>6</v>
      </c>
    </row>
    <row r="81" spans="1:39" x14ac:dyDescent="0.3">
      <c r="A81" t="s">
        <v>67</v>
      </c>
      <c r="B81" t="s">
        <v>40</v>
      </c>
      <c r="C81" t="s">
        <v>56</v>
      </c>
      <c r="D81" t="s">
        <v>57</v>
      </c>
      <c r="E81" t="s">
        <v>43</v>
      </c>
      <c r="F81" t="s">
        <v>131</v>
      </c>
      <c r="G81" t="s">
        <v>92</v>
      </c>
      <c r="H81" t="s">
        <v>50</v>
      </c>
      <c r="J81" t="s">
        <v>61</v>
      </c>
      <c r="K81" t="s">
        <v>62</v>
      </c>
      <c r="L81" t="s">
        <v>46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63</v>
      </c>
      <c r="S81">
        <v>3</v>
      </c>
      <c r="T81" t="s">
        <v>73</v>
      </c>
      <c r="U81">
        <v>4</v>
      </c>
      <c r="V81">
        <v>4</v>
      </c>
      <c r="W81" t="s">
        <v>63</v>
      </c>
      <c r="X81">
        <v>135</v>
      </c>
      <c r="Y81" t="s">
        <v>85</v>
      </c>
      <c r="Z81">
        <v>2</v>
      </c>
      <c r="AA81">
        <v>1</v>
      </c>
      <c r="AB81">
        <v>1</v>
      </c>
      <c r="AC81">
        <f t="shared" si="1"/>
        <v>1</v>
      </c>
      <c r="AD81">
        <v>4</v>
      </c>
      <c r="AE81">
        <v>4</v>
      </c>
      <c r="AF81">
        <v>4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2</v>
      </c>
      <c r="AM81">
        <v>6</v>
      </c>
    </row>
    <row r="82" spans="1:39" x14ac:dyDescent="0.3">
      <c r="A82" t="s">
        <v>67</v>
      </c>
      <c r="B82" t="s">
        <v>40</v>
      </c>
      <c r="C82" t="s">
        <v>56</v>
      </c>
      <c r="D82" t="s">
        <v>57</v>
      </c>
      <c r="E82" t="s">
        <v>43</v>
      </c>
      <c r="F82" t="s">
        <v>82</v>
      </c>
      <c r="G82" t="s">
        <v>60</v>
      </c>
      <c r="H82" t="s">
        <v>46</v>
      </c>
      <c r="I82" t="s">
        <v>98</v>
      </c>
      <c r="J82" t="s">
        <v>61</v>
      </c>
      <c r="K82" t="s">
        <v>127</v>
      </c>
      <c r="L82" t="s">
        <v>50</v>
      </c>
      <c r="M82">
        <v>3</v>
      </c>
      <c r="N82">
        <v>3</v>
      </c>
      <c r="O82">
        <v>4</v>
      </c>
      <c r="P82">
        <v>3</v>
      </c>
      <c r="Q82">
        <v>3</v>
      </c>
      <c r="R82" t="s">
        <v>65</v>
      </c>
      <c r="S82">
        <v>2</v>
      </c>
      <c r="T82" t="s">
        <v>52</v>
      </c>
      <c r="U82">
        <v>4</v>
      </c>
      <c r="V82">
        <v>4</v>
      </c>
      <c r="W82" t="s">
        <v>78</v>
      </c>
      <c r="X82">
        <v>70</v>
      </c>
      <c r="Y82" t="s">
        <v>66</v>
      </c>
      <c r="Z82">
        <v>6</v>
      </c>
      <c r="AA82">
        <v>2</v>
      </c>
      <c r="AB82">
        <v>1</v>
      </c>
      <c r="AC82">
        <f t="shared" si="1"/>
        <v>0</v>
      </c>
      <c r="AD82">
        <v>3</v>
      </c>
      <c r="AE82">
        <v>2</v>
      </c>
      <c r="AF82">
        <v>2</v>
      </c>
      <c r="AG82">
        <v>4</v>
      </c>
      <c r="AH82">
        <v>1</v>
      </c>
      <c r="AI82">
        <v>2</v>
      </c>
      <c r="AJ82">
        <v>1</v>
      </c>
      <c r="AK82">
        <v>1</v>
      </c>
      <c r="AL82">
        <v>1</v>
      </c>
      <c r="AM82">
        <v>6</v>
      </c>
    </row>
    <row r="83" spans="1:39" x14ac:dyDescent="0.3">
      <c r="A83" t="s">
        <v>67</v>
      </c>
      <c r="B83" t="s">
        <v>95</v>
      </c>
      <c r="C83" t="s">
        <v>75</v>
      </c>
      <c r="D83" t="s">
        <v>57</v>
      </c>
      <c r="E83" t="s">
        <v>69</v>
      </c>
      <c r="G83" t="s">
        <v>101</v>
      </c>
      <c r="H83" t="s">
        <v>50</v>
      </c>
      <c r="J83" t="s">
        <v>61</v>
      </c>
      <c r="K83" t="s">
        <v>62</v>
      </c>
      <c r="L83" t="s">
        <v>50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63</v>
      </c>
      <c r="S83">
        <v>3</v>
      </c>
      <c r="T83" t="s">
        <v>79</v>
      </c>
      <c r="U83">
        <v>3</v>
      </c>
      <c r="V83">
        <v>3</v>
      </c>
      <c r="W83" t="s">
        <v>51</v>
      </c>
      <c r="X83">
        <v>68</v>
      </c>
      <c r="Y83" t="s">
        <v>74</v>
      </c>
      <c r="Z83">
        <v>3</v>
      </c>
      <c r="AA83">
        <v>1</v>
      </c>
      <c r="AB83">
        <v>1</v>
      </c>
      <c r="AC83">
        <f t="shared" si="1"/>
        <v>0</v>
      </c>
      <c r="AD83">
        <v>4</v>
      </c>
      <c r="AE83">
        <v>3</v>
      </c>
      <c r="AF83">
        <v>1</v>
      </c>
      <c r="AG83">
        <v>2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6</v>
      </c>
    </row>
    <row r="84" spans="1:39" x14ac:dyDescent="0.3">
      <c r="A84" t="s">
        <v>67</v>
      </c>
      <c r="B84" t="s">
        <v>40</v>
      </c>
      <c r="C84" t="s">
        <v>56</v>
      </c>
      <c r="D84" t="s">
        <v>57</v>
      </c>
      <c r="E84" t="s">
        <v>43</v>
      </c>
      <c r="F84" t="s">
        <v>110</v>
      </c>
      <c r="G84" t="s">
        <v>101</v>
      </c>
      <c r="H84" t="s">
        <v>46</v>
      </c>
      <c r="I84" t="s">
        <v>47</v>
      </c>
      <c r="J84" t="s">
        <v>48</v>
      </c>
      <c r="K84" t="s">
        <v>100</v>
      </c>
      <c r="L84" t="s">
        <v>50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63</v>
      </c>
      <c r="S84">
        <v>4</v>
      </c>
      <c r="T84" t="s">
        <v>73</v>
      </c>
      <c r="U84">
        <v>3</v>
      </c>
      <c r="V84">
        <v>2</v>
      </c>
      <c r="W84" t="s">
        <v>53</v>
      </c>
      <c r="X84">
        <v>111</v>
      </c>
      <c r="Y84" t="s">
        <v>66</v>
      </c>
      <c r="Z84">
        <v>3</v>
      </c>
      <c r="AA84">
        <v>2</v>
      </c>
      <c r="AB84">
        <v>5</v>
      </c>
      <c r="AC84">
        <f t="shared" si="1"/>
        <v>0</v>
      </c>
      <c r="AD84">
        <v>4</v>
      </c>
      <c r="AE84">
        <v>4</v>
      </c>
      <c r="AF84">
        <v>5</v>
      </c>
      <c r="AG84">
        <v>4</v>
      </c>
      <c r="AH84">
        <v>1</v>
      </c>
      <c r="AI84">
        <v>1</v>
      </c>
      <c r="AJ84">
        <v>1</v>
      </c>
      <c r="AK84">
        <v>2</v>
      </c>
      <c r="AL84">
        <v>1</v>
      </c>
      <c r="AM84">
        <v>6</v>
      </c>
    </row>
    <row r="85" spans="1:39" x14ac:dyDescent="0.3">
      <c r="A85" t="s">
        <v>67</v>
      </c>
      <c r="B85" t="s">
        <v>68</v>
      </c>
      <c r="C85" t="s">
        <v>56</v>
      </c>
      <c r="D85" t="s">
        <v>42</v>
      </c>
      <c r="E85" t="s">
        <v>43</v>
      </c>
      <c r="G85" t="s">
        <v>60</v>
      </c>
      <c r="H85" t="s">
        <v>46</v>
      </c>
      <c r="I85" t="s">
        <v>47</v>
      </c>
      <c r="J85" t="s">
        <v>99</v>
      </c>
      <c r="K85" t="s">
        <v>84</v>
      </c>
      <c r="L85" t="s">
        <v>50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51</v>
      </c>
      <c r="S85">
        <v>4</v>
      </c>
      <c r="T85" t="s">
        <v>79</v>
      </c>
      <c r="U85">
        <v>3</v>
      </c>
      <c r="V85">
        <v>2</v>
      </c>
      <c r="W85" t="s">
        <v>65</v>
      </c>
      <c r="X85">
        <v>56</v>
      </c>
      <c r="Y85" t="s">
        <v>66</v>
      </c>
      <c r="Z85">
        <v>6</v>
      </c>
      <c r="AA85">
        <v>2</v>
      </c>
      <c r="AB85">
        <v>2</v>
      </c>
      <c r="AC85">
        <f t="shared" si="1"/>
        <v>0</v>
      </c>
      <c r="AD85">
        <v>1</v>
      </c>
      <c r="AE85">
        <v>3</v>
      </c>
      <c r="AF85">
        <v>3</v>
      </c>
      <c r="AG85">
        <v>4</v>
      </c>
      <c r="AH85">
        <v>1</v>
      </c>
      <c r="AI85">
        <v>1</v>
      </c>
      <c r="AJ85">
        <v>2</v>
      </c>
      <c r="AK85">
        <v>1</v>
      </c>
      <c r="AL85">
        <v>2</v>
      </c>
      <c r="AM85">
        <v>7</v>
      </c>
    </row>
    <row r="86" spans="1:39" x14ac:dyDescent="0.3">
      <c r="A86" t="s">
        <v>67</v>
      </c>
      <c r="B86" t="s">
        <v>68</v>
      </c>
      <c r="C86" t="s">
        <v>56</v>
      </c>
      <c r="D86" t="s">
        <v>57</v>
      </c>
      <c r="E86" t="s">
        <v>69</v>
      </c>
      <c r="F86" t="s">
        <v>110</v>
      </c>
      <c r="G86" t="s">
        <v>92</v>
      </c>
      <c r="H86" t="s">
        <v>50</v>
      </c>
      <c r="J86" t="s">
        <v>61</v>
      </c>
      <c r="K86" t="s">
        <v>62</v>
      </c>
      <c r="L86" t="s">
        <v>50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63</v>
      </c>
      <c r="S86">
        <v>3</v>
      </c>
      <c r="T86" t="s">
        <v>73</v>
      </c>
      <c r="U86">
        <v>3</v>
      </c>
      <c r="V86">
        <v>4</v>
      </c>
      <c r="W86" t="s">
        <v>65</v>
      </c>
      <c r="X86">
        <v>91</v>
      </c>
      <c r="Y86" t="s">
        <v>74</v>
      </c>
      <c r="Z86">
        <v>2</v>
      </c>
      <c r="AA86">
        <v>1</v>
      </c>
      <c r="AB86">
        <v>1</v>
      </c>
      <c r="AC86">
        <f t="shared" si="1"/>
        <v>0</v>
      </c>
      <c r="AD86">
        <v>4</v>
      </c>
      <c r="AE86">
        <v>4</v>
      </c>
      <c r="AF86">
        <v>3</v>
      </c>
      <c r="AG86">
        <v>2</v>
      </c>
      <c r="AH86">
        <v>1</v>
      </c>
      <c r="AI86">
        <v>1</v>
      </c>
      <c r="AJ86">
        <v>1</v>
      </c>
      <c r="AK86">
        <v>1</v>
      </c>
      <c r="AL86">
        <v>2</v>
      </c>
      <c r="AM86">
        <v>6</v>
      </c>
    </row>
    <row r="87" spans="1:39" x14ac:dyDescent="0.3">
      <c r="A87" t="s">
        <v>67</v>
      </c>
      <c r="B87" t="s">
        <v>68</v>
      </c>
      <c r="C87" t="s">
        <v>56</v>
      </c>
      <c r="D87" t="s">
        <v>42</v>
      </c>
      <c r="E87" t="s">
        <v>95</v>
      </c>
      <c r="G87" t="s">
        <v>101</v>
      </c>
      <c r="H87" t="s">
        <v>46</v>
      </c>
      <c r="I87" t="s">
        <v>47</v>
      </c>
      <c r="J87" t="s">
        <v>99</v>
      </c>
      <c r="K87" t="s">
        <v>129</v>
      </c>
      <c r="L87" t="s">
        <v>46</v>
      </c>
      <c r="M87">
        <v>2</v>
      </c>
      <c r="N87">
        <v>2</v>
      </c>
      <c r="O87">
        <v>3</v>
      </c>
      <c r="P87">
        <v>2</v>
      </c>
      <c r="Q87">
        <v>2</v>
      </c>
      <c r="R87" t="s">
        <v>65</v>
      </c>
      <c r="S87">
        <v>4</v>
      </c>
      <c r="T87" t="s">
        <v>52</v>
      </c>
      <c r="U87">
        <v>3</v>
      </c>
      <c r="V87">
        <v>2</v>
      </c>
      <c r="W87" t="s">
        <v>53</v>
      </c>
      <c r="X87">
        <v>155</v>
      </c>
      <c r="Y87" t="s">
        <v>74</v>
      </c>
      <c r="Z87">
        <v>3</v>
      </c>
      <c r="AA87">
        <v>2</v>
      </c>
      <c r="AB87">
        <v>2</v>
      </c>
      <c r="AC87">
        <f t="shared" si="1"/>
        <v>1</v>
      </c>
      <c r="AD87">
        <v>3</v>
      </c>
      <c r="AE87">
        <v>2</v>
      </c>
      <c r="AF87">
        <v>5</v>
      </c>
      <c r="AG87">
        <v>2</v>
      </c>
      <c r="AH87">
        <v>1</v>
      </c>
      <c r="AI87">
        <v>1</v>
      </c>
      <c r="AJ87">
        <v>2</v>
      </c>
      <c r="AK87">
        <v>2</v>
      </c>
      <c r="AL87">
        <v>2</v>
      </c>
      <c r="AM87">
        <v>8</v>
      </c>
    </row>
    <row r="88" spans="1:39" x14ac:dyDescent="0.3">
      <c r="A88" t="s">
        <v>116</v>
      </c>
      <c r="B88" t="s">
        <v>68</v>
      </c>
      <c r="C88" t="s">
        <v>56</v>
      </c>
      <c r="D88" t="s">
        <v>57</v>
      </c>
      <c r="E88" t="s">
        <v>58</v>
      </c>
      <c r="F88" t="s">
        <v>98</v>
      </c>
      <c r="G88" t="s">
        <v>108</v>
      </c>
      <c r="H88" t="s">
        <v>50</v>
      </c>
      <c r="J88" t="s">
        <v>61</v>
      </c>
      <c r="K88" t="s">
        <v>62</v>
      </c>
      <c r="L88" t="s">
        <v>50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63</v>
      </c>
      <c r="S88">
        <v>4</v>
      </c>
      <c r="T88" t="s">
        <v>52</v>
      </c>
      <c r="U88">
        <v>3</v>
      </c>
      <c r="V88">
        <v>3</v>
      </c>
      <c r="W88" t="s">
        <v>78</v>
      </c>
      <c r="X88">
        <v>23</v>
      </c>
      <c r="Y88" t="s">
        <v>66</v>
      </c>
      <c r="Z88">
        <v>7</v>
      </c>
      <c r="AA88">
        <v>1</v>
      </c>
      <c r="AB88">
        <v>1</v>
      </c>
      <c r="AC88">
        <f t="shared" si="1"/>
        <v>0</v>
      </c>
      <c r="AD88">
        <v>4</v>
      </c>
      <c r="AE88">
        <v>2</v>
      </c>
      <c r="AF88">
        <v>2</v>
      </c>
      <c r="AG88">
        <v>4</v>
      </c>
      <c r="AH88">
        <v>1</v>
      </c>
      <c r="AI88">
        <v>1</v>
      </c>
      <c r="AJ88">
        <v>1</v>
      </c>
      <c r="AK88">
        <v>1</v>
      </c>
      <c r="AL88">
        <v>2</v>
      </c>
      <c r="AM88">
        <v>6</v>
      </c>
    </row>
    <row r="89" spans="1:39" x14ac:dyDescent="0.3">
      <c r="A89" t="s">
        <v>67</v>
      </c>
      <c r="B89" t="s">
        <v>68</v>
      </c>
      <c r="C89" t="s">
        <v>56</v>
      </c>
      <c r="D89" t="s">
        <v>57</v>
      </c>
      <c r="E89" t="s">
        <v>69</v>
      </c>
      <c r="F89" t="s">
        <v>47</v>
      </c>
      <c r="G89" t="s">
        <v>92</v>
      </c>
      <c r="H89" t="s">
        <v>50</v>
      </c>
      <c r="J89" t="s">
        <v>61</v>
      </c>
      <c r="K89" t="s">
        <v>62</v>
      </c>
      <c r="L89" t="s">
        <v>46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63</v>
      </c>
      <c r="S89">
        <v>3</v>
      </c>
      <c r="T89" t="s">
        <v>64</v>
      </c>
      <c r="U89">
        <v>4</v>
      </c>
      <c r="V89">
        <v>4</v>
      </c>
      <c r="W89" t="s">
        <v>53</v>
      </c>
      <c r="X89">
        <v>154</v>
      </c>
      <c r="Y89" t="s">
        <v>83</v>
      </c>
      <c r="Z89">
        <v>2</v>
      </c>
      <c r="AA89">
        <v>1</v>
      </c>
      <c r="AB89">
        <v>1</v>
      </c>
      <c r="AC89">
        <f t="shared" si="1"/>
        <v>1</v>
      </c>
      <c r="AD89">
        <v>4</v>
      </c>
      <c r="AE89">
        <v>5</v>
      </c>
      <c r="AF89">
        <v>5</v>
      </c>
      <c r="AG89">
        <v>5</v>
      </c>
      <c r="AH89">
        <v>1</v>
      </c>
      <c r="AI89">
        <v>1</v>
      </c>
      <c r="AJ89">
        <v>1</v>
      </c>
      <c r="AK89">
        <v>1</v>
      </c>
      <c r="AL89">
        <v>2</v>
      </c>
      <c r="AM89">
        <v>6</v>
      </c>
    </row>
    <row r="90" spans="1:39" x14ac:dyDescent="0.3">
      <c r="A90" t="s">
        <v>67</v>
      </c>
      <c r="B90" t="s">
        <v>40</v>
      </c>
      <c r="C90" t="s">
        <v>56</v>
      </c>
      <c r="D90" t="s">
        <v>57</v>
      </c>
      <c r="E90" t="s">
        <v>69</v>
      </c>
      <c r="G90" t="s">
        <v>108</v>
      </c>
      <c r="H90" t="s">
        <v>46</v>
      </c>
      <c r="I90" t="s">
        <v>71</v>
      </c>
      <c r="J90" t="s">
        <v>76</v>
      </c>
      <c r="K90" t="s">
        <v>62</v>
      </c>
      <c r="L90" t="s">
        <v>50</v>
      </c>
      <c r="M90">
        <v>3</v>
      </c>
      <c r="N90">
        <v>4</v>
      </c>
      <c r="O90">
        <v>4</v>
      </c>
      <c r="P90">
        <v>4</v>
      </c>
      <c r="Q90">
        <v>3</v>
      </c>
      <c r="R90" t="s">
        <v>65</v>
      </c>
      <c r="S90">
        <v>2</v>
      </c>
      <c r="T90" t="s">
        <v>52</v>
      </c>
      <c r="U90">
        <v>4</v>
      </c>
      <c r="V90">
        <v>4</v>
      </c>
      <c r="W90" t="s">
        <v>53</v>
      </c>
      <c r="X90">
        <v>129</v>
      </c>
      <c r="Y90" t="s">
        <v>66</v>
      </c>
      <c r="Z90">
        <v>7</v>
      </c>
      <c r="AA90">
        <v>2</v>
      </c>
      <c r="AB90">
        <v>3</v>
      </c>
      <c r="AC90">
        <f t="shared" si="1"/>
        <v>0</v>
      </c>
      <c r="AD90">
        <v>3</v>
      </c>
      <c r="AE90">
        <v>2</v>
      </c>
      <c r="AF90">
        <v>5</v>
      </c>
      <c r="AG90">
        <v>4</v>
      </c>
      <c r="AH90">
        <v>1</v>
      </c>
      <c r="AI90">
        <v>1</v>
      </c>
      <c r="AJ90">
        <v>1</v>
      </c>
      <c r="AK90">
        <v>1</v>
      </c>
      <c r="AL90">
        <v>2</v>
      </c>
      <c r="AM90">
        <v>6</v>
      </c>
    </row>
    <row r="91" spans="1:39" x14ac:dyDescent="0.3">
      <c r="A91" t="s">
        <v>67</v>
      </c>
      <c r="B91" t="s">
        <v>68</v>
      </c>
      <c r="C91" t="s">
        <v>56</v>
      </c>
      <c r="D91" t="s">
        <v>42</v>
      </c>
      <c r="E91" t="s">
        <v>58</v>
      </c>
      <c r="F91" t="s">
        <v>87</v>
      </c>
      <c r="G91" t="s">
        <v>108</v>
      </c>
      <c r="H91" t="s">
        <v>46</v>
      </c>
      <c r="I91" t="s">
        <v>47</v>
      </c>
      <c r="J91" t="s">
        <v>102</v>
      </c>
      <c r="K91" t="s">
        <v>100</v>
      </c>
      <c r="L91" t="s">
        <v>46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63</v>
      </c>
      <c r="S91">
        <v>3</v>
      </c>
      <c r="T91" t="s">
        <v>73</v>
      </c>
      <c r="U91">
        <v>2</v>
      </c>
      <c r="V91">
        <v>3</v>
      </c>
      <c r="W91" t="s">
        <v>51</v>
      </c>
      <c r="X91">
        <v>85</v>
      </c>
      <c r="Y91" t="s">
        <v>85</v>
      </c>
      <c r="Z91">
        <v>7</v>
      </c>
      <c r="AA91">
        <v>2</v>
      </c>
      <c r="AB91">
        <v>4</v>
      </c>
      <c r="AC91">
        <f t="shared" si="1"/>
        <v>1</v>
      </c>
      <c r="AD91">
        <v>4</v>
      </c>
      <c r="AE91">
        <v>4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6</v>
      </c>
    </row>
    <row r="92" spans="1:39" x14ac:dyDescent="0.3">
      <c r="A92" t="s">
        <v>39</v>
      </c>
      <c r="B92" t="s">
        <v>68</v>
      </c>
      <c r="C92" t="s">
        <v>56</v>
      </c>
      <c r="D92" t="s">
        <v>57</v>
      </c>
      <c r="E92" t="s">
        <v>43</v>
      </c>
      <c r="G92" t="s">
        <v>119</v>
      </c>
      <c r="H92" t="s">
        <v>50</v>
      </c>
      <c r="J92" t="s">
        <v>61</v>
      </c>
      <c r="K92" t="s">
        <v>62</v>
      </c>
      <c r="L92" t="s">
        <v>46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63</v>
      </c>
      <c r="S92">
        <v>3</v>
      </c>
      <c r="T92" t="s">
        <v>64</v>
      </c>
      <c r="U92">
        <v>4</v>
      </c>
      <c r="V92">
        <v>5</v>
      </c>
      <c r="W92" t="s">
        <v>65</v>
      </c>
      <c r="X92">
        <v>121</v>
      </c>
      <c r="Y92" t="s">
        <v>66</v>
      </c>
      <c r="Z92">
        <v>4</v>
      </c>
      <c r="AA92">
        <v>1</v>
      </c>
      <c r="AB92">
        <v>1</v>
      </c>
      <c r="AC92">
        <f t="shared" si="1"/>
        <v>1</v>
      </c>
      <c r="AD92">
        <v>4</v>
      </c>
      <c r="AE92">
        <v>5</v>
      </c>
      <c r="AF92">
        <v>3</v>
      </c>
      <c r="AG92">
        <v>4</v>
      </c>
      <c r="AH92">
        <v>1</v>
      </c>
      <c r="AI92">
        <v>1</v>
      </c>
      <c r="AJ92">
        <v>1</v>
      </c>
      <c r="AK92">
        <v>1</v>
      </c>
      <c r="AL92">
        <v>2</v>
      </c>
      <c r="AM92">
        <v>6</v>
      </c>
    </row>
    <row r="93" spans="1:39" x14ac:dyDescent="0.3">
      <c r="A93" t="s">
        <v>39</v>
      </c>
      <c r="B93" t="s">
        <v>68</v>
      </c>
      <c r="C93" t="s">
        <v>75</v>
      </c>
      <c r="D93" t="s">
        <v>57</v>
      </c>
      <c r="E93" t="s">
        <v>69</v>
      </c>
      <c r="F93" t="s">
        <v>96</v>
      </c>
      <c r="G93" t="s">
        <v>112</v>
      </c>
      <c r="H93" t="s">
        <v>46</v>
      </c>
      <c r="I93" t="s">
        <v>71</v>
      </c>
      <c r="J93" t="s">
        <v>99</v>
      </c>
      <c r="K93" t="s">
        <v>130</v>
      </c>
      <c r="L93" t="s">
        <v>46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53</v>
      </c>
      <c r="S93">
        <v>4</v>
      </c>
      <c r="T93" t="s">
        <v>52</v>
      </c>
      <c r="U93">
        <v>3</v>
      </c>
      <c r="V93">
        <v>3</v>
      </c>
      <c r="W93" t="s">
        <v>65</v>
      </c>
      <c r="X93">
        <v>95</v>
      </c>
      <c r="Y93" t="s">
        <v>66</v>
      </c>
      <c r="Z93">
        <v>1</v>
      </c>
      <c r="AA93">
        <v>2</v>
      </c>
      <c r="AB93">
        <v>2</v>
      </c>
      <c r="AC93">
        <f t="shared" si="1"/>
        <v>1</v>
      </c>
      <c r="AD93">
        <v>5</v>
      </c>
      <c r="AE93">
        <v>2</v>
      </c>
      <c r="AF93">
        <v>3</v>
      </c>
      <c r="AG93">
        <v>4</v>
      </c>
      <c r="AH93">
        <v>2</v>
      </c>
      <c r="AI93">
        <v>2</v>
      </c>
      <c r="AJ93">
        <v>1</v>
      </c>
      <c r="AK93">
        <v>2</v>
      </c>
      <c r="AL93">
        <v>1</v>
      </c>
      <c r="AM93">
        <v>8</v>
      </c>
    </row>
    <row r="94" spans="1:39" x14ac:dyDescent="0.3">
      <c r="A94" t="s">
        <v>39</v>
      </c>
      <c r="B94" t="s">
        <v>68</v>
      </c>
      <c r="C94" t="s">
        <v>56</v>
      </c>
      <c r="D94" t="s">
        <v>42</v>
      </c>
      <c r="E94" t="s">
        <v>95</v>
      </c>
      <c r="F94" t="s">
        <v>107</v>
      </c>
      <c r="G94" t="s">
        <v>45</v>
      </c>
      <c r="H94" t="s">
        <v>50</v>
      </c>
      <c r="J94" t="s">
        <v>61</v>
      </c>
      <c r="K94" t="s">
        <v>62</v>
      </c>
      <c r="L94" t="s">
        <v>50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53</v>
      </c>
      <c r="S94">
        <v>3</v>
      </c>
      <c r="T94" t="s">
        <v>73</v>
      </c>
      <c r="U94">
        <v>4</v>
      </c>
      <c r="V94">
        <v>5</v>
      </c>
      <c r="W94" t="s">
        <v>65</v>
      </c>
      <c r="X94">
        <v>74</v>
      </c>
      <c r="Y94" t="s">
        <v>54</v>
      </c>
      <c r="Z94">
        <v>5</v>
      </c>
      <c r="AA94">
        <v>1</v>
      </c>
      <c r="AB94">
        <v>1</v>
      </c>
      <c r="AC94">
        <f t="shared" si="1"/>
        <v>0</v>
      </c>
      <c r="AD94">
        <v>5</v>
      </c>
      <c r="AE94">
        <v>4</v>
      </c>
      <c r="AF94">
        <v>3</v>
      </c>
      <c r="AG94">
        <v>3</v>
      </c>
      <c r="AH94">
        <v>1</v>
      </c>
      <c r="AI94">
        <v>1</v>
      </c>
      <c r="AJ94">
        <v>1</v>
      </c>
      <c r="AK94">
        <v>1</v>
      </c>
      <c r="AL94">
        <v>2</v>
      </c>
      <c r="AM94">
        <v>6</v>
      </c>
    </row>
    <row r="95" spans="1:39" x14ac:dyDescent="0.3">
      <c r="A95" t="s">
        <v>67</v>
      </c>
      <c r="B95" t="s">
        <v>68</v>
      </c>
      <c r="C95" t="s">
        <v>56</v>
      </c>
      <c r="D95" t="s">
        <v>57</v>
      </c>
      <c r="E95" t="s">
        <v>69</v>
      </c>
      <c r="F95" t="s">
        <v>88</v>
      </c>
      <c r="G95" t="s">
        <v>45</v>
      </c>
      <c r="H95" t="s">
        <v>46</v>
      </c>
      <c r="I95" t="s">
        <v>47</v>
      </c>
      <c r="J95" t="s">
        <v>76</v>
      </c>
      <c r="K95" t="s">
        <v>90</v>
      </c>
      <c r="L95" t="s">
        <v>50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53</v>
      </c>
      <c r="S95">
        <v>2</v>
      </c>
      <c r="T95" t="s">
        <v>73</v>
      </c>
      <c r="U95">
        <v>4</v>
      </c>
      <c r="V95">
        <v>4</v>
      </c>
      <c r="W95" t="s">
        <v>63</v>
      </c>
      <c r="X95">
        <v>88</v>
      </c>
      <c r="Y95" t="s">
        <v>74</v>
      </c>
      <c r="Z95">
        <v>5</v>
      </c>
      <c r="AA95">
        <v>2</v>
      </c>
      <c r="AB95">
        <v>3</v>
      </c>
      <c r="AC95">
        <f t="shared" si="1"/>
        <v>0</v>
      </c>
      <c r="AD95">
        <v>5</v>
      </c>
      <c r="AE95">
        <v>4</v>
      </c>
      <c r="AF95">
        <v>4</v>
      </c>
      <c r="AG95">
        <v>2</v>
      </c>
      <c r="AH95">
        <v>1</v>
      </c>
      <c r="AI95">
        <v>2</v>
      </c>
      <c r="AJ95">
        <v>2</v>
      </c>
      <c r="AK95">
        <v>1</v>
      </c>
      <c r="AL95">
        <v>2</v>
      </c>
      <c r="AM95">
        <v>8</v>
      </c>
    </row>
    <row r="96" spans="1:39" x14ac:dyDescent="0.3">
      <c r="A96" t="s">
        <v>116</v>
      </c>
      <c r="B96" t="s">
        <v>40</v>
      </c>
      <c r="C96" t="s">
        <v>75</v>
      </c>
      <c r="D96" t="s">
        <v>80</v>
      </c>
      <c r="E96" t="s">
        <v>43</v>
      </c>
      <c r="F96" t="s">
        <v>96</v>
      </c>
      <c r="G96" t="s">
        <v>92</v>
      </c>
      <c r="H96" t="s">
        <v>50</v>
      </c>
      <c r="J96" t="s">
        <v>61</v>
      </c>
      <c r="K96" t="s">
        <v>62</v>
      </c>
      <c r="L96" t="s">
        <v>46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63</v>
      </c>
      <c r="S96">
        <v>2</v>
      </c>
      <c r="T96" t="s">
        <v>79</v>
      </c>
      <c r="U96">
        <v>4</v>
      </c>
      <c r="V96">
        <v>4</v>
      </c>
      <c r="W96" t="s">
        <v>51</v>
      </c>
      <c r="X96">
        <v>28</v>
      </c>
      <c r="Y96" t="s">
        <v>54</v>
      </c>
      <c r="Z96">
        <v>2</v>
      </c>
      <c r="AA96">
        <v>1</v>
      </c>
      <c r="AB96">
        <v>1</v>
      </c>
      <c r="AC96">
        <f t="shared" si="1"/>
        <v>1</v>
      </c>
      <c r="AD96">
        <v>4</v>
      </c>
      <c r="AE96">
        <v>3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  <c r="AL96">
        <v>2</v>
      </c>
      <c r="AM96">
        <v>6</v>
      </c>
    </row>
    <row r="97" spans="1:39" x14ac:dyDescent="0.3">
      <c r="A97" t="s">
        <v>39</v>
      </c>
      <c r="B97" t="s">
        <v>40</v>
      </c>
      <c r="C97" t="s">
        <v>56</v>
      </c>
      <c r="D97" t="s">
        <v>57</v>
      </c>
      <c r="E97" t="s">
        <v>43</v>
      </c>
      <c r="G97" t="s">
        <v>108</v>
      </c>
      <c r="H97" t="s">
        <v>46</v>
      </c>
      <c r="I97" t="s">
        <v>47</v>
      </c>
      <c r="J97" t="s">
        <v>99</v>
      </c>
      <c r="K97" t="s">
        <v>113</v>
      </c>
      <c r="L97" t="s">
        <v>50</v>
      </c>
      <c r="M97">
        <v>2</v>
      </c>
      <c r="N97">
        <v>3</v>
      </c>
      <c r="O97">
        <v>3</v>
      </c>
      <c r="P97">
        <v>3</v>
      </c>
      <c r="Q97">
        <v>2</v>
      </c>
      <c r="R97" t="s">
        <v>65</v>
      </c>
      <c r="S97">
        <v>4</v>
      </c>
      <c r="T97" t="s">
        <v>52</v>
      </c>
      <c r="U97">
        <v>4</v>
      </c>
      <c r="V97">
        <v>3</v>
      </c>
      <c r="W97" t="s">
        <v>51</v>
      </c>
      <c r="X97">
        <v>26</v>
      </c>
      <c r="Y97" t="s">
        <v>66</v>
      </c>
      <c r="Z97">
        <v>7</v>
      </c>
      <c r="AA97">
        <v>2</v>
      </c>
      <c r="AB97">
        <v>2</v>
      </c>
      <c r="AC97">
        <f t="shared" si="1"/>
        <v>0</v>
      </c>
      <c r="AD97">
        <v>3</v>
      </c>
      <c r="AE97">
        <v>2</v>
      </c>
      <c r="AF97">
        <v>1</v>
      </c>
      <c r="AG97">
        <v>4</v>
      </c>
      <c r="AH97">
        <v>2</v>
      </c>
      <c r="AI97">
        <v>2</v>
      </c>
      <c r="AJ97">
        <v>1</v>
      </c>
      <c r="AK97">
        <v>1</v>
      </c>
      <c r="AL97">
        <v>2</v>
      </c>
      <c r="AM97">
        <v>8</v>
      </c>
    </row>
    <row r="98" spans="1:39" x14ac:dyDescent="0.3">
      <c r="A98" t="s">
        <v>67</v>
      </c>
      <c r="B98" t="s">
        <v>40</v>
      </c>
      <c r="C98" t="s">
        <v>56</v>
      </c>
      <c r="D98" t="s">
        <v>57</v>
      </c>
      <c r="E98" t="s">
        <v>58</v>
      </c>
      <c r="F98" t="s">
        <v>132</v>
      </c>
      <c r="G98" t="s">
        <v>112</v>
      </c>
      <c r="H98" t="s">
        <v>46</v>
      </c>
      <c r="I98" t="s">
        <v>47</v>
      </c>
      <c r="J98" t="s">
        <v>61</v>
      </c>
      <c r="K98" t="s">
        <v>125</v>
      </c>
      <c r="L98" t="s">
        <v>46</v>
      </c>
      <c r="M98">
        <v>2</v>
      </c>
      <c r="N98">
        <v>3</v>
      </c>
      <c r="O98">
        <v>4</v>
      </c>
      <c r="P98">
        <v>3</v>
      </c>
      <c r="Q98">
        <v>3</v>
      </c>
      <c r="R98" t="s">
        <v>65</v>
      </c>
      <c r="S98">
        <v>3</v>
      </c>
      <c r="T98" t="s">
        <v>52</v>
      </c>
      <c r="U98">
        <v>4</v>
      </c>
      <c r="V98">
        <v>4</v>
      </c>
      <c r="W98" t="s">
        <v>65</v>
      </c>
      <c r="X98">
        <v>130</v>
      </c>
      <c r="Y98" t="s">
        <v>74</v>
      </c>
      <c r="Z98">
        <v>1</v>
      </c>
      <c r="AA98">
        <v>2</v>
      </c>
      <c r="AB98">
        <v>1</v>
      </c>
      <c r="AC98">
        <f t="shared" si="1"/>
        <v>1</v>
      </c>
      <c r="AD98">
        <v>3</v>
      </c>
      <c r="AE98">
        <v>2</v>
      </c>
      <c r="AF98">
        <v>3</v>
      </c>
      <c r="AG98">
        <v>2</v>
      </c>
      <c r="AH98">
        <v>2</v>
      </c>
      <c r="AI98">
        <v>1</v>
      </c>
      <c r="AJ98">
        <v>2</v>
      </c>
      <c r="AK98">
        <v>1</v>
      </c>
      <c r="AL98">
        <v>2</v>
      </c>
      <c r="AM98">
        <v>8</v>
      </c>
    </row>
    <row r="99" spans="1:39" x14ac:dyDescent="0.3">
      <c r="A99" t="s">
        <v>67</v>
      </c>
      <c r="B99" t="s">
        <v>40</v>
      </c>
      <c r="C99" t="s">
        <v>75</v>
      </c>
      <c r="D99" t="s">
        <v>114</v>
      </c>
      <c r="E99" t="s">
        <v>43</v>
      </c>
      <c r="F99" t="s">
        <v>111</v>
      </c>
      <c r="G99" t="s">
        <v>45</v>
      </c>
      <c r="H99" t="s">
        <v>50</v>
      </c>
      <c r="J99" t="s">
        <v>61</v>
      </c>
      <c r="K99" t="s">
        <v>62</v>
      </c>
      <c r="L99" t="s">
        <v>50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53</v>
      </c>
      <c r="S99">
        <v>2</v>
      </c>
      <c r="T99" t="s">
        <v>64</v>
      </c>
      <c r="U99">
        <v>5</v>
      </c>
      <c r="V99">
        <v>5</v>
      </c>
      <c r="W99" t="s">
        <v>78</v>
      </c>
      <c r="X99">
        <v>52</v>
      </c>
      <c r="Y99" t="s">
        <v>54</v>
      </c>
      <c r="Z99">
        <v>5</v>
      </c>
      <c r="AA99">
        <v>1</v>
      </c>
      <c r="AB99">
        <v>1</v>
      </c>
      <c r="AC99">
        <f t="shared" si="1"/>
        <v>0</v>
      </c>
      <c r="AD99">
        <v>5</v>
      </c>
      <c r="AE99">
        <v>5</v>
      </c>
      <c r="AF99">
        <v>2</v>
      </c>
      <c r="AG99">
        <v>3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6</v>
      </c>
    </row>
    <row r="100" spans="1:39" x14ac:dyDescent="0.3">
      <c r="A100" t="s">
        <v>67</v>
      </c>
      <c r="B100" t="s">
        <v>40</v>
      </c>
      <c r="C100" t="s">
        <v>41</v>
      </c>
      <c r="D100" t="s">
        <v>57</v>
      </c>
      <c r="E100" t="s">
        <v>58</v>
      </c>
      <c r="F100" t="s">
        <v>111</v>
      </c>
      <c r="G100" t="s">
        <v>119</v>
      </c>
      <c r="H100" t="s">
        <v>46</v>
      </c>
      <c r="I100" t="s">
        <v>47</v>
      </c>
      <c r="J100" t="s">
        <v>76</v>
      </c>
      <c r="K100" t="s">
        <v>133</v>
      </c>
      <c r="L100" t="s">
        <v>50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78</v>
      </c>
      <c r="S100">
        <v>4</v>
      </c>
      <c r="T100" t="s">
        <v>79</v>
      </c>
      <c r="U100">
        <v>3</v>
      </c>
      <c r="V100">
        <v>3</v>
      </c>
      <c r="W100" t="s">
        <v>78</v>
      </c>
      <c r="X100">
        <v>57</v>
      </c>
      <c r="Y100" t="s">
        <v>66</v>
      </c>
      <c r="Z100">
        <v>4</v>
      </c>
      <c r="AA100">
        <v>2</v>
      </c>
      <c r="AB100">
        <v>3</v>
      </c>
      <c r="AC100">
        <f t="shared" si="1"/>
        <v>0</v>
      </c>
      <c r="AD100">
        <v>2</v>
      </c>
      <c r="AE100">
        <v>3</v>
      </c>
      <c r="AF100">
        <v>2</v>
      </c>
      <c r="AG100">
        <v>4</v>
      </c>
      <c r="AH100">
        <v>2</v>
      </c>
      <c r="AI100">
        <v>1</v>
      </c>
      <c r="AJ100">
        <v>1</v>
      </c>
      <c r="AK100">
        <v>1</v>
      </c>
      <c r="AL100">
        <v>2</v>
      </c>
      <c r="AM100">
        <v>7</v>
      </c>
    </row>
    <row r="101" spans="1:39" x14ac:dyDescent="0.3">
      <c r="A101" t="s">
        <v>97</v>
      </c>
      <c r="B101" t="s">
        <v>40</v>
      </c>
      <c r="C101" t="s">
        <v>41</v>
      </c>
      <c r="D101" t="s">
        <v>42</v>
      </c>
      <c r="E101" t="s">
        <v>58</v>
      </c>
      <c r="F101" t="s">
        <v>131</v>
      </c>
      <c r="G101" t="s">
        <v>60</v>
      </c>
      <c r="H101" t="s">
        <v>46</v>
      </c>
      <c r="I101" t="s">
        <v>71</v>
      </c>
      <c r="J101" t="s">
        <v>99</v>
      </c>
      <c r="K101" t="s">
        <v>129</v>
      </c>
      <c r="L101" t="s">
        <v>46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78</v>
      </c>
      <c r="S101">
        <v>4</v>
      </c>
      <c r="T101" t="s">
        <v>103</v>
      </c>
      <c r="U101">
        <v>3</v>
      </c>
      <c r="V101">
        <v>3</v>
      </c>
      <c r="W101" t="s">
        <v>78</v>
      </c>
      <c r="X101">
        <v>56</v>
      </c>
      <c r="Y101" t="s">
        <v>54</v>
      </c>
      <c r="Z101">
        <v>6</v>
      </c>
      <c r="AA101">
        <v>2</v>
      </c>
      <c r="AB101">
        <v>2</v>
      </c>
      <c r="AC101">
        <f t="shared" si="1"/>
        <v>1</v>
      </c>
      <c r="AD101">
        <v>2</v>
      </c>
      <c r="AE101">
        <v>1</v>
      </c>
      <c r="AF101">
        <v>2</v>
      </c>
      <c r="AG101">
        <v>3</v>
      </c>
      <c r="AH101">
        <v>1</v>
      </c>
      <c r="AI101">
        <v>1</v>
      </c>
      <c r="AJ101">
        <v>2</v>
      </c>
      <c r="AK101">
        <v>2</v>
      </c>
      <c r="AL101">
        <v>2</v>
      </c>
      <c r="AM101">
        <v>8</v>
      </c>
    </row>
    <row r="102" spans="1:39" x14ac:dyDescent="0.3">
      <c r="A102" t="s">
        <v>116</v>
      </c>
      <c r="B102" t="s">
        <v>95</v>
      </c>
      <c r="C102" t="s">
        <v>56</v>
      </c>
      <c r="D102" t="s">
        <v>80</v>
      </c>
      <c r="E102" t="s">
        <v>81</v>
      </c>
      <c r="F102" t="s">
        <v>87</v>
      </c>
      <c r="G102" t="s">
        <v>108</v>
      </c>
      <c r="H102" t="s">
        <v>46</v>
      </c>
      <c r="I102" t="s">
        <v>98</v>
      </c>
      <c r="J102" t="s">
        <v>102</v>
      </c>
      <c r="K102" t="s">
        <v>49</v>
      </c>
      <c r="L102" t="s">
        <v>46</v>
      </c>
      <c r="M102">
        <v>2</v>
      </c>
      <c r="N102">
        <v>2</v>
      </c>
      <c r="O102">
        <v>3</v>
      </c>
      <c r="P102">
        <v>1</v>
      </c>
      <c r="Q102">
        <v>1</v>
      </c>
      <c r="R102" t="s">
        <v>65</v>
      </c>
      <c r="S102">
        <v>4</v>
      </c>
      <c r="T102" t="s">
        <v>79</v>
      </c>
      <c r="U102">
        <v>2</v>
      </c>
      <c r="V102">
        <v>2</v>
      </c>
      <c r="W102" t="s">
        <v>65</v>
      </c>
      <c r="X102">
        <v>131</v>
      </c>
      <c r="Y102" t="s">
        <v>66</v>
      </c>
      <c r="Z102">
        <v>7</v>
      </c>
      <c r="AA102">
        <v>2</v>
      </c>
      <c r="AB102">
        <v>4</v>
      </c>
      <c r="AC102">
        <f t="shared" si="1"/>
        <v>1</v>
      </c>
      <c r="AD102">
        <v>3</v>
      </c>
      <c r="AE102">
        <v>3</v>
      </c>
      <c r="AF102">
        <v>3</v>
      </c>
      <c r="AG102">
        <v>4</v>
      </c>
      <c r="AH102">
        <v>1</v>
      </c>
      <c r="AI102">
        <v>2</v>
      </c>
      <c r="AJ102">
        <v>1</v>
      </c>
      <c r="AK102">
        <v>2</v>
      </c>
      <c r="AL102">
        <v>2</v>
      </c>
      <c r="AM102">
        <v>8</v>
      </c>
    </row>
    <row r="103" spans="1:39" x14ac:dyDescent="0.3">
      <c r="A103" t="s">
        <v>39</v>
      </c>
      <c r="B103" t="s">
        <v>40</v>
      </c>
      <c r="C103" t="s">
        <v>75</v>
      </c>
      <c r="D103" t="s">
        <v>80</v>
      </c>
      <c r="E103" t="s">
        <v>43</v>
      </c>
      <c r="F103" t="s">
        <v>86</v>
      </c>
      <c r="G103" t="s">
        <v>60</v>
      </c>
      <c r="H103" t="s">
        <v>50</v>
      </c>
      <c r="J103" t="s">
        <v>61</v>
      </c>
      <c r="K103" t="s">
        <v>62</v>
      </c>
      <c r="L103" t="s">
        <v>50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53</v>
      </c>
      <c r="S103">
        <v>3</v>
      </c>
      <c r="T103" t="s">
        <v>52</v>
      </c>
      <c r="U103">
        <v>4</v>
      </c>
      <c r="V103">
        <v>4</v>
      </c>
      <c r="W103" t="s">
        <v>65</v>
      </c>
      <c r="X103">
        <v>65</v>
      </c>
      <c r="Y103" t="s">
        <v>54</v>
      </c>
      <c r="Z103">
        <v>6</v>
      </c>
      <c r="AA103">
        <v>1</v>
      </c>
      <c r="AB103">
        <v>1</v>
      </c>
      <c r="AC103">
        <f t="shared" si="1"/>
        <v>0</v>
      </c>
      <c r="AD103">
        <v>5</v>
      </c>
      <c r="AE103">
        <v>2</v>
      </c>
      <c r="AF103">
        <v>3</v>
      </c>
      <c r="AG103">
        <v>3</v>
      </c>
      <c r="AH103">
        <v>1</v>
      </c>
      <c r="AI103">
        <v>1</v>
      </c>
      <c r="AJ103">
        <v>1</v>
      </c>
      <c r="AK103">
        <v>1</v>
      </c>
      <c r="AL103">
        <v>2</v>
      </c>
      <c r="AM103">
        <v>6</v>
      </c>
    </row>
    <row r="104" spans="1:39" x14ac:dyDescent="0.3">
      <c r="A104" t="s">
        <v>67</v>
      </c>
      <c r="B104" t="s">
        <v>68</v>
      </c>
      <c r="C104" t="s">
        <v>56</v>
      </c>
      <c r="D104" t="s">
        <v>57</v>
      </c>
      <c r="E104" t="s">
        <v>69</v>
      </c>
      <c r="F104" t="s">
        <v>98</v>
      </c>
      <c r="G104" t="s">
        <v>60</v>
      </c>
      <c r="H104" t="s">
        <v>46</v>
      </c>
      <c r="I104" t="s">
        <v>98</v>
      </c>
      <c r="J104" t="s">
        <v>102</v>
      </c>
      <c r="K104" t="s">
        <v>134</v>
      </c>
      <c r="L104" t="s">
        <v>46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78</v>
      </c>
      <c r="S104">
        <v>4</v>
      </c>
      <c r="T104" t="s">
        <v>73</v>
      </c>
      <c r="U104">
        <v>2</v>
      </c>
      <c r="V104">
        <v>2</v>
      </c>
      <c r="W104" t="s">
        <v>53</v>
      </c>
      <c r="X104">
        <v>122</v>
      </c>
      <c r="Y104" t="s">
        <v>54</v>
      </c>
      <c r="Z104">
        <v>6</v>
      </c>
      <c r="AA104">
        <v>2</v>
      </c>
      <c r="AB104">
        <v>4</v>
      </c>
      <c r="AC104">
        <f t="shared" si="1"/>
        <v>1</v>
      </c>
      <c r="AD104">
        <v>2</v>
      </c>
      <c r="AE104">
        <v>4</v>
      </c>
      <c r="AF104">
        <v>5</v>
      </c>
      <c r="AG104">
        <v>3</v>
      </c>
      <c r="AH104">
        <v>2</v>
      </c>
      <c r="AI104">
        <v>2</v>
      </c>
      <c r="AJ104">
        <v>2</v>
      </c>
      <c r="AK104">
        <v>1</v>
      </c>
      <c r="AL104">
        <v>1</v>
      </c>
      <c r="AM104">
        <v>8</v>
      </c>
    </row>
    <row r="105" spans="1:39" x14ac:dyDescent="0.3">
      <c r="A105" t="s">
        <v>67</v>
      </c>
      <c r="B105" t="s">
        <v>40</v>
      </c>
      <c r="C105" t="s">
        <v>56</v>
      </c>
      <c r="D105" t="s">
        <v>57</v>
      </c>
      <c r="E105" t="s">
        <v>69</v>
      </c>
      <c r="F105" t="s">
        <v>47</v>
      </c>
      <c r="G105" t="s">
        <v>108</v>
      </c>
      <c r="H105" t="s">
        <v>50</v>
      </c>
      <c r="J105" t="s">
        <v>61</v>
      </c>
      <c r="K105" t="s">
        <v>62</v>
      </c>
      <c r="L105" t="s">
        <v>50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53</v>
      </c>
      <c r="S105">
        <v>3</v>
      </c>
      <c r="T105" t="s">
        <v>79</v>
      </c>
      <c r="U105">
        <v>3</v>
      </c>
      <c r="V105">
        <v>3</v>
      </c>
      <c r="W105" t="s">
        <v>51</v>
      </c>
      <c r="X105">
        <v>39</v>
      </c>
      <c r="Y105" t="s">
        <v>66</v>
      </c>
      <c r="Z105">
        <v>7</v>
      </c>
      <c r="AA105">
        <v>1</v>
      </c>
      <c r="AB105">
        <v>1</v>
      </c>
      <c r="AC105">
        <f t="shared" si="1"/>
        <v>0</v>
      </c>
      <c r="AD105">
        <v>5</v>
      </c>
      <c r="AE105">
        <v>3</v>
      </c>
      <c r="AF105">
        <v>1</v>
      </c>
      <c r="AG105">
        <v>4</v>
      </c>
      <c r="AH105">
        <v>1</v>
      </c>
      <c r="AI105">
        <v>1</v>
      </c>
      <c r="AJ105">
        <v>1</v>
      </c>
      <c r="AK105">
        <v>1</v>
      </c>
      <c r="AL105">
        <v>2</v>
      </c>
      <c r="AM105">
        <v>6</v>
      </c>
    </row>
    <row r="106" spans="1:39" x14ac:dyDescent="0.3">
      <c r="A106" t="s">
        <v>39</v>
      </c>
      <c r="B106" t="s">
        <v>68</v>
      </c>
      <c r="C106" t="s">
        <v>56</v>
      </c>
      <c r="D106" t="s">
        <v>42</v>
      </c>
      <c r="E106" t="s">
        <v>95</v>
      </c>
      <c r="F106" t="s">
        <v>131</v>
      </c>
      <c r="G106" t="s">
        <v>92</v>
      </c>
      <c r="H106" t="s">
        <v>46</v>
      </c>
      <c r="I106" t="s">
        <v>98</v>
      </c>
      <c r="J106" t="s">
        <v>76</v>
      </c>
      <c r="K106" t="s">
        <v>62</v>
      </c>
      <c r="L106" t="s">
        <v>46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63</v>
      </c>
      <c r="S106">
        <v>5</v>
      </c>
      <c r="T106" t="s">
        <v>79</v>
      </c>
      <c r="U106">
        <v>2</v>
      </c>
      <c r="V106">
        <v>2</v>
      </c>
      <c r="W106" t="s">
        <v>63</v>
      </c>
      <c r="X106">
        <v>105</v>
      </c>
      <c r="Y106" t="s">
        <v>54</v>
      </c>
      <c r="Z106">
        <v>2</v>
      </c>
      <c r="AA106">
        <v>2</v>
      </c>
      <c r="AB106">
        <v>3</v>
      </c>
      <c r="AC106">
        <f t="shared" si="1"/>
        <v>1</v>
      </c>
      <c r="AD106">
        <v>4</v>
      </c>
      <c r="AE106">
        <v>3</v>
      </c>
      <c r="AF106">
        <v>4</v>
      </c>
      <c r="AG106">
        <v>3</v>
      </c>
      <c r="AH106">
        <v>1</v>
      </c>
      <c r="AI106">
        <v>1</v>
      </c>
      <c r="AJ106">
        <v>1</v>
      </c>
      <c r="AK106">
        <v>1</v>
      </c>
      <c r="AL106">
        <v>2</v>
      </c>
      <c r="AM106">
        <v>6</v>
      </c>
    </row>
    <row r="107" spans="1:39" x14ac:dyDescent="0.3">
      <c r="A107" t="s">
        <v>67</v>
      </c>
      <c r="B107" t="s">
        <v>40</v>
      </c>
      <c r="C107" t="s">
        <v>75</v>
      </c>
      <c r="D107" t="s">
        <v>42</v>
      </c>
      <c r="E107" t="s">
        <v>69</v>
      </c>
      <c r="F107" t="s">
        <v>88</v>
      </c>
      <c r="G107" t="s">
        <v>108</v>
      </c>
      <c r="H107" t="s">
        <v>50</v>
      </c>
      <c r="J107" t="s">
        <v>61</v>
      </c>
      <c r="K107" t="s">
        <v>62</v>
      </c>
      <c r="L107" t="s">
        <v>50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51</v>
      </c>
      <c r="S107">
        <v>2</v>
      </c>
      <c r="T107" t="s">
        <v>64</v>
      </c>
      <c r="U107">
        <v>5</v>
      </c>
      <c r="V107">
        <v>5</v>
      </c>
      <c r="W107" t="s">
        <v>63</v>
      </c>
      <c r="X107">
        <v>189</v>
      </c>
      <c r="Y107" t="s">
        <v>54</v>
      </c>
      <c r="Z107">
        <v>7</v>
      </c>
      <c r="AA107">
        <v>1</v>
      </c>
      <c r="AB107">
        <v>1</v>
      </c>
      <c r="AC107">
        <f t="shared" si="1"/>
        <v>0</v>
      </c>
      <c r="AD107">
        <v>1</v>
      </c>
      <c r="AE107">
        <v>5</v>
      </c>
      <c r="AF107">
        <v>4</v>
      </c>
      <c r="AG107">
        <v>3</v>
      </c>
      <c r="AH107">
        <v>1</v>
      </c>
      <c r="AI107">
        <v>1</v>
      </c>
      <c r="AJ107">
        <v>1</v>
      </c>
      <c r="AK107">
        <v>1</v>
      </c>
      <c r="AL107">
        <v>2</v>
      </c>
      <c r="AM107">
        <v>6</v>
      </c>
    </row>
    <row r="108" spans="1:39" x14ac:dyDescent="0.3">
      <c r="A108" t="s">
        <v>67</v>
      </c>
      <c r="B108" t="s">
        <v>40</v>
      </c>
      <c r="C108" t="s">
        <v>56</v>
      </c>
      <c r="D108" t="s">
        <v>80</v>
      </c>
      <c r="E108" t="s">
        <v>69</v>
      </c>
      <c r="G108" t="s">
        <v>108</v>
      </c>
      <c r="H108" t="s">
        <v>46</v>
      </c>
      <c r="I108" t="s">
        <v>71</v>
      </c>
      <c r="J108" t="s">
        <v>61</v>
      </c>
      <c r="K108" t="s">
        <v>135</v>
      </c>
      <c r="L108" t="s">
        <v>50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53</v>
      </c>
      <c r="S108">
        <v>3</v>
      </c>
      <c r="T108" t="s">
        <v>79</v>
      </c>
      <c r="U108">
        <v>4</v>
      </c>
      <c r="V108">
        <v>4</v>
      </c>
      <c r="W108" t="s">
        <v>65</v>
      </c>
      <c r="X108">
        <v>132</v>
      </c>
      <c r="Y108" t="s">
        <v>54</v>
      </c>
      <c r="Z108">
        <v>7</v>
      </c>
      <c r="AA108">
        <v>2</v>
      </c>
      <c r="AB108">
        <v>1</v>
      </c>
      <c r="AC108">
        <f t="shared" si="1"/>
        <v>0</v>
      </c>
      <c r="AD108">
        <v>5</v>
      </c>
      <c r="AE108">
        <v>3</v>
      </c>
      <c r="AF108">
        <v>3</v>
      </c>
      <c r="AG108">
        <v>3</v>
      </c>
      <c r="AH108">
        <v>1</v>
      </c>
      <c r="AI108">
        <v>2</v>
      </c>
      <c r="AJ108">
        <v>2</v>
      </c>
      <c r="AK108">
        <v>2</v>
      </c>
      <c r="AL108">
        <v>1</v>
      </c>
      <c r="AM108">
        <v>8</v>
      </c>
    </row>
    <row r="109" spans="1:39" x14ac:dyDescent="0.3">
      <c r="A109" t="s">
        <v>39</v>
      </c>
      <c r="B109" t="s">
        <v>68</v>
      </c>
      <c r="C109" t="s">
        <v>56</v>
      </c>
      <c r="D109" t="s">
        <v>57</v>
      </c>
      <c r="E109" t="s">
        <v>43</v>
      </c>
      <c r="F109" t="s">
        <v>88</v>
      </c>
      <c r="G109" t="s">
        <v>60</v>
      </c>
      <c r="H109" t="s">
        <v>46</v>
      </c>
      <c r="I109" t="s">
        <v>98</v>
      </c>
      <c r="J109" t="s">
        <v>99</v>
      </c>
      <c r="K109" t="s">
        <v>125</v>
      </c>
      <c r="L109" t="s">
        <v>50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78</v>
      </c>
      <c r="S109">
        <v>3</v>
      </c>
      <c r="T109" t="s">
        <v>52</v>
      </c>
      <c r="U109">
        <v>3</v>
      </c>
      <c r="V109">
        <v>3</v>
      </c>
      <c r="W109" t="s">
        <v>65</v>
      </c>
      <c r="X109">
        <v>119</v>
      </c>
      <c r="Y109" t="s">
        <v>85</v>
      </c>
      <c r="Z109">
        <v>6</v>
      </c>
      <c r="AA109">
        <v>2</v>
      </c>
      <c r="AB109">
        <v>2</v>
      </c>
      <c r="AC109">
        <f t="shared" si="1"/>
        <v>0</v>
      </c>
      <c r="AD109">
        <v>2</v>
      </c>
      <c r="AE109">
        <v>2</v>
      </c>
      <c r="AF109">
        <v>3</v>
      </c>
      <c r="AG109">
        <v>1</v>
      </c>
      <c r="AH109">
        <v>2</v>
      </c>
      <c r="AI109">
        <v>1</v>
      </c>
      <c r="AJ109">
        <v>2</v>
      </c>
      <c r="AK109">
        <v>1</v>
      </c>
      <c r="AL109">
        <v>2</v>
      </c>
      <c r="AM109">
        <v>8</v>
      </c>
    </row>
    <row r="110" spans="1:39" x14ac:dyDescent="0.3">
      <c r="A110" t="s">
        <v>67</v>
      </c>
      <c r="B110" t="s">
        <v>40</v>
      </c>
      <c r="C110" t="s">
        <v>56</v>
      </c>
      <c r="D110" t="s">
        <v>42</v>
      </c>
      <c r="E110" t="s">
        <v>95</v>
      </c>
      <c r="G110" t="s">
        <v>45</v>
      </c>
      <c r="H110" t="s">
        <v>46</v>
      </c>
      <c r="I110" t="s">
        <v>47</v>
      </c>
      <c r="J110" t="s">
        <v>61</v>
      </c>
      <c r="K110" t="s">
        <v>133</v>
      </c>
      <c r="L110" t="s">
        <v>50</v>
      </c>
      <c r="M110">
        <v>2</v>
      </c>
      <c r="N110">
        <v>2</v>
      </c>
      <c r="O110">
        <v>3</v>
      </c>
      <c r="P110">
        <v>2</v>
      </c>
      <c r="Q110">
        <v>2</v>
      </c>
      <c r="R110" t="s">
        <v>65</v>
      </c>
      <c r="S110">
        <v>3</v>
      </c>
      <c r="T110" t="s">
        <v>79</v>
      </c>
      <c r="U110">
        <v>3</v>
      </c>
      <c r="V110">
        <v>3</v>
      </c>
      <c r="W110" t="s">
        <v>51</v>
      </c>
      <c r="X110">
        <v>23</v>
      </c>
      <c r="Y110" t="s">
        <v>85</v>
      </c>
      <c r="Z110">
        <v>5</v>
      </c>
      <c r="AA110">
        <v>2</v>
      </c>
      <c r="AB110">
        <v>1</v>
      </c>
      <c r="AC110">
        <f t="shared" si="1"/>
        <v>0</v>
      </c>
      <c r="AD110">
        <v>3</v>
      </c>
      <c r="AE110">
        <v>3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1</v>
      </c>
      <c r="AL110">
        <v>2</v>
      </c>
      <c r="AM110">
        <v>7</v>
      </c>
    </row>
    <row r="111" spans="1:39" x14ac:dyDescent="0.3">
      <c r="A111" t="s">
        <v>67</v>
      </c>
      <c r="B111" t="s">
        <v>95</v>
      </c>
      <c r="C111" t="s">
        <v>75</v>
      </c>
      <c r="D111" t="s">
        <v>42</v>
      </c>
      <c r="E111" t="s">
        <v>95</v>
      </c>
      <c r="F111" t="s">
        <v>111</v>
      </c>
      <c r="G111" t="s">
        <v>45</v>
      </c>
      <c r="H111" t="s">
        <v>46</v>
      </c>
      <c r="I111" t="s">
        <v>47</v>
      </c>
      <c r="J111" t="s">
        <v>99</v>
      </c>
      <c r="K111" t="s">
        <v>136</v>
      </c>
      <c r="L111" t="s">
        <v>50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78</v>
      </c>
      <c r="S111">
        <v>3</v>
      </c>
      <c r="T111" t="s">
        <v>79</v>
      </c>
      <c r="U111">
        <v>4</v>
      </c>
      <c r="V111">
        <v>4</v>
      </c>
      <c r="W111" t="s">
        <v>63</v>
      </c>
      <c r="X111">
        <v>206</v>
      </c>
      <c r="Y111" t="s">
        <v>66</v>
      </c>
      <c r="Z111">
        <v>5</v>
      </c>
      <c r="AA111">
        <v>2</v>
      </c>
      <c r="AB111">
        <v>2</v>
      </c>
      <c r="AC111">
        <f t="shared" si="1"/>
        <v>0</v>
      </c>
      <c r="AD111">
        <v>2</v>
      </c>
      <c r="AE111">
        <v>3</v>
      </c>
      <c r="AF111">
        <v>4</v>
      </c>
      <c r="AG111">
        <v>4</v>
      </c>
      <c r="AH111">
        <v>1</v>
      </c>
      <c r="AI111">
        <v>2</v>
      </c>
      <c r="AJ111">
        <v>1</v>
      </c>
      <c r="AK111">
        <v>2</v>
      </c>
      <c r="AL111">
        <v>1</v>
      </c>
      <c r="AM111">
        <v>7</v>
      </c>
    </row>
    <row r="112" spans="1:39" x14ac:dyDescent="0.3">
      <c r="A112" t="s">
        <v>67</v>
      </c>
      <c r="B112" t="s">
        <v>68</v>
      </c>
      <c r="C112" t="s">
        <v>41</v>
      </c>
      <c r="D112" t="s">
        <v>57</v>
      </c>
      <c r="E112" t="s">
        <v>43</v>
      </c>
      <c r="F112" t="s">
        <v>104</v>
      </c>
      <c r="G112" t="s">
        <v>119</v>
      </c>
      <c r="H112" t="s">
        <v>50</v>
      </c>
      <c r="J112" t="s">
        <v>61</v>
      </c>
      <c r="K112" t="s">
        <v>62</v>
      </c>
      <c r="L112" t="s">
        <v>46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63</v>
      </c>
      <c r="S112">
        <v>2</v>
      </c>
      <c r="T112" t="s">
        <v>64</v>
      </c>
      <c r="U112">
        <v>5</v>
      </c>
      <c r="V112">
        <v>5</v>
      </c>
      <c r="W112" t="s">
        <v>53</v>
      </c>
      <c r="X112">
        <v>59</v>
      </c>
      <c r="Y112" t="s">
        <v>74</v>
      </c>
      <c r="Z112">
        <v>4</v>
      </c>
      <c r="AA112">
        <v>1</v>
      </c>
      <c r="AB112">
        <v>1</v>
      </c>
      <c r="AC112">
        <f t="shared" si="1"/>
        <v>1</v>
      </c>
      <c r="AD112">
        <v>4</v>
      </c>
      <c r="AE112">
        <v>5</v>
      </c>
      <c r="AF112">
        <v>5</v>
      </c>
      <c r="AG112">
        <v>2</v>
      </c>
      <c r="AH112">
        <v>1</v>
      </c>
      <c r="AI112">
        <v>1</v>
      </c>
      <c r="AJ112">
        <v>1</v>
      </c>
      <c r="AK112">
        <v>1</v>
      </c>
      <c r="AL112">
        <v>2</v>
      </c>
      <c r="AM112">
        <v>6</v>
      </c>
    </row>
    <row r="113" spans="1:39" x14ac:dyDescent="0.3">
      <c r="A113" t="s">
        <v>116</v>
      </c>
      <c r="B113" t="s">
        <v>40</v>
      </c>
      <c r="C113" t="s">
        <v>56</v>
      </c>
      <c r="D113" t="s">
        <v>57</v>
      </c>
      <c r="E113" t="s">
        <v>58</v>
      </c>
      <c r="G113" t="s">
        <v>92</v>
      </c>
      <c r="H113" t="s">
        <v>46</v>
      </c>
      <c r="I113" t="s">
        <v>47</v>
      </c>
      <c r="J113" t="s">
        <v>76</v>
      </c>
      <c r="K113" t="s">
        <v>106</v>
      </c>
      <c r="L113" t="s">
        <v>50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53</v>
      </c>
      <c r="S113">
        <v>3</v>
      </c>
      <c r="T113" t="s">
        <v>73</v>
      </c>
      <c r="U113">
        <v>3</v>
      </c>
      <c r="V113">
        <v>3</v>
      </c>
      <c r="W113" t="s">
        <v>63</v>
      </c>
      <c r="X113">
        <v>92</v>
      </c>
      <c r="Y113" t="s">
        <v>74</v>
      </c>
      <c r="Z113">
        <v>2</v>
      </c>
      <c r="AA113">
        <v>2</v>
      </c>
      <c r="AB113">
        <v>3</v>
      </c>
      <c r="AC113">
        <f t="shared" si="1"/>
        <v>0</v>
      </c>
      <c r="AD113">
        <v>5</v>
      </c>
      <c r="AE113">
        <v>4</v>
      </c>
      <c r="AF113">
        <v>4</v>
      </c>
      <c r="AG113">
        <v>2</v>
      </c>
      <c r="AH113">
        <v>2</v>
      </c>
      <c r="AI113">
        <v>1</v>
      </c>
      <c r="AJ113">
        <v>1</v>
      </c>
      <c r="AK113">
        <v>1</v>
      </c>
      <c r="AL113">
        <v>1</v>
      </c>
      <c r="AM113">
        <v>6</v>
      </c>
    </row>
    <row r="114" spans="1:39" x14ac:dyDescent="0.3">
      <c r="A114" t="s">
        <v>67</v>
      </c>
      <c r="B114" t="s">
        <v>68</v>
      </c>
      <c r="C114" t="s">
        <v>56</v>
      </c>
      <c r="D114" t="s">
        <v>128</v>
      </c>
      <c r="E114" t="s">
        <v>69</v>
      </c>
      <c r="F114" t="s">
        <v>107</v>
      </c>
      <c r="G114" t="s">
        <v>119</v>
      </c>
      <c r="H114" t="s">
        <v>50</v>
      </c>
      <c r="J114" t="s">
        <v>61</v>
      </c>
      <c r="K114" t="s">
        <v>62</v>
      </c>
      <c r="L114" t="s">
        <v>50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53</v>
      </c>
      <c r="S114">
        <v>5</v>
      </c>
      <c r="T114" t="s">
        <v>73</v>
      </c>
      <c r="U114">
        <v>2</v>
      </c>
      <c r="V114">
        <v>2</v>
      </c>
      <c r="W114" t="s">
        <v>78</v>
      </c>
      <c r="X114">
        <v>71</v>
      </c>
      <c r="Y114" t="s">
        <v>54</v>
      </c>
      <c r="Z114">
        <v>4</v>
      </c>
      <c r="AA114">
        <v>1</v>
      </c>
      <c r="AB114">
        <v>1</v>
      </c>
      <c r="AC114">
        <f t="shared" si="1"/>
        <v>0</v>
      </c>
      <c r="AD114">
        <v>5</v>
      </c>
      <c r="AE114">
        <v>4</v>
      </c>
      <c r="AF114">
        <v>2</v>
      </c>
      <c r="AG114">
        <v>3</v>
      </c>
      <c r="AH114">
        <v>1</v>
      </c>
      <c r="AI114">
        <v>1</v>
      </c>
      <c r="AJ114">
        <v>1</v>
      </c>
      <c r="AK114">
        <v>1</v>
      </c>
      <c r="AL114">
        <v>2</v>
      </c>
      <c r="AM114">
        <v>6</v>
      </c>
    </row>
    <row r="115" spans="1:39" x14ac:dyDescent="0.3">
      <c r="A115" t="s">
        <v>39</v>
      </c>
      <c r="B115" t="s">
        <v>40</v>
      </c>
      <c r="C115" t="s">
        <v>75</v>
      </c>
      <c r="D115" t="s">
        <v>57</v>
      </c>
      <c r="E115" t="s">
        <v>95</v>
      </c>
      <c r="F115" t="s">
        <v>93</v>
      </c>
      <c r="G115" t="s">
        <v>60</v>
      </c>
      <c r="H115" t="s">
        <v>50</v>
      </c>
      <c r="J115" t="s">
        <v>61</v>
      </c>
      <c r="K115" t="s">
        <v>62</v>
      </c>
      <c r="L115" t="s">
        <v>46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78</v>
      </c>
      <c r="S115">
        <v>3</v>
      </c>
      <c r="T115" t="s">
        <v>79</v>
      </c>
      <c r="U115">
        <v>4</v>
      </c>
      <c r="V115">
        <v>4</v>
      </c>
      <c r="W115" t="s">
        <v>51</v>
      </c>
      <c r="X115">
        <v>19</v>
      </c>
      <c r="Y115" t="s">
        <v>74</v>
      </c>
      <c r="Z115">
        <v>6</v>
      </c>
      <c r="AA115">
        <v>1</v>
      </c>
      <c r="AB115">
        <v>1</v>
      </c>
      <c r="AC115">
        <f t="shared" si="1"/>
        <v>1</v>
      </c>
      <c r="AD115">
        <v>2</v>
      </c>
      <c r="AE115">
        <v>3</v>
      </c>
      <c r="AF115">
        <v>1</v>
      </c>
      <c r="AG115">
        <v>2</v>
      </c>
      <c r="AH115">
        <v>1</v>
      </c>
      <c r="AI115">
        <v>1</v>
      </c>
      <c r="AJ115">
        <v>1</v>
      </c>
      <c r="AK115">
        <v>1</v>
      </c>
      <c r="AL115">
        <v>2</v>
      </c>
      <c r="AM115">
        <v>6</v>
      </c>
    </row>
    <row r="116" spans="1:39" x14ac:dyDescent="0.3">
      <c r="A116" t="s">
        <v>67</v>
      </c>
      <c r="B116" t="s">
        <v>40</v>
      </c>
      <c r="C116" t="s">
        <v>75</v>
      </c>
      <c r="D116" t="s">
        <v>57</v>
      </c>
      <c r="E116" t="s">
        <v>69</v>
      </c>
      <c r="F116" t="s">
        <v>131</v>
      </c>
      <c r="G116" t="s">
        <v>101</v>
      </c>
      <c r="H116" t="s">
        <v>50</v>
      </c>
      <c r="J116" t="s">
        <v>61</v>
      </c>
      <c r="K116" t="s">
        <v>62</v>
      </c>
      <c r="L116" t="s">
        <v>46</v>
      </c>
      <c r="M116">
        <v>4</v>
      </c>
      <c r="N116">
        <v>3</v>
      </c>
      <c r="O116">
        <v>4</v>
      </c>
      <c r="P116">
        <v>3</v>
      </c>
      <c r="Q116">
        <v>4</v>
      </c>
      <c r="R116" t="s">
        <v>65</v>
      </c>
      <c r="S116">
        <v>2</v>
      </c>
      <c r="T116" t="s">
        <v>64</v>
      </c>
      <c r="U116">
        <v>4</v>
      </c>
      <c r="V116">
        <v>4</v>
      </c>
      <c r="W116" t="s">
        <v>65</v>
      </c>
      <c r="X116">
        <v>78</v>
      </c>
      <c r="Y116" t="s">
        <v>66</v>
      </c>
      <c r="Z116">
        <v>3</v>
      </c>
      <c r="AA116">
        <v>1</v>
      </c>
      <c r="AB116">
        <v>1</v>
      </c>
      <c r="AC116">
        <f t="shared" si="1"/>
        <v>1</v>
      </c>
      <c r="AD116">
        <v>3</v>
      </c>
      <c r="AE116">
        <v>5</v>
      </c>
      <c r="AF116">
        <v>3</v>
      </c>
      <c r="AG116">
        <v>4</v>
      </c>
      <c r="AH116">
        <v>1</v>
      </c>
      <c r="AI116">
        <v>1</v>
      </c>
      <c r="AJ116">
        <v>1</v>
      </c>
      <c r="AK116">
        <v>1</v>
      </c>
      <c r="AL116">
        <v>2</v>
      </c>
      <c r="AM116">
        <v>6</v>
      </c>
    </row>
    <row r="117" spans="1:39" x14ac:dyDescent="0.3">
      <c r="A117" t="s">
        <v>67</v>
      </c>
      <c r="B117" t="s">
        <v>68</v>
      </c>
      <c r="C117" t="s">
        <v>41</v>
      </c>
      <c r="D117" t="s">
        <v>57</v>
      </c>
      <c r="E117" t="s">
        <v>69</v>
      </c>
      <c r="F117" t="s">
        <v>137</v>
      </c>
      <c r="G117" t="s">
        <v>45</v>
      </c>
      <c r="H117" t="s">
        <v>50</v>
      </c>
      <c r="J117" t="s">
        <v>61</v>
      </c>
      <c r="K117" t="s">
        <v>62</v>
      </c>
      <c r="L117" t="s">
        <v>46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63</v>
      </c>
      <c r="S117">
        <v>3</v>
      </c>
      <c r="T117" t="s">
        <v>103</v>
      </c>
      <c r="U117">
        <v>4</v>
      </c>
      <c r="V117">
        <v>3</v>
      </c>
      <c r="W117" t="s">
        <v>65</v>
      </c>
      <c r="X117">
        <v>56</v>
      </c>
      <c r="Y117" t="s">
        <v>54</v>
      </c>
      <c r="Z117">
        <v>5</v>
      </c>
      <c r="AA117">
        <v>1</v>
      </c>
      <c r="AB117">
        <v>1</v>
      </c>
      <c r="AC117">
        <f t="shared" si="1"/>
        <v>1</v>
      </c>
      <c r="AD117">
        <v>4</v>
      </c>
      <c r="AE117">
        <v>1</v>
      </c>
      <c r="AF117">
        <v>3</v>
      </c>
      <c r="AG117">
        <v>3</v>
      </c>
      <c r="AH117">
        <v>1</v>
      </c>
      <c r="AI117">
        <v>1</v>
      </c>
      <c r="AJ117">
        <v>1</v>
      </c>
      <c r="AK117">
        <v>1</v>
      </c>
      <c r="AL117">
        <v>2</v>
      </c>
      <c r="AM117">
        <v>6</v>
      </c>
    </row>
    <row r="118" spans="1:39" x14ac:dyDescent="0.3">
      <c r="A118" t="s">
        <v>67</v>
      </c>
      <c r="B118" t="s">
        <v>40</v>
      </c>
      <c r="C118" t="s">
        <v>41</v>
      </c>
      <c r="D118" t="s">
        <v>80</v>
      </c>
      <c r="E118" t="s">
        <v>81</v>
      </c>
      <c r="G118" t="s">
        <v>60</v>
      </c>
      <c r="H118" t="s">
        <v>50</v>
      </c>
      <c r="J118" t="s">
        <v>61</v>
      </c>
      <c r="K118" t="s">
        <v>62</v>
      </c>
      <c r="L118" t="s">
        <v>50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53</v>
      </c>
      <c r="S118">
        <v>3</v>
      </c>
      <c r="T118" t="s">
        <v>73</v>
      </c>
      <c r="U118">
        <v>4</v>
      </c>
      <c r="V118">
        <v>4</v>
      </c>
      <c r="W118" t="s">
        <v>51</v>
      </c>
      <c r="X118">
        <v>35</v>
      </c>
      <c r="Y118" t="s">
        <v>66</v>
      </c>
      <c r="Z118">
        <v>6</v>
      </c>
      <c r="AA118">
        <v>1</v>
      </c>
      <c r="AB118">
        <v>1</v>
      </c>
      <c r="AC118">
        <f t="shared" si="1"/>
        <v>0</v>
      </c>
      <c r="AD118">
        <v>5</v>
      </c>
      <c r="AE118">
        <v>4</v>
      </c>
      <c r="AF118">
        <v>1</v>
      </c>
      <c r="AG118">
        <v>4</v>
      </c>
      <c r="AH118">
        <v>1</v>
      </c>
      <c r="AI118">
        <v>1</v>
      </c>
      <c r="AJ118">
        <v>1</v>
      </c>
      <c r="AK118">
        <v>1</v>
      </c>
      <c r="AL118">
        <v>2</v>
      </c>
      <c r="AM118">
        <v>6</v>
      </c>
    </row>
    <row r="119" spans="1:39" x14ac:dyDescent="0.3">
      <c r="A119" t="s">
        <v>109</v>
      </c>
      <c r="B119" t="s">
        <v>40</v>
      </c>
      <c r="C119" t="s">
        <v>56</v>
      </c>
      <c r="D119" t="s">
        <v>57</v>
      </c>
      <c r="E119" t="s">
        <v>58</v>
      </c>
      <c r="F119" t="s">
        <v>71</v>
      </c>
      <c r="G119" t="s">
        <v>112</v>
      </c>
      <c r="H119" t="s">
        <v>46</v>
      </c>
      <c r="I119" t="s">
        <v>71</v>
      </c>
      <c r="J119" t="s">
        <v>48</v>
      </c>
      <c r="K119" t="s">
        <v>135</v>
      </c>
      <c r="L119" t="s">
        <v>46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78</v>
      </c>
      <c r="S119">
        <v>4</v>
      </c>
      <c r="T119" t="s">
        <v>79</v>
      </c>
      <c r="U119">
        <v>2</v>
      </c>
      <c r="V119">
        <v>2</v>
      </c>
      <c r="W119" t="s">
        <v>78</v>
      </c>
      <c r="X119">
        <v>54</v>
      </c>
      <c r="Y119" t="s">
        <v>74</v>
      </c>
      <c r="Z119">
        <v>1</v>
      </c>
      <c r="AA119">
        <v>2</v>
      </c>
      <c r="AB119">
        <v>5</v>
      </c>
      <c r="AC119">
        <f t="shared" si="1"/>
        <v>1</v>
      </c>
      <c r="AD119">
        <v>2</v>
      </c>
      <c r="AE119">
        <v>3</v>
      </c>
      <c r="AF119">
        <v>2</v>
      </c>
      <c r="AG119">
        <v>2</v>
      </c>
      <c r="AH119">
        <v>1</v>
      </c>
      <c r="AI119">
        <v>2</v>
      </c>
      <c r="AJ119">
        <v>2</v>
      </c>
      <c r="AK119">
        <v>2</v>
      </c>
      <c r="AL119">
        <v>1</v>
      </c>
      <c r="AM119">
        <v>8</v>
      </c>
    </row>
    <row r="120" spans="1:39" x14ac:dyDescent="0.3">
      <c r="A120" t="s">
        <v>67</v>
      </c>
      <c r="B120" t="s">
        <v>40</v>
      </c>
      <c r="C120" t="s">
        <v>56</v>
      </c>
      <c r="D120" t="s">
        <v>57</v>
      </c>
      <c r="E120" t="s">
        <v>43</v>
      </c>
      <c r="F120" t="s">
        <v>47</v>
      </c>
      <c r="G120" t="s">
        <v>108</v>
      </c>
      <c r="H120" t="s">
        <v>50</v>
      </c>
      <c r="J120" t="s">
        <v>61</v>
      </c>
      <c r="K120" t="s">
        <v>62</v>
      </c>
      <c r="L120" t="s">
        <v>50</v>
      </c>
      <c r="M120">
        <v>3</v>
      </c>
      <c r="N120">
        <v>3</v>
      </c>
      <c r="O120">
        <v>3</v>
      </c>
      <c r="P120">
        <v>4</v>
      </c>
      <c r="Q120">
        <v>3</v>
      </c>
      <c r="R120" t="s">
        <v>65</v>
      </c>
      <c r="S120">
        <v>3</v>
      </c>
      <c r="T120" t="s">
        <v>79</v>
      </c>
      <c r="U120">
        <v>4</v>
      </c>
      <c r="V120">
        <v>4</v>
      </c>
      <c r="W120" t="s">
        <v>63</v>
      </c>
      <c r="X120">
        <v>232</v>
      </c>
      <c r="Y120" t="s">
        <v>85</v>
      </c>
      <c r="Z120">
        <v>7</v>
      </c>
      <c r="AA120">
        <v>1</v>
      </c>
      <c r="AB120">
        <v>1</v>
      </c>
      <c r="AC120">
        <f t="shared" si="1"/>
        <v>0</v>
      </c>
      <c r="AD120">
        <v>3</v>
      </c>
      <c r="AE120">
        <v>3</v>
      </c>
      <c r="AF120">
        <v>4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2</v>
      </c>
      <c r="AM120">
        <v>6</v>
      </c>
    </row>
    <row r="121" spans="1:39" x14ac:dyDescent="0.3">
      <c r="A121" t="s">
        <v>116</v>
      </c>
      <c r="B121" t="s">
        <v>68</v>
      </c>
      <c r="C121" t="s">
        <v>75</v>
      </c>
      <c r="D121" t="s">
        <v>42</v>
      </c>
      <c r="E121" t="s">
        <v>89</v>
      </c>
      <c r="F121" t="s">
        <v>104</v>
      </c>
      <c r="G121" t="s">
        <v>60</v>
      </c>
      <c r="H121" t="s">
        <v>46</v>
      </c>
      <c r="I121" t="s">
        <v>71</v>
      </c>
      <c r="J121" t="s">
        <v>61</v>
      </c>
      <c r="K121" t="s">
        <v>72</v>
      </c>
      <c r="L121" t="s">
        <v>46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78</v>
      </c>
      <c r="S121">
        <v>3</v>
      </c>
      <c r="T121" t="s">
        <v>52</v>
      </c>
      <c r="U121">
        <v>3</v>
      </c>
      <c r="V121">
        <v>3</v>
      </c>
      <c r="W121" t="s">
        <v>53</v>
      </c>
      <c r="X121">
        <v>103</v>
      </c>
      <c r="Y121" t="s">
        <v>83</v>
      </c>
      <c r="Z121">
        <v>6</v>
      </c>
      <c r="AA121">
        <v>2</v>
      </c>
      <c r="AB121">
        <v>1</v>
      </c>
      <c r="AC121">
        <f t="shared" si="1"/>
        <v>1</v>
      </c>
      <c r="AD121">
        <v>2</v>
      </c>
      <c r="AE121">
        <v>2</v>
      </c>
      <c r="AF121">
        <v>5</v>
      </c>
      <c r="AG121">
        <v>5</v>
      </c>
      <c r="AH121">
        <v>2</v>
      </c>
      <c r="AI121">
        <v>2</v>
      </c>
      <c r="AJ121">
        <v>1</v>
      </c>
      <c r="AK121">
        <v>1</v>
      </c>
      <c r="AL121">
        <v>1</v>
      </c>
      <c r="AM121">
        <v>7</v>
      </c>
    </row>
    <row r="122" spans="1:39" x14ac:dyDescent="0.3">
      <c r="A122" t="s">
        <v>39</v>
      </c>
      <c r="B122" t="s">
        <v>68</v>
      </c>
      <c r="C122" t="s">
        <v>41</v>
      </c>
      <c r="D122" t="s">
        <v>42</v>
      </c>
      <c r="E122" t="s">
        <v>43</v>
      </c>
      <c r="F122" t="s">
        <v>87</v>
      </c>
      <c r="G122" t="s">
        <v>92</v>
      </c>
      <c r="H122" t="s">
        <v>46</v>
      </c>
      <c r="I122" t="s">
        <v>71</v>
      </c>
      <c r="J122" t="s">
        <v>99</v>
      </c>
      <c r="K122" t="s">
        <v>126</v>
      </c>
      <c r="L122" t="s">
        <v>46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63</v>
      </c>
      <c r="S122">
        <v>3</v>
      </c>
      <c r="T122" t="s">
        <v>73</v>
      </c>
      <c r="U122">
        <v>4</v>
      </c>
      <c r="V122">
        <v>4</v>
      </c>
      <c r="W122" t="s">
        <v>53</v>
      </c>
      <c r="X122">
        <v>158</v>
      </c>
      <c r="Y122" t="s">
        <v>83</v>
      </c>
      <c r="Z122">
        <v>2</v>
      </c>
      <c r="AA122">
        <v>2</v>
      </c>
      <c r="AB122">
        <v>2</v>
      </c>
      <c r="AC122">
        <f t="shared" si="1"/>
        <v>1</v>
      </c>
      <c r="AD122">
        <v>4</v>
      </c>
      <c r="AE122">
        <v>4</v>
      </c>
      <c r="AF122">
        <v>5</v>
      </c>
      <c r="AG122">
        <v>5</v>
      </c>
      <c r="AH122">
        <v>2</v>
      </c>
      <c r="AI122">
        <v>1</v>
      </c>
      <c r="AJ122">
        <v>1</v>
      </c>
      <c r="AK122">
        <v>2</v>
      </c>
      <c r="AL122">
        <v>2</v>
      </c>
      <c r="AM122">
        <v>8</v>
      </c>
    </row>
    <row r="123" spans="1:39" x14ac:dyDescent="0.3">
      <c r="A123" t="s">
        <v>39</v>
      </c>
      <c r="B123" t="s">
        <v>68</v>
      </c>
      <c r="C123" t="s">
        <v>41</v>
      </c>
      <c r="D123" t="s">
        <v>42</v>
      </c>
      <c r="E123" t="s">
        <v>95</v>
      </c>
      <c r="F123" t="s">
        <v>71</v>
      </c>
      <c r="G123" t="s">
        <v>108</v>
      </c>
      <c r="H123" t="s">
        <v>46</v>
      </c>
      <c r="I123" t="s">
        <v>71</v>
      </c>
      <c r="J123" t="s">
        <v>61</v>
      </c>
      <c r="K123" t="s">
        <v>72</v>
      </c>
      <c r="L123" t="s">
        <v>46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53</v>
      </c>
      <c r="S123">
        <v>3</v>
      </c>
      <c r="T123" t="s">
        <v>79</v>
      </c>
      <c r="U123">
        <v>4</v>
      </c>
      <c r="V123">
        <v>4</v>
      </c>
      <c r="W123" t="s">
        <v>63</v>
      </c>
      <c r="X123">
        <v>159</v>
      </c>
      <c r="Y123" t="s">
        <v>54</v>
      </c>
      <c r="Z123">
        <v>7</v>
      </c>
      <c r="AA123">
        <v>2</v>
      </c>
      <c r="AB123">
        <v>1</v>
      </c>
      <c r="AC123">
        <f t="shared" si="1"/>
        <v>1</v>
      </c>
      <c r="AD123">
        <v>5</v>
      </c>
      <c r="AE123">
        <v>3</v>
      </c>
      <c r="AF123">
        <v>4</v>
      </c>
      <c r="AG123">
        <v>3</v>
      </c>
      <c r="AH123">
        <v>2</v>
      </c>
      <c r="AI123">
        <v>2</v>
      </c>
      <c r="AJ123">
        <v>1</v>
      </c>
      <c r="AK123">
        <v>1</v>
      </c>
      <c r="AL123">
        <v>1</v>
      </c>
      <c r="AM123">
        <v>7</v>
      </c>
    </row>
    <row r="124" spans="1:39" x14ac:dyDescent="0.3">
      <c r="A124" t="s">
        <v>67</v>
      </c>
      <c r="B124" t="s">
        <v>68</v>
      </c>
      <c r="C124" t="s">
        <v>56</v>
      </c>
      <c r="D124" t="s">
        <v>57</v>
      </c>
      <c r="E124" t="s">
        <v>43</v>
      </c>
      <c r="F124" t="s">
        <v>118</v>
      </c>
      <c r="G124" t="s">
        <v>108</v>
      </c>
      <c r="H124" t="s">
        <v>50</v>
      </c>
      <c r="J124" t="s">
        <v>61</v>
      </c>
      <c r="K124" t="s">
        <v>62</v>
      </c>
      <c r="L124" t="s">
        <v>46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53</v>
      </c>
      <c r="S124">
        <v>3</v>
      </c>
      <c r="T124" t="s">
        <v>73</v>
      </c>
      <c r="U124">
        <v>5</v>
      </c>
      <c r="V124">
        <v>5</v>
      </c>
      <c r="W124" t="s">
        <v>78</v>
      </c>
      <c r="X124">
        <v>68</v>
      </c>
      <c r="Y124" t="s">
        <v>83</v>
      </c>
      <c r="Z124">
        <v>7</v>
      </c>
      <c r="AA124">
        <v>1</v>
      </c>
      <c r="AB124">
        <v>1</v>
      </c>
      <c r="AC124">
        <f t="shared" si="1"/>
        <v>1</v>
      </c>
      <c r="AD124">
        <v>5</v>
      </c>
      <c r="AE124">
        <v>4</v>
      </c>
      <c r="AF124">
        <v>2</v>
      </c>
      <c r="AG124">
        <v>5</v>
      </c>
      <c r="AH124">
        <v>1</v>
      </c>
      <c r="AI124">
        <v>1</v>
      </c>
      <c r="AJ124">
        <v>1</v>
      </c>
      <c r="AK124">
        <v>1</v>
      </c>
      <c r="AL124">
        <v>2</v>
      </c>
      <c r="AM124">
        <v>6</v>
      </c>
    </row>
    <row r="125" spans="1:39" x14ac:dyDescent="0.3">
      <c r="A125" t="s">
        <v>39</v>
      </c>
      <c r="B125" t="s">
        <v>40</v>
      </c>
      <c r="C125" t="s">
        <v>56</v>
      </c>
      <c r="D125" t="s">
        <v>57</v>
      </c>
      <c r="E125" t="s">
        <v>81</v>
      </c>
      <c r="F125" t="s">
        <v>87</v>
      </c>
      <c r="G125" t="s">
        <v>108</v>
      </c>
      <c r="H125" t="s">
        <v>50</v>
      </c>
      <c r="J125" t="s">
        <v>61</v>
      </c>
      <c r="K125" t="s">
        <v>62</v>
      </c>
      <c r="L125" t="s">
        <v>46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51</v>
      </c>
      <c r="S125">
        <v>3</v>
      </c>
      <c r="T125" t="s">
        <v>103</v>
      </c>
      <c r="U125">
        <v>3</v>
      </c>
      <c r="V125">
        <v>3</v>
      </c>
      <c r="W125" t="s">
        <v>78</v>
      </c>
      <c r="X125">
        <v>38</v>
      </c>
      <c r="Y125" t="s">
        <v>66</v>
      </c>
      <c r="Z125">
        <v>7</v>
      </c>
      <c r="AA125">
        <v>1</v>
      </c>
      <c r="AB125">
        <v>1</v>
      </c>
      <c r="AC125">
        <f t="shared" si="1"/>
        <v>1</v>
      </c>
      <c r="AD125">
        <v>1</v>
      </c>
      <c r="AE125">
        <v>1</v>
      </c>
      <c r="AF125">
        <v>2</v>
      </c>
      <c r="AG125">
        <v>4</v>
      </c>
      <c r="AH125">
        <v>1</v>
      </c>
      <c r="AI125">
        <v>1</v>
      </c>
      <c r="AJ125">
        <v>1</v>
      </c>
      <c r="AK125">
        <v>1</v>
      </c>
      <c r="AL125">
        <v>2</v>
      </c>
      <c r="AM125">
        <v>6</v>
      </c>
    </row>
    <row r="126" spans="1:39" x14ac:dyDescent="0.3">
      <c r="A126" t="s">
        <v>67</v>
      </c>
      <c r="B126" t="s">
        <v>68</v>
      </c>
      <c r="C126" t="s">
        <v>56</v>
      </c>
      <c r="D126" t="s">
        <v>57</v>
      </c>
      <c r="E126" t="s">
        <v>69</v>
      </c>
      <c r="G126" t="s">
        <v>60</v>
      </c>
      <c r="H126" t="s">
        <v>46</v>
      </c>
      <c r="I126" t="s">
        <v>71</v>
      </c>
      <c r="J126" t="s">
        <v>61</v>
      </c>
      <c r="K126" t="s">
        <v>130</v>
      </c>
      <c r="L126" t="s">
        <v>46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51</v>
      </c>
      <c r="S126">
        <v>3</v>
      </c>
      <c r="T126" t="s">
        <v>73</v>
      </c>
      <c r="U126">
        <v>3</v>
      </c>
      <c r="V126">
        <v>4</v>
      </c>
      <c r="W126" t="s">
        <v>51</v>
      </c>
      <c r="X126">
        <v>26</v>
      </c>
      <c r="Y126" t="s">
        <v>74</v>
      </c>
      <c r="Z126">
        <v>6</v>
      </c>
      <c r="AA126">
        <v>2</v>
      </c>
      <c r="AB126">
        <v>1</v>
      </c>
      <c r="AC126">
        <f t="shared" si="1"/>
        <v>1</v>
      </c>
      <c r="AD126">
        <v>1</v>
      </c>
      <c r="AE126">
        <v>4</v>
      </c>
      <c r="AF126">
        <v>1</v>
      </c>
      <c r="AG126">
        <v>2</v>
      </c>
      <c r="AH126">
        <v>2</v>
      </c>
      <c r="AI126">
        <v>2</v>
      </c>
      <c r="AJ126">
        <v>1</v>
      </c>
      <c r="AK126">
        <v>2</v>
      </c>
      <c r="AL126">
        <v>1</v>
      </c>
      <c r="AM126">
        <v>8</v>
      </c>
    </row>
    <row r="127" spans="1:39" x14ac:dyDescent="0.3">
      <c r="A127" t="s">
        <v>109</v>
      </c>
      <c r="B127" t="s">
        <v>68</v>
      </c>
      <c r="C127" t="s">
        <v>56</v>
      </c>
      <c r="D127" t="s">
        <v>57</v>
      </c>
      <c r="E127" t="s">
        <v>43</v>
      </c>
      <c r="F127" t="s">
        <v>71</v>
      </c>
      <c r="G127" t="s">
        <v>92</v>
      </c>
      <c r="H127" t="s">
        <v>50</v>
      </c>
      <c r="J127" t="s">
        <v>61</v>
      </c>
      <c r="K127" t="s">
        <v>62</v>
      </c>
      <c r="L127" t="s">
        <v>46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53</v>
      </c>
      <c r="S127">
        <v>3</v>
      </c>
      <c r="T127" t="s">
        <v>64</v>
      </c>
      <c r="U127">
        <v>4</v>
      </c>
      <c r="V127">
        <v>4</v>
      </c>
      <c r="W127" t="s">
        <v>78</v>
      </c>
      <c r="X127">
        <v>15</v>
      </c>
      <c r="Y127" t="s">
        <v>66</v>
      </c>
      <c r="Z127">
        <v>2</v>
      </c>
      <c r="AA127">
        <v>1</v>
      </c>
      <c r="AB127">
        <v>1</v>
      </c>
      <c r="AC127">
        <f t="shared" si="1"/>
        <v>1</v>
      </c>
      <c r="AD127">
        <v>5</v>
      </c>
      <c r="AE127">
        <v>5</v>
      </c>
      <c r="AF127">
        <v>2</v>
      </c>
      <c r="AG127">
        <v>4</v>
      </c>
      <c r="AH127">
        <v>1</v>
      </c>
      <c r="AI127">
        <v>1</v>
      </c>
      <c r="AJ127">
        <v>1</v>
      </c>
      <c r="AK127">
        <v>1</v>
      </c>
      <c r="AL127">
        <v>2</v>
      </c>
      <c r="AM127">
        <v>6</v>
      </c>
    </row>
    <row r="128" spans="1:39" x14ac:dyDescent="0.3">
      <c r="A128" t="s">
        <v>67</v>
      </c>
      <c r="B128" t="s">
        <v>68</v>
      </c>
      <c r="C128" t="s">
        <v>56</v>
      </c>
      <c r="D128" t="s">
        <v>57</v>
      </c>
      <c r="E128" t="s">
        <v>95</v>
      </c>
      <c r="F128" t="s">
        <v>70</v>
      </c>
      <c r="G128" t="s">
        <v>60</v>
      </c>
      <c r="H128" t="s">
        <v>46</v>
      </c>
      <c r="I128" t="s">
        <v>98</v>
      </c>
      <c r="J128" t="s">
        <v>102</v>
      </c>
      <c r="K128" t="s">
        <v>117</v>
      </c>
      <c r="L128" t="s">
        <v>46</v>
      </c>
      <c r="M128">
        <v>2</v>
      </c>
      <c r="N128">
        <v>1</v>
      </c>
      <c r="O128">
        <v>2</v>
      </c>
      <c r="P128">
        <v>2</v>
      </c>
      <c r="Q128">
        <v>2</v>
      </c>
      <c r="R128" t="s">
        <v>65</v>
      </c>
      <c r="S128">
        <v>4</v>
      </c>
      <c r="T128" t="s">
        <v>79</v>
      </c>
      <c r="U128">
        <v>3</v>
      </c>
      <c r="V128">
        <v>2</v>
      </c>
      <c r="W128" t="s">
        <v>53</v>
      </c>
      <c r="X128">
        <v>187</v>
      </c>
      <c r="Y128" t="s">
        <v>74</v>
      </c>
      <c r="Z128">
        <v>6</v>
      </c>
      <c r="AA128">
        <v>2</v>
      </c>
      <c r="AB128">
        <v>4</v>
      </c>
      <c r="AC128">
        <f t="shared" si="1"/>
        <v>1</v>
      </c>
      <c r="AD128">
        <v>3</v>
      </c>
      <c r="AE128">
        <v>3</v>
      </c>
      <c r="AF128">
        <v>5</v>
      </c>
      <c r="AG128">
        <v>2</v>
      </c>
      <c r="AH128">
        <v>2</v>
      </c>
      <c r="AI128">
        <v>1</v>
      </c>
      <c r="AJ128">
        <v>2</v>
      </c>
      <c r="AK128">
        <v>2</v>
      </c>
      <c r="AL128">
        <v>1</v>
      </c>
      <c r="AM128">
        <v>8</v>
      </c>
    </row>
    <row r="129" spans="1:39" x14ac:dyDescent="0.3">
      <c r="A129" t="s">
        <v>67</v>
      </c>
      <c r="B129" t="s">
        <v>68</v>
      </c>
      <c r="C129" t="s">
        <v>56</v>
      </c>
      <c r="D129" t="s">
        <v>42</v>
      </c>
      <c r="E129" t="s">
        <v>69</v>
      </c>
      <c r="F129" t="s">
        <v>98</v>
      </c>
      <c r="G129" t="s">
        <v>45</v>
      </c>
      <c r="H129" t="s">
        <v>50</v>
      </c>
      <c r="J129" t="s">
        <v>61</v>
      </c>
      <c r="K129" t="s">
        <v>62</v>
      </c>
      <c r="L129" t="s">
        <v>50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53</v>
      </c>
      <c r="S129">
        <v>3</v>
      </c>
      <c r="T129" t="s">
        <v>64</v>
      </c>
      <c r="U129">
        <v>4</v>
      </c>
      <c r="V129">
        <v>3</v>
      </c>
      <c r="W129" t="s">
        <v>53</v>
      </c>
      <c r="X129">
        <v>171</v>
      </c>
      <c r="Y129" t="s">
        <v>74</v>
      </c>
      <c r="Z129">
        <v>5</v>
      </c>
      <c r="AA129">
        <v>1</v>
      </c>
      <c r="AB129">
        <v>1</v>
      </c>
      <c r="AC129">
        <f t="shared" si="1"/>
        <v>0</v>
      </c>
      <c r="AD129">
        <v>5</v>
      </c>
      <c r="AE129">
        <v>5</v>
      </c>
      <c r="AF129">
        <v>5</v>
      </c>
      <c r="AG129">
        <v>2</v>
      </c>
      <c r="AH129">
        <v>1</v>
      </c>
      <c r="AI129">
        <v>1</v>
      </c>
      <c r="AJ129">
        <v>1</v>
      </c>
      <c r="AK129">
        <v>1</v>
      </c>
      <c r="AL129">
        <v>2</v>
      </c>
      <c r="AM129">
        <v>6</v>
      </c>
    </row>
    <row r="130" spans="1:39" x14ac:dyDescent="0.3">
      <c r="A130" t="s">
        <v>97</v>
      </c>
      <c r="B130" t="s">
        <v>40</v>
      </c>
      <c r="C130" t="s">
        <v>41</v>
      </c>
      <c r="D130" t="s">
        <v>128</v>
      </c>
      <c r="E130" t="s">
        <v>69</v>
      </c>
      <c r="F130" t="s">
        <v>110</v>
      </c>
      <c r="G130" t="s">
        <v>92</v>
      </c>
      <c r="H130" t="s">
        <v>46</v>
      </c>
      <c r="I130" t="s">
        <v>47</v>
      </c>
      <c r="J130" t="s">
        <v>61</v>
      </c>
      <c r="K130" t="s">
        <v>130</v>
      </c>
      <c r="L130" t="s">
        <v>46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53</v>
      </c>
      <c r="S130">
        <v>3</v>
      </c>
      <c r="T130" t="s">
        <v>79</v>
      </c>
      <c r="U130">
        <v>3</v>
      </c>
      <c r="V130">
        <v>3</v>
      </c>
      <c r="W130" t="s">
        <v>78</v>
      </c>
      <c r="X130">
        <v>42</v>
      </c>
      <c r="Y130" t="s">
        <v>74</v>
      </c>
      <c r="Z130">
        <v>2</v>
      </c>
      <c r="AA130">
        <v>2</v>
      </c>
      <c r="AB130">
        <v>1</v>
      </c>
      <c r="AC130">
        <f t="shared" si="1"/>
        <v>1</v>
      </c>
      <c r="AD130">
        <v>5</v>
      </c>
      <c r="AE130">
        <v>3</v>
      </c>
      <c r="AF130">
        <v>2</v>
      </c>
      <c r="AG130">
        <v>2</v>
      </c>
      <c r="AH130">
        <v>2</v>
      </c>
      <c r="AI130">
        <v>2</v>
      </c>
      <c r="AJ130">
        <v>1</v>
      </c>
      <c r="AK130">
        <v>2</v>
      </c>
      <c r="AL130">
        <v>1</v>
      </c>
      <c r="AM130">
        <v>8</v>
      </c>
    </row>
    <row r="131" spans="1:39" x14ac:dyDescent="0.3">
      <c r="A131" t="s">
        <v>67</v>
      </c>
      <c r="B131" t="s">
        <v>40</v>
      </c>
      <c r="C131" t="s">
        <v>75</v>
      </c>
      <c r="D131" t="s">
        <v>57</v>
      </c>
      <c r="E131" t="s">
        <v>69</v>
      </c>
      <c r="F131" t="s">
        <v>86</v>
      </c>
      <c r="G131" t="s">
        <v>45</v>
      </c>
      <c r="H131" t="s">
        <v>50</v>
      </c>
      <c r="J131" t="s">
        <v>61</v>
      </c>
      <c r="K131" t="s">
        <v>62</v>
      </c>
      <c r="L131" t="s">
        <v>46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63</v>
      </c>
      <c r="S131">
        <v>2</v>
      </c>
      <c r="T131" t="s">
        <v>79</v>
      </c>
      <c r="U131">
        <v>5</v>
      </c>
      <c r="V131">
        <v>5</v>
      </c>
      <c r="W131" t="s">
        <v>65</v>
      </c>
      <c r="X131">
        <v>86</v>
      </c>
      <c r="Y131" t="s">
        <v>83</v>
      </c>
      <c r="Z131">
        <v>5</v>
      </c>
      <c r="AA131">
        <v>1</v>
      </c>
      <c r="AB131">
        <v>1</v>
      </c>
      <c r="AC131">
        <f t="shared" ref="AC131:AC151" si="2">IF(L131="No",0,1)</f>
        <v>1</v>
      </c>
      <c r="AD131">
        <v>4</v>
      </c>
      <c r="AE131">
        <v>3</v>
      </c>
      <c r="AF131">
        <v>3</v>
      </c>
      <c r="AG131">
        <v>5</v>
      </c>
      <c r="AH131">
        <v>1</v>
      </c>
      <c r="AI131">
        <v>1</v>
      </c>
      <c r="AJ131">
        <v>1</v>
      </c>
      <c r="AK131">
        <v>1</v>
      </c>
      <c r="AL131">
        <v>2</v>
      </c>
      <c r="AM131">
        <v>6</v>
      </c>
    </row>
    <row r="132" spans="1:39" x14ac:dyDescent="0.3">
      <c r="A132" t="s">
        <v>67</v>
      </c>
      <c r="B132" t="s">
        <v>40</v>
      </c>
      <c r="C132" t="s">
        <v>56</v>
      </c>
      <c r="D132" t="s">
        <v>57</v>
      </c>
      <c r="E132" t="s">
        <v>58</v>
      </c>
      <c r="G132" t="s">
        <v>45</v>
      </c>
      <c r="H132" t="s">
        <v>46</v>
      </c>
      <c r="I132" t="s">
        <v>98</v>
      </c>
      <c r="J132" t="s">
        <v>61</v>
      </c>
      <c r="K132" t="s">
        <v>106</v>
      </c>
      <c r="L132" t="s">
        <v>50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78</v>
      </c>
      <c r="S132">
        <v>3</v>
      </c>
      <c r="T132" t="s">
        <v>64</v>
      </c>
      <c r="U132">
        <v>3</v>
      </c>
      <c r="V132">
        <v>3</v>
      </c>
      <c r="W132" t="s">
        <v>78</v>
      </c>
      <c r="X132">
        <v>24</v>
      </c>
      <c r="Y132" t="s">
        <v>66</v>
      </c>
      <c r="Z132">
        <v>5</v>
      </c>
      <c r="AA132">
        <v>2</v>
      </c>
      <c r="AB132">
        <v>1</v>
      </c>
      <c r="AC132">
        <f t="shared" si="2"/>
        <v>0</v>
      </c>
      <c r="AD132">
        <v>2</v>
      </c>
      <c r="AE132">
        <v>5</v>
      </c>
      <c r="AF132">
        <v>2</v>
      </c>
      <c r="AG132">
        <v>4</v>
      </c>
      <c r="AH132">
        <v>2</v>
      </c>
      <c r="AI132">
        <v>1</v>
      </c>
      <c r="AJ132">
        <v>1</v>
      </c>
      <c r="AK132">
        <v>1</v>
      </c>
      <c r="AL132">
        <v>1</v>
      </c>
      <c r="AM132">
        <v>6</v>
      </c>
    </row>
    <row r="133" spans="1:39" x14ac:dyDescent="0.3">
      <c r="A133" t="s">
        <v>67</v>
      </c>
      <c r="B133" t="s">
        <v>68</v>
      </c>
      <c r="C133" t="s">
        <v>56</v>
      </c>
      <c r="D133" t="s">
        <v>42</v>
      </c>
      <c r="E133" t="s">
        <v>43</v>
      </c>
      <c r="F133" t="s">
        <v>132</v>
      </c>
      <c r="G133" t="s">
        <v>60</v>
      </c>
      <c r="H133" t="s">
        <v>46</v>
      </c>
      <c r="I133" t="s">
        <v>71</v>
      </c>
      <c r="J133" t="s">
        <v>48</v>
      </c>
      <c r="K133" t="s">
        <v>90</v>
      </c>
      <c r="L133" t="s">
        <v>46</v>
      </c>
      <c r="M133">
        <v>3</v>
      </c>
      <c r="N133">
        <v>3</v>
      </c>
      <c r="O133">
        <v>3</v>
      </c>
      <c r="P133">
        <v>3</v>
      </c>
      <c r="Q133">
        <v>3</v>
      </c>
      <c r="R133" t="s">
        <v>65</v>
      </c>
      <c r="S133">
        <v>3</v>
      </c>
      <c r="T133" t="s">
        <v>52</v>
      </c>
      <c r="U133">
        <v>3</v>
      </c>
      <c r="V133">
        <v>3</v>
      </c>
      <c r="W133" t="s">
        <v>78</v>
      </c>
      <c r="X133">
        <v>90</v>
      </c>
      <c r="Y133" t="s">
        <v>74</v>
      </c>
      <c r="Z133">
        <v>6</v>
      </c>
      <c r="AA133">
        <v>2</v>
      </c>
      <c r="AB133">
        <v>5</v>
      </c>
      <c r="AC133">
        <f t="shared" si="2"/>
        <v>1</v>
      </c>
      <c r="AD133">
        <v>3</v>
      </c>
      <c r="AE133">
        <v>2</v>
      </c>
      <c r="AF133">
        <v>2</v>
      </c>
      <c r="AG133">
        <v>2</v>
      </c>
      <c r="AH133">
        <v>1</v>
      </c>
      <c r="AI133">
        <v>2</v>
      </c>
      <c r="AJ133">
        <v>2</v>
      </c>
      <c r="AK133">
        <v>1</v>
      </c>
      <c r="AL133">
        <v>2</v>
      </c>
      <c r="AM133">
        <v>8</v>
      </c>
    </row>
    <row r="134" spans="1:39" x14ac:dyDescent="0.3">
      <c r="A134" t="s">
        <v>67</v>
      </c>
      <c r="B134" t="s">
        <v>68</v>
      </c>
      <c r="C134" t="s">
        <v>56</v>
      </c>
      <c r="D134" t="s">
        <v>80</v>
      </c>
      <c r="E134" t="s">
        <v>69</v>
      </c>
      <c r="F134" t="s">
        <v>86</v>
      </c>
      <c r="G134" t="s">
        <v>119</v>
      </c>
      <c r="H134" t="s">
        <v>46</v>
      </c>
      <c r="I134" t="s">
        <v>98</v>
      </c>
      <c r="J134" t="s">
        <v>102</v>
      </c>
      <c r="K134" t="s">
        <v>135</v>
      </c>
      <c r="L134" t="s">
        <v>50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51</v>
      </c>
      <c r="S134">
        <v>3</v>
      </c>
      <c r="T134" t="s">
        <v>103</v>
      </c>
      <c r="U134">
        <v>4</v>
      </c>
      <c r="V134">
        <v>3</v>
      </c>
      <c r="W134" t="s">
        <v>78</v>
      </c>
      <c r="X134">
        <v>17</v>
      </c>
      <c r="Y134" t="s">
        <v>74</v>
      </c>
      <c r="Z134">
        <v>4</v>
      </c>
      <c r="AA134">
        <v>2</v>
      </c>
      <c r="AB134">
        <v>4</v>
      </c>
      <c r="AC134">
        <f t="shared" si="2"/>
        <v>0</v>
      </c>
      <c r="AD134">
        <v>1</v>
      </c>
      <c r="AE134">
        <v>1</v>
      </c>
      <c r="AF134">
        <v>2</v>
      </c>
      <c r="AG134">
        <v>2</v>
      </c>
      <c r="AH134">
        <v>1</v>
      </c>
      <c r="AI134">
        <v>2</v>
      </c>
      <c r="AJ134">
        <v>2</v>
      </c>
      <c r="AK134">
        <v>2</v>
      </c>
      <c r="AL134">
        <v>1</v>
      </c>
      <c r="AM134">
        <v>8</v>
      </c>
    </row>
    <row r="135" spans="1:39" x14ac:dyDescent="0.3">
      <c r="A135" t="s">
        <v>67</v>
      </c>
      <c r="B135" t="s">
        <v>68</v>
      </c>
      <c r="C135" t="s">
        <v>56</v>
      </c>
      <c r="D135" t="s">
        <v>80</v>
      </c>
      <c r="E135" t="s">
        <v>43</v>
      </c>
      <c r="F135" t="s">
        <v>120</v>
      </c>
      <c r="G135" t="s">
        <v>60</v>
      </c>
      <c r="H135" t="s">
        <v>50</v>
      </c>
      <c r="J135" t="s">
        <v>61</v>
      </c>
      <c r="K135" t="s">
        <v>62</v>
      </c>
      <c r="L135" t="s">
        <v>50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53</v>
      </c>
      <c r="S135">
        <v>4</v>
      </c>
      <c r="T135" t="s">
        <v>64</v>
      </c>
      <c r="U135">
        <v>3</v>
      </c>
      <c r="V135">
        <v>3</v>
      </c>
      <c r="W135" t="s">
        <v>65</v>
      </c>
      <c r="X135">
        <v>102</v>
      </c>
      <c r="Y135" t="s">
        <v>74</v>
      </c>
      <c r="Z135">
        <v>6</v>
      </c>
      <c r="AA135">
        <v>1</v>
      </c>
      <c r="AB135">
        <v>1</v>
      </c>
      <c r="AC135">
        <f t="shared" si="2"/>
        <v>0</v>
      </c>
      <c r="AD135">
        <v>5</v>
      </c>
      <c r="AE135">
        <v>5</v>
      </c>
      <c r="AF135">
        <v>3</v>
      </c>
      <c r="AG135">
        <v>2</v>
      </c>
      <c r="AH135">
        <v>1</v>
      </c>
      <c r="AI135">
        <v>1</v>
      </c>
      <c r="AJ135">
        <v>1</v>
      </c>
      <c r="AK135">
        <v>1</v>
      </c>
      <c r="AL135">
        <v>2</v>
      </c>
      <c r="AM135">
        <v>6</v>
      </c>
    </row>
    <row r="136" spans="1:39" x14ac:dyDescent="0.3">
      <c r="A136" t="s">
        <v>67</v>
      </c>
      <c r="B136" t="s">
        <v>40</v>
      </c>
      <c r="C136" t="s">
        <v>56</v>
      </c>
      <c r="D136" t="s">
        <v>114</v>
      </c>
      <c r="E136" t="s">
        <v>43</v>
      </c>
      <c r="F136" t="s">
        <v>93</v>
      </c>
      <c r="G136" t="s">
        <v>60</v>
      </c>
      <c r="H136" t="s">
        <v>46</v>
      </c>
      <c r="I136" t="s">
        <v>98</v>
      </c>
      <c r="J136" t="s">
        <v>61</v>
      </c>
      <c r="K136" t="s">
        <v>100</v>
      </c>
      <c r="L136" t="s">
        <v>50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53</v>
      </c>
      <c r="S136">
        <v>3</v>
      </c>
      <c r="T136" t="s">
        <v>79</v>
      </c>
      <c r="U136">
        <v>4</v>
      </c>
      <c r="V136">
        <v>4</v>
      </c>
      <c r="W136" t="s">
        <v>78</v>
      </c>
      <c r="X136">
        <v>55</v>
      </c>
      <c r="Y136" t="s">
        <v>66</v>
      </c>
      <c r="Z136">
        <v>6</v>
      </c>
      <c r="AA136">
        <v>2</v>
      </c>
      <c r="AB136">
        <v>1</v>
      </c>
      <c r="AC136">
        <f t="shared" si="2"/>
        <v>0</v>
      </c>
      <c r="AD136">
        <v>5</v>
      </c>
      <c r="AE136">
        <v>3</v>
      </c>
      <c r="AF136">
        <v>2</v>
      </c>
      <c r="AG136">
        <v>4</v>
      </c>
      <c r="AH136">
        <v>1</v>
      </c>
      <c r="AI136">
        <v>1</v>
      </c>
      <c r="AJ136">
        <v>1</v>
      </c>
      <c r="AK136">
        <v>2</v>
      </c>
      <c r="AL136">
        <v>1</v>
      </c>
      <c r="AM136">
        <v>6</v>
      </c>
    </row>
    <row r="137" spans="1:39" x14ac:dyDescent="0.3">
      <c r="A137" t="s">
        <v>67</v>
      </c>
      <c r="B137" t="s">
        <v>40</v>
      </c>
      <c r="C137" t="s">
        <v>56</v>
      </c>
      <c r="D137" t="s">
        <v>57</v>
      </c>
      <c r="E137" t="s">
        <v>58</v>
      </c>
      <c r="F137" t="s">
        <v>86</v>
      </c>
      <c r="G137" t="s">
        <v>108</v>
      </c>
      <c r="H137" t="s">
        <v>50</v>
      </c>
      <c r="J137" t="s">
        <v>61</v>
      </c>
      <c r="K137" t="s">
        <v>62</v>
      </c>
      <c r="L137" t="s">
        <v>50</v>
      </c>
      <c r="M137">
        <v>3</v>
      </c>
      <c r="N137">
        <v>3</v>
      </c>
      <c r="O137">
        <v>3</v>
      </c>
      <c r="P137">
        <v>3</v>
      </c>
      <c r="Q137">
        <v>4</v>
      </c>
      <c r="R137" t="s">
        <v>65</v>
      </c>
      <c r="S137">
        <v>3</v>
      </c>
      <c r="T137" t="s">
        <v>79</v>
      </c>
      <c r="U137">
        <v>4</v>
      </c>
      <c r="V137">
        <v>4</v>
      </c>
      <c r="W137" t="s">
        <v>53</v>
      </c>
      <c r="X137">
        <v>123</v>
      </c>
      <c r="Y137" t="s">
        <v>83</v>
      </c>
      <c r="Z137">
        <v>7</v>
      </c>
      <c r="AA137">
        <v>1</v>
      </c>
      <c r="AB137">
        <v>1</v>
      </c>
      <c r="AC137">
        <f t="shared" si="2"/>
        <v>0</v>
      </c>
      <c r="AD137">
        <v>3</v>
      </c>
      <c r="AE137">
        <v>3</v>
      </c>
      <c r="AF137">
        <v>5</v>
      </c>
      <c r="AG137">
        <v>5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6</v>
      </c>
    </row>
    <row r="138" spans="1:39" x14ac:dyDescent="0.3">
      <c r="A138" t="s">
        <v>116</v>
      </c>
      <c r="B138" t="s">
        <v>68</v>
      </c>
      <c r="C138" t="s">
        <v>41</v>
      </c>
      <c r="D138" t="s">
        <v>57</v>
      </c>
      <c r="E138" t="s">
        <v>58</v>
      </c>
      <c r="F138" t="s">
        <v>47</v>
      </c>
      <c r="G138" t="s">
        <v>60</v>
      </c>
      <c r="H138" t="s">
        <v>50</v>
      </c>
      <c r="J138" t="s">
        <v>61</v>
      </c>
      <c r="K138" t="s">
        <v>62</v>
      </c>
      <c r="L138" t="s">
        <v>46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63</v>
      </c>
      <c r="S138">
        <v>3</v>
      </c>
      <c r="T138" t="s">
        <v>73</v>
      </c>
      <c r="U138">
        <v>4</v>
      </c>
      <c r="V138">
        <v>4</v>
      </c>
      <c r="W138" t="s">
        <v>63</v>
      </c>
      <c r="X138">
        <v>167</v>
      </c>
      <c r="Y138" t="s">
        <v>83</v>
      </c>
      <c r="Z138">
        <v>6</v>
      </c>
      <c r="AA138">
        <v>1</v>
      </c>
      <c r="AB138">
        <v>1</v>
      </c>
      <c r="AC138">
        <f t="shared" si="2"/>
        <v>1</v>
      </c>
      <c r="AD138">
        <v>4</v>
      </c>
      <c r="AE138">
        <v>4</v>
      </c>
      <c r="AF138">
        <v>4</v>
      </c>
      <c r="AG138">
        <v>5</v>
      </c>
      <c r="AH138">
        <v>1</v>
      </c>
      <c r="AI138">
        <v>1</v>
      </c>
      <c r="AJ138">
        <v>1</v>
      </c>
      <c r="AK138">
        <v>1</v>
      </c>
      <c r="AL138">
        <v>2</v>
      </c>
      <c r="AM138">
        <v>6</v>
      </c>
    </row>
    <row r="139" spans="1:39" x14ac:dyDescent="0.3">
      <c r="A139" t="s">
        <v>39</v>
      </c>
      <c r="B139" t="s">
        <v>40</v>
      </c>
      <c r="C139" t="s">
        <v>56</v>
      </c>
      <c r="D139" t="s">
        <v>80</v>
      </c>
      <c r="E139" t="s">
        <v>69</v>
      </c>
      <c r="F139" t="s">
        <v>132</v>
      </c>
      <c r="G139" t="s">
        <v>60</v>
      </c>
      <c r="H139" t="s">
        <v>46</v>
      </c>
      <c r="I139" t="s">
        <v>47</v>
      </c>
      <c r="J139" t="s">
        <v>48</v>
      </c>
      <c r="K139" t="s">
        <v>123</v>
      </c>
      <c r="L139" t="s">
        <v>46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63</v>
      </c>
      <c r="S139">
        <v>4</v>
      </c>
      <c r="T139" t="s">
        <v>103</v>
      </c>
      <c r="U139">
        <v>2</v>
      </c>
      <c r="V139">
        <v>3</v>
      </c>
      <c r="W139" t="s">
        <v>78</v>
      </c>
      <c r="X139">
        <v>17</v>
      </c>
      <c r="Y139" t="s">
        <v>74</v>
      </c>
      <c r="Z139">
        <v>6</v>
      </c>
      <c r="AA139">
        <v>2</v>
      </c>
      <c r="AB139">
        <v>5</v>
      </c>
      <c r="AC139">
        <f t="shared" si="2"/>
        <v>1</v>
      </c>
      <c r="AD139">
        <v>4</v>
      </c>
      <c r="AE139">
        <v>1</v>
      </c>
      <c r="AF139">
        <v>2</v>
      </c>
      <c r="AG139">
        <v>2</v>
      </c>
      <c r="AH139">
        <v>1</v>
      </c>
      <c r="AI139">
        <v>1</v>
      </c>
      <c r="AJ139">
        <v>2</v>
      </c>
      <c r="AK139">
        <v>2</v>
      </c>
      <c r="AL139">
        <v>1</v>
      </c>
      <c r="AM139">
        <v>7</v>
      </c>
    </row>
    <row r="140" spans="1:39" x14ac:dyDescent="0.3">
      <c r="A140" t="s">
        <v>67</v>
      </c>
      <c r="B140" t="s">
        <v>68</v>
      </c>
      <c r="C140" t="s">
        <v>56</v>
      </c>
      <c r="D140" t="s">
        <v>57</v>
      </c>
      <c r="E140" t="s">
        <v>58</v>
      </c>
      <c r="F140" t="s">
        <v>137</v>
      </c>
      <c r="G140" t="s">
        <v>45</v>
      </c>
      <c r="H140" t="s">
        <v>50</v>
      </c>
      <c r="J140" t="s">
        <v>61</v>
      </c>
      <c r="K140" t="s">
        <v>62</v>
      </c>
      <c r="L140" t="s">
        <v>46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63</v>
      </c>
      <c r="S140">
        <v>3</v>
      </c>
      <c r="T140" t="s">
        <v>64</v>
      </c>
      <c r="U140">
        <v>4</v>
      </c>
      <c r="V140">
        <v>4</v>
      </c>
      <c r="W140" t="s">
        <v>65</v>
      </c>
      <c r="X140">
        <v>63</v>
      </c>
      <c r="Y140" t="s">
        <v>74</v>
      </c>
      <c r="Z140">
        <v>5</v>
      </c>
      <c r="AA140">
        <v>1</v>
      </c>
      <c r="AB140">
        <v>1</v>
      </c>
      <c r="AC140">
        <f t="shared" si="2"/>
        <v>1</v>
      </c>
      <c r="AD140">
        <v>4</v>
      </c>
      <c r="AE140">
        <v>5</v>
      </c>
      <c r="AF140">
        <v>3</v>
      </c>
      <c r="AG140">
        <v>2</v>
      </c>
      <c r="AH140">
        <v>1</v>
      </c>
      <c r="AI140">
        <v>1</v>
      </c>
      <c r="AJ140">
        <v>1</v>
      </c>
      <c r="AK140">
        <v>1</v>
      </c>
      <c r="AL140">
        <v>2</v>
      </c>
      <c r="AM140">
        <v>6</v>
      </c>
    </row>
    <row r="141" spans="1:39" x14ac:dyDescent="0.3">
      <c r="A141" t="s">
        <v>67</v>
      </c>
      <c r="B141" t="s">
        <v>68</v>
      </c>
      <c r="C141" t="s">
        <v>41</v>
      </c>
      <c r="D141" t="s">
        <v>57</v>
      </c>
      <c r="E141" t="s">
        <v>69</v>
      </c>
      <c r="F141" t="s">
        <v>137</v>
      </c>
      <c r="G141" t="s">
        <v>45</v>
      </c>
      <c r="H141" t="s">
        <v>46</v>
      </c>
      <c r="I141" t="s">
        <v>71</v>
      </c>
      <c r="J141" t="s">
        <v>61</v>
      </c>
      <c r="K141" t="s">
        <v>134</v>
      </c>
      <c r="L141" t="s">
        <v>46</v>
      </c>
      <c r="M141">
        <v>4</v>
      </c>
      <c r="N141">
        <v>4</v>
      </c>
      <c r="O141">
        <v>4</v>
      </c>
      <c r="P141">
        <v>4</v>
      </c>
      <c r="Q141">
        <v>4</v>
      </c>
      <c r="R141" t="s">
        <v>65</v>
      </c>
      <c r="S141">
        <v>2</v>
      </c>
      <c r="T141" t="s">
        <v>64</v>
      </c>
      <c r="U141">
        <v>4</v>
      </c>
      <c r="V141">
        <v>4</v>
      </c>
      <c r="W141" t="s">
        <v>63</v>
      </c>
      <c r="X141">
        <v>154</v>
      </c>
      <c r="Y141" t="s">
        <v>74</v>
      </c>
      <c r="Z141">
        <v>5</v>
      </c>
      <c r="AA141">
        <v>2</v>
      </c>
      <c r="AB141">
        <v>1</v>
      </c>
      <c r="AC141">
        <f t="shared" si="2"/>
        <v>1</v>
      </c>
      <c r="AD141">
        <v>3</v>
      </c>
      <c r="AE141">
        <v>5</v>
      </c>
      <c r="AF141">
        <v>4</v>
      </c>
      <c r="AG141">
        <v>2</v>
      </c>
      <c r="AH141">
        <v>2</v>
      </c>
      <c r="AI141">
        <v>2</v>
      </c>
      <c r="AJ141">
        <v>2</v>
      </c>
      <c r="AK141">
        <v>1</v>
      </c>
      <c r="AL141">
        <v>1</v>
      </c>
      <c r="AM141">
        <v>8</v>
      </c>
    </row>
    <row r="142" spans="1:39" x14ac:dyDescent="0.3">
      <c r="A142" t="s">
        <v>39</v>
      </c>
      <c r="B142" t="s">
        <v>68</v>
      </c>
      <c r="C142" t="s">
        <v>56</v>
      </c>
      <c r="D142" t="s">
        <v>57</v>
      </c>
      <c r="E142" t="s">
        <v>58</v>
      </c>
      <c r="F142" t="s">
        <v>91</v>
      </c>
      <c r="G142" t="s">
        <v>119</v>
      </c>
      <c r="H142" t="s">
        <v>50</v>
      </c>
      <c r="J142" t="s">
        <v>61</v>
      </c>
      <c r="K142" t="s">
        <v>62</v>
      </c>
      <c r="L142" t="s">
        <v>50</v>
      </c>
      <c r="M142">
        <v>3</v>
      </c>
      <c r="N142">
        <v>3</v>
      </c>
      <c r="O142">
        <v>3</v>
      </c>
      <c r="P142">
        <v>3</v>
      </c>
      <c r="Q142">
        <v>3</v>
      </c>
      <c r="R142" t="s">
        <v>65</v>
      </c>
      <c r="S142">
        <v>4</v>
      </c>
      <c r="T142" t="s">
        <v>103</v>
      </c>
      <c r="U142">
        <v>3</v>
      </c>
      <c r="V142">
        <v>4</v>
      </c>
      <c r="W142" t="s">
        <v>78</v>
      </c>
      <c r="X142">
        <v>15</v>
      </c>
      <c r="Y142" t="s">
        <v>74</v>
      </c>
      <c r="Z142">
        <v>4</v>
      </c>
      <c r="AA142">
        <v>1</v>
      </c>
      <c r="AB142">
        <v>1</v>
      </c>
      <c r="AC142">
        <f t="shared" si="2"/>
        <v>0</v>
      </c>
      <c r="AD142">
        <v>3</v>
      </c>
      <c r="AE142">
        <v>1</v>
      </c>
      <c r="AF142">
        <v>2</v>
      </c>
      <c r="AG142">
        <v>2</v>
      </c>
      <c r="AH142">
        <v>1</v>
      </c>
      <c r="AI142">
        <v>1</v>
      </c>
      <c r="AJ142">
        <v>1</v>
      </c>
      <c r="AK142">
        <v>1</v>
      </c>
      <c r="AL142">
        <v>2</v>
      </c>
      <c r="AM142">
        <v>6</v>
      </c>
    </row>
    <row r="143" spans="1:39" x14ac:dyDescent="0.3">
      <c r="A143" t="s">
        <v>39</v>
      </c>
      <c r="B143" t="s">
        <v>68</v>
      </c>
      <c r="C143" t="s">
        <v>41</v>
      </c>
      <c r="D143" t="s">
        <v>128</v>
      </c>
      <c r="E143" t="s">
        <v>69</v>
      </c>
      <c r="F143" t="s">
        <v>96</v>
      </c>
      <c r="G143" t="s">
        <v>119</v>
      </c>
      <c r="H143" t="s">
        <v>50</v>
      </c>
      <c r="J143" t="s">
        <v>61</v>
      </c>
      <c r="K143" t="s">
        <v>62</v>
      </c>
      <c r="L143" t="s">
        <v>46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63</v>
      </c>
      <c r="S143">
        <v>2</v>
      </c>
      <c r="T143" t="s">
        <v>79</v>
      </c>
      <c r="U143">
        <v>5</v>
      </c>
      <c r="V143">
        <v>4</v>
      </c>
      <c r="W143" t="s">
        <v>53</v>
      </c>
      <c r="X143">
        <v>142</v>
      </c>
      <c r="Y143" t="s">
        <v>74</v>
      </c>
      <c r="Z143">
        <v>4</v>
      </c>
      <c r="AA143">
        <v>1</v>
      </c>
      <c r="AB143">
        <v>1</v>
      </c>
      <c r="AC143">
        <f t="shared" si="2"/>
        <v>1</v>
      </c>
      <c r="AD143">
        <v>4</v>
      </c>
      <c r="AE143">
        <v>3</v>
      </c>
      <c r="AF143">
        <v>5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2</v>
      </c>
      <c r="AM143">
        <v>6</v>
      </c>
    </row>
    <row r="144" spans="1:39" x14ac:dyDescent="0.3">
      <c r="A144" t="s">
        <v>39</v>
      </c>
      <c r="B144" t="s">
        <v>40</v>
      </c>
      <c r="C144" t="s">
        <v>56</v>
      </c>
      <c r="D144" t="s">
        <v>57</v>
      </c>
      <c r="E144" t="s">
        <v>58</v>
      </c>
      <c r="F144" t="s">
        <v>71</v>
      </c>
      <c r="G144" t="s">
        <v>112</v>
      </c>
      <c r="H144" t="s">
        <v>46</v>
      </c>
      <c r="I144" t="s">
        <v>71</v>
      </c>
      <c r="J144" t="s">
        <v>61</v>
      </c>
      <c r="K144" t="s">
        <v>127</v>
      </c>
      <c r="L144" t="s">
        <v>46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78</v>
      </c>
      <c r="S144">
        <v>3</v>
      </c>
      <c r="T144" t="s">
        <v>79</v>
      </c>
      <c r="U144">
        <v>3</v>
      </c>
      <c r="V144">
        <v>4</v>
      </c>
      <c r="W144" t="s">
        <v>65</v>
      </c>
      <c r="X144">
        <v>146</v>
      </c>
      <c r="Y144" t="s">
        <v>85</v>
      </c>
      <c r="Z144">
        <v>1</v>
      </c>
      <c r="AA144">
        <v>2</v>
      </c>
      <c r="AB144">
        <v>1</v>
      </c>
      <c r="AC144">
        <f t="shared" si="2"/>
        <v>1</v>
      </c>
      <c r="AD144">
        <v>2</v>
      </c>
      <c r="AE144">
        <v>3</v>
      </c>
      <c r="AF144">
        <v>3</v>
      </c>
      <c r="AG144">
        <v>1</v>
      </c>
      <c r="AH144">
        <v>1</v>
      </c>
      <c r="AI144">
        <v>2</v>
      </c>
      <c r="AJ144">
        <v>1</v>
      </c>
      <c r="AK144">
        <v>1</v>
      </c>
      <c r="AL144">
        <v>1</v>
      </c>
      <c r="AM144">
        <v>6</v>
      </c>
    </row>
    <row r="145" spans="1:39" x14ac:dyDescent="0.3">
      <c r="A145" t="s">
        <v>39</v>
      </c>
      <c r="B145" t="s">
        <v>55</v>
      </c>
      <c r="C145" t="s">
        <v>56</v>
      </c>
      <c r="D145" t="s">
        <v>80</v>
      </c>
      <c r="E145" t="s">
        <v>95</v>
      </c>
      <c r="F145" t="s">
        <v>111</v>
      </c>
      <c r="G145" t="s">
        <v>112</v>
      </c>
      <c r="H145" t="s">
        <v>46</v>
      </c>
      <c r="I145" t="s">
        <v>47</v>
      </c>
      <c r="J145" t="s">
        <v>61</v>
      </c>
      <c r="K145" t="s">
        <v>94</v>
      </c>
      <c r="L145" t="s">
        <v>50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63</v>
      </c>
      <c r="S145">
        <v>3</v>
      </c>
      <c r="T145" t="s">
        <v>64</v>
      </c>
      <c r="U145">
        <v>3</v>
      </c>
      <c r="V145">
        <v>3</v>
      </c>
      <c r="W145" t="s">
        <v>63</v>
      </c>
      <c r="X145">
        <v>166</v>
      </c>
      <c r="Y145" t="s">
        <v>74</v>
      </c>
      <c r="Z145">
        <v>1</v>
      </c>
      <c r="AA145">
        <v>2</v>
      </c>
      <c r="AB145">
        <v>1</v>
      </c>
      <c r="AC145">
        <f t="shared" si="2"/>
        <v>0</v>
      </c>
      <c r="AD145">
        <v>4</v>
      </c>
      <c r="AE145">
        <v>5</v>
      </c>
      <c r="AF145">
        <v>4</v>
      </c>
      <c r="AG145">
        <v>2</v>
      </c>
      <c r="AH145">
        <v>2</v>
      </c>
      <c r="AI145">
        <v>1</v>
      </c>
      <c r="AJ145">
        <v>2</v>
      </c>
      <c r="AK145">
        <v>1</v>
      </c>
      <c r="AL145">
        <v>1</v>
      </c>
      <c r="AM145">
        <v>7</v>
      </c>
    </row>
    <row r="146" spans="1:39" x14ac:dyDescent="0.3">
      <c r="A146" t="s">
        <v>39</v>
      </c>
      <c r="B146" t="s">
        <v>68</v>
      </c>
      <c r="C146" t="s">
        <v>41</v>
      </c>
      <c r="D146" t="s">
        <v>42</v>
      </c>
      <c r="E146" t="s">
        <v>69</v>
      </c>
      <c r="F146" t="s">
        <v>115</v>
      </c>
      <c r="G146" t="s">
        <v>60</v>
      </c>
      <c r="H146" t="s">
        <v>46</v>
      </c>
      <c r="I146" t="s">
        <v>71</v>
      </c>
      <c r="J146" t="s">
        <v>61</v>
      </c>
      <c r="K146" t="s">
        <v>100</v>
      </c>
      <c r="L146" t="s">
        <v>46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63</v>
      </c>
      <c r="S146">
        <v>2</v>
      </c>
      <c r="T146" t="s">
        <v>64</v>
      </c>
      <c r="U146">
        <v>5</v>
      </c>
      <c r="V146">
        <v>4</v>
      </c>
      <c r="W146" t="s">
        <v>65</v>
      </c>
      <c r="X146">
        <v>196</v>
      </c>
      <c r="Y146" t="s">
        <v>74</v>
      </c>
      <c r="Z146">
        <v>6</v>
      </c>
      <c r="AA146">
        <v>2</v>
      </c>
      <c r="AB146">
        <v>1</v>
      </c>
      <c r="AC146">
        <f t="shared" si="2"/>
        <v>1</v>
      </c>
      <c r="AD146">
        <v>4</v>
      </c>
      <c r="AE146">
        <v>5</v>
      </c>
      <c r="AF146">
        <v>3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1</v>
      </c>
      <c r="AM146">
        <v>6</v>
      </c>
    </row>
    <row r="147" spans="1:39" x14ac:dyDescent="0.3">
      <c r="A147" t="s">
        <v>67</v>
      </c>
      <c r="B147" t="s">
        <v>40</v>
      </c>
      <c r="C147" t="s">
        <v>56</v>
      </c>
      <c r="D147" t="s">
        <v>42</v>
      </c>
      <c r="E147" t="s">
        <v>43</v>
      </c>
      <c r="F147" t="s">
        <v>82</v>
      </c>
      <c r="G147" t="s">
        <v>45</v>
      </c>
      <c r="H147" t="s">
        <v>50</v>
      </c>
      <c r="J147" t="s">
        <v>61</v>
      </c>
      <c r="K147" t="s">
        <v>62</v>
      </c>
      <c r="L147" t="s">
        <v>50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53</v>
      </c>
      <c r="S147">
        <v>3</v>
      </c>
      <c r="T147" t="s">
        <v>73</v>
      </c>
      <c r="U147">
        <v>4</v>
      </c>
      <c r="V147">
        <v>4</v>
      </c>
      <c r="W147" t="s">
        <v>78</v>
      </c>
      <c r="X147">
        <v>72</v>
      </c>
      <c r="Y147" t="s">
        <v>54</v>
      </c>
      <c r="Z147">
        <v>5</v>
      </c>
      <c r="AA147">
        <v>1</v>
      </c>
      <c r="AB147">
        <v>1</v>
      </c>
      <c r="AC147">
        <f t="shared" si="2"/>
        <v>0</v>
      </c>
      <c r="AD147">
        <v>5</v>
      </c>
      <c r="AE147">
        <v>4</v>
      </c>
      <c r="AF147">
        <v>2</v>
      </c>
      <c r="AG147">
        <v>3</v>
      </c>
      <c r="AH147">
        <v>1</v>
      </c>
      <c r="AI147">
        <v>1</v>
      </c>
      <c r="AJ147">
        <v>1</v>
      </c>
      <c r="AK147">
        <v>1</v>
      </c>
      <c r="AL147">
        <v>2</v>
      </c>
      <c r="AM147">
        <v>6</v>
      </c>
    </row>
    <row r="148" spans="1:39" x14ac:dyDescent="0.3">
      <c r="A148" t="s">
        <v>67</v>
      </c>
      <c r="B148" t="s">
        <v>40</v>
      </c>
      <c r="C148" t="s">
        <v>56</v>
      </c>
      <c r="D148" t="s">
        <v>42</v>
      </c>
      <c r="E148" t="s">
        <v>58</v>
      </c>
      <c r="F148" t="s">
        <v>82</v>
      </c>
      <c r="G148" t="s">
        <v>60</v>
      </c>
      <c r="H148" t="s">
        <v>50</v>
      </c>
      <c r="J148" t="s">
        <v>61</v>
      </c>
      <c r="K148" t="s">
        <v>62</v>
      </c>
      <c r="L148" t="s">
        <v>50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53</v>
      </c>
      <c r="S148">
        <v>4</v>
      </c>
      <c r="T148" t="s">
        <v>64</v>
      </c>
      <c r="U148">
        <v>3</v>
      </c>
      <c r="V148">
        <v>3</v>
      </c>
      <c r="W148" t="s">
        <v>51</v>
      </c>
      <c r="X148">
        <v>67</v>
      </c>
      <c r="Y148" t="s">
        <v>74</v>
      </c>
      <c r="Z148">
        <v>6</v>
      </c>
      <c r="AA148">
        <v>1</v>
      </c>
      <c r="AB148">
        <v>1</v>
      </c>
      <c r="AC148">
        <f t="shared" si="2"/>
        <v>0</v>
      </c>
      <c r="AD148">
        <v>5</v>
      </c>
      <c r="AE148">
        <v>5</v>
      </c>
      <c r="AF148">
        <v>1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2</v>
      </c>
      <c r="AM148">
        <v>6</v>
      </c>
    </row>
    <row r="149" spans="1:39" x14ac:dyDescent="0.3">
      <c r="A149" t="s">
        <v>109</v>
      </c>
      <c r="B149" t="s">
        <v>40</v>
      </c>
      <c r="C149" t="s">
        <v>41</v>
      </c>
      <c r="D149" t="s">
        <v>80</v>
      </c>
      <c r="E149" t="s">
        <v>95</v>
      </c>
      <c r="F149" t="s">
        <v>104</v>
      </c>
      <c r="G149" t="s">
        <v>45</v>
      </c>
      <c r="H149" t="s">
        <v>46</v>
      </c>
      <c r="I149" t="s">
        <v>71</v>
      </c>
      <c r="J149" t="s">
        <v>48</v>
      </c>
      <c r="K149" t="s">
        <v>90</v>
      </c>
      <c r="L149" t="s">
        <v>46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63</v>
      </c>
      <c r="S149">
        <v>4</v>
      </c>
      <c r="T149" t="s">
        <v>103</v>
      </c>
      <c r="U149">
        <v>3</v>
      </c>
      <c r="V149">
        <v>3</v>
      </c>
      <c r="W149" t="s">
        <v>78</v>
      </c>
      <c r="X149">
        <v>41</v>
      </c>
      <c r="Y149" t="s">
        <v>74</v>
      </c>
      <c r="Z149">
        <v>5</v>
      </c>
      <c r="AA149">
        <v>2</v>
      </c>
      <c r="AB149">
        <v>5</v>
      </c>
      <c r="AC149">
        <f t="shared" si="2"/>
        <v>1</v>
      </c>
      <c r="AD149">
        <v>4</v>
      </c>
      <c r="AE149">
        <v>1</v>
      </c>
      <c r="AF149">
        <v>2</v>
      </c>
      <c r="AG149">
        <v>2</v>
      </c>
      <c r="AH149">
        <v>1</v>
      </c>
      <c r="AI149">
        <v>2</v>
      </c>
      <c r="AJ149">
        <v>2</v>
      </c>
      <c r="AK149">
        <v>1</v>
      </c>
      <c r="AL149">
        <v>2</v>
      </c>
      <c r="AM149">
        <v>8</v>
      </c>
    </row>
    <row r="150" spans="1:39" x14ac:dyDescent="0.3">
      <c r="A150" t="s">
        <v>116</v>
      </c>
      <c r="B150" t="s">
        <v>40</v>
      </c>
      <c r="C150" t="s">
        <v>56</v>
      </c>
      <c r="D150" t="s">
        <v>57</v>
      </c>
      <c r="E150" t="s">
        <v>69</v>
      </c>
      <c r="F150" t="s">
        <v>111</v>
      </c>
      <c r="G150" t="s">
        <v>60</v>
      </c>
      <c r="H150" t="s">
        <v>50</v>
      </c>
      <c r="J150" t="s">
        <v>61</v>
      </c>
      <c r="K150" t="s">
        <v>62</v>
      </c>
      <c r="L150" t="s">
        <v>50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78</v>
      </c>
      <c r="S150">
        <v>3</v>
      </c>
      <c r="T150" t="s">
        <v>73</v>
      </c>
      <c r="U150">
        <v>4</v>
      </c>
      <c r="V150">
        <v>4</v>
      </c>
      <c r="W150" t="s">
        <v>65</v>
      </c>
      <c r="X150">
        <v>102</v>
      </c>
      <c r="Y150" t="s">
        <v>74</v>
      </c>
      <c r="Z150">
        <v>6</v>
      </c>
      <c r="AA150">
        <v>1</v>
      </c>
      <c r="AB150">
        <v>1</v>
      </c>
      <c r="AC150">
        <f t="shared" si="2"/>
        <v>0</v>
      </c>
      <c r="AD150">
        <v>2</v>
      </c>
      <c r="AE150">
        <v>4</v>
      </c>
      <c r="AF150">
        <v>3</v>
      </c>
      <c r="AG150">
        <v>2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6</v>
      </c>
    </row>
    <row r="151" spans="1:39" x14ac:dyDescent="0.3">
      <c r="A151" t="s">
        <v>39</v>
      </c>
      <c r="B151" t="s">
        <v>68</v>
      </c>
      <c r="C151" t="s">
        <v>56</v>
      </c>
      <c r="D151" t="s">
        <v>57</v>
      </c>
      <c r="E151" t="s">
        <v>43</v>
      </c>
      <c r="F151" t="s">
        <v>107</v>
      </c>
      <c r="G151" t="s">
        <v>60</v>
      </c>
      <c r="H151" t="s">
        <v>50</v>
      </c>
      <c r="J151" t="s">
        <v>61</v>
      </c>
      <c r="K151" t="s">
        <v>62</v>
      </c>
      <c r="L151" t="s">
        <v>50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78</v>
      </c>
      <c r="S151">
        <v>3</v>
      </c>
      <c r="T151" t="s">
        <v>52</v>
      </c>
      <c r="U151">
        <v>3</v>
      </c>
      <c r="V151">
        <v>3</v>
      </c>
      <c r="W151" t="s">
        <v>63</v>
      </c>
      <c r="X151">
        <v>161</v>
      </c>
      <c r="Y151" t="s">
        <v>74</v>
      </c>
      <c r="Z151">
        <v>6</v>
      </c>
      <c r="AA151">
        <v>1</v>
      </c>
      <c r="AB151">
        <v>1</v>
      </c>
      <c r="AC151">
        <f t="shared" si="2"/>
        <v>0</v>
      </c>
      <c r="AD151">
        <v>2</v>
      </c>
      <c r="AE151">
        <v>2</v>
      </c>
      <c r="AF151">
        <v>4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2</v>
      </c>
      <c r="AM15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4C6B-E134-4892-B88B-794275EBD64B}">
  <dimension ref="A1:C80"/>
  <sheetViews>
    <sheetView topLeftCell="A55" workbookViewId="0">
      <selection activeCell="D89" sqref="D89"/>
    </sheetView>
  </sheetViews>
  <sheetFormatPr defaultRowHeight="14.4" x14ac:dyDescent="0.3"/>
  <cols>
    <col min="3" max="3" width="11.109375" bestFit="1" customWidth="1"/>
    <col min="4" max="4" width="35.88671875" bestFit="1" customWidth="1"/>
    <col min="5" max="5" width="32.88671875" bestFit="1" customWidth="1"/>
  </cols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cm="1">
        <f t="array" ref="A2:C80">_xlfn._xlws.FILTER(
    CHOOSE({1,2,3}, [1]Sheet1!AA:AA, [1]Sheet1!AB:AB, [1]Sheet1!AE:AE),
    [1]Sheet1!AC:AC = 1
)</f>
        <v>1</v>
      </c>
      <c r="B2">
        <v>1</v>
      </c>
      <c r="C2">
        <v>5</v>
      </c>
    </row>
    <row r="3" spans="1:3" x14ac:dyDescent="0.3">
      <c r="A3">
        <v>2</v>
      </c>
      <c r="B3">
        <v>1</v>
      </c>
      <c r="C3">
        <v>4</v>
      </c>
    </row>
    <row r="4" spans="1:3" x14ac:dyDescent="0.3">
      <c r="A4">
        <v>2</v>
      </c>
      <c r="B4">
        <v>3</v>
      </c>
      <c r="C4">
        <v>3</v>
      </c>
    </row>
    <row r="5" spans="1:3" x14ac:dyDescent="0.3">
      <c r="A5">
        <v>1</v>
      </c>
      <c r="B5">
        <v>1</v>
      </c>
      <c r="C5">
        <v>2</v>
      </c>
    </row>
    <row r="6" spans="1:3" x14ac:dyDescent="0.3">
      <c r="A6">
        <v>2</v>
      </c>
      <c r="B6">
        <v>1</v>
      </c>
      <c r="C6">
        <v>3</v>
      </c>
    </row>
    <row r="7" spans="1:3" x14ac:dyDescent="0.3">
      <c r="A7">
        <v>2</v>
      </c>
      <c r="B7">
        <v>3</v>
      </c>
      <c r="C7">
        <v>2</v>
      </c>
    </row>
    <row r="8" spans="1:3" x14ac:dyDescent="0.3">
      <c r="A8">
        <v>1</v>
      </c>
      <c r="B8">
        <v>1</v>
      </c>
      <c r="C8">
        <v>3</v>
      </c>
    </row>
    <row r="9" spans="1:3" x14ac:dyDescent="0.3">
      <c r="A9">
        <v>1</v>
      </c>
      <c r="B9">
        <v>1</v>
      </c>
      <c r="C9">
        <v>2</v>
      </c>
    </row>
    <row r="10" spans="1:3" x14ac:dyDescent="0.3">
      <c r="A10">
        <v>2</v>
      </c>
      <c r="B10">
        <v>3</v>
      </c>
      <c r="C10">
        <v>5</v>
      </c>
    </row>
    <row r="11" spans="1:3" x14ac:dyDescent="0.3">
      <c r="A11">
        <v>1</v>
      </c>
      <c r="B11">
        <v>1</v>
      </c>
      <c r="C11">
        <v>5</v>
      </c>
    </row>
    <row r="12" spans="1:3" x14ac:dyDescent="0.3">
      <c r="A12">
        <v>2</v>
      </c>
      <c r="B12">
        <v>2</v>
      </c>
      <c r="C12">
        <v>2</v>
      </c>
    </row>
    <row r="13" spans="1:3" x14ac:dyDescent="0.3">
      <c r="A13">
        <v>2</v>
      </c>
      <c r="B13">
        <v>4</v>
      </c>
      <c r="C13">
        <v>1</v>
      </c>
    </row>
    <row r="14" spans="1:3" x14ac:dyDescent="0.3">
      <c r="A14">
        <v>2</v>
      </c>
      <c r="B14">
        <v>3</v>
      </c>
      <c r="C14">
        <v>1</v>
      </c>
    </row>
    <row r="15" spans="1:3" x14ac:dyDescent="0.3">
      <c r="A15">
        <v>2</v>
      </c>
      <c r="B15">
        <v>2</v>
      </c>
      <c r="C15">
        <v>4</v>
      </c>
    </row>
    <row r="16" spans="1:3" x14ac:dyDescent="0.3">
      <c r="A16">
        <v>2</v>
      </c>
      <c r="B16">
        <v>1</v>
      </c>
      <c r="C16">
        <v>2</v>
      </c>
    </row>
    <row r="17" spans="1:3" x14ac:dyDescent="0.3">
      <c r="A17">
        <v>1</v>
      </c>
      <c r="B17">
        <v>1</v>
      </c>
      <c r="C17">
        <v>2</v>
      </c>
    </row>
    <row r="18" spans="1:3" x14ac:dyDescent="0.3">
      <c r="A18">
        <v>1</v>
      </c>
      <c r="B18">
        <v>1</v>
      </c>
      <c r="C18">
        <v>5</v>
      </c>
    </row>
    <row r="19" spans="1:3" x14ac:dyDescent="0.3">
      <c r="A19">
        <v>2</v>
      </c>
      <c r="B19">
        <v>1</v>
      </c>
      <c r="C19">
        <v>4</v>
      </c>
    </row>
    <row r="20" spans="1:3" x14ac:dyDescent="0.3">
      <c r="A20">
        <v>1</v>
      </c>
      <c r="B20">
        <v>1</v>
      </c>
      <c r="C20">
        <v>3</v>
      </c>
    </row>
    <row r="21" spans="1:3" x14ac:dyDescent="0.3">
      <c r="A21">
        <v>1</v>
      </c>
      <c r="B21">
        <v>1</v>
      </c>
      <c r="C21">
        <v>1</v>
      </c>
    </row>
    <row r="22" spans="1:3" x14ac:dyDescent="0.3">
      <c r="A22">
        <v>1</v>
      </c>
      <c r="B22">
        <v>1</v>
      </c>
      <c r="C22">
        <v>4</v>
      </c>
    </row>
    <row r="23" spans="1:3" x14ac:dyDescent="0.3">
      <c r="A23">
        <v>2</v>
      </c>
      <c r="B23">
        <v>2</v>
      </c>
      <c r="C23">
        <v>3</v>
      </c>
    </row>
    <row r="24" spans="1:3" x14ac:dyDescent="0.3">
      <c r="A24">
        <v>2</v>
      </c>
      <c r="B24">
        <v>1</v>
      </c>
      <c r="C24">
        <v>4</v>
      </c>
    </row>
    <row r="25" spans="1:3" x14ac:dyDescent="0.3">
      <c r="A25">
        <v>1</v>
      </c>
      <c r="B25">
        <v>1</v>
      </c>
      <c r="C25">
        <v>3</v>
      </c>
    </row>
    <row r="26" spans="1:3" x14ac:dyDescent="0.3">
      <c r="A26">
        <v>2</v>
      </c>
      <c r="B26">
        <v>2</v>
      </c>
      <c r="C26">
        <v>5</v>
      </c>
    </row>
    <row r="27" spans="1:3" x14ac:dyDescent="0.3">
      <c r="A27">
        <v>2</v>
      </c>
      <c r="B27">
        <v>5</v>
      </c>
      <c r="C27">
        <v>2</v>
      </c>
    </row>
    <row r="28" spans="1:3" x14ac:dyDescent="0.3">
      <c r="A28">
        <v>2</v>
      </c>
      <c r="B28">
        <v>5</v>
      </c>
      <c r="C28">
        <v>2</v>
      </c>
    </row>
    <row r="29" spans="1:3" x14ac:dyDescent="0.3">
      <c r="A29">
        <v>2</v>
      </c>
      <c r="B29">
        <v>1</v>
      </c>
      <c r="C29">
        <v>1</v>
      </c>
    </row>
    <row r="30" spans="1:3" x14ac:dyDescent="0.3">
      <c r="A30">
        <v>1</v>
      </c>
      <c r="B30">
        <v>1</v>
      </c>
      <c r="C30">
        <v>4</v>
      </c>
    </row>
    <row r="31" spans="1:3" x14ac:dyDescent="0.3">
      <c r="A31">
        <v>2</v>
      </c>
      <c r="B31">
        <v>2</v>
      </c>
      <c r="C31">
        <v>2</v>
      </c>
    </row>
    <row r="32" spans="1:3" x14ac:dyDescent="0.3">
      <c r="A32">
        <v>2</v>
      </c>
      <c r="B32">
        <v>5</v>
      </c>
      <c r="C32">
        <v>5</v>
      </c>
    </row>
    <row r="33" spans="1:3" x14ac:dyDescent="0.3">
      <c r="A33">
        <v>2</v>
      </c>
      <c r="B33">
        <v>2</v>
      </c>
      <c r="C33">
        <v>1</v>
      </c>
    </row>
    <row r="34" spans="1:3" x14ac:dyDescent="0.3">
      <c r="A34">
        <v>2</v>
      </c>
      <c r="B34">
        <v>2</v>
      </c>
      <c r="C34">
        <v>4</v>
      </c>
    </row>
    <row r="35" spans="1:3" x14ac:dyDescent="0.3">
      <c r="A35">
        <v>1</v>
      </c>
      <c r="B35">
        <v>1</v>
      </c>
      <c r="C35">
        <v>5</v>
      </c>
    </row>
    <row r="36" spans="1:3" x14ac:dyDescent="0.3">
      <c r="A36">
        <v>2</v>
      </c>
      <c r="B36">
        <v>5</v>
      </c>
      <c r="C36">
        <v>2</v>
      </c>
    </row>
    <row r="37" spans="1:3" x14ac:dyDescent="0.3">
      <c r="A37">
        <v>2</v>
      </c>
      <c r="B37">
        <v>1</v>
      </c>
      <c r="C37">
        <v>2</v>
      </c>
    </row>
    <row r="38" spans="1:3" x14ac:dyDescent="0.3">
      <c r="A38">
        <v>2</v>
      </c>
      <c r="B38">
        <v>3</v>
      </c>
      <c r="C38">
        <v>5</v>
      </c>
    </row>
    <row r="39" spans="1:3" x14ac:dyDescent="0.3">
      <c r="A39">
        <v>1</v>
      </c>
      <c r="B39">
        <v>1</v>
      </c>
      <c r="C39">
        <v>4</v>
      </c>
    </row>
    <row r="40" spans="1:3" x14ac:dyDescent="0.3">
      <c r="A40">
        <v>2</v>
      </c>
      <c r="B40">
        <v>2</v>
      </c>
      <c r="C40">
        <v>4</v>
      </c>
    </row>
    <row r="41" spans="1:3" x14ac:dyDescent="0.3">
      <c r="A41">
        <v>1</v>
      </c>
      <c r="B41">
        <v>1</v>
      </c>
      <c r="C41">
        <v>2</v>
      </c>
    </row>
    <row r="42" spans="1:3" x14ac:dyDescent="0.3">
      <c r="A42">
        <v>1</v>
      </c>
      <c r="B42">
        <v>1</v>
      </c>
      <c r="C42">
        <v>4</v>
      </c>
    </row>
    <row r="43" spans="1:3" x14ac:dyDescent="0.3">
      <c r="A43">
        <v>2</v>
      </c>
      <c r="B43">
        <v>2</v>
      </c>
      <c r="C43">
        <v>2</v>
      </c>
    </row>
    <row r="44" spans="1:3" x14ac:dyDescent="0.3">
      <c r="A44">
        <v>1</v>
      </c>
      <c r="B44">
        <v>1</v>
      </c>
      <c r="C44">
        <v>5</v>
      </c>
    </row>
    <row r="45" spans="1:3" x14ac:dyDescent="0.3">
      <c r="A45">
        <v>1</v>
      </c>
      <c r="B45">
        <v>1</v>
      </c>
      <c r="C45">
        <v>4</v>
      </c>
    </row>
    <row r="46" spans="1:3" x14ac:dyDescent="0.3">
      <c r="A46">
        <v>2</v>
      </c>
      <c r="B46">
        <v>2</v>
      </c>
      <c r="C46">
        <v>2</v>
      </c>
    </row>
    <row r="47" spans="1:3" x14ac:dyDescent="0.3">
      <c r="A47">
        <v>1</v>
      </c>
      <c r="B47">
        <v>1</v>
      </c>
      <c r="C47">
        <v>5</v>
      </c>
    </row>
    <row r="48" spans="1:3" x14ac:dyDescent="0.3">
      <c r="A48">
        <v>2</v>
      </c>
      <c r="B48">
        <v>4</v>
      </c>
      <c r="C48">
        <v>4</v>
      </c>
    </row>
    <row r="49" spans="1:3" x14ac:dyDescent="0.3">
      <c r="A49">
        <v>1</v>
      </c>
      <c r="B49">
        <v>1</v>
      </c>
      <c r="C49">
        <v>5</v>
      </c>
    </row>
    <row r="50" spans="1:3" x14ac:dyDescent="0.3">
      <c r="A50">
        <v>2</v>
      </c>
      <c r="B50">
        <v>2</v>
      </c>
      <c r="C50">
        <v>2</v>
      </c>
    </row>
    <row r="51" spans="1:3" x14ac:dyDescent="0.3">
      <c r="A51">
        <v>1</v>
      </c>
      <c r="B51">
        <v>1</v>
      </c>
      <c r="C51">
        <v>3</v>
      </c>
    </row>
    <row r="52" spans="1:3" x14ac:dyDescent="0.3">
      <c r="A52">
        <v>2</v>
      </c>
      <c r="B52">
        <v>1</v>
      </c>
      <c r="C52">
        <v>2</v>
      </c>
    </row>
    <row r="53" spans="1:3" x14ac:dyDescent="0.3">
      <c r="A53">
        <v>2</v>
      </c>
      <c r="B53">
        <v>2</v>
      </c>
      <c r="C53">
        <v>1</v>
      </c>
    </row>
    <row r="54" spans="1:3" x14ac:dyDescent="0.3">
      <c r="A54">
        <v>2</v>
      </c>
      <c r="B54">
        <v>4</v>
      </c>
      <c r="C54">
        <v>3</v>
      </c>
    </row>
    <row r="55" spans="1:3" x14ac:dyDescent="0.3">
      <c r="A55">
        <v>2</v>
      </c>
      <c r="B55">
        <v>4</v>
      </c>
      <c r="C55">
        <v>4</v>
      </c>
    </row>
    <row r="56" spans="1:3" x14ac:dyDescent="0.3">
      <c r="A56">
        <v>2</v>
      </c>
      <c r="B56">
        <v>3</v>
      </c>
      <c r="C56">
        <v>3</v>
      </c>
    </row>
    <row r="57" spans="1:3" x14ac:dyDescent="0.3">
      <c r="A57">
        <v>1</v>
      </c>
      <c r="B57">
        <v>1</v>
      </c>
      <c r="C57">
        <v>5</v>
      </c>
    </row>
    <row r="58" spans="1:3" x14ac:dyDescent="0.3">
      <c r="A58">
        <v>1</v>
      </c>
      <c r="B58">
        <v>1</v>
      </c>
      <c r="C58">
        <v>3</v>
      </c>
    </row>
    <row r="59" spans="1:3" x14ac:dyDescent="0.3">
      <c r="A59">
        <v>1</v>
      </c>
      <c r="B59">
        <v>1</v>
      </c>
      <c r="C59">
        <v>5</v>
      </c>
    </row>
    <row r="60" spans="1:3" x14ac:dyDescent="0.3">
      <c r="A60">
        <v>1</v>
      </c>
      <c r="B60">
        <v>1</v>
      </c>
      <c r="C60">
        <v>1</v>
      </c>
    </row>
    <row r="61" spans="1:3" x14ac:dyDescent="0.3">
      <c r="A61">
        <v>2</v>
      </c>
      <c r="B61">
        <v>5</v>
      </c>
      <c r="C61">
        <v>3</v>
      </c>
    </row>
    <row r="62" spans="1:3" x14ac:dyDescent="0.3">
      <c r="A62">
        <v>2</v>
      </c>
      <c r="B62">
        <v>1</v>
      </c>
      <c r="C62">
        <v>2</v>
      </c>
    </row>
    <row r="63" spans="1:3" x14ac:dyDescent="0.3">
      <c r="A63">
        <v>2</v>
      </c>
      <c r="B63">
        <v>2</v>
      </c>
      <c r="C63">
        <v>4</v>
      </c>
    </row>
    <row r="64" spans="1:3" x14ac:dyDescent="0.3">
      <c r="A64">
        <v>2</v>
      </c>
      <c r="B64">
        <v>1</v>
      </c>
      <c r="C64">
        <v>3</v>
      </c>
    </row>
    <row r="65" spans="1:3" x14ac:dyDescent="0.3">
      <c r="A65">
        <v>1</v>
      </c>
      <c r="B65">
        <v>1</v>
      </c>
      <c r="C65">
        <v>4</v>
      </c>
    </row>
    <row r="66" spans="1:3" x14ac:dyDescent="0.3">
      <c r="A66">
        <v>1</v>
      </c>
      <c r="B66">
        <v>1</v>
      </c>
      <c r="C66">
        <v>1</v>
      </c>
    </row>
    <row r="67" spans="1:3" x14ac:dyDescent="0.3">
      <c r="A67">
        <v>2</v>
      </c>
      <c r="B67">
        <v>1</v>
      </c>
      <c r="C67">
        <v>4</v>
      </c>
    </row>
    <row r="68" spans="1:3" x14ac:dyDescent="0.3">
      <c r="A68">
        <v>1</v>
      </c>
      <c r="B68">
        <v>1</v>
      </c>
      <c r="C68">
        <v>5</v>
      </c>
    </row>
    <row r="69" spans="1:3" x14ac:dyDescent="0.3">
      <c r="A69">
        <v>2</v>
      </c>
      <c r="B69">
        <v>4</v>
      </c>
      <c r="C69">
        <v>3</v>
      </c>
    </row>
    <row r="70" spans="1:3" x14ac:dyDescent="0.3">
      <c r="A70">
        <v>2</v>
      </c>
      <c r="B70">
        <v>1</v>
      </c>
      <c r="C70">
        <v>3</v>
      </c>
    </row>
    <row r="71" spans="1:3" x14ac:dyDescent="0.3">
      <c r="A71">
        <v>1</v>
      </c>
      <c r="B71">
        <v>1</v>
      </c>
      <c r="C71">
        <v>3</v>
      </c>
    </row>
    <row r="72" spans="1:3" x14ac:dyDescent="0.3">
      <c r="A72">
        <v>2</v>
      </c>
      <c r="B72">
        <v>5</v>
      </c>
      <c r="C72">
        <v>2</v>
      </c>
    </row>
    <row r="73" spans="1:3" x14ac:dyDescent="0.3">
      <c r="A73">
        <v>1</v>
      </c>
      <c r="B73">
        <v>1</v>
      </c>
      <c r="C73">
        <v>4</v>
      </c>
    </row>
    <row r="74" spans="1:3" x14ac:dyDescent="0.3">
      <c r="A74">
        <v>2</v>
      </c>
      <c r="B74">
        <v>5</v>
      </c>
      <c r="C74">
        <v>1</v>
      </c>
    </row>
    <row r="75" spans="1:3" x14ac:dyDescent="0.3">
      <c r="A75">
        <v>1</v>
      </c>
      <c r="B75">
        <v>1</v>
      </c>
      <c r="C75">
        <v>5</v>
      </c>
    </row>
    <row r="76" spans="1:3" x14ac:dyDescent="0.3">
      <c r="A76">
        <v>2</v>
      </c>
      <c r="B76">
        <v>1</v>
      </c>
      <c r="C76">
        <v>5</v>
      </c>
    </row>
    <row r="77" spans="1:3" x14ac:dyDescent="0.3">
      <c r="A77">
        <v>1</v>
      </c>
      <c r="B77">
        <v>1</v>
      </c>
      <c r="C77">
        <v>3</v>
      </c>
    </row>
    <row r="78" spans="1:3" x14ac:dyDescent="0.3">
      <c r="A78">
        <v>2</v>
      </c>
      <c r="B78">
        <v>1</v>
      </c>
      <c r="C78">
        <v>3</v>
      </c>
    </row>
    <row r="79" spans="1:3" x14ac:dyDescent="0.3">
      <c r="A79">
        <v>2</v>
      </c>
      <c r="B79">
        <v>1</v>
      </c>
      <c r="C79">
        <v>5</v>
      </c>
    </row>
    <row r="80" spans="1:3" x14ac:dyDescent="0.3">
      <c r="A80">
        <v>2</v>
      </c>
      <c r="B80">
        <v>5</v>
      </c>
      <c r="C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1516-95B4-4798-97F3-4AB917AFB969}">
  <dimension ref="A3:D21"/>
  <sheetViews>
    <sheetView tabSelected="1" topLeftCell="A7" workbookViewId="0">
      <selection activeCell="C22" sqref="C22"/>
    </sheetView>
  </sheetViews>
  <sheetFormatPr defaultRowHeight="14.4" x14ac:dyDescent="0.3"/>
  <cols>
    <col min="2" max="2" width="19.77734375" bestFit="1" customWidth="1"/>
    <col min="3" max="3" width="19.44140625" bestFit="1" customWidth="1"/>
    <col min="4" max="4" width="99.77734375" bestFit="1" customWidth="1"/>
  </cols>
  <sheetData>
    <row r="3" spans="2:4" x14ac:dyDescent="0.3">
      <c r="C3" t="s">
        <v>138</v>
      </c>
      <c r="D3" t="s">
        <v>139</v>
      </c>
    </row>
    <row r="5" spans="2:4" x14ac:dyDescent="0.3">
      <c r="C5" t="s">
        <v>140</v>
      </c>
      <c r="D5" t="s">
        <v>141</v>
      </c>
    </row>
    <row r="6" spans="2:4" x14ac:dyDescent="0.3">
      <c r="C6" t="s">
        <v>142</v>
      </c>
      <c r="D6" t="s">
        <v>143</v>
      </c>
    </row>
    <row r="8" spans="2:4" x14ac:dyDescent="0.3">
      <c r="C8" t="s">
        <v>144</v>
      </c>
      <c r="D8">
        <v>0.05</v>
      </c>
    </row>
    <row r="11" spans="2:4" x14ac:dyDescent="0.3">
      <c r="C11" s="2" t="s">
        <v>145</v>
      </c>
      <c r="D11" s="2"/>
    </row>
    <row r="12" spans="2:4" x14ac:dyDescent="0.3">
      <c r="C12" t="s">
        <v>146</v>
      </c>
      <c r="D12" t="s">
        <v>26</v>
      </c>
    </row>
    <row r="13" spans="2:4" x14ac:dyDescent="0.3">
      <c r="C13" t="s">
        <v>147</v>
      </c>
      <c r="D13" t="s">
        <v>27</v>
      </c>
    </row>
    <row r="14" spans="2:4" x14ac:dyDescent="0.3">
      <c r="B14" t="s">
        <v>151</v>
      </c>
      <c r="C14" t="s">
        <v>148</v>
      </c>
      <c r="D14" s="3" t="s">
        <v>149</v>
      </c>
    </row>
    <row r="18" spans="1:3" x14ac:dyDescent="0.3">
      <c r="A18" s="2" t="s">
        <v>150</v>
      </c>
      <c r="B18" s="2"/>
      <c r="C18" s="2"/>
    </row>
    <row r="20" spans="1:3" x14ac:dyDescent="0.3">
      <c r="B20" t="s">
        <v>152</v>
      </c>
      <c r="C20">
        <f>CORREL('ZEPTO USERS FOR Q8,Q10,Q20'!A2:A80,'ZEPTO USERS FOR Q8,Q10,Q20'!C2:C80)</f>
        <v>-0.26521449824074717</v>
      </c>
    </row>
    <row r="21" spans="1:3" x14ac:dyDescent="0.3">
      <c r="B21" t="s">
        <v>156</v>
      </c>
      <c r="C21">
        <f>CORREL('ZEPTO USERS FOR Q8,Q10,Q20'!B2:B80,'ZEPTO USERS FOR Q8,Q10,Q20'!C2:C80)</f>
        <v>-0.25838480088342147</v>
      </c>
    </row>
  </sheetData>
  <mergeCells count="2">
    <mergeCell ref="C11:D11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ZEPTO USERS FOR Q8,Q10,Q20</vt:lpstr>
      <vt:lpstr>HYPOTHESIS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GHOSH</cp:lastModifiedBy>
  <dcterms:created xsi:type="dcterms:W3CDTF">2025-12-06T10:23:59Z</dcterms:created>
  <dcterms:modified xsi:type="dcterms:W3CDTF">2025-12-08T06:51:35Z</dcterms:modified>
</cp:coreProperties>
</file>