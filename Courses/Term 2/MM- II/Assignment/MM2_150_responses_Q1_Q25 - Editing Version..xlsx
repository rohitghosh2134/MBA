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BA\Courses\Term 2\MM- II\Assignment\"/>
    </mc:Choice>
  </mc:AlternateContent>
  <xr:revisionPtr revIDLastSave="0" documentId="13_ncr:1_{83071FAC-AE30-4DD9-A325-60D40DE7118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Sheet1!$A$1:$Y$151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49" i="1" l="1"/>
  <c r="AA146" i="1"/>
  <c r="AA144" i="1"/>
  <c r="AA143" i="1"/>
  <c r="AA141" i="1"/>
  <c r="AA140" i="1"/>
  <c r="AA139" i="1"/>
  <c r="AA138" i="1"/>
  <c r="AA133" i="1"/>
  <c r="AA131" i="1"/>
  <c r="AA130" i="1"/>
  <c r="AA128" i="1"/>
  <c r="AA127" i="1"/>
  <c r="AA126" i="1"/>
  <c r="AA125" i="1"/>
  <c r="AA124" i="1"/>
  <c r="AA123" i="1"/>
  <c r="AA122" i="1"/>
  <c r="AA121" i="1"/>
  <c r="AA119" i="1"/>
  <c r="AA117" i="1"/>
  <c r="AA116" i="1"/>
  <c r="AA115" i="1"/>
  <c r="AA112" i="1"/>
  <c r="AA106" i="1"/>
  <c r="AA104" i="1"/>
  <c r="AA102" i="1"/>
  <c r="AA101" i="1"/>
  <c r="AA98" i="1"/>
  <c r="AA96" i="1"/>
  <c r="AA93" i="1"/>
  <c r="AA92" i="1"/>
  <c r="AA91" i="1"/>
  <c r="AA89" i="1"/>
  <c r="AA87" i="1"/>
  <c r="AA81" i="1"/>
  <c r="AA79" i="1"/>
  <c r="AA78" i="1"/>
  <c r="AA77" i="1"/>
  <c r="AA76" i="1"/>
  <c r="AA74" i="1"/>
  <c r="AA72" i="1"/>
  <c r="AA71" i="1"/>
  <c r="AA68" i="1"/>
  <c r="AA66" i="1"/>
  <c r="AA64" i="1"/>
  <c r="AA55" i="1"/>
  <c r="AA54" i="1"/>
  <c r="AA53" i="1"/>
  <c r="AA52" i="1"/>
  <c r="AA51" i="1"/>
  <c r="AA50" i="1"/>
  <c r="AA49" i="1"/>
  <c r="AA46" i="1"/>
  <c r="AA45" i="1"/>
  <c r="AA44" i="1"/>
  <c r="AA43" i="1"/>
  <c r="AA41" i="1"/>
  <c r="AA39" i="1"/>
  <c r="AA35" i="1"/>
  <c r="AA32" i="1"/>
  <c r="AA30" i="1"/>
  <c r="AA28" i="1"/>
  <c r="AA27" i="1"/>
  <c r="AA22" i="1"/>
  <c r="AA19" i="1"/>
  <c r="AA18" i="1"/>
  <c r="AA17" i="1"/>
  <c r="AA16" i="1"/>
  <c r="AA15" i="1"/>
  <c r="AA14" i="1"/>
  <c r="AA12" i="1"/>
  <c r="AA10" i="1"/>
  <c r="AA9" i="1"/>
  <c r="AA7" i="1"/>
  <c r="AA6" i="1"/>
  <c r="AA5" i="1"/>
  <c r="AA4" i="1"/>
  <c r="AA3" i="1"/>
  <c r="Z149" i="1"/>
  <c r="Z146" i="1"/>
  <c r="Z144" i="1"/>
  <c r="Z143" i="1"/>
  <c r="Z141" i="1"/>
  <c r="Z140" i="1"/>
  <c r="Z139" i="1"/>
  <c r="Z138" i="1"/>
  <c r="Z133" i="1"/>
  <c r="Z131" i="1"/>
  <c r="Z130" i="1"/>
  <c r="Z128" i="1"/>
  <c r="Z127" i="1"/>
  <c r="Z126" i="1"/>
  <c r="Z125" i="1"/>
  <c r="Z124" i="1"/>
  <c r="Z123" i="1"/>
  <c r="Z122" i="1"/>
  <c r="Z121" i="1"/>
  <c r="Z119" i="1"/>
  <c r="Z117" i="1"/>
  <c r="Z116" i="1"/>
  <c r="Z115" i="1"/>
  <c r="Z112" i="1"/>
  <c r="Z106" i="1"/>
  <c r="Z104" i="1"/>
  <c r="Z102" i="1"/>
  <c r="Z101" i="1"/>
  <c r="Z98" i="1"/>
  <c r="Z96" i="1"/>
  <c r="Z93" i="1"/>
  <c r="Z92" i="1"/>
  <c r="Z91" i="1"/>
  <c r="Z89" i="1"/>
  <c r="Z87" i="1"/>
  <c r="Z81" i="1"/>
  <c r="Z79" i="1"/>
  <c r="Z78" i="1"/>
  <c r="Z77" i="1"/>
  <c r="Z76" i="1"/>
  <c r="Z74" i="1"/>
  <c r="Z72" i="1"/>
  <c r="Z71" i="1"/>
  <c r="Z68" i="1"/>
  <c r="Z66" i="1"/>
  <c r="Z64" i="1"/>
  <c r="Z55" i="1"/>
  <c r="Z54" i="1"/>
  <c r="Z53" i="1"/>
  <c r="Z52" i="1"/>
  <c r="Z51" i="1"/>
  <c r="Z50" i="1"/>
  <c r="Z49" i="1"/>
  <c r="Z46" i="1"/>
  <c r="Z45" i="1"/>
  <c r="Z44" i="1"/>
  <c r="Z43" i="1"/>
  <c r="Z41" i="1"/>
  <c r="Z39" i="1"/>
  <c r="Z35" i="1"/>
  <c r="Z32" i="1"/>
  <c r="Z30" i="1"/>
  <c r="Z28" i="1"/>
  <c r="Z27" i="1"/>
  <c r="Z22" i="1"/>
  <c r="Z19" i="1"/>
  <c r="Z18" i="1"/>
  <c r="Z17" i="1"/>
  <c r="Z16" i="1"/>
  <c r="Z15" i="1"/>
  <c r="Z14" i="1"/>
  <c r="Z12" i="1"/>
  <c r="Z10" i="1"/>
  <c r="Z9" i="1"/>
  <c r="Z7" i="1"/>
  <c r="Z6" i="1"/>
  <c r="Z5" i="1"/>
  <c r="Z4" i="1"/>
  <c r="Z3" i="1"/>
</calcChain>
</file>

<file path=xl/sharedStrings.xml><?xml version="1.0" encoding="utf-8"?>
<sst xmlns="http://schemas.openxmlformats.org/spreadsheetml/2006/main" count="2364" uniqueCount="127">
  <si>
    <t>Q1_Age</t>
  </si>
  <si>
    <t>Q2_Gender</t>
  </si>
  <si>
    <t>Q3_Place_of_residence</t>
  </si>
  <si>
    <t>Q4_Occupation</t>
  </si>
  <si>
    <t>Q5_Monthly_household_income</t>
  </si>
  <si>
    <t>Q6_Q_commerce_apps_used</t>
  </si>
  <si>
    <t>Q7_Order_frequency_Q_commerce</t>
  </si>
  <si>
    <t>Q8_Received_poor_quality_perishable</t>
  </si>
  <si>
    <t>Q9_App_most_recent_poor_item</t>
  </si>
  <si>
    <t>Q10_Poor_quality_frequency_6_months</t>
  </si>
  <si>
    <t>Q11_Reaction_to_poor_quality</t>
  </si>
  <si>
    <t>Q12_Used_Zepto</t>
  </si>
  <si>
    <t>Q13_Trust_Zepto_fresh_perishables_1_5</t>
  </si>
  <si>
    <t>Q14_Satisfaction_perishables_overall_1_5</t>
  </si>
  <si>
    <t>Q15_Quality_influences_reorder_1_5</t>
  </si>
  <si>
    <t>Q16_Quality_controls_reliable_1_5</t>
  </si>
  <si>
    <t>Q17_Price_fair_given_quality_1_5</t>
  </si>
  <si>
    <t>Q18_Likely_continue_next_month</t>
  </si>
  <si>
    <t>Q19_Switched_due_to_quality_1_5</t>
  </si>
  <si>
    <t>Q20_Recommend_Zepto</t>
  </si>
  <si>
    <t>Q21_Freshness_guarantee_intent_1_5</t>
  </si>
  <si>
    <t>Q22_Strict_sourcing_trust_increase_1_5</t>
  </si>
  <si>
    <t>Q23_Subscription_likely_to_subscribe</t>
  </si>
  <si>
    <t>Q24_Subscription_WTP_Rs_per_month</t>
  </si>
  <si>
    <t>Q25_Premium_percent_willing</t>
  </si>
  <si>
    <t>25–34</t>
  </si>
  <si>
    <t>18–24</t>
  </si>
  <si>
    <t>45–54</t>
  </si>
  <si>
    <t>55+</t>
  </si>
  <si>
    <t>35–44</t>
  </si>
  <si>
    <t>Male</t>
  </si>
  <si>
    <t>Non-binary</t>
  </si>
  <si>
    <t>Female</t>
  </si>
  <si>
    <t>Prefer not to say</t>
  </si>
  <si>
    <t>Village</t>
  </si>
  <si>
    <t>Urban</t>
  </si>
  <si>
    <t>Sub-urban</t>
  </si>
  <si>
    <t>Employed (salaried)</t>
  </si>
  <si>
    <t>Student</t>
  </si>
  <si>
    <t>Self-employed</t>
  </si>
  <si>
    <t>Other</t>
  </si>
  <si>
    <t>Homemaker</t>
  </si>
  <si>
    <t>&lt; ₹20,000</t>
  </si>
  <si>
    <t>₹20–40k</t>
  </si>
  <si>
    <t>₹40–60k</t>
  </si>
  <si>
    <t>₹60–100k</t>
  </si>
  <si>
    <t>&gt; ₹100k</t>
  </si>
  <si>
    <t>Instamart, Local grocery app, None</t>
  </si>
  <si>
    <t>Local grocery app, Zepto</t>
  </si>
  <si>
    <t>Blinkit, Local grocery app, Zepto</t>
  </si>
  <si>
    <t>Blinkit, None</t>
  </si>
  <si>
    <t>Instamart</t>
  </si>
  <si>
    <t>Blinkit, Local grocery app</t>
  </si>
  <si>
    <t>Blinkit, Instamart, Zepto</t>
  </si>
  <si>
    <t>Blinkit, Instamart</t>
  </si>
  <si>
    <t>Blinkit, Local grocery app, None</t>
  </si>
  <si>
    <t>Local grocery app, None</t>
  </si>
  <si>
    <t>Instamart, None, Zepto</t>
  </si>
  <si>
    <t>None, Zepto</t>
  </si>
  <si>
    <t>Zepto</t>
  </si>
  <si>
    <t>Local grocery app</t>
  </si>
  <si>
    <t>Instamart, None</t>
  </si>
  <si>
    <t>Instamart, Local grocery app</t>
  </si>
  <si>
    <t>Blinkit, None, Zepto</t>
  </si>
  <si>
    <t>Instamart, Zepto</t>
  </si>
  <si>
    <t>Blinkit, Instamart, Local grocery app</t>
  </si>
  <si>
    <t>Blinkit</t>
  </si>
  <si>
    <t>Blinkit, Instamart, None</t>
  </si>
  <si>
    <t>None</t>
  </si>
  <si>
    <t>Blinkit, Zepto</t>
  </si>
  <si>
    <t>Instamart, Local grocery app, Zepto</t>
  </si>
  <si>
    <t>Local grocery app, None, Zepto</t>
  </si>
  <si>
    <t>Weekly</t>
  </si>
  <si>
    <t>2–3 times/week</t>
  </si>
  <si>
    <t>Rarely</t>
  </si>
  <si>
    <t>Monthly</t>
  </si>
  <si>
    <t>Daily</t>
  </si>
  <si>
    <t>Never</t>
  </si>
  <si>
    <t>Twice a month</t>
  </si>
  <si>
    <t>Yes</t>
  </si>
  <si>
    <t>No</t>
  </si>
  <si>
    <t>6+ times</t>
  </si>
  <si>
    <t>0 times</t>
  </si>
  <si>
    <t>2–3 times</t>
  </si>
  <si>
    <t>1 time</t>
  </si>
  <si>
    <t>4–5 times</t>
  </si>
  <si>
    <t>Complain to friends/family, Do nothing, Return item in app</t>
  </si>
  <si>
    <t>Do nothing</t>
  </si>
  <si>
    <t>Complain to customer support, Return item in app</t>
  </si>
  <si>
    <t>Do nothing, Return item in app</t>
  </si>
  <si>
    <t>Do nothing, Post on social media</t>
  </si>
  <si>
    <t>Do nothing, Post on social media, Return item in app</t>
  </si>
  <si>
    <t>Complain to customer support, Post on social media</t>
  </si>
  <si>
    <t>Complain to friends/family</t>
  </si>
  <si>
    <t>Complain to friends/family, Do nothing</t>
  </si>
  <si>
    <t>Complain to customer support</t>
  </si>
  <si>
    <t>Complain to customer support, Do nothing, Return item in app</t>
  </si>
  <si>
    <t>Complain to customer support, Complain to friends/family, Post on social media</t>
  </si>
  <si>
    <t>Post on social media, Return item in app</t>
  </si>
  <si>
    <t>Complain to friends/family, Post on social media</t>
  </si>
  <si>
    <t>Post on social media</t>
  </si>
  <si>
    <t>Complain to customer support, Do nothing, Post on social media</t>
  </si>
  <si>
    <t>Complain to customer support, Complain to friends/family, Do nothing</t>
  </si>
  <si>
    <t>Return item in app</t>
  </si>
  <si>
    <t>Complain to friends/family, Do nothing, Post on social media</t>
  </si>
  <si>
    <t>Complain to customer support, Complain to friends/family, Return item in app</t>
  </si>
  <si>
    <t>Complain to customer support, Do nothing</t>
  </si>
  <si>
    <t>Complain to customer support, Post on social media, Return item in app</t>
  </si>
  <si>
    <t>Complain to friends/family, Post on social media, Return item in app</t>
  </si>
  <si>
    <t>Complain to friends/family, Return item in app</t>
  </si>
  <si>
    <t>Very unlikely</t>
  </si>
  <si>
    <t>Likely</t>
  </si>
  <si>
    <t>Very likely</t>
  </si>
  <si>
    <t>Unlikely</t>
  </si>
  <si>
    <t>Neutral</t>
  </si>
  <si>
    <t>Probably no</t>
  </si>
  <si>
    <t>Definitely yes</t>
  </si>
  <si>
    <t>Probably yes</t>
  </si>
  <si>
    <t>Might or might not</t>
  </si>
  <si>
    <t>Definitely no</t>
  </si>
  <si>
    <t>6–10%</t>
  </si>
  <si>
    <t>11–20%</t>
  </si>
  <si>
    <t>up to 5%</t>
  </si>
  <si>
    <t>&gt;20%</t>
  </si>
  <si>
    <t>0%</t>
  </si>
  <si>
    <t>Q6_ZEPTO_USED</t>
  </si>
  <si>
    <t>Q11_COMPLAIN_TO_CS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</si>
</sst>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151"/>
  <sheetViews>
    <sheetView tabSelected="1" topLeftCell="U1" workbookViewId="0">
      <selection activeCell="AB4" sqref="AB4"/>
    </sheetView>
  </sheetViews>
  <sheetFormatPr defaultColWidth="8.77734375" defaultRowHeight="14.4" x14ac:dyDescent="0.3"/>
  <cols>
    <col min="1" max="1" width="7.5546875" bestFit="1" customWidth="1"/>
    <col min="2" max="2" width="14.6640625" bestFit="1" customWidth="1"/>
    <col min="3" max="3" width="20.77734375" bestFit="1" customWidth="1"/>
    <col min="4" max="4" width="17" bestFit="1" customWidth="1"/>
    <col min="5" max="5" width="29.109375" bestFit="1" customWidth="1"/>
    <col min="6" max="6" width="30.5546875" bestFit="1" customWidth="1"/>
    <col min="7" max="7" width="31.44140625" bestFit="1" customWidth="1"/>
    <col min="8" max="8" width="34" bestFit="1" customWidth="1"/>
    <col min="9" max="9" width="29.6640625" bestFit="1" customWidth="1"/>
    <col min="10" max="10" width="35.77734375" bestFit="1" customWidth="1"/>
    <col min="11" max="11" width="67.33203125" bestFit="1" customWidth="1"/>
    <col min="12" max="12" width="15.5546875" bestFit="1" customWidth="1"/>
    <col min="13" max="13" width="35.77734375" bestFit="1" customWidth="1"/>
    <col min="14" max="14" width="36.88671875" bestFit="1" customWidth="1"/>
    <col min="15" max="15" width="32.6640625" bestFit="1" customWidth="1"/>
    <col min="16" max="16" width="30.77734375" bestFit="1" customWidth="1"/>
    <col min="17" max="17" width="30.109375" bestFit="1" customWidth="1"/>
    <col min="18" max="18" width="30.44140625" bestFit="1" customWidth="1"/>
    <col min="19" max="19" width="31.33203125" bestFit="1" customWidth="1"/>
    <col min="20" max="20" width="22.21875" bestFit="1" customWidth="1"/>
    <col min="21" max="21" width="33.6640625" bestFit="1" customWidth="1"/>
    <col min="22" max="22" width="35.21875" bestFit="1" customWidth="1"/>
    <col min="23" max="23" width="33.33203125" bestFit="1" customWidth="1"/>
    <col min="24" max="24" width="34.6640625" bestFit="1" customWidth="1"/>
    <col min="25" max="25" width="27.21875" bestFit="1" customWidth="1"/>
    <col min="26" max="26" width="15.4414062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125</v>
      </c>
      <c r="AA1" s="2" t="s">
        <v>126</v>
      </c>
    </row>
    <row r="2" spans="1:27" hidden="1" x14ac:dyDescent="0.3">
      <c r="A2" t="s">
        <v>25</v>
      </c>
      <c r="B2" t="s">
        <v>30</v>
      </c>
      <c r="C2" t="s">
        <v>34</v>
      </c>
      <c r="D2" t="s">
        <v>37</v>
      </c>
      <c r="E2" t="s">
        <v>42</v>
      </c>
      <c r="F2" t="s">
        <v>47</v>
      </c>
      <c r="G2" t="s">
        <v>72</v>
      </c>
      <c r="H2" t="s">
        <v>79</v>
      </c>
      <c r="I2" t="s">
        <v>51</v>
      </c>
      <c r="J2" t="s">
        <v>81</v>
      </c>
      <c r="K2" t="s">
        <v>86</v>
      </c>
      <c r="L2" t="s">
        <v>80</v>
      </c>
      <c r="M2">
        <v>2</v>
      </c>
      <c r="N2">
        <v>3</v>
      </c>
      <c r="O2">
        <v>3</v>
      </c>
      <c r="P2">
        <v>3</v>
      </c>
      <c r="Q2">
        <v>2</v>
      </c>
      <c r="R2" t="s">
        <v>110</v>
      </c>
      <c r="S2">
        <v>3</v>
      </c>
      <c r="T2" t="s">
        <v>115</v>
      </c>
      <c r="U2">
        <v>3</v>
      </c>
      <c r="V2">
        <v>3</v>
      </c>
      <c r="W2" t="s">
        <v>112</v>
      </c>
      <c r="X2">
        <v>165</v>
      </c>
      <c r="Y2" t="s">
        <v>120</v>
      </c>
    </row>
    <row r="3" spans="1:27" x14ac:dyDescent="0.3">
      <c r="A3" t="s">
        <v>25</v>
      </c>
      <c r="B3" t="s">
        <v>31</v>
      </c>
      <c r="C3" t="s">
        <v>35</v>
      </c>
      <c r="D3" t="s">
        <v>38</v>
      </c>
      <c r="E3" t="s">
        <v>43</v>
      </c>
      <c r="F3" t="s">
        <v>48</v>
      </c>
      <c r="G3" t="s">
        <v>73</v>
      </c>
      <c r="H3" t="s">
        <v>80</v>
      </c>
      <c r="J3" t="s">
        <v>82</v>
      </c>
      <c r="K3" t="s">
        <v>87</v>
      </c>
      <c r="L3" t="s">
        <v>79</v>
      </c>
      <c r="M3">
        <v>4</v>
      </c>
      <c r="N3">
        <v>4</v>
      </c>
      <c r="O3">
        <v>4</v>
      </c>
      <c r="P3">
        <v>4</v>
      </c>
      <c r="Q3">
        <v>4</v>
      </c>
      <c r="R3" t="s">
        <v>111</v>
      </c>
      <c r="S3">
        <v>2</v>
      </c>
      <c r="T3" t="s">
        <v>116</v>
      </c>
      <c r="U3">
        <v>4</v>
      </c>
      <c r="V3">
        <v>4</v>
      </c>
      <c r="W3" t="s">
        <v>114</v>
      </c>
      <c r="X3">
        <v>47</v>
      </c>
      <c r="Y3" t="s">
        <v>121</v>
      </c>
      <c r="Z3">
        <f>IF(ISNUMBER(SEARCH("Zepto",F3)),1,0)</f>
        <v>1</v>
      </c>
      <c r="AA3">
        <f>IF(ISNUMBER(SEARCH("Complain to customer support",K3)),1,0)</f>
        <v>0</v>
      </c>
    </row>
    <row r="4" spans="1:27" x14ac:dyDescent="0.3">
      <c r="A4" t="s">
        <v>26</v>
      </c>
      <c r="B4" t="s">
        <v>32</v>
      </c>
      <c r="C4" t="s">
        <v>35</v>
      </c>
      <c r="D4" t="s">
        <v>38</v>
      </c>
      <c r="E4" t="s">
        <v>44</v>
      </c>
      <c r="F4" t="s">
        <v>49</v>
      </c>
      <c r="G4" t="s">
        <v>72</v>
      </c>
      <c r="H4" t="s">
        <v>79</v>
      </c>
      <c r="I4" t="s">
        <v>59</v>
      </c>
      <c r="J4" t="s">
        <v>82</v>
      </c>
      <c r="K4" t="s">
        <v>88</v>
      </c>
      <c r="L4" t="s">
        <v>79</v>
      </c>
      <c r="M4">
        <v>3</v>
      </c>
      <c r="N4">
        <v>3</v>
      </c>
      <c r="O4">
        <v>3</v>
      </c>
      <c r="P4">
        <v>3</v>
      </c>
      <c r="Q4">
        <v>3</v>
      </c>
      <c r="R4" t="s">
        <v>112</v>
      </c>
      <c r="S4">
        <v>2</v>
      </c>
      <c r="T4" t="s">
        <v>117</v>
      </c>
      <c r="U4">
        <v>4</v>
      </c>
      <c r="V4">
        <v>4</v>
      </c>
      <c r="W4" t="s">
        <v>114</v>
      </c>
      <c r="X4">
        <v>114</v>
      </c>
      <c r="Y4" t="s">
        <v>122</v>
      </c>
      <c r="Z4">
        <f t="shared" ref="Z4:Z7" si="0">IF(ISNUMBER(SEARCH("Zepto",F4)),1,0)</f>
        <v>1</v>
      </c>
      <c r="AA4">
        <f t="shared" ref="AA4:AA7" si="1">IF(ISNUMBER(SEARCH("Complain to customer support",K4)),1,0)</f>
        <v>1</v>
      </c>
    </row>
    <row r="5" spans="1:27" x14ac:dyDescent="0.3">
      <c r="A5" t="s">
        <v>26</v>
      </c>
      <c r="B5" t="s">
        <v>30</v>
      </c>
      <c r="C5" t="s">
        <v>36</v>
      </c>
      <c r="D5" t="s">
        <v>38</v>
      </c>
      <c r="E5" t="s">
        <v>42</v>
      </c>
      <c r="F5" t="s">
        <v>49</v>
      </c>
      <c r="G5" t="s">
        <v>73</v>
      </c>
      <c r="H5" t="s">
        <v>79</v>
      </c>
      <c r="I5" t="s">
        <v>59</v>
      </c>
      <c r="J5" t="s">
        <v>83</v>
      </c>
      <c r="K5" t="s">
        <v>89</v>
      </c>
      <c r="L5" t="s">
        <v>79</v>
      </c>
      <c r="M5">
        <v>2</v>
      </c>
      <c r="N5">
        <v>2</v>
      </c>
      <c r="O5">
        <v>2</v>
      </c>
      <c r="P5">
        <v>2</v>
      </c>
      <c r="Q5">
        <v>2</v>
      </c>
      <c r="R5" t="s">
        <v>113</v>
      </c>
      <c r="S5">
        <v>4</v>
      </c>
      <c r="T5" t="s">
        <v>118</v>
      </c>
      <c r="U5">
        <v>3</v>
      </c>
      <c r="V5">
        <v>2</v>
      </c>
      <c r="W5" t="s">
        <v>110</v>
      </c>
      <c r="X5">
        <v>70</v>
      </c>
      <c r="Y5" t="s">
        <v>122</v>
      </c>
      <c r="Z5">
        <f t="shared" si="0"/>
        <v>1</v>
      </c>
      <c r="AA5">
        <f t="shared" si="1"/>
        <v>0</v>
      </c>
    </row>
    <row r="6" spans="1:27" x14ac:dyDescent="0.3">
      <c r="A6" t="s">
        <v>26</v>
      </c>
      <c r="B6" t="s">
        <v>32</v>
      </c>
      <c r="C6" t="s">
        <v>35</v>
      </c>
      <c r="D6" t="s">
        <v>39</v>
      </c>
      <c r="E6" t="s">
        <v>45</v>
      </c>
      <c r="F6" t="s">
        <v>50</v>
      </c>
      <c r="G6" t="s">
        <v>72</v>
      </c>
      <c r="H6" t="s">
        <v>80</v>
      </c>
      <c r="J6" t="s">
        <v>82</v>
      </c>
      <c r="K6" t="s">
        <v>87</v>
      </c>
      <c r="L6" t="s">
        <v>79</v>
      </c>
      <c r="M6">
        <v>4</v>
      </c>
      <c r="N6">
        <v>4</v>
      </c>
      <c r="O6">
        <v>4</v>
      </c>
      <c r="P6">
        <v>4</v>
      </c>
      <c r="Q6">
        <v>4</v>
      </c>
      <c r="R6" t="s">
        <v>111</v>
      </c>
      <c r="S6">
        <v>3</v>
      </c>
      <c r="T6" t="s">
        <v>115</v>
      </c>
      <c r="U6">
        <v>4</v>
      </c>
      <c r="V6">
        <v>4</v>
      </c>
      <c r="W6" t="s">
        <v>114</v>
      </c>
      <c r="X6">
        <v>91</v>
      </c>
      <c r="Y6" t="s">
        <v>123</v>
      </c>
      <c r="Z6">
        <f t="shared" si="0"/>
        <v>0</v>
      </c>
      <c r="AA6">
        <f t="shared" si="1"/>
        <v>0</v>
      </c>
    </row>
    <row r="7" spans="1:27" x14ac:dyDescent="0.3">
      <c r="A7" t="s">
        <v>26</v>
      </c>
      <c r="B7" t="s">
        <v>32</v>
      </c>
      <c r="C7" t="s">
        <v>35</v>
      </c>
      <c r="D7" t="s">
        <v>38</v>
      </c>
      <c r="E7" t="s">
        <v>43</v>
      </c>
      <c r="F7" t="s">
        <v>51</v>
      </c>
      <c r="G7" t="s">
        <v>72</v>
      </c>
      <c r="H7" t="s">
        <v>79</v>
      </c>
      <c r="I7" t="s">
        <v>51</v>
      </c>
      <c r="J7" t="s">
        <v>82</v>
      </c>
      <c r="K7" t="s">
        <v>90</v>
      </c>
      <c r="L7" t="s">
        <v>79</v>
      </c>
      <c r="M7">
        <v>4</v>
      </c>
      <c r="N7">
        <v>3</v>
      </c>
      <c r="O7">
        <v>4</v>
      </c>
      <c r="P7">
        <v>3</v>
      </c>
      <c r="Q7">
        <v>3</v>
      </c>
      <c r="R7" t="s">
        <v>112</v>
      </c>
      <c r="S7">
        <v>2</v>
      </c>
      <c r="T7" t="s">
        <v>118</v>
      </c>
      <c r="U7">
        <v>4</v>
      </c>
      <c r="V7">
        <v>4</v>
      </c>
      <c r="W7" t="s">
        <v>110</v>
      </c>
      <c r="X7">
        <v>19</v>
      </c>
      <c r="Y7" t="s">
        <v>124</v>
      </c>
      <c r="Z7">
        <f t="shared" si="0"/>
        <v>0</v>
      </c>
      <c r="AA7">
        <f t="shared" si="1"/>
        <v>0</v>
      </c>
    </row>
    <row r="8" spans="1:27" hidden="1" x14ac:dyDescent="0.3">
      <c r="A8" t="s">
        <v>25</v>
      </c>
      <c r="B8" t="s">
        <v>30</v>
      </c>
      <c r="C8" t="s">
        <v>36</v>
      </c>
      <c r="D8" t="s">
        <v>39</v>
      </c>
      <c r="E8" t="s">
        <v>43</v>
      </c>
      <c r="F8" t="s">
        <v>52</v>
      </c>
      <c r="G8" t="s">
        <v>73</v>
      </c>
      <c r="H8" t="s">
        <v>80</v>
      </c>
      <c r="J8" t="s">
        <v>82</v>
      </c>
      <c r="K8" t="s">
        <v>87</v>
      </c>
      <c r="L8" t="s">
        <v>80</v>
      </c>
      <c r="M8">
        <v>3</v>
      </c>
      <c r="N8">
        <v>3</v>
      </c>
      <c r="O8">
        <v>4</v>
      </c>
      <c r="P8">
        <v>4</v>
      </c>
      <c r="Q8">
        <v>3</v>
      </c>
      <c r="R8" t="s">
        <v>113</v>
      </c>
      <c r="S8">
        <v>3</v>
      </c>
      <c r="T8" t="s">
        <v>117</v>
      </c>
      <c r="U8">
        <v>4</v>
      </c>
      <c r="V8">
        <v>3</v>
      </c>
      <c r="W8" t="s">
        <v>114</v>
      </c>
      <c r="X8">
        <v>114</v>
      </c>
      <c r="Y8" t="s">
        <v>120</v>
      </c>
    </row>
    <row r="9" spans="1:27" x14ac:dyDescent="0.3">
      <c r="A9" t="s">
        <v>26</v>
      </c>
      <c r="B9" t="s">
        <v>32</v>
      </c>
      <c r="C9" t="s">
        <v>35</v>
      </c>
      <c r="D9" t="s">
        <v>38</v>
      </c>
      <c r="E9" t="s">
        <v>45</v>
      </c>
      <c r="F9" t="s">
        <v>53</v>
      </c>
      <c r="G9" t="s">
        <v>73</v>
      </c>
      <c r="H9" t="s">
        <v>79</v>
      </c>
      <c r="I9" t="s">
        <v>51</v>
      </c>
      <c r="J9" t="s">
        <v>83</v>
      </c>
      <c r="K9" t="s">
        <v>87</v>
      </c>
      <c r="L9" t="s">
        <v>79</v>
      </c>
      <c r="M9">
        <v>3</v>
      </c>
      <c r="N9">
        <v>3</v>
      </c>
      <c r="O9">
        <v>4</v>
      </c>
      <c r="P9">
        <v>3</v>
      </c>
      <c r="Q9">
        <v>3</v>
      </c>
      <c r="R9" t="s">
        <v>112</v>
      </c>
      <c r="S9">
        <v>3</v>
      </c>
      <c r="T9" t="s">
        <v>115</v>
      </c>
      <c r="U9">
        <v>3</v>
      </c>
      <c r="V9">
        <v>3</v>
      </c>
      <c r="W9" t="s">
        <v>113</v>
      </c>
      <c r="X9">
        <v>71</v>
      </c>
      <c r="Y9" t="s">
        <v>120</v>
      </c>
      <c r="Z9">
        <f t="shared" ref="Z9:Z10" si="2">IF(ISNUMBER(SEARCH("Zepto",F9)),1,0)</f>
        <v>1</v>
      </c>
      <c r="AA9">
        <f t="shared" ref="AA9:AA10" si="3">IF(ISNUMBER(SEARCH("Complain to customer support",K9)),1,0)</f>
        <v>0</v>
      </c>
    </row>
    <row r="10" spans="1:27" x14ac:dyDescent="0.3">
      <c r="A10" t="s">
        <v>26</v>
      </c>
      <c r="B10" t="s">
        <v>30</v>
      </c>
      <c r="C10" t="s">
        <v>34</v>
      </c>
      <c r="D10" t="s">
        <v>38</v>
      </c>
      <c r="E10" t="s">
        <v>43</v>
      </c>
      <c r="F10" t="s">
        <v>54</v>
      </c>
      <c r="G10" t="s">
        <v>73</v>
      </c>
      <c r="H10" t="s">
        <v>80</v>
      </c>
      <c r="J10" t="s">
        <v>82</v>
      </c>
      <c r="K10" t="s">
        <v>87</v>
      </c>
      <c r="L10" t="s">
        <v>79</v>
      </c>
      <c r="M10">
        <v>4</v>
      </c>
      <c r="N10">
        <v>3</v>
      </c>
      <c r="O10">
        <v>4</v>
      </c>
      <c r="P10">
        <v>4</v>
      </c>
      <c r="Q10">
        <v>4</v>
      </c>
      <c r="R10" t="s">
        <v>111</v>
      </c>
      <c r="S10">
        <v>3</v>
      </c>
      <c r="T10" t="s">
        <v>118</v>
      </c>
      <c r="U10">
        <v>4</v>
      </c>
      <c r="V10">
        <v>4</v>
      </c>
      <c r="W10" t="s">
        <v>112</v>
      </c>
      <c r="X10">
        <v>197</v>
      </c>
      <c r="Y10" t="s">
        <v>121</v>
      </c>
      <c r="Z10">
        <f t="shared" si="2"/>
        <v>0</v>
      </c>
      <c r="AA10">
        <f t="shared" si="3"/>
        <v>0</v>
      </c>
    </row>
    <row r="11" spans="1:27" hidden="1" x14ac:dyDescent="0.3">
      <c r="A11" t="s">
        <v>25</v>
      </c>
      <c r="B11" t="s">
        <v>30</v>
      </c>
      <c r="C11" t="s">
        <v>35</v>
      </c>
      <c r="D11" t="s">
        <v>37</v>
      </c>
      <c r="E11" t="s">
        <v>46</v>
      </c>
      <c r="F11" t="s">
        <v>51</v>
      </c>
      <c r="G11" t="s">
        <v>73</v>
      </c>
      <c r="H11" t="s">
        <v>79</v>
      </c>
      <c r="I11" t="s">
        <v>51</v>
      </c>
      <c r="J11" t="s">
        <v>83</v>
      </c>
      <c r="K11" t="s">
        <v>91</v>
      </c>
      <c r="L11" t="s">
        <v>80</v>
      </c>
      <c r="M11">
        <v>3</v>
      </c>
      <c r="N11">
        <v>3</v>
      </c>
      <c r="O11">
        <v>2</v>
      </c>
      <c r="P11">
        <v>2</v>
      </c>
      <c r="Q11">
        <v>2</v>
      </c>
      <c r="R11" t="s">
        <v>113</v>
      </c>
      <c r="S11">
        <v>4</v>
      </c>
      <c r="T11" t="s">
        <v>117</v>
      </c>
      <c r="U11">
        <v>3</v>
      </c>
      <c r="V11">
        <v>3</v>
      </c>
      <c r="W11" t="s">
        <v>111</v>
      </c>
      <c r="X11">
        <v>143</v>
      </c>
      <c r="Y11" t="s">
        <v>124</v>
      </c>
    </row>
    <row r="12" spans="1:27" x14ac:dyDescent="0.3">
      <c r="A12" t="s">
        <v>26</v>
      </c>
      <c r="B12" t="s">
        <v>30</v>
      </c>
      <c r="C12" t="s">
        <v>35</v>
      </c>
      <c r="D12" t="s">
        <v>38</v>
      </c>
      <c r="E12" t="s">
        <v>44</v>
      </c>
      <c r="F12" t="s">
        <v>55</v>
      </c>
      <c r="G12" t="s">
        <v>74</v>
      </c>
      <c r="H12" t="s">
        <v>80</v>
      </c>
      <c r="J12" t="s">
        <v>82</v>
      </c>
      <c r="K12" t="s">
        <v>87</v>
      </c>
      <c r="L12" t="s">
        <v>79</v>
      </c>
      <c r="M12">
        <v>4</v>
      </c>
      <c r="N12">
        <v>4</v>
      </c>
      <c r="O12">
        <v>4</v>
      </c>
      <c r="P12">
        <v>3</v>
      </c>
      <c r="Q12">
        <v>3</v>
      </c>
      <c r="R12" t="s">
        <v>114</v>
      </c>
      <c r="S12">
        <v>3</v>
      </c>
      <c r="T12" t="s">
        <v>115</v>
      </c>
      <c r="U12">
        <v>3</v>
      </c>
      <c r="V12">
        <v>4</v>
      </c>
      <c r="W12" t="s">
        <v>110</v>
      </c>
      <c r="X12">
        <v>21</v>
      </c>
      <c r="Y12" t="s">
        <v>121</v>
      </c>
      <c r="Z12">
        <f>IF(ISNUMBER(SEARCH("Zepto",F12)),1,0)</f>
        <v>0</v>
      </c>
      <c r="AA12">
        <f>IF(ISNUMBER(SEARCH("Complain to customer support",K12)),1,0)</f>
        <v>0</v>
      </c>
    </row>
    <row r="13" spans="1:27" hidden="1" x14ac:dyDescent="0.3">
      <c r="A13" t="s">
        <v>25</v>
      </c>
      <c r="B13" t="s">
        <v>32</v>
      </c>
      <c r="C13" t="s">
        <v>36</v>
      </c>
      <c r="D13" t="s">
        <v>38</v>
      </c>
      <c r="E13" t="s">
        <v>44</v>
      </c>
      <c r="F13" t="s">
        <v>47</v>
      </c>
      <c r="G13" t="s">
        <v>72</v>
      </c>
      <c r="H13" t="s">
        <v>79</v>
      </c>
      <c r="I13" t="s">
        <v>51</v>
      </c>
      <c r="J13" t="s">
        <v>82</v>
      </c>
      <c r="K13" t="s">
        <v>88</v>
      </c>
      <c r="L13" t="s">
        <v>80</v>
      </c>
      <c r="M13">
        <v>2</v>
      </c>
      <c r="N13">
        <v>2</v>
      </c>
      <c r="O13">
        <v>2</v>
      </c>
      <c r="P13">
        <v>2</v>
      </c>
      <c r="Q13">
        <v>2</v>
      </c>
      <c r="R13" t="s">
        <v>110</v>
      </c>
      <c r="S13">
        <v>4</v>
      </c>
      <c r="T13" t="s">
        <v>118</v>
      </c>
      <c r="U13">
        <v>3</v>
      </c>
      <c r="V13">
        <v>3</v>
      </c>
      <c r="W13" t="s">
        <v>113</v>
      </c>
      <c r="X13">
        <v>59</v>
      </c>
      <c r="Y13" t="s">
        <v>121</v>
      </c>
    </row>
    <row r="14" spans="1:27" x14ac:dyDescent="0.3">
      <c r="A14" t="s">
        <v>26</v>
      </c>
      <c r="B14" t="s">
        <v>32</v>
      </c>
      <c r="C14" t="s">
        <v>35</v>
      </c>
      <c r="D14" t="s">
        <v>37</v>
      </c>
      <c r="E14" t="s">
        <v>42</v>
      </c>
      <c r="F14" t="s">
        <v>56</v>
      </c>
      <c r="G14" t="s">
        <v>72</v>
      </c>
      <c r="H14" t="s">
        <v>79</v>
      </c>
      <c r="I14" t="s">
        <v>59</v>
      </c>
      <c r="J14" t="s">
        <v>83</v>
      </c>
      <c r="K14" t="s">
        <v>92</v>
      </c>
      <c r="L14" t="s">
        <v>79</v>
      </c>
      <c r="M14">
        <v>2</v>
      </c>
      <c r="N14">
        <v>3</v>
      </c>
      <c r="O14">
        <v>3</v>
      </c>
      <c r="P14">
        <v>2</v>
      </c>
      <c r="Q14">
        <v>2</v>
      </c>
      <c r="R14" t="s">
        <v>111</v>
      </c>
      <c r="S14">
        <v>4</v>
      </c>
      <c r="T14" t="s">
        <v>116</v>
      </c>
      <c r="U14">
        <v>3</v>
      </c>
      <c r="V14">
        <v>3</v>
      </c>
      <c r="W14" t="s">
        <v>114</v>
      </c>
      <c r="X14">
        <v>18</v>
      </c>
      <c r="Y14" t="s">
        <v>120</v>
      </c>
      <c r="Z14">
        <f t="shared" ref="Z14:Z19" si="4">IF(ISNUMBER(SEARCH("Zepto",F14)),1,0)</f>
        <v>0</v>
      </c>
      <c r="AA14">
        <f t="shared" ref="AA14:AA19" si="5">IF(ISNUMBER(SEARCH("Complain to customer support",K14)),1,0)</f>
        <v>1</v>
      </c>
    </row>
    <row r="15" spans="1:27" x14ac:dyDescent="0.3">
      <c r="A15" t="s">
        <v>25</v>
      </c>
      <c r="B15" t="s">
        <v>32</v>
      </c>
      <c r="C15" t="s">
        <v>35</v>
      </c>
      <c r="D15" t="s">
        <v>37</v>
      </c>
      <c r="E15" t="s">
        <v>33</v>
      </c>
      <c r="F15" t="s">
        <v>57</v>
      </c>
      <c r="G15" t="s">
        <v>72</v>
      </c>
      <c r="H15" t="s">
        <v>80</v>
      </c>
      <c r="J15" t="s">
        <v>82</v>
      </c>
      <c r="K15" t="s">
        <v>87</v>
      </c>
      <c r="L15" t="s">
        <v>79</v>
      </c>
      <c r="M15">
        <v>4</v>
      </c>
      <c r="N15">
        <v>4</v>
      </c>
      <c r="O15">
        <v>4</v>
      </c>
      <c r="P15">
        <v>4</v>
      </c>
      <c r="Q15">
        <v>4</v>
      </c>
      <c r="R15" t="s">
        <v>112</v>
      </c>
      <c r="S15">
        <v>3</v>
      </c>
      <c r="T15" t="s">
        <v>116</v>
      </c>
      <c r="U15">
        <v>5</v>
      </c>
      <c r="V15">
        <v>4</v>
      </c>
      <c r="W15" t="s">
        <v>111</v>
      </c>
      <c r="X15">
        <v>208</v>
      </c>
      <c r="Y15" t="s">
        <v>120</v>
      </c>
      <c r="Z15">
        <f t="shared" si="4"/>
        <v>1</v>
      </c>
      <c r="AA15">
        <f t="shared" si="5"/>
        <v>0</v>
      </c>
    </row>
    <row r="16" spans="1:27" x14ac:dyDescent="0.3">
      <c r="A16" t="s">
        <v>27</v>
      </c>
      <c r="B16" t="s">
        <v>32</v>
      </c>
      <c r="C16" t="s">
        <v>35</v>
      </c>
      <c r="D16" t="s">
        <v>38</v>
      </c>
      <c r="E16" t="s">
        <v>33</v>
      </c>
      <c r="F16" t="s">
        <v>53</v>
      </c>
      <c r="G16" t="s">
        <v>72</v>
      </c>
      <c r="H16" t="s">
        <v>79</v>
      </c>
      <c r="I16" t="s">
        <v>66</v>
      </c>
      <c r="J16" t="s">
        <v>84</v>
      </c>
      <c r="K16" t="s">
        <v>93</v>
      </c>
      <c r="L16" t="s">
        <v>79</v>
      </c>
      <c r="M16">
        <v>3</v>
      </c>
      <c r="N16">
        <v>2</v>
      </c>
      <c r="O16">
        <v>3</v>
      </c>
      <c r="P16">
        <v>2</v>
      </c>
      <c r="Q16">
        <v>3</v>
      </c>
      <c r="R16" t="s">
        <v>111</v>
      </c>
      <c r="S16">
        <v>3</v>
      </c>
      <c r="T16" t="s">
        <v>115</v>
      </c>
      <c r="U16">
        <v>3</v>
      </c>
      <c r="V16">
        <v>3</v>
      </c>
      <c r="W16" t="s">
        <v>110</v>
      </c>
      <c r="X16">
        <v>37</v>
      </c>
      <c r="Y16" t="s">
        <v>121</v>
      </c>
      <c r="Z16">
        <f t="shared" si="4"/>
        <v>1</v>
      </c>
      <c r="AA16">
        <f t="shared" si="5"/>
        <v>0</v>
      </c>
    </row>
    <row r="17" spans="1:27" x14ac:dyDescent="0.3">
      <c r="A17" t="s">
        <v>26</v>
      </c>
      <c r="B17" t="s">
        <v>33</v>
      </c>
      <c r="C17" t="s">
        <v>36</v>
      </c>
      <c r="D17" t="s">
        <v>37</v>
      </c>
      <c r="E17" t="s">
        <v>42</v>
      </c>
      <c r="F17" t="s">
        <v>49</v>
      </c>
      <c r="G17" t="s">
        <v>75</v>
      </c>
      <c r="H17" t="s">
        <v>79</v>
      </c>
      <c r="I17" t="s">
        <v>59</v>
      </c>
      <c r="J17" t="s">
        <v>85</v>
      </c>
      <c r="K17" t="s">
        <v>93</v>
      </c>
      <c r="L17" t="s">
        <v>79</v>
      </c>
      <c r="M17">
        <v>2</v>
      </c>
      <c r="N17">
        <v>3</v>
      </c>
      <c r="O17">
        <v>2</v>
      </c>
      <c r="P17">
        <v>2</v>
      </c>
      <c r="Q17">
        <v>2</v>
      </c>
      <c r="R17" t="s">
        <v>113</v>
      </c>
      <c r="S17">
        <v>4</v>
      </c>
      <c r="T17" t="s">
        <v>119</v>
      </c>
      <c r="U17">
        <v>3</v>
      </c>
      <c r="V17">
        <v>3</v>
      </c>
      <c r="W17" t="s">
        <v>113</v>
      </c>
      <c r="X17">
        <v>82</v>
      </c>
      <c r="Y17" t="s">
        <v>124</v>
      </c>
      <c r="Z17">
        <f t="shared" si="4"/>
        <v>1</v>
      </c>
      <c r="AA17">
        <f t="shared" si="5"/>
        <v>0</v>
      </c>
    </row>
    <row r="18" spans="1:27" x14ac:dyDescent="0.3">
      <c r="A18" t="s">
        <v>26</v>
      </c>
      <c r="B18" t="s">
        <v>30</v>
      </c>
      <c r="C18" t="s">
        <v>35</v>
      </c>
      <c r="D18" t="s">
        <v>37</v>
      </c>
      <c r="E18" t="s">
        <v>44</v>
      </c>
      <c r="F18" t="s">
        <v>58</v>
      </c>
      <c r="G18" t="s">
        <v>73</v>
      </c>
      <c r="H18" t="s">
        <v>79</v>
      </c>
      <c r="I18" t="s">
        <v>59</v>
      </c>
      <c r="J18" t="s">
        <v>83</v>
      </c>
      <c r="K18" t="s">
        <v>94</v>
      </c>
      <c r="L18" t="s">
        <v>79</v>
      </c>
      <c r="M18">
        <v>3</v>
      </c>
      <c r="N18">
        <v>3</v>
      </c>
      <c r="O18">
        <v>3</v>
      </c>
      <c r="P18">
        <v>2</v>
      </c>
      <c r="Q18">
        <v>3</v>
      </c>
      <c r="R18" t="s">
        <v>112</v>
      </c>
      <c r="S18">
        <v>3</v>
      </c>
      <c r="T18" t="s">
        <v>119</v>
      </c>
      <c r="U18">
        <v>3</v>
      </c>
      <c r="V18">
        <v>4</v>
      </c>
      <c r="W18" t="s">
        <v>114</v>
      </c>
      <c r="X18">
        <v>110</v>
      </c>
      <c r="Y18" t="s">
        <v>124</v>
      </c>
      <c r="Z18">
        <f t="shared" si="4"/>
        <v>1</v>
      </c>
      <c r="AA18">
        <f t="shared" si="5"/>
        <v>0</v>
      </c>
    </row>
    <row r="19" spans="1:27" x14ac:dyDescent="0.3">
      <c r="A19" t="s">
        <v>27</v>
      </c>
      <c r="B19" t="s">
        <v>30</v>
      </c>
      <c r="C19" t="s">
        <v>35</v>
      </c>
      <c r="D19" t="s">
        <v>37</v>
      </c>
      <c r="E19" t="s">
        <v>44</v>
      </c>
      <c r="F19" t="s">
        <v>59</v>
      </c>
      <c r="G19" t="s">
        <v>72</v>
      </c>
      <c r="H19" t="s">
        <v>79</v>
      </c>
      <c r="I19" t="s">
        <v>59</v>
      </c>
      <c r="J19" t="s">
        <v>84</v>
      </c>
      <c r="K19" t="s">
        <v>95</v>
      </c>
      <c r="L19" t="s">
        <v>79</v>
      </c>
      <c r="M19">
        <v>3</v>
      </c>
      <c r="N19">
        <v>3</v>
      </c>
      <c r="O19">
        <v>3</v>
      </c>
      <c r="P19">
        <v>3</v>
      </c>
      <c r="Q19">
        <v>3</v>
      </c>
      <c r="R19" t="s">
        <v>111</v>
      </c>
      <c r="S19">
        <v>3</v>
      </c>
      <c r="T19" t="s">
        <v>117</v>
      </c>
      <c r="U19">
        <v>3</v>
      </c>
      <c r="V19">
        <v>3</v>
      </c>
      <c r="W19" t="s">
        <v>112</v>
      </c>
      <c r="X19">
        <v>137</v>
      </c>
      <c r="Y19" t="s">
        <v>122</v>
      </c>
      <c r="Z19">
        <f t="shared" si="4"/>
        <v>1</v>
      </c>
      <c r="AA19">
        <f t="shared" si="5"/>
        <v>1</v>
      </c>
    </row>
    <row r="20" spans="1:27" hidden="1" x14ac:dyDescent="0.3">
      <c r="A20" t="s">
        <v>26</v>
      </c>
      <c r="B20" t="s">
        <v>32</v>
      </c>
      <c r="C20" t="s">
        <v>35</v>
      </c>
      <c r="D20" t="s">
        <v>37</v>
      </c>
      <c r="E20" t="s">
        <v>44</v>
      </c>
      <c r="F20" t="s">
        <v>50</v>
      </c>
      <c r="G20" t="s">
        <v>72</v>
      </c>
      <c r="H20" t="s">
        <v>79</v>
      </c>
      <c r="I20" t="s">
        <v>66</v>
      </c>
      <c r="J20" t="s">
        <v>83</v>
      </c>
      <c r="K20" t="s">
        <v>89</v>
      </c>
      <c r="L20" t="s">
        <v>80</v>
      </c>
      <c r="M20">
        <v>3</v>
      </c>
      <c r="N20">
        <v>3</v>
      </c>
      <c r="O20">
        <v>3</v>
      </c>
      <c r="P20">
        <v>3</v>
      </c>
      <c r="Q20">
        <v>3</v>
      </c>
      <c r="R20" t="s">
        <v>113</v>
      </c>
      <c r="S20">
        <v>3</v>
      </c>
      <c r="T20" t="s">
        <v>119</v>
      </c>
      <c r="U20">
        <v>4</v>
      </c>
      <c r="V20">
        <v>3</v>
      </c>
      <c r="W20" t="s">
        <v>111</v>
      </c>
      <c r="X20">
        <v>136</v>
      </c>
      <c r="Y20" t="s">
        <v>122</v>
      </c>
    </row>
    <row r="21" spans="1:27" hidden="1" x14ac:dyDescent="0.3">
      <c r="A21" t="s">
        <v>25</v>
      </c>
      <c r="B21" t="s">
        <v>30</v>
      </c>
      <c r="C21" t="s">
        <v>36</v>
      </c>
      <c r="D21" t="s">
        <v>39</v>
      </c>
      <c r="E21" t="s">
        <v>43</v>
      </c>
      <c r="F21" t="s">
        <v>60</v>
      </c>
      <c r="G21" t="s">
        <v>76</v>
      </c>
      <c r="H21" t="s">
        <v>79</v>
      </c>
      <c r="I21" t="s">
        <v>66</v>
      </c>
      <c r="J21" t="s">
        <v>81</v>
      </c>
      <c r="K21" t="s">
        <v>87</v>
      </c>
      <c r="L21" t="s">
        <v>80</v>
      </c>
      <c r="M21">
        <v>2</v>
      </c>
      <c r="N21">
        <v>2</v>
      </c>
      <c r="O21">
        <v>2</v>
      </c>
      <c r="P21">
        <v>2</v>
      </c>
      <c r="Q21">
        <v>2</v>
      </c>
      <c r="R21" t="s">
        <v>111</v>
      </c>
      <c r="S21">
        <v>4</v>
      </c>
      <c r="T21" t="s">
        <v>117</v>
      </c>
      <c r="U21">
        <v>2</v>
      </c>
      <c r="V21">
        <v>3</v>
      </c>
      <c r="W21" t="s">
        <v>110</v>
      </c>
      <c r="X21">
        <v>24</v>
      </c>
      <c r="Y21" t="s">
        <v>121</v>
      </c>
    </row>
    <row r="22" spans="1:27" x14ac:dyDescent="0.3">
      <c r="A22" t="s">
        <v>28</v>
      </c>
      <c r="B22" t="s">
        <v>30</v>
      </c>
      <c r="C22" t="s">
        <v>35</v>
      </c>
      <c r="D22" t="s">
        <v>38</v>
      </c>
      <c r="E22" t="s">
        <v>42</v>
      </c>
      <c r="F22" t="s">
        <v>51</v>
      </c>
      <c r="G22" t="s">
        <v>72</v>
      </c>
      <c r="H22" t="s">
        <v>79</v>
      </c>
      <c r="I22" t="s">
        <v>51</v>
      </c>
      <c r="J22" t="s">
        <v>82</v>
      </c>
      <c r="K22" t="s">
        <v>87</v>
      </c>
      <c r="L22" t="s">
        <v>79</v>
      </c>
      <c r="M22">
        <v>2</v>
      </c>
      <c r="N22">
        <v>2</v>
      </c>
      <c r="O22">
        <v>3</v>
      </c>
      <c r="P22">
        <v>1</v>
      </c>
      <c r="Q22">
        <v>2</v>
      </c>
      <c r="R22" t="s">
        <v>111</v>
      </c>
      <c r="S22">
        <v>4</v>
      </c>
      <c r="T22" t="s">
        <v>115</v>
      </c>
      <c r="U22">
        <v>2</v>
      </c>
      <c r="V22">
        <v>2</v>
      </c>
      <c r="W22" t="s">
        <v>113</v>
      </c>
      <c r="X22">
        <v>54</v>
      </c>
      <c r="Y22" t="s">
        <v>122</v>
      </c>
      <c r="Z22">
        <f>IF(ISNUMBER(SEARCH("Zepto",F22)),1,0)</f>
        <v>0</v>
      </c>
      <c r="AA22">
        <f>IF(ISNUMBER(SEARCH("Complain to customer support",K22)),1,0)</f>
        <v>0</v>
      </c>
    </row>
    <row r="23" spans="1:27" hidden="1" x14ac:dyDescent="0.3">
      <c r="A23" t="s">
        <v>26</v>
      </c>
      <c r="B23" t="s">
        <v>30</v>
      </c>
      <c r="C23" t="s">
        <v>36</v>
      </c>
      <c r="D23" t="s">
        <v>38</v>
      </c>
      <c r="E23" t="s">
        <v>45</v>
      </c>
      <c r="F23" t="s">
        <v>61</v>
      </c>
      <c r="G23" t="s">
        <v>72</v>
      </c>
      <c r="H23" t="s">
        <v>80</v>
      </c>
      <c r="J23" t="s">
        <v>82</v>
      </c>
      <c r="K23" t="s">
        <v>87</v>
      </c>
      <c r="L23" t="s">
        <v>80</v>
      </c>
      <c r="M23">
        <v>3</v>
      </c>
      <c r="N23">
        <v>3</v>
      </c>
      <c r="O23">
        <v>3</v>
      </c>
      <c r="P23">
        <v>3</v>
      </c>
      <c r="Q23">
        <v>3</v>
      </c>
      <c r="R23" t="s">
        <v>111</v>
      </c>
      <c r="S23">
        <v>4</v>
      </c>
      <c r="T23" t="s">
        <v>119</v>
      </c>
      <c r="U23">
        <v>4</v>
      </c>
      <c r="V23">
        <v>3</v>
      </c>
      <c r="W23" t="s">
        <v>114</v>
      </c>
      <c r="X23">
        <v>96</v>
      </c>
      <c r="Y23" t="s">
        <v>122</v>
      </c>
    </row>
    <row r="24" spans="1:27" hidden="1" x14ac:dyDescent="0.3">
      <c r="A24" t="s">
        <v>25</v>
      </c>
      <c r="B24" t="s">
        <v>32</v>
      </c>
      <c r="C24" t="s">
        <v>34</v>
      </c>
      <c r="D24" t="s">
        <v>37</v>
      </c>
      <c r="E24" t="s">
        <v>43</v>
      </c>
      <c r="F24" t="s">
        <v>62</v>
      </c>
      <c r="G24" t="s">
        <v>77</v>
      </c>
      <c r="H24" t="s">
        <v>80</v>
      </c>
      <c r="J24" t="s">
        <v>82</v>
      </c>
      <c r="K24" t="s">
        <v>87</v>
      </c>
      <c r="L24" t="s">
        <v>80</v>
      </c>
      <c r="M24">
        <v>4</v>
      </c>
      <c r="N24">
        <v>3</v>
      </c>
      <c r="O24">
        <v>4</v>
      </c>
      <c r="P24">
        <v>4</v>
      </c>
      <c r="Q24">
        <v>4</v>
      </c>
      <c r="R24" t="s">
        <v>110</v>
      </c>
      <c r="S24">
        <v>2</v>
      </c>
      <c r="T24" t="s">
        <v>117</v>
      </c>
      <c r="U24">
        <v>4</v>
      </c>
      <c r="V24">
        <v>4</v>
      </c>
      <c r="W24" t="s">
        <v>113</v>
      </c>
      <c r="X24">
        <v>35</v>
      </c>
      <c r="Y24" t="s">
        <v>123</v>
      </c>
    </row>
    <row r="25" spans="1:27" hidden="1" x14ac:dyDescent="0.3">
      <c r="A25" t="s">
        <v>26</v>
      </c>
      <c r="B25" t="s">
        <v>31</v>
      </c>
      <c r="C25" t="s">
        <v>35</v>
      </c>
      <c r="D25" t="s">
        <v>37</v>
      </c>
      <c r="E25" t="s">
        <v>42</v>
      </c>
      <c r="F25" t="s">
        <v>52</v>
      </c>
      <c r="G25" t="s">
        <v>75</v>
      </c>
      <c r="H25" t="s">
        <v>79</v>
      </c>
      <c r="I25" t="s">
        <v>66</v>
      </c>
      <c r="J25" t="s">
        <v>84</v>
      </c>
      <c r="K25" t="s">
        <v>96</v>
      </c>
      <c r="L25" t="s">
        <v>80</v>
      </c>
      <c r="M25">
        <v>3</v>
      </c>
      <c r="N25">
        <v>3</v>
      </c>
      <c r="O25">
        <v>4</v>
      </c>
      <c r="P25">
        <v>3</v>
      </c>
      <c r="Q25">
        <v>3</v>
      </c>
      <c r="R25" t="s">
        <v>111</v>
      </c>
      <c r="S25">
        <v>3</v>
      </c>
      <c r="T25" t="s">
        <v>116</v>
      </c>
      <c r="U25">
        <v>4</v>
      </c>
      <c r="V25">
        <v>3</v>
      </c>
      <c r="W25" t="s">
        <v>112</v>
      </c>
      <c r="X25">
        <v>127</v>
      </c>
      <c r="Y25" t="s">
        <v>121</v>
      </c>
    </row>
    <row r="26" spans="1:27" hidden="1" x14ac:dyDescent="0.3">
      <c r="A26" t="s">
        <v>25</v>
      </c>
      <c r="B26" t="s">
        <v>30</v>
      </c>
      <c r="C26" t="s">
        <v>34</v>
      </c>
      <c r="D26" t="s">
        <v>38</v>
      </c>
      <c r="E26" t="s">
        <v>46</v>
      </c>
      <c r="F26" t="s">
        <v>55</v>
      </c>
      <c r="G26" t="s">
        <v>74</v>
      </c>
      <c r="H26" t="s">
        <v>79</v>
      </c>
      <c r="I26" t="s">
        <v>66</v>
      </c>
      <c r="J26" t="s">
        <v>82</v>
      </c>
      <c r="K26" t="s">
        <v>86</v>
      </c>
      <c r="L26" t="s">
        <v>80</v>
      </c>
      <c r="M26">
        <v>3</v>
      </c>
      <c r="N26">
        <v>3</v>
      </c>
      <c r="O26">
        <v>4</v>
      </c>
      <c r="P26">
        <v>2</v>
      </c>
      <c r="Q26">
        <v>3</v>
      </c>
      <c r="R26" t="s">
        <v>110</v>
      </c>
      <c r="S26">
        <v>3</v>
      </c>
      <c r="T26" t="s">
        <v>117</v>
      </c>
      <c r="U26">
        <v>4</v>
      </c>
      <c r="V26">
        <v>3</v>
      </c>
      <c r="W26" t="s">
        <v>111</v>
      </c>
      <c r="X26">
        <v>161</v>
      </c>
      <c r="Y26" t="s">
        <v>122</v>
      </c>
    </row>
    <row r="27" spans="1:27" x14ac:dyDescent="0.3">
      <c r="A27" t="s">
        <v>25</v>
      </c>
      <c r="B27" t="s">
        <v>30</v>
      </c>
      <c r="C27" t="s">
        <v>35</v>
      </c>
      <c r="D27" t="s">
        <v>40</v>
      </c>
      <c r="E27" t="s">
        <v>45</v>
      </c>
      <c r="F27" t="s">
        <v>63</v>
      </c>
      <c r="G27" t="s">
        <v>73</v>
      </c>
      <c r="H27" t="s">
        <v>80</v>
      </c>
      <c r="J27" t="s">
        <v>82</v>
      </c>
      <c r="K27" t="s">
        <v>87</v>
      </c>
      <c r="L27" t="s">
        <v>79</v>
      </c>
      <c r="M27">
        <v>2</v>
      </c>
      <c r="N27">
        <v>3</v>
      </c>
      <c r="O27">
        <v>4</v>
      </c>
      <c r="P27">
        <v>3</v>
      </c>
      <c r="Q27">
        <v>3</v>
      </c>
      <c r="R27" t="s">
        <v>112</v>
      </c>
      <c r="S27">
        <v>3</v>
      </c>
      <c r="T27" t="s">
        <v>115</v>
      </c>
      <c r="U27">
        <v>4</v>
      </c>
      <c r="V27">
        <v>4</v>
      </c>
      <c r="W27" t="s">
        <v>113</v>
      </c>
      <c r="X27">
        <v>44</v>
      </c>
      <c r="Y27" t="s">
        <v>122</v>
      </c>
      <c r="Z27">
        <f t="shared" ref="Z27:Z28" si="6">IF(ISNUMBER(SEARCH("Zepto",F27)),1,0)</f>
        <v>1</v>
      </c>
      <c r="AA27">
        <f t="shared" ref="AA27:AA28" si="7">IF(ISNUMBER(SEARCH("Complain to customer support",K27)),1,0)</f>
        <v>0</v>
      </c>
    </row>
    <row r="28" spans="1:27" x14ac:dyDescent="0.3">
      <c r="A28" t="s">
        <v>26</v>
      </c>
      <c r="B28" t="s">
        <v>33</v>
      </c>
      <c r="C28" t="s">
        <v>36</v>
      </c>
      <c r="D28" t="s">
        <v>39</v>
      </c>
      <c r="E28" t="s">
        <v>33</v>
      </c>
      <c r="F28" t="s">
        <v>58</v>
      </c>
      <c r="G28" t="s">
        <v>76</v>
      </c>
      <c r="H28" t="s">
        <v>80</v>
      </c>
      <c r="J28" t="s">
        <v>82</v>
      </c>
      <c r="K28" t="s">
        <v>87</v>
      </c>
      <c r="L28" t="s">
        <v>79</v>
      </c>
      <c r="M28">
        <v>3</v>
      </c>
      <c r="N28">
        <v>3</v>
      </c>
      <c r="O28">
        <v>4</v>
      </c>
      <c r="P28">
        <v>2</v>
      </c>
      <c r="Q28">
        <v>3</v>
      </c>
      <c r="R28" t="s">
        <v>112</v>
      </c>
      <c r="S28">
        <v>4</v>
      </c>
      <c r="T28" t="s">
        <v>116</v>
      </c>
      <c r="U28">
        <v>3</v>
      </c>
      <c r="V28">
        <v>4</v>
      </c>
      <c r="W28" t="s">
        <v>111</v>
      </c>
      <c r="X28">
        <v>139</v>
      </c>
      <c r="Y28" t="s">
        <v>124</v>
      </c>
      <c r="Z28">
        <f t="shared" si="6"/>
        <v>1</v>
      </c>
      <c r="AA28">
        <f t="shared" si="7"/>
        <v>0</v>
      </c>
    </row>
    <row r="29" spans="1:27" hidden="1" x14ac:dyDescent="0.3">
      <c r="A29" t="s">
        <v>26</v>
      </c>
      <c r="B29" t="s">
        <v>30</v>
      </c>
      <c r="C29" t="s">
        <v>36</v>
      </c>
      <c r="D29" t="s">
        <v>38</v>
      </c>
      <c r="E29" t="s">
        <v>43</v>
      </c>
      <c r="F29" t="s">
        <v>51</v>
      </c>
      <c r="G29" t="s">
        <v>76</v>
      </c>
      <c r="H29" t="s">
        <v>79</v>
      </c>
      <c r="I29" t="s">
        <v>51</v>
      </c>
      <c r="J29" t="s">
        <v>85</v>
      </c>
      <c r="K29" t="s">
        <v>95</v>
      </c>
      <c r="L29" t="s">
        <v>80</v>
      </c>
      <c r="M29">
        <v>1</v>
      </c>
      <c r="N29">
        <v>2</v>
      </c>
      <c r="O29">
        <v>2</v>
      </c>
      <c r="P29">
        <v>1</v>
      </c>
      <c r="Q29">
        <v>2</v>
      </c>
      <c r="R29" t="s">
        <v>111</v>
      </c>
      <c r="S29">
        <v>5</v>
      </c>
      <c r="T29" t="s">
        <v>118</v>
      </c>
      <c r="U29">
        <v>2</v>
      </c>
      <c r="V29">
        <v>3</v>
      </c>
      <c r="W29" t="s">
        <v>111</v>
      </c>
      <c r="X29">
        <v>179</v>
      </c>
      <c r="Y29" t="s">
        <v>124</v>
      </c>
    </row>
    <row r="30" spans="1:27" x14ac:dyDescent="0.3">
      <c r="A30" t="s">
        <v>26</v>
      </c>
      <c r="B30" t="s">
        <v>32</v>
      </c>
      <c r="C30" t="s">
        <v>35</v>
      </c>
      <c r="D30" t="s">
        <v>38</v>
      </c>
      <c r="E30" t="s">
        <v>42</v>
      </c>
      <c r="F30" t="s">
        <v>59</v>
      </c>
      <c r="G30" t="s">
        <v>73</v>
      </c>
      <c r="H30" t="s">
        <v>79</v>
      </c>
      <c r="I30" t="s">
        <v>59</v>
      </c>
      <c r="J30" t="s">
        <v>82</v>
      </c>
      <c r="K30" t="s">
        <v>86</v>
      </c>
      <c r="L30" t="s">
        <v>79</v>
      </c>
      <c r="M30">
        <v>2</v>
      </c>
      <c r="N30">
        <v>2</v>
      </c>
      <c r="O30">
        <v>3</v>
      </c>
      <c r="P30">
        <v>3</v>
      </c>
      <c r="Q30">
        <v>2</v>
      </c>
      <c r="R30" t="s">
        <v>113</v>
      </c>
      <c r="S30">
        <v>4</v>
      </c>
      <c r="T30" t="s">
        <v>117</v>
      </c>
      <c r="U30">
        <v>3</v>
      </c>
      <c r="V30">
        <v>2</v>
      </c>
      <c r="W30" t="s">
        <v>114</v>
      </c>
      <c r="X30">
        <v>161</v>
      </c>
      <c r="Y30" t="s">
        <v>122</v>
      </c>
      <c r="Z30">
        <f>IF(ISNUMBER(SEARCH("Zepto",F30)),1,0)</f>
        <v>1</v>
      </c>
      <c r="AA30">
        <f>IF(ISNUMBER(SEARCH("Complain to customer support",K30)),1,0)</f>
        <v>0</v>
      </c>
    </row>
    <row r="31" spans="1:27" hidden="1" x14ac:dyDescent="0.3">
      <c r="A31" t="s">
        <v>29</v>
      </c>
      <c r="B31" t="s">
        <v>30</v>
      </c>
      <c r="C31" t="s">
        <v>36</v>
      </c>
      <c r="D31" t="s">
        <v>37</v>
      </c>
      <c r="E31" t="s">
        <v>42</v>
      </c>
      <c r="F31" t="s">
        <v>50</v>
      </c>
      <c r="G31" t="s">
        <v>76</v>
      </c>
      <c r="H31" t="s">
        <v>79</v>
      </c>
      <c r="I31" t="s">
        <v>66</v>
      </c>
      <c r="J31" t="s">
        <v>82</v>
      </c>
      <c r="K31" t="s">
        <v>97</v>
      </c>
      <c r="L31" t="s">
        <v>80</v>
      </c>
      <c r="M31">
        <v>3</v>
      </c>
      <c r="N31">
        <v>4</v>
      </c>
      <c r="O31">
        <v>4</v>
      </c>
      <c r="P31">
        <v>4</v>
      </c>
      <c r="Q31">
        <v>3</v>
      </c>
      <c r="R31" t="s">
        <v>112</v>
      </c>
      <c r="S31">
        <v>2</v>
      </c>
      <c r="T31" t="s">
        <v>119</v>
      </c>
      <c r="U31">
        <v>4</v>
      </c>
      <c r="V31">
        <v>4</v>
      </c>
      <c r="W31" t="s">
        <v>110</v>
      </c>
      <c r="X31">
        <v>71</v>
      </c>
      <c r="Y31" t="s">
        <v>124</v>
      </c>
    </row>
    <row r="32" spans="1:27" x14ac:dyDescent="0.3">
      <c r="A32" t="s">
        <v>29</v>
      </c>
      <c r="B32" t="s">
        <v>32</v>
      </c>
      <c r="C32" t="s">
        <v>35</v>
      </c>
      <c r="D32" t="s">
        <v>37</v>
      </c>
      <c r="E32" t="s">
        <v>43</v>
      </c>
      <c r="F32" t="s">
        <v>64</v>
      </c>
      <c r="G32" t="s">
        <v>78</v>
      </c>
      <c r="H32" t="s">
        <v>80</v>
      </c>
      <c r="J32" t="s">
        <v>82</v>
      </c>
      <c r="K32" t="s">
        <v>87</v>
      </c>
      <c r="L32" t="s">
        <v>79</v>
      </c>
      <c r="M32">
        <v>4</v>
      </c>
      <c r="N32">
        <v>4</v>
      </c>
      <c r="O32">
        <v>4</v>
      </c>
      <c r="P32">
        <v>3</v>
      </c>
      <c r="Q32">
        <v>3</v>
      </c>
      <c r="R32" t="s">
        <v>111</v>
      </c>
      <c r="S32">
        <v>3</v>
      </c>
      <c r="T32" t="s">
        <v>118</v>
      </c>
      <c r="U32">
        <v>4</v>
      </c>
      <c r="V32">
        <v>4</v>
      </c>
      <c r="W32" t="s">
        <v>113</v>
      </c>
      <c r="X32">
        <v>17</v>
      </c>
      <c r="Y32" t="s">
        <v>122</v>
      </c>
      <c r="Z32">
        <f>IF(ISNUMBER(SEARCH("Zepto",F32)),1,0)</f>
        <v>1</v>
      </c>
      <c r="AA32">
        <f>IF(ISNUMBER(SEARCH("Complain to customer support",K32)),1,0)</f>
        <v>0</v>
      </c>
    </row>
    <row r="33" spans="1:27" hidden="1" x14ac:dyDescent="0.3">
      <c r="A33" t="s">
        <v>26</v>
      </c>
      <c r="B33" t="s">
        <v>30</v>
      </c>
      <c r="C33" t="s">
        <v>36</v>
      </c>
      <c r="D33" t="s">
        <v>38</v>
      </c>
      <c r="E33" t="s">
        <v>43</v>
      </c>
      <c r="F33" t="s">
        <v>65</v>
      </c>
      <c r="G33" t="s">
        <v>76</v>
      </c>
      <c r="H33" t="s">
        <v>80</v>
      </c>
      <c r="J33" t="s">
        <v>82</v>
      </c>
      <c r="K33" t="s">
        <v>87</v>
      </c>
      <c r="L33" t="s">
        <v>80</v>
      </c>
      <c r="M33">
        <v>4</v>
      </c>
      <c r="N33">
        <v>4</v>
      </c>
      <c r="O33">
        <v>4</v>
      </c>
      <c r="P33">
        <v>4</v>
      </c>
      <c r="Q33">
        <v>4</v>
      </c>
      <c r="R33" t="s">
        <v>111</v>
      </c>
      <c r="S33">
        <v>2</v>
      </c>
      <c r="T33" t="s">
        <v>117</v>
      </c>
      <c r="U33">
        <v>5</v>
      </c>
      <c r="V33">
        <v>5</v>
      </c>
      <c r="W33" t="s">
        <v>112</v>
      </c>
      <c r="X33">
        <v>133</v>
      </c>
      <c r="Y33" t="s">
        <v>121</v>
      </c>
    </row>
    <row r="34" spans="1:27" hidden="1" x14ac:dyDescent="0.3">
      <c r="A34" t="s">
        <v>25</v>
      </c>
      <c r="B34" t="s">
        <v>30</v>
      </c>
      <c r="C34" t="s">
        <v>35</v>
      </c>
      <c r="D34" t="s">
        <v>37</v>
      </c>
      <c r="E34" t="s">
        <v>42</v>
      </c>
      <c r="F34" t="s">
        <v>55</v>
      </c>
      <c r="G34" t="s">
        <v>73</v>
      </c>
      <c r="H34" t="s">
        <v>79</v>
      </c>
      <c r="I34" t="s">
        <v>66</v>
      </c>
      <c r="J34" t="s">
        <v>83</v>
      </c>
      <c r="K34" t="s">
        <v>98</v>
      </c>
      <c r="L34" t="s">
        <v>80</v>
      </c>
      <c r="M34">
        <v>2</v>
      </c>
      <c r="N34">
        <v>3</v>
      </c>
      <c r="O34">
        <v>3</v>
      </c>
      <c r="P34">
        <v>3</v>
      </c>
      <c r="Q34">
        <v>3</v>
      </c>
      <c r="R34" t="s">
        <v>111</v>
      </c>
      <c r="S34">
        <v>3</v>
      </c>
      <c r="T34" t="s">
        <v>118</v>
      </c>
      <c r="U34">
        <v>3</v>
      </c>
      <c r="V34">
        <v>3</v>
      </c>
      <c r="W34" t="s">
        <v>112</v>
      </c>
      <c r="X34">
        <v>146</v>
      </c>
      <c r="Y34" t="s">
        <v>121</v>
      </c>
    </row>
    <row r="35" spans="1:27" x14ac:dyDescent="0.3">
      <c r="A35" t="s">
        <v>26</v>
      </c>
      <c r="B35" t="s">
        <v>30</v>
      </c>
      <c r="C35" t="s">
        <v>35</v>
      </c>
      <c r="D35" t="s">
        <v>38</v>
      </c>
      <c r="E35" t="s">
        <v>43</v>
      </c>
      <c r="F35" t="s">
        <v>59</v>
      </c>
      <c r="G35" t="s">
        <v>72</v>
      </c>
      <c r="H35" t="s">
        <v>80</v>
      </c>
      <c r="J35" t="s">
        <v>82</v>
      </c>
      <c r="K35" t="s">
        <v>87</v>
      </c>
      <c r="L35" t="s">
        <v>79</v>
      </c>
      <c r="M35">
        <v>3</v>
      </c>
      <c r="N35">
        <v>3</v>
      </c>
      <c r="O35">
        <v>4</v>
      </c>
      <c r="P35">
        <v>3</v>
      </c>
      <c r="Q35">
        <v>3</v>
      </c>
      <c r="R35" t="s">
        <v>113</v>
      </c>
      <c r="S35">
        <v>3</v>
      </c>
      <c r="T35" t="s">
        <v>119</v>
      </c>
      <c r="U35">
        <v>4</v>
      </c>
      <c r="V35">
        <v>4</v>
      </c>
      <c r="W35" t="s">
        <v>112</v>
      </c>
      <c r="X35">
        <v>160</v>
      </c>
      <c r="Y35" t="s">
        <v>122</v>
      </c>
      <c r="Z35">
        <f>IF(ISNUMBER(SEARCH("Zepto",F35)),1,0)</f>
        <v>1</v>
      </c>
      <c r="AA35">
        <f>IF(ISNUMBER(SEARCH("Complain to customer support",K35)),1,0)</f>
        <v>0</v>
      </c>
    </row>
    <row r="36" spans="1:27" hidden="1" x14ac:dyDescent="0.3">
      <c r="A36" t="s">
        <v>25</v>
      </c>
      <c r="B36" t="s">
        <v>30</v>
      </c>
      <c r="C36" t="s">
        <v>36</v>
      </c>
      <c r="D36" t="s">
        <v>37</v>
      </c>
      <c r="E36" t="s">
        <v>44</v>
      </c>
      <c r="F36" t="s">
        <v>66</v>
      </c>
      <c r="G36" t="s">
        <v>73</v>
      </c>
      <c r="H36" t="s">
        <v>80</v>
      </c>
      <c r="J36" t="s">
        <v>82</v>
      </c>
      <c r="K36" t="s">
        <v>87</v>
      </c>
      <c r="L36" t="s">
        <v>80</v>
      </c>
      <c r="M36">
        <v>3</v>
      </c>
      <c r="N36">
        <v>2</v>
      </c>
      <c r="O36">
        <v>3</v>
      </c>
      <c r="P36">
        <v>3</v>
      </c>
      <c r="Q36">
        <v>3</v>
      </c>
      <c r="R36" t="s">
        <v>111</v>
      </c>
      <c r="S36">
        <v>4</v>
      </c>
      <c r="T36" t="s">
        <v>117</v>
      </c>
      <c r="U36">
        <v>3</v>
      </c>
      <c r="V36">
        <v>3</v>
      </c>
      <c r="W36" t="s">
        <v>111</v>
      </c>
      <c r="X36">
        <v>105</v>
      </c>
      <c r="Y36" t="s">
        <v>122</v>
      </c>
    </row>
    <row r="37" spans="1:27" hidden="1" x14ac:dyDescent="0.3">
      <c r="A37" t="s">
        <v>26</v>
      </c>
      <c r="B37" t="s">
        <v>30</v>
      </c>
      <c r="C37" t="s">
        <v>35</v>
      </c>
      <c r="D37" t="s">
        <v>37</v>
      </c>
      <c r="E37" t="s">
        <v>46</v>
      </c>
      <c r="F37" t="s">
        <v>67</v>
      </c>
      <c r="G37" t="s">
        <v>73</v>
      </c>
      <c r="H37" t="s">
        <v>79</v>
      </c>
      <c r="I37" t="s">
        <v>66</v>
      </c>
      <c r="J37" t="s">
        <v>81</v>
      </c>
      <c r="K37" t="s">
        <v>87</v>
      </c>
      <c r="L37" t="s">
        <v>80</v>
      </c>
      <c r="M37">
        <v>3</v>
      </c>
      <c r="N37">
        <v>2</v>
      </c>
      <c r="O37">
        <v>3</v>
      </c>
      <c r="P37">
        <v>2</v>
      </c>
      <c r="Q37">
        <v>2</v>
      </c>
      <c r="R37" t="s">
        <v>112</v>
      </c>
      <c r="S37">
        <v>4</v>
      </c>
      <c r="T37" t="s">
        <v>118</v>
      </c>
      <c r="U37">
        <v>3</v>
      </c>
      <c r="V37">
        <v>3</v>
      </c>
      <c r="W37" t="s">
        <v>114</v>
      </c>
      <c r="X37">
        <v>58</v>
      </c>
      <c r="Y37" t="s">
        <v>122</v>
      </c>
    </row>
    <row r="38" spans="1:27" hidden="1" x14ac:dyDescent="0.3">
      <c r="A38" t="s">
        <v>26</v>
      </c>
      <c r="B38" t="s">
        <v>30</v>
      </c>
      <c r="C38" t="s">
        <v>34</v>
      </c>
      <c r="D38" t="s">
        <v>38</v>
      </c>
      <c r="E38" t="s">
        <v>44</v>
      </c>
      <c r="F38" t="s">
        <v>67</v>
      </c>
      <c r="G38" t="s">
        <v>77</v>
      </c>
      <c r="H38" t="s">
        <v>80</v>
      </c>
      <c r="J38" t="s">
        <v>82</v>
      </c>
      <c r="K38" t="s">
        <v>87</v>
      </c>
      <c r="L38" t="s">
        <v>80</v>
      </c>
      <c r="M38">
        <v>2</v>
      </c>
      <c r="N38">
        <v>3</v>
      </c>
      <c r="O38">
        <v>2</v>
      </c>
      <c r="P38">
        <v>2</v>
      </c>
      <c r="Q38">
        <v>3</v>
      </c>
      <c r="R38" t="s">
        <v>113</v>
      </c>
      <c r="S38">
        <v>3</v>
      </c>
      <c r="T38" t="s">
        <v>115</v>
      </c>
      <c r="U38">
        <v>3</v>
      </c>
      <c r="V38">
        <v>3</v>
      </c>
      <c r="W38" t="s">
        <v>110</v>
      </c>
      <c r="X38">
        <v>23</v>
      </c>
      <c r="Y38" t="s">
        <v>120</v>
      </c>
    </row>
    <row r="39" spans="1:27" x14ac:dyDescent="0.3">
      <c r="A39" t="s">
        <v>26</v>
      </c>
      <c r="B39" t="s">
        <v>33</v>
      </c>
      <c r="C39" t="s">
        <v>35</v>
      </c>
      <c r="D39" t="s">
        <v>38</v>
      </c>
      <c r="E39" t="s">
        <v>43</v>
      </c>
      <c r="F39" t="s">
        <v>48</v>
      </c>
      <c r="G39" t="s">
        <v>73</v>
      </c>
      <c r="H39" t="s">
        <v>80</v>
      </c>
      <c r="J39" t="s">
        <v>82</v>
      </c>
      <c r="K39" t="s">
        <v>87</v>
      </c>
      <c r="L39" t="s">
        <v>79</v>
      </c>
      <c r="M39">
        <v>3</v>
      </c>
      <c r="N39">
        <v>3</v>
      </c>
      <c r="O39">
        <v>3</v>
      </c>
      <c r="P39">
        <v>2</v>
      </c>
      <c r="Q39">
        <v>3</v>
      </c>
      <c r="R39" t="s">
        <v>110</v>
      </c>
      <c r="S39">
        <v>4</v>
      </c>
      <c r="T39" t="s">
        <v>117</v>
      </c>
      <c r="U39">
        <v>4</v>
      </c>
      <c r="V39">
        <v>3</v>
      </c>
      <c r="W39" t="s">
        <v>112</v>
      </c>
      <c r="X39">
        <v>92</v>
      </c>
      <c r="Y39" t="s">
        <v>121</v>
      </c>
      <c r="Z39">
        <f>IF(ISNUMBER(SEARCH("Zepto",F39)),1,0)</f>
        <v>1</v>
      </c>
      <c r="AA39">
        <f>IF(ISNUMBER(SEARCH("Complain to customer support",K39)),1,0)</f>
        <v>0</v>
      </c>
    </row>
    <row r="40" spans="1:27" hidden="1" x14ac:dyDescent="0.3">
      <c r="A40" t="s">
        <v>25</v>
      </c>
      <c r="B40" t="s">
        <v>33</v>
      </c>
      <c r="C40" t="s">
        <v>35</v>
      </c>
      <c r="D40" t="s">
        <v>37</v>
      </c>
      <c r="E40" t="s">
        <v>43</v>
      </c>
      <c r="F40" t="s">
        <v>65</v>
      </c>
      <c r="G40" t="s">
        <v>72</v>
      </c>
      <c r="H40" t="s">
        <v>80</v>
      </c>
      <c r="J40" t="s">
        <v>82</v>
      </c>
      <c r="K40" t="s">
        <v>87</v>
      </c>
      <c r="L40" t="s">
        <v>80</v>
      </c>
      <c r="M40">
        <v>4</v>
      </c>
      <c r="N40">
        <v>3</v>
      </c>
      <c r="O40">
        <v>4</v>
      </c>
      <c r="P40">
        <v>3</v>
      </c>
      <c r="Q40">
        <v>4</v>
      </c>
      <c r="R40" t="s">
        <v>112</v>
      </c>
      <c r="S40">
        <v>3</v>
      </c>
      <c r="T40" t="s">
        <v>118</v>
      </c>
      <c r="U40">
        <v>4</v>
      </c>
      <c r="V40">
        <v>4</v>
      </c>
      <c r="W40" t="s">
        <v>112</v>
      </c>
      <c r="X40">
        <v>99</v>
      </c>
      <c r="Y40" t="s">
        <v>122</v>
      </c>
    </row>
    <row r="41" spans="1:27" x14ac:dyDescent="0.3">
      <c r="A41" t="s">
        <v>25</v>
      </c>
      <c r="B41" t="s">
        <v>32</v>
      </c>
      <c r="C41" t="s">
        <v>35</v>
      </c>
      <c r="D41" t="s">
        <v>37</v>
      </c>
      <c r="E41" t="s">
        <v>42</v>
      </c>
      <c r="F41" t="s">
        <v>63</v>
      </c>
      <c r="G41" t="s">
        <v>74</v>
      </c>
      <c r="H41" t="s">
        <v>79</v>
      </c>
      <c r="I41" t="s">
        <v>66</v>
      </c>
      <c r="J41" t="s">
        <v>84</v>
      </c>
      <c r="K41" t="s">
        <v>99</v>
      </c>
      <c r="L41" t="s">
        <v>79</v>
      </c>
      <c r="M41">
        <v>2</v>
      </c>
      <c r="N41">
        <v>1</v>
      </c>
      <c r="O41">
        <v>2</v>
      </c>
      <c r="P41">
        <v>2</v>
      </c>
      <c r="Q41">
        <v>1</v>
      </c>
      <c r="R41" t="s">
        <v>113</v>
      </c>
      <c r="S41">
        <v>4</v>
      </c>
      <c r="T41" t="s">
        <v>118</v>
      </c>
      <c r="U41">
        <v>2</v>
      </c>
      <c r="V41">
        <v>2</v>
      </c>
      <c r="W41" t="s">
        <v>114</v>
      </c>
      <c r="X41">
        <v>127</v>
      </c>
      <c r="Y41" t="s">
        <v>121</v>
      </c>
      <c r="Z41">
        <f>IF(ISNUMBER(SEARCH("Zepto",F41)),1,0)</f>
        <v>1</v>
      </c>
      <c r="AA41">
        <f>IF(ISNUMBER(SEARCH("Complain to customer support",K41)),1,0)</f>
        <v>0</v>
      </c>
    </row>
    <row r="42" spans="1:27" hidden="1" x14ac:dyDescent="0.3">
      <c r="A42" t="s">
        <v>26</v>
      </c>
      <c r="B42" t="s">
        <v>32</v>
      </c>
      <c r="C42" t="s">
        <v>35</v>
      </c>
      <c r="D42" t="s">
        <v>37</v>
      </c>
      <c r="E42" t="s">
        <v>43</v>
      </c>
      <c r="F42" t="s">
        <v>56</v>
      </c>
      <c r="G42" t="s">
        <v>75</v>
      </c>
      <c r="H42" t="s">
        <v>80</v>
      </c>
      <c r="J42" t="s">
        <v>82</v>
      </c>
      <c r="K42" t="s">
        <v>87</v>
      </c>
      <c r="L42" t="s">
        <v>80</v>
      </c>
      <c r="M42">
        <v>3</v>
      </c>
      <c r="N42">
        <v>4</v>
      </c>
      <c r="O42">
        <v>3</v>
      </c>
      <c r="P42">
        <v>4</v>
      </c>
      <c r="Q42">
        <v>3</v>
      </c>
      <c r="R42" t="s">
        <v>112</v>
      </c>
      <c r="S42">
        <v>3</v>
      </c>
      <c r="T42" t="s">
        <v>117</v>
      </c>
      <c r="U42">
        <v>4</v>
      </c>
      <c r="V42">
        <v>4</v>
      </c>
      <c r="W42" t="s">
        <v>113</v>
      </c>
      <c r="X42">
        <v>77</v>
      </c>
      <c r="Y42" t="s">
        <v>122</v>
      </c>
    </row>
    <row r="43" spans="1:27" x14ac:dyDescent="0.3">
      <c r="A43" t="s">
        <v>26</v>
      </c>
      <c r="B43" t="s">
        <v>30</v>
      </c>
      <c r="C43" t="s">
        <v>36</v>
      </c>
      <c r="D43" t="s">
        <v>39</v>
      </c>
      <c r="E43" t="s">
        <v>42</v>
      </c>
      <c r="F43" t="s">
        <v>58</v>
      </c>
      <c r="G43" t="s">
        <v>77</v>
      </c>
      <c r="H43" t="s">
        <v>79</v>
      </c>
      <c r="I43" t="s">
        <v>59</v>
      </c>
      <c r="J43" t="s">
        <v>82</v>
      </c>
      <c r="K43" t="s">
        <v>100</v>
      </c>
      <c r="L43" t="s">
        <v>79</v>
      </c>
      <c r="M43">
        <v>4</v>
      </c>
      <c r="N43">
        <v>5</v>
      </c>
      <c r="O43">
        <v>5</v>
      </c>
      <c r="P43">
        <v>4</v>
      </c>
      <c r="Q43">
        <v>5</v>
      </c>
      <c r="R43" t="s">
        <v>112</v>
      </c>
      <c r="S43">
        <v>1</v>
      </c>
      <c r="T43" t="s">
        <v>117</v>
      </c>
      <c r="U43">
        <v>5</v>
      </c>
      <c r="V43">
        <v>4</v>
      </c>
      <c r="W43" t="s">
        <v>111</v>
      </c>
      <c r="X43">
        <v>137</v>
      </c>
      <c r="Y43" t="s">
        <v>120</v>
      </c>
      <c r="Z43">
        <f t="shared" ref="Z43:Z46" si="8">IF(ISNUMBER(SEARCH("Zepto",F43)),1,0)</f>
        <v>1</v>
      </c>
      <c r="AA43">
        <f t="shared" ref="AA43:AA46" si="9">IF(ISNUMBER(SEARCH("Complain to customer support",K43)),1,0)</f>
        <v>0</v>
      </c>
    </row>
    <row r="44" spans="1:27" x14ac:dyDescent="0.3">
      <c r="A44" t="s">
        <v>26</v>
      </c>
      <c r="B44" t="s">
        <v>32</v>
      </c>
      <c r="C44" t="s">
        <v>36</v>
      </c>
      <c r="D44" t="s">
        <v>40</v>
      </c>
      <c r="E44" t="s">
        <v>33</v>
      </c>
      <c r="F44" t="s">
        <v>59</v>
      </c>
      <c r="G44" t="s">
        <v>78</v>
      </c>
      <c r="H44" t="s">
        <v>80</v>
      </c>
      <c r="J44" t="s">
        <v>82</v>
      </c>
      <c r="K44" t="s">
        <v>87</v>
      </c>
      <c r="L44" t="s">
        <v>79</v>
      </c>
      <c r="M44">
        <v>5</v>
      </c>
      <c r="N44">
        <v>4</v>
      </c>
      <c r="O44">
        <v>5</v>
      </c>
      <c r="P44">
        <v>4</v>
      </c>
      <c r="Q44">
        <v>4</v>
      </c>
      <c r="R44" t="s">
        <v>111</v>
      </c>
      <c r="S44">
        <v>3</v>
      </c>
      <c r="T44" t="s">
        <v>118</v>
      </c>
      <c r="U44">
        <v>5</v>
      </c>
      <c r="V44">
        <v>5</v>
      </c>
      <c r="W44" t="s">
        <v>114</v>
      </c>
      <c r="X44">
        <v>89</v>
      </c>
      <c r="Y44" t="s">
        <v>122</v>
      </c>
      <c r="Z44">
        <f t="shared" si="8"/>
        <v>1</v>
      </c>
      <c r="AA44">
        <f t="shared" si="9"/>
        <v>0</v>
      </c>
    </row>
    <row r="45" spans="1:27" x14ac:dyDescent="0.3">
      <c r="A45" t="s">
        <v>29</v>
      </c>
      <c r="B45" t="s">
        <v>30</v>
      </c>
      <c r="C45" t="s">
        <v>34</v>
      </c>
      <c r="D45" t="s">
        <v>38</v>
      </c>
      <c r="E45" t="s">
        <v>42</v>
      </c>
      <c r="F45" t="s">
        <v>59</v>
      </c>
      <c r="G45" t="s">
        <v>76</v>
      </c>
      <c r="H45" t="s">
        <v>79</v>
      </c>
      <c r="I45" t="s">
        <v>59</v>
      </c>
      <c r="J45" t="s">
        <v>84</v>
      </c>
      <c r="K45" t="s">
        <v>101</v>
      </c>
      <c r="L45" t="s">
        <v>79</v>
      </c>
      <c r="M45">
        <v>4</v>
      </c>
      <c r="N45">
        <v>4</v>
      </c>
      <c r="O45">
        <v>4</v>
      </c>
      <c r="P45">
        <v>4</v>
      </c>
      <c r="Q45">
        <v>4</v>
      </c>
      <c r="R45" t="s">
        <v>114</v>
      </c>
      <c r="S45">
        <v>2</v>
      </c>
      <c r="T45" t="s">
        <v>116</v>
      </c>
      <c r="U45">
        <v>5</v>
      </c>
      <c r="V45">
        <v>4</v>
      </c>
      <c r="W45" t="s">
        <v>113</v>
      </c>
      <c r="X45">
        <v>46</v>
      </c>
      <c r="Y45" t="s">
        <v>121</v>
      </c>
      <c r="Z45">
        <f t="shared" si="8"/>
        <v>1</v>
      </c>
      <c r="AA45">
        <f t="shared" si="9"/>
        <v>1</v>
      </c>
    </row>
    <row r="46" spans="1:27" x14ac:dyDescent="0.3">
      <c r="A46" t="s">
        <v>26</v>
      </c>
      <c r="B46" t="s">
        <v>30</v>
      </c>
      <c r="C46" t="s">
        <v>35</v>
      </c>
      <c r="D46" t="s">
        <v>38</v>
      </c>
      <c r="E46" t="s">
        <v>45</v>
      </c>
      <c r="F46" t="s">
        <v>63</v>
      </c>
      <c r="G46" t="s">
        <v>75</v>
      </c>
      <c r="H46" t="s">
        <v>79</v>
      </c>
      <c r="I46" t="s">
        <v>59</v>
      </c>
      <c r="J46" t="s">
        <v>81</v>
      </c>
      <c r="K46" t="s">
        <v>102</v>
      </c>
      <c r="L46" t="s">
        <v>79</v>
      </c>
      <c r="M46">
        <v>3</v>
      </c>
      <c r="N46">
        <v>3</v>
      </c>
      <c r="O46">
        <v>2</v>
      </c>
      <c r="P46">
        <v>2</v>
      </c>
      <c r="Q46">
        <v>2</v>
      </c>
      <c r="R46" t="s">
        <v>113</v>
      </c>
      <c r="S46">
        <v>4</v>
      </c>
      <c r="T46" t="s">
        <v>115</v>
      </c>
      <c r="U46">
        <v>3</v>
      </c>
      <c r="V46">
        <v>3</v>
      </c>
      <c r="W46" t="s">
        <v>113</v>
      </c>
      <c r="X46">
        <v>94</v>
      </c>
      <c r="Y46" t="s">
        <v>124</v>
      </c>
      <c r="Z46">
        <f t="shared" si="8"/>
        <v>1</v>
      </c>
      <c r="AA46">
        <f t="shared" si="9"/>
        <v>1</v>
      </c>
    </row>
    <row r="47" spans="1:27" hidden="1" x14ac:dyDescent="0.3">
      <c r="A47" t="s">
        <v>26</v>
      </c>
      <c r="B47" t="s">
        <v>32</v>
      </c>
      <c r="C47" t="s">
        <v>35</v>
      </c>
      <c r="D47" t="s">
        <v>38</v>
      </c>
      <c r="E47" t="s">
        <v>43</v>
      </c>
      <c r="F47" t="s">
        <v>68</v>
      </c>
      <c r="G47" t="s">
        <v>72</v>
      </c>
      <c r="H47" t="s">
        <v>79</v>
      </c>
      <c r="I47" t="s">
        <v>59</v>
      </c>
      <c r="J47" t="s">
        <v>82</v>
      </c>
      <c r="K47" t="s">
        <v>100</v>
      </c>
      <c r="L47" t="s">
        <v>80</v>
      </c>
      <c r="M47">
        <v>3</v>
      </c>
      <c r="N47">
        <v>4</v>
      </c>
      <c r="O47">
        <v>4</v>
      </c>
      <c r="P47">
        <v>3</v>
      </c>
      <c r="Q47">
        <v>3</v>
      </c>
      <c r="R47" t="s">
        <v>111</v>
      </c>
      <c r="S47">
        <v>2</v>
      </c>
      <c r="T47" t="s">
        <v>115</v>
      </c>
      <c r="U47">
        <v>4</v>
      </c>
      <c r="V47">
        <v>4</v>
      </c>
      <c r="W47" t="s">
        <v>110</v>
      </c>
      <c r="X47">
        <v>67</v>
      </c>
      <c r="Y47" t="s">
        <v>122</v>
      </c>
    </row>
    <row r="48" spans="1:27" hidden="1" x14ac:dyDescent="0.3">
      <c r="A48" t="s">
        <v>25</v>
      </c>
      <c r="B48" t="s">
        <v>30</v>
      </c>
      <c r="C48" t="s">
        <v>36</v>
      </c>
      <c r="D48" t="s">
        <v>38</v>
      </c>
      <c r="E48" t="s">
        <v>42</v>
      </c>
      <c r="F48" t="s">
        <v>51</v>
      </c>
      <c r="G48" t="s">
        <v>73</v>
      </c>
      <c r="H48" t="s">
        <v>79</v>
      </c>
      <c r="I48" t="s">
        <v>51</v>
      </c>
      <c r="J48" t="s">
        <v>85</v>
      </c>
      <c r="K48" t="s">
        <v>103</v>
      </c>
      <c r="L48" t="s">
        <v>80</v>
      </c>
      <c r="M48">
        <v>2</v>
      </c>
      <c r="N48">
        <v>2</v>
      </c>
      <c r="O48">
        <v>3</v>
      </c>
      <c r="P48">
        <v>2</v>
      </c>
      <c r="Q48">
        <v>2</v>
      </c>
      <c r="R48" t="s">
        <v>110</v>
      </c>
      <c r="S48">
        <v>5</v>
      </c>
      <c r="T48" t="s">
        <v>117</v>
      </c>
      <c r="U48">
        <v>2</v>
      </c>
      <c r="V48">
        <v>2</v>
      </c>
      <c r="W48" t="s">
        <v>111</v>
      </c>
      <c r="X48">
        <v>201</v>
      </c>
      <c r="Y48" t="s">
        <v>121</v>
      </c>
    </row>
    <row r="49" spans="1:27" x14ac:dyDescent="0.3">
      <c r="A49" t="s">
        <v>29</v>
      </c>
      <c r="B49" t="s">
        <v>32</v>
      </c>
      <c r="C49" t="s">
        <v>34</v>
      </c>
      <c r="D49" t="s">
        <v>38</v>
      </c>
      <c r="E49" t="s">
        <v>43</v>
      </c>
      <c r="F49" t="s">
        <v>48</v>
      </c>
      <c r="G49" t="s">
        <v>75</v>
      </c>
      <c r="H49" t="s">
        <v>79</v>
      </c>
      <c r="I49" t="s">
        <v>59</v>
      </c>
      <c r="J49" t="s">
        <v>81</v>
      </c>
      <c r="K49" t="s">
        <v>100</v>
      </c>
      <c r="L49" t="s">
        <v>79</v>
      </c>
      <c r="M49">
        <v>3</v>
      </c>
      <c r="N49">
        <v>2</v>
      </c>
      <c r="O49">
        <v>3</v>
      </c>
      <c r="P49">
        <v>3</v>
      </c>
      <c r="Q49">
        <v>3</v>
      </c>
      <c r="R49" t="s">
        <v>112</v>
      </c>
      <c r="S49">
        <v>3</v>
      </c>
      <c r="T49" t="s">
        <v>115</v>
      </c>
      <c r="U49">
        <v>4</v>
      </c>
      <c r="V49">
        <v>3</v>
      </c>
      <c r="W49" t="s">
        <v>114</v>
      </c>
      <c r="X49">
        <v>101</v>
      </c>
      <c r="Y49" t="s">
        <v>121</v>
      </c>
      <c r="Z49">
        <f t="shared" ref="Z49:Z55" si="10">IF(ISNUMBER(SEARCH("Zepto",F49)),1,0)</f>
        <v>1</v>
      </c>
      <c r="AA49">
        <f t="shared" ref="AA49:AA55" si="11">IF(ISNUMBER(SEARCH("Complain to customer support",K49)),1,0)</f>
        <v>0</v>
      </c>
    </row>
    <row r="50" spans="1:27" x14ac:dyDescent="0.3">
      <c r="A50" t="s">
        <v>27</v>
      </c>
      <c r="B50" t="s">
        <v>30</v>
      </c>
      <c r="C50" t="s">
        <v>35</v>
      </c>
      <c r="D50" t="s">
        <v>38</v>
      </c>
      <c r="E50" t="s">
        <v>44</v>
      </c>
      <c r="F50" t="s">
        <v>60</v>
      </c>
      <c r="G50" t="s">
        <v>72</v>
      </c>
      <c r="H50" t="s">
        <v>79</v>
      </c>
      <c r="I50" t="s">
        <v>59</v>
      </c>
      <c r="J50" t="s">
        <v>82</v>
      </c>
      <c r="K50" t="s">
        <v>103</v>
      </c>
      <c r="L50" t="s">
        <v>79</v>
      </c>
      <c r="M50">
        <v>3</v>
      </c>
      <c r="N50">
        <v>3</v>
      </c>
      <c r="O50">
        <v>3</v>
      </c>
      <c r="P50">
        <v>2</v>
      </c>
      <c r="Q50">
        <v>2</v>
      </c>
      <c r="R50" t="s">
        <v>111</v>
      </c>
      <c r="S50">
        <v>4</v>
      </c>
      <c r="T50" t="s">
        <v>119</v>
      </c>
      <c r="U50">
        <v>3</v>
      </c>
      <c r="V50">
        <v>3</v>
      </c>
      <c r="W50" t="s">
        <v>112</v>
      </c>
      <c r="X50">
        <v>206</v>
      </c>
      <c r="Y50" t="s">
        <v>122</v>
      </c>
      <c r="Z50">
        <f t="shared" si="10"/>
        <v>0</v>
      </c>
      <c r="AA50">
        <f t="shared" si="11"/>
        <v>0</v>
      </c>
    </row>
    <row r="51" spans="1:27" x14ac:dyDescent="0.3">
      <c r="A51" t="s">
        <v>27</v>
      </c>
      <c r="B51" t="s">
        <v>32</v>
      </c>
      <c r="C51" t="s">
        <v>35</v>
      </c>
      <c r="D51" t="s">
        <v>38</v>
      </c>
      <c r="E51" t="s">
        <v>44</v>
      </c>
      <c r="F51" t="s">
        <v>59</v>
      </c>
      <c r="G51" t="s">
        <v>78</v>
      </c>
      <c r="H51" t="s">
        <v>80</v>
      </c>
      <c r="J51" t="s">
        <v>82</v>
      </c>
      <c r="K51" t="s">
        <v>87</v>
      </c>
      <c r="L51" t="s">
        <v>79</v>
      </c>
      <c r="M51">
        <v>3</v>
      </c>
      <c r="N51">
        <v>2</v>
      </c>
      <c r="O51">
        <v>3</v>
      </c>
      <c r="P51">
        <v>2</v>
      </c>
      <c r="Q51">
        <v>2</v>
      </c>
      <c r="R51" t="s">
        <v>111</v>
      </c>
      <c r="S51">
        <v>4</v>
      </c>
      <c r="T51" t="s">
        <v>117</v>
      </c>
      <c r="U51">
        <v>3</v>
      </c>
      <c r="V51">
        <v>3</v>
      </c>
      <c r="W51" t="s">
        <v>114</v>
      </c>
      <c r="X51">
        <v>108</v>
      </c>
      <c r="Y51" t="s">
        <v>123</v>
      </c>
      <c r="Z51">
        <f t="shared" si="10"/>
        <v>1</v>
      </c>
      <c r="AA51">
        <f t="shared" si="11"/>
        <v>0</v>
      </c>
    </row>
    <row r="52" spans="1:27" x14ac:dyDescent="0.3">
      <c r="A52" t="s">
        <v>28</v>
      </c>
      <c r="B52" t="s">
        <v>32</v>
      </c>
      <c r="C52" t="s">
        <v>35</v>
      </c>
      <c r="D52" t="s">
        <v>37</v>
      </c>
      <c r="E52" t="s">
        <v>46</v>
      </c>
      <c r="F52" t="s">
        <v>59</v>
      </c>
      <c r="G52" t="s">
        <v>75</v>
      </c>
      <c r="H52" t="s">
        <v>79</v>
      </c>
      <c r="I52" t="s">
        <v>59</v>
      </c>
      <c r="J52" t="s">
        <v>84</v>
      </c>
      <c r="K52" t="s">
        <v>94</v>
      </c>
      <c r="L52" t="s">
        <v>79</v>
      </c>
      <c r="M52">
        <v>3</v>
      </c>
      <c r="N52">
        <v>3</v>
      </c>
      <c r="O52">
        <v>4</v>
      </c>
      <c r="P52">
        <v>4</v>
      </c>
      <c r="Q52">
        <v>3</v>
      </c>
      <c r="R52" t="s">
        <v>112</v>
      </c>
      <c r="S52">
        <v>2</v>
      </c>
      <c r="T52" t="s">
        <v>115</v>
      </c>
      <c r="U52">
        <v>4</v>
      </c>
      <c r="V52">
        <v>4</v>
      </c>
      <c r="W52" t="s">
        <v>114</v>
      </c>
      <c r="X52">
        <v>140</v>
      </c>
      <c r="Y52" t="s">
        <v>122</v>
      </c>
      <c r="Z52">
        <f t="shared" si="10"/>
        <v>1</v>
      </c>
      <c r="AA52">
        <f t="shared" si="11"/>
        <v>0</v>
      </c>
    </row>
    <row r="53" spans="1:27" x14ac:dyDescent="0.3">
      <c r="A53" t="s">
        <v>25</v>
      </c>
      <c r="B53" t="s">
        <v>30</v>
      </c>
      <c r="C53" t="s">
        <v>36</v>
      </c>
      <c r="D53" t="s">
        <v>38</v>
      </c>
      <c r="E53" t="s">
        <v>43</v>
      </c>
      <c r="F53" t="s">
        <v>63</v>
      </c>
      <c r="G53" t="s">
        <v>73</v>
      </c>
      <c r="H53" t="s">
        <v>79</v>
      </c>
      <c r="I53" t="s">
        <v>66</v>
      </c>
      <c r="J53" t="s">
        <v>81</v>
      </c>
      <c r="K53" t="s">
        <v>100</v>
      </c>
      <c r="L53" t="s">
        <v>79</v>
      </c>
      <c r="M53">
        <v>3</v>
      </c>
      <c r="N53">
        <v>3</v>
      </c>
      <c r="O53">
        <v>3</v>
      </c>
      <c r="P53">
        <v>4</v>
      </c>
      <c r="Q53">
        <v>2</v>
      </c>
      <c r="R53" t="s">
        <v>111</v>
      </c>
      <c r="S53">
        <v>3</v>
      </c>
      <c r="T53" t="s">
        <v>116</v>
      </c>
      <c r="U53">
        <v>3</v>
      </c>
      <c r="V53">
        <v>3</v>
      </c>
      <c r="W53" t="s">
        <v>110</v>
      </c>
      <c r="X53">
        <v>57</v>
      </c>
      <c r="Y53" t="s">
        <v>120</v>
      </c>
      <c r="Z53">
        <f t="shared" si="10"/>
        <v>1</v>
      </c>
      <c r="AA53">
        <f t="shared" si="11"/>
        <v>0</v>
      </c>
    </row>
    <row r="54" spans="1:27" x14ac:dyDescent="0.3">
      <c r="A54" t="s">
        <v>26</v>
      </c>
      <c r="B54" t="s">
        <v>32</v>
      </c>
      <c r="C54" t="s">
        <v>35</v>
      </c>
      <c r="D54" t="s">
        <v>41</v>
      </c>
      <c r="E54" t="s">
        <v>45</v>
      </c>
      <c r="F54" t="s">
        <v>59</v>
      </c>
      <c r="G54" t="s">
        <v>75</v>
      </c>
      <c r="H54" t="s">
        <v>79</v>
      </c>
      <c r="I54" t="s">
        <v>59</v>
      </c>
      <c r="J54" t="s">
        <v>84</v>
      </c>
      <c r="K54" t="s">
        <v>87</v>
      </c>
      <c r="L54" t="s">
        <v>79</v>
      </c>
      <c r="M54">
        <v>3</v>
      </c>
      <c r="N54">
        <v>2</v>
      </c>
      <c r="O54">
        <v>3</v>
      </c>
      <c r="P54">
        <v>2</v>
      </c>
      <c r="Q54">
        <v>3</v>
      </c>
      <c r="R54" t="s">
        <v>111</v>
      </c>
      <c r="S54">
        <v>3</v>
      </c>
      <c r="T54" t="s">
        <v>119</v>
      </c>
      <c r="U54">
        <v>4</v>
      </c>
      <c r="V54">
        <v>3</v>
      </c>
      <c r="W54" t="s">
        <v>113</v>
      </c>
      <c r="X54">
        <v>11</v>
      </c>
      <c r="Y54" t="s">
        <v>123</v>
      </c>
      <c r="Z54">
        <f t="shared" si="10"/>
        <v>1</v>
      </c>
      <c r="AA54">
        <f t="shared" si="11"/>
        <v>0</v>
      </c>
    </row>
    <row r="55" spans="1:27" x14ac:dyDescent="0.3">
      <c r="A55" t="s">
        <v>29</v>
      </c>
      <c r="B55" t="s">
        <v>32</v>
      </c>
      <c r="C55" t="s">
        <v>35</v>
      </c>
      <c r="D55" t="s">
        <v>37</v>
      </c>
      <c r="E55" t="s">
        <v>44</v>
      </c>
      <c r="F55" t="s">
        <v>57</v>
      </c>
      <c r="G55" t="s">
        <v>72</v>
      </c>
      <c r="H55" t="s">
        <v>79</v>
      </c>
      <c r="I55" t="s">
        <v>59</v>
      </c>
      <c r="J55" t="s">
        <v>84</v>
      </c>
      <c r="K55" t="s">
        <v>103</v>
      </c>
      <c r="L55" t="s">
        <v>79</v>
      </c>
      <c r="M55">
        <v>3</v>
      </c>
      <c r="N55">
        <v>3</v>
      </c>
      <c r="O55">
        <v>3</v>
      </c>
      <c r="P55">
        <v>3</v>
      </c>
      <c r="Q55">
        <v>3</v>
      </c>
      <c r="R55" t="s">
        <v>114</v>
      </c>
      <c r="S55">
        <v>3</v>
      </c>
      <c r="T55" t="s">
        <v>117</v>
      </c>
      <c r="U55">
        <v>3</v>
      </c>
      <c r="V55">
        <v>4</v>
      </c>
      <c r="W55" t="s">
        <v>111</v>
      </c>
      <c r="X55">
        <v>141</v>
      </c>
      <c r="Y55" t="s">
        <v>123</v>
      </c>
      <c r="Z55">
        <f t="shared" si="10"/>
        <v>1</v>
      </c>
      <c r="AA55">
        <f t="shared" si="11"/>
        <v>0</v>
      </c>
    </row>
    <row r="56" spans="1:27" hidden="1" x14ac:dyDescent="0.3">
      <c r="A56" t="s">
        <v>28</v>
      </c>
      <c r="B56" t="s">
        <v>30</v>
      </c>
      <c r="C56" t="s">
        <v>35</v>
      </c>
      <c r="D56" t="s">
        <v>38</v>
      </c>
      <c r="E56" t="s">
        <v>42</v>
      </c>
      <c r="F56" t="s">
        <v>51</v>
      </c>
      <c r="G56" t="s">
        <v>74</v>
      </c>
      <c r="H56" t="s">
        <v>79</v>
      </c>
      <c r="I56" t="s">
        <v>51</v>
      </c>
      <c r="J56" t="s">
        <v>83</v>
      </c>
      <c r="K56" t="s">
        <v>101</v>
      </c>
      <c r="L56" t="s">
        <v>80</v>
      </c>
      <c r="M56">
        <v>4</v>
      </c>
      <c r="N56">
        <v>3</v>
      </c>
      <c r="O56">
        <v>5</v>
      </c>
      <c r="P56">
        <v>4</v>
      </c>
      <c r="Q56">
        <v>4</v>
      </c>
      <c r="R56" t="s">
        <v>111</v>
      </c>
      <c r="S56">
        <v>3</v>
      </c>
      <c r="T56" t="s">
        <v>117</v>
      </c>
      <c r="U56">
        <v>4</v>
      </c>
      <c r="V56">
        <v>4</v>
      </c>
      <c r="W56" t="s">
        <v>113</v>
      </c>
      <c r="X56">
        <v>26</v>
      </c>
      <c r="Y56" t="s">
        <v>122</v>
      </c>
    </row>
    <row r="57" spans="1:27" hidden="1" x14ac:dyDescent="0.3">
      <c r="A57" t="s">
        <v>26</v>
      </c>
      <c r="B57" t="s">
        <v>32</v>
      </c>
      <c r="C57" t="s">
        <v>35</v>
      </c>
      <c r="D57" t="s">
        <v>41</v>
      </c>
      <c r="E57" t="s">
        <v>42</v>
      </c>
      <c r="F57" t="s">
        <v>54</v>
      </c>
      <c r="G57" t="s">
        <v>72</v>
      </c>
      <c r="H57" t="s">
        <v>79</v>
      </c>
      <c r="I57" t="s">
        <v>51</v>
      </c>
      <c r="J57" t="s">
        <v>81</v>
      </c>
      <c r="K57" t="s">
        <v>100</v>
      </c>
      <c r="L57" t="s">
        <v>80</v>
      </c>
      <c r="M57">
        <v>2</v>
      </c>
      <c r="N57">
        <v>2</v>
      </c>
      <c r="O57">
        <v>3</v>
      </c>
      <c r="P57">
        <v>2</v>
      </c>
      <c r="Q57">
        <v>2</v>
      </c>
      <c r="R57" t="s">
        <v>110</v>
      </c>
      <c r="S57">
        <v>4</v>
      </c>
      <c r="T57" t="s">
        <v>119</v>
      </c>
      <c r="U57">
        <v>2</v>
      </c>
      <c r="V57">
        <v>2</v>
      </c>
      <c r="W57" t="s">
        <v>113</v>
      </c>
      <c r="X57">
        <v>46</v>
      </c>
      <c r="Y57" t="s">
        <v>121</v>
      </c>
    </row>
    <row r="58" spans="1:27" hidden="1" x14ac:dyDescent="0.3">
      <c r="A58" t="s">
        <v>26</v>
      </c>
      <c r="B58" t="s">
        <v>32</v>
      </c>
      <c r="C58" t="s">
        <v>34</v>
      </c>
      <c r="D58" t="s">
        <v>37</v>
      </c>
      <c r="E58" t="s">
        <v>43</v>
      </c>
      <c r="F58" t="s">
        <v>47</v>
      </c>
      <c r="G58" t="s">
        <v>72</v>
      </c>
      <c r="H58" t="s">
        <v>80</v>
      </c>
      <c r="J58" t="s">
        <v>82</v>
      </c>
      <c r="K58" t="s">
        <v>87</v>
      </c>
      <c r="L58" t="s">
        <v>80</v>
      </c>
      <c r="M58">
        <v>2</v>
      </c>
      <c r="N58">
        <v>2</v>
      </c>
      <c r="O58">
        <v>2</v>
      </c>
      <c r="P58">
        <v>3</v>
      </c>
      <c r="Q58">
        <v>3</v>
      </c>
      <c r="R58" t="s">
        <v>114</v>
      </c>
      <c r="S58">
        <v>4</v>
      </c>
      <c r="T58" t="s">
        <v>119</v>
      </c>
      <c r="U58">
        <v>3</v>
      </c>
      <c r="V58">
        <v>4</v>
      </c>
      <c r="W58" t="s">
        <v>110</v>
      </c>
      <c r="X58">
        <v>39</v>
      </c>
      <c r="Y58" t="s">
        <v>122</v>
      </c>
    </row>
    <row r="59" spans="1:27" hidden="1" x14ac:dyDescent="0.3">
      <c r="A59" t="s">
        <v>26</v>
      </c>
      <c r="B59" t="s">
        <v>32</v>
      </c>
      <c r="C59" t="s">
        <v>34</v>
      </c>
      <c r="D59" t="s">
        <v>37</v>
      </c>
      <c r="E59" t="s">
        <v>45</v>
      </c>
      <c r="F59" t="s">
        <v>65</v>
      </c>
      <c r="G59" t="s">
        <v>73</v>
      </c>
      <c r="H59" t="s">
        <v>79</v>
      </c>
      <c r="I59" t="s">
        <v>51</v>
      </c>
      <c r="J59" t="s">
        <v>82</v>
      </c>
      <c r="K59" t="s">
        <v>86</v>
      </c>
      <c r="L59" t="s">
        <v>80</v>
      </c>
      <c r="M59">
        <v>2</v>
      </c>
      <c r="N59">
        <v>3</v>
      </c>
      <c r="O59">
        <v>3</v>
      </c>
      <c r="P59">
        <v>3</v>
      </c>
      <c r="Q59">
        <v>3</v>
      </c>
      <c r="R59" t="s">
        <v>111</v>
      </c>
      <c r="S59">
        <v>3</v>
      </c>
      <c r="T59" t="s">
        <v>118</v>
      </c>
      <c r="U59">
        <v>4</v>
      </c>
      <c r="V59">
        <v>3</v>
      </c>
      <c r="W59" t="s">
        <v>113</v>
      </c>
      <c r="X59">
        <v>98</v>
      </c>
      <c r="Y59" t="s">
        <v>122</v>
      </c>
    </row>
    <row r="60" spans="1:27" hidden="1" x14ac:dyDescent="0.3">
      <c r="A60" t="s">
        <v>26</v>
      </c>
      <c r="B60" t="s">
        <v>30</v>
      </c>
      <c r="C60" t="s">
        <v>35</v>
      </c>
      <c r="D60" t="s">
        <v>38</v>
      </c>
      <c r="E60" t="s">
        <v>42</v>
      </c>
      <c r="F60" t="s">
        <v>68</v>
      </c>
      <c r="G60" t="s">
        <v>72</v>
      </c>
      <c r="H60" t="s">
        <v>80</v>
      </c>
      <c r="J60" t="s">
        <v>82</v>
      </c>
      <c r="K60" t="s">
        <v>87</v>
      </c>
      <c r="L60" t="s">
        <v>80</v>
      </c>
      <c r="M60">
        <v>2</v>
      </c>
      <c r="N60">
        <v>3</v>
      </c>
      <c r="O60">
        <v>3</v>
      </c>
      <c r="P60">
        <v>3</v>
      </c>
      <c r="Q60">
        <v>3</v>
      </c>
      <c r="R60" t="s">
        <v>112</v>
      </c>
      <c r="S60">
        <v>4</v>
      </c>
      <c r="T60" t="s">
        <v>118</v>
      </c>
      <c r="U60">
        <v>3</v>
      </c>
      <c r="V60">
        <v>3</v>
      </c>
      <c r="W60" t="s">
        <v>114</v>
      </c>
      <c r="X60">
        <v>133</v>
      </c>
      <c r="Y60" t="s">
        <v>121</v>
      </c>
    </row>
    <row r="61" spans="1:27" hidden="1" x14ac:dyDescent="0.3">
      <c r="A61" t="s">
        <v>26</v>
      </c>
      <c r="B61" t="s">
        <v>30</v>
      </c>
      <c r="C61" t="s">
        <v>36</v>
      </c>
      <c r="D61" t="s">
        <v>39</v>
      </c>
      <c r="E61" t="s">
        <v>33</v>
      </c>
      <c r="F61" t="s">
        <v>68</v>
      </c>
      <c r="G61" t="s">
        <v>73</v>
      </c>
      <c r="H61" t="s">
        <v>79</v>
      </c>
      <c r="I61" t="s">
        <v>66</v>
      </c>
      <c r="J61" t="s">
        <v>82</v>
      </c>
      <c r="K61" t="s">
        <v>91</v>
      </c>
      <c r="L61" t="s">
        <v>80</v>
      </c>
      <c r="M61">
        <v>3</v>
      </c>
      <c r="N61">
        <v>3</v>
      </c>
      <c r="O61">
        <v>3</v>
      </c>
      <c r="P61">
        <v>3</v>
      </c>
      <c r="Q61">
        <v>3</v>
      </c>
      <c r="R61" t="s">
        <v>114</v>
      </c>
      <c r="S61">
        <v>3</v>
      </c>
      <c r="T61" t="s">
        <v>116</v>
      </c>
      <c r="U61">
        <v>4</v>
      </c>
      <c r="V61">
        <v>4</v>
      </c>
      <c r="W61" t="s">
        <v>111</v>
      </c>
      <c r="X61">
        <v>133</v>
      </c>
      <c r="Y61" t="s">
        <v>124</v>
      </c>
    </row>
    <row r="62" spans="1:27" hidden="1" x14ac:dyDescent="0.3">
      <c r="A62" t="s">
        <v>25</v>
      </c>
      <c r="B62" t="s">
        <v>32</v>
      </c>
      <c r="C62" t="s">
        <v>35</v>
      </c>
      <c r="D62" t="s">
        <v>38</v>
      </c>
      <c r="E62" t="s">
        <v>33</v>
      </c>
      <c r="F62" t="s">
        <v>51</v>
      </c>
      <c r="G62" t="s">
        <v>72</v>
      </c>
      <c r="H62" t="s">
        <v>79</v>
      </c>
      <c r="I62" t="s">
        <v>51</v>
      </c>
      <c r="J62" t="s">
        <v>83</v>
      </c>
      <c r="K62" t="s">
        <v>99</v>
      </c>
      <c r="L62" t="s">
        <v>80</v>
      </c>
      <c r="M62">
        <v>2</v>
      </c>
      <c r="N62">
        <v>2</v>
      </c>
      <c r="O62">
        <v>2</v>
      </c>
      <c r="P62">
        <v>2</v>
      </c>
      <c r="Q62">
        <v>2</v>
      </c>
      <c r="R62" t="s">
        <v>114</v>
      </c>
      <c r="S62">
        <v>4</v>
      </c>
      <c r="T62" t="s">
        <v>116</v>
      </c>
      <c r="U62">
        <v>3</v>
      </c>
      <c r="V62">
        <v>2</v>
      </c>
      <c r="W62" t="s">
        <v>114</v>
      </c>
      <c r="X62">
        <v>131</v>
      </c>
      <c r="Y62" t="s">
        <v>122</v>
      </c>
    </row>
    <row r="63" spans="1:27" hidden="1" x14ac:dyDescent="0.3">
      <c r="A63" t="s">
        <v>26</v>
      </c>
      <c r="B63" t="s">
        <v>30</v>
      </c>
      <c r="C63" t="s">
        <v>34</v>
      </c>
      <c r="D63" t="s">
        <v>37</v>
      </c>
      <c r="E63" t="s">
        <v>44</v>
      </c>
      <c r="F63" t="s">
        <v>51</v>
      </c>
      <c r="G63" t="s">
        <v>72</v>
      </c>
      <c r="H63" t="s">
        <v>80</v>
      </c>
      <c r="J63" t="s">
        <v>82</v>
      </c>
      <c r="K63" t="s">
        <v>87</v>
      </c>
      <c r="L63" t="s">
        <v>80</v>
      </c>
      <c r="M63">
        <v>3</v>
      </c>
      <c r="N63">
        <v>3</v>
      </c>
      <c r="O63">
        <v>4</v>
      </c>
      <c r="P63">
        <v>2</v>
      </c>
      <c r="Q63">
        <v>3</v>
      </c>
      <c r="R63" t="s">
        <v>114</v>
      </c>
      <c r="S63">
        <v>3</v>
      </c>
      <c r="T63" t="s">
        <v>115</v>
      </c>
      <c r="U63">
        <v>3</v>
      </c>
      <c r="V63">
        <v>3</v>
      </c>
      <c r="W63" t="s">
        <v>111</v>
      </c>
      <c r="X63">
        <v>138</v>
      </c>
      <c r="Y63" t="s">
        <v>122</v>
      </c>
    </row>
    <row r="64" spans="1:27" x14ac:dyDescent="0.3">
      <c r="A64" t="s">
        <v>26</v>
      </c>
      <c r="B64" t="s">
        <v>32</v>
      </c>
      <c r="C64" t="s">
        <v>35</v>
      </c>
      <c r="D64" t="s">
        <v>38</v>
      </c>
      <c r="E64" t="s">
        <v>45</v>
      </c>
      <c r="F64" t="s">
        <v>59</v>
      </c>
      <c r="G64" t="s">
        <v>73</v>
      </c>
      <c r="H64" t="s">
        <v>80</v>
      </c>
      <c r="J64" t="s">
        <v>82</v>
      </c>
      <c r="K64" t="s">
        <v>87</v>
      </c>
      <c r="L64" t="s">
        <v>79</v>
      </c>
      <c r="M64">
        <v>4</v>
      </c>
      <c r="N64">
        <v>4</v>
      </c>
      <c r="O64">
        <v>5</v>
      </c>
      <c r="P64">
        <v>3</v>
      </c>
      <c r="Q64">
        <v>4</v>
      </c>
      <c r="R64" t="s">
        <v>112</v>
      </c>
      <c r="S64">
        <v>2</v>
      </c>
      <c r="T64" t="s">
        <v>116</v>
      </c>
      <c r="U64">
        <v>4</v>
      </c>
      <c r="V64">
        <v>4</v>
      </c>
      <c r="W64" t="s">
        <v>112</v>
      </c>
      <c r="X64">
        <v>160</v>
      </c>
      <c r="Y64" t="s">
        <v>123</v>
      </c>
      <c r="Z64">
        <f>IF(ISNUMBER(SEARCH("Zepto",F64)),1,0)</f>
        <v>1</v>
      </c>
      <c r="AA64">
        <f>IF(ISNUMBER(SEARCH("Complain to customer support",K64)),1,0)</f>
        <v>0</v>
      </c>
    </row>
    <row r="65" spans="1:27" hidden="1" x14ac:dyDescent="0.3">
      <c r="A65" t="s">
        <v>25</v>
      </c>
      <c r="B65" t="s">
        <v>30</v>
      </c>
      <c r="C65" t="s">
        <v>34</v>
      </c>
      <c r="D65" t="s">
        <v>38</v>
      </c>
      <c r="E65" t="s">
        <v>45</v>
      </c>
      <c r="F65" t="s">
        <v>60</v>
      </c>
      <c r="G65" t="s">
        <v>73</v>
      </c>
      <c r="H65" t="s">
        <v>79</v>
      </c>
      <c r="I65" t="s">
        <v>66</v>
      </c>
      <c r="J65" t="s">
        <v>82</v>
      </c>
      <c r="K65" t="s">
        <v>100</v>
      </c>
      <c r="L65" t="s">
        <v>80</v>
      </c>
      <c r="M65">
        <v>3</v>
      </c>
      <c r="N65">
        <v>3</v>
      </c>
      <c r="O65">
        <v>4</v>
      </c>
      <c r="P65">
        <v>4</v>
      </c>
      <c r="Q65">
        <v>4</v>
      </c>
      <c r="R65" t="s">
        <v>111</v>
      </c>
      <c r="S65">
        <v>3</v>
      </c>
      <c r="T65" t="s">
        <v>116</v>
      </c>
      <c r="U65">
        <v>4</v>
      </c>
      <c r="V65">
        <v>3</v>
      </c>
      <c r="W65" t="s">
        <v>113</v>
      </c>
      <c r="X65">
        <v>52</v>
      </c>
      <c r="Y65" t="s">
        <v>123</v>
      </c>
    </row>
    <row r="66" spans="1:27" x14ac:dyDescent="0.3">
      <c r="A66" t="s">
        <v>26</v>
      </c>
      <c r="B66" t="s">
        <v>32</v>
      </c>
      <c r="C66" t="s">
        <v>35</v>
      </c>
      <c r="D66" t="s">
        <v>40</v>
      </c>
      <c r="E66" t="s">
        <v>42</v>
      </c>
      <c r="F66" t="s">
        <v>48</v>
      </c>
      <c r="G66" t="s">
        <v>75</v>
      </c>
      <c r="H66" t="s">
        <v>79</v>
      </c>
      <c r="I66" t="s">
        <v>59</v>
      </c>
      <c r="J66" t="s">
        <v>81</v>
      </c>
      <c r="K66" t="s">
        <v>94</v>
      </c>
      <c r="L66" t="s">
        <v>79</v>
      </c>
      <c r="M66">
        <v>2</v>
      </c>
      <c r="N66">
        <v>3</v>
      </c>
      <c r="O66">
        <v>3</v>
      </c>
      <c r="P66">
        <v>2</v>
      </c>
      <c r="Q66">
        <v>2</v>
      </c>
      <c r="R66" t="s">
        <v>111</v>
      </c>
      <c r="S66">
        <v>4</v>
      </c>
      <c r="T66" t="s">
        <v>115</v>
      </c>
      <c r="U66">
        <v>3</v>
      </c>
      <c r="V66">
        <v>3</v>
      </c>
      <c r="W66" t="s">
        <v>111</v>
      </c>
      <c r="X66">
        <v>127</v>
      </c>
      <c r="Y66" t="s">
        <v>124</v>
      </c>
      <c r="Z66">
        <f>IF(ISNUMBER(SEARCH("Zepto",F66)),1,0)</f>
        <v>1</v>
      </c>
      <c r="AA66">
        <f>IF(ISNUMBER(SEARCH("Complain to customer support",K66)),1,0)</f>
        <v>0</v>
      </c>
    </row>
    <row r="67" spans="1:27" hidden="1" x14ac:dyDescent="0.3">
      <c r="A67" t="s">
        <v>26</v>
      </c>
      <c r="B67" t="s">
        <v>32</v>
      </c>
      <c r="C67" t="s">
        <v>35</v>
      </c>
      <c r="D67" t="s">
        <v>37</v>
      </c>
      <c r="E67" t="s">
        <v>43</v>
      </c>
      <c r="F67" t="s">
        <v>60</v>
      </c>
      <c r="G67" t="s">
        <v>74</v>
      </c>
      <c r="H67" t="s">
        <v>79</v>
      </c>
      <c r="I67" t="s">
        <v>51</v>
      </c>
      <c r="J67" t="s">
        <v>84</v>
      </c>
      <c r="K67" t="s">
        <v>94</v>
      </c>
      <c r="L67" t="s">
        <v>80</v>
      </c>
      <c r="M67">
        <v>2</v>
      </c>
      <c r="N67">
        <v>3</v>
      </c>
      <c r="O67">
        <v>3</v>
      </c>
      <c r="P67">
        <v>2</v>
      </c>
      <c r="Q67">
        <v>3</v>
      </c>
      <c r="R67" t="s">
        <v>114</v>
      </c>
      <c r="S67">
        <v>3</v>
      </c>
      <c r="T67" t="s">
        <v>115</v>
      </c>
      <c r="U67">
        <v>4</v>
      </c>
      <c r="V67">
        <v>3</v>
      </c>
      <c r="W67" t="s">
        <v>113</v>
      </c>
      <c r="X67">
        <v>0</v>
      </c>
      <c r="Y67" t="s">
        <v>120</v>
      </c>
    </row>
    <row r="68" spans="1:27" x14ac:dyDescent="0.3">
      <c r="A68" t="s">
        <v>26</v>
      </c>
      <c r="B68" t="s">
        <v>31</v>
      </c>
      <c r="C68" t="s">
        <v>34</v>
      </c>
      <c r="D68" t="s">
        <v>41</v>
      </c>
      <c r="E68" t="s">
        <v>43</v>
      </c>
      <c r="F68" t="s">
        <v>66</v>
      </c>
      <c r="G68" t="s">
        <v>76</v>
      </c>
      <c r="H68" t="s">
        <v>79</v>
      </c>
      <c r="I68" t="s">
        <v>66</v>
      </c>
      <c r="J68" t="s">
        <v>82</v>
      </c>
      <c r="K68" t="s">
        <v>87</v>
      </c>
      <c r="L68" t="s">
        <v>79</v>
      </c>
      <c r="M68">
        <v>3</v>
      </c>
      <c r="N68">
        <v>3</v>
      </c>
      <c r="O68">
        <v>3</v>
      </c>
      <c r="P68">
        <v>3</v>
      </c>
      <c r="Q68">
        <v>3</v>
      </c>
      <c r="R68" t="s">
        <v>114</v>
      </c>
      <c r="S68">
        <v>3</v>
      </c>
      <c r="T68" t="s">
        <v>115</v>
      </c>
      <c r="U68">
        <v>3</v>
      </c>
      <c r="V68">
        <v>4</v>
      </c>
      <c r="W68" t="s">
        <v>114</v>
      </c>
      <c r="X68">
        <v>92</v>
      </c>
      <c r="Y68" t="s">
        <v>121</v>
      </c>
      <c r="Z68">
        <f>IF(ISNUMBER(SEARCH("Zepto",F68)),1,0)</f>
        <v>0</v>
      </c>
      <c r="AA68">
        <f>IF(ISNUMBER(SEARCH("Complain to customer support",K68)),1,0)</f>
        <v>0</v>
      </c>
    </row>
    <row r="69" spans="1:27" hidden="1" x14ac:dyDescent="0.3">
      <c r="A69" t="s">
        <v>26</v>
      </c>
      <c r="B69" t="s">
        <v>30</v>
      </c>
      <c r="C69" t="s">
        <v>35</v>
      </c>
      <c r="D69" t="s">
        <v>39</v>
      </c>
      <c r="E69" t="s">
        <v>43</v>
      </c>
      <c r="F69" t="s">
        <v>56</v>
      </c>
      <c r="G69" t="s">
        <v>78</v>
      </c>
      <c r="H69" t="s">
        <v>79</v>
      </c>
      <c r="I69" t="s">
        <v>66</v>
      </c>
      <c r="J69" t="s">
        <v>82</v>
      </c>
      <c r="K69" t="s">
        <v>99</v>
      </c>
      <c r="L69" t="s">
        <v>80</v>
      </c>
      <c r="M69">
        <v>3</v>
      </c>
      <c r="N69">
        <v>3</v>
      </c>
      <c r="O69">
        <v>3</v>
      </c>
      <c r="P69">
        <v>3</v>
      </c>
      <c r="Q69">
        <v>2</v>
      </c>
      <c r="R69" t="s">
        <v>112</v>
      </c>
      <c r="S69">
        <v>4</v>
      </c>
      <c r="T69" t="s">
        <v>115</v>
      </c>
      <c r="U69">
        <v>3</v>
      </c>
      <c r="V69">
        <v>3</v>
      </c>
      <c r="W69" t="s">
        <v>114</v>
      </c>
      <c r="X69">
        <v>93</v>
      </c>
      <c r="Y69" t="s">
        <v>124</v>
      </c>
    </row>
    <row r="70" spans="1:27" hidden="1" x14ac:dyDescent="0.3">
      <c r="A70" t="s">
        <v>26</v>
      </c>
      <c r="B70" t="s">
        <v>30</v>
      </c>
      <c r="C70" t="s">
        <v>36</v>
      </c>
      <c r="D70" t="s">
        <v>38</v>
      </c>
      <c r="E70" t="s">
        <v>45</v>
      </c>
      <c r="F70" t="s">
        <v>60</v>
      </c>
      <c r="G70" t="s">
        <v>72</v>
      </c>
      <c r="H70" t="s">
        <v>79</v>
      </c>
      <c r="I70" t="s">
        <v>66</v>
      </c>
      <c r="J70" t="s">
        <v>83</v>
      </c>
      <c r="K70" t="s">
        <v>104</v>
      </c>
      <c r="L70" t="s">
        <v>80</v>
      </c>
      <c r="M70">
        <v>4</v>
      </c>
      <c r="N70">
        <v>4</v>
      </c>
      <c r="O70">
        <v>3</v>
      </c>
      <c r="P70">
        <v>3</v>
      </c>
      <c r="Q70">
        <v>4</v>
      </c>
      <c r="R70" t="s">
        <v>111</v>
      </c>
      <c r="S70">
        <v>2</v>
      </c>
      <c r="T70" t="s">
        <v>117</v>
      </c>
      <c r="U70">
        <v>4</v>
      </c>
      <c r="V70">
        <v>4</v>
      </c>
      <c r="W70" t="s">
        <v>112</v>
      </c>
      <c r="X70">
        <v>148</v>
      </c>
      <c r="Y70" t="s">
        <v>122</v>
      </c>
    </row>
    <row r="71" spans="1:27" x14ac:dyDescent="0.3">
      <c r="A71" t="s">
        <v>25</v>
      </c>
      <c r="B71" t="s">
        <v>32</v>
      </c>
      <c r="C71" t="s">
        <v>35</v>
      </c>
      <c r="D71" t="s">
        <v>37</v>
      </c>
      <c r="E71" t="s">
        <v>42</v>
      </c>
      <c r="F71" t="s">
        <v>49</v>
      </c>
      <c r="G71" t="s">
        <v>72</v>
      </c>
      <c r="H71" t="s">
        <v>79</v>
      </c>
      <c r="I71" t="s">
        <v>59</v>
      </c>
      <c r="J71" t="s">
        <v>83</v>
      </c>
      <c r="K71" t="s">
        <v>103</v>
      </c>
      <c r="L71" t="s">
        <v>79</v>
      </c>
      <c r="M71">
        <v>3</v>
      </c>
      <c r="N71">
        <v>3</v>
      </c>
      <c r="O71">
        <v>4</v>
      </c>
      <c r="P71">
        <v>2</v>
      </c>
      <c r="Q71">
        <v>2</v>
      </c>
      <c r="R71" t="s">
        <v>112</v>
      </c>
      <c r="S71">
        <v>3</v>
      </c>
      <c r="T71" t="s">
        <v>116</v>
      </c>
      <c r="U71">
        <v>4</v>
      </c>
      <c r="V71">
        <v>4</v>
      </c>
      <c r="W71" t="s">
        <v>110</v>
      </c>
      <c r="X71">
        <v>61</v>
      </c>
      <c r="Y71" t="s">
        <v>120</v>
      </c>
      <c r="Z71">
        <f t="shared" ref="Z71:Z72" si="12">IF(ISNUMBER(SEARCH("Zepto",F71)),1,0)</f>
        <v>1</v>
      </c>
      <c r="AA71">
        <f t="shared" ref="AA71:AA72" si="13">IF(ISNUMBER(SEARCH("Complain to customer support",K71)),1,0)</f>
        <v>0</v>
      </c>
    </row>
    <row r="72" spans="1:27" x14ac:dyDescent="0.3">
      <c r="A72" t="s">
        <v>29</v>
      </c>
      <c r="B72" t="s">
        <v>32</v>
      </c>
      <c r="C72" t="s">
        <v>35</v>
      </c>
      <c r="D72" t="s">
        <v>38</v>
      </c>
      <c r="E72" t="s">
        <v>45</v>
      </c>
      <c r="F72" t="s">
        <v>63</v>
      </c>
      <c r="G72" t="s">
        <v>74</v>
      </c>
      <c r="H72" t="s">
        <v>80</v>
      </c>
      <c r="J72" t="s">
        <v>82</v>
      </c>
      <c r="K72" t="s">
        <v>87</v>
      </c>
      <c r="L72" t="s">
        <v>79</v>
      </c>
      <c r="M72">
        <v>3</v>
      </c>
      <c r="N72">
        <v>4</v>
      </c>
      <c r="O72">
        <v>4</v>
      </c>
      <c r="P72">
        <v>3</v>
      </c>
      <c r="Q72">
        <v>3</v>
      </c>
      <c r="R72" t="s">
        <v>111</v>
      </c>
      <c r="S72">
        <v>2</v>
      </c>
      <c r="T72" t="s">
        <v>117</v>
      </c>
      <c r="U72">
        <v>4</v>
      </c>
      <c r="V72">
        <v>4</v>
      </c>
      <c r="W72" t="s">
        <v>111</v>
      </c>
      <c r="X72">
        <v>89</v>
      </c>
      <c r="Y72" t="s">
        <v>122</v>
      </c>
      <c r="Z72">
        <f t="shared" si="12"/>
        <v>1</v>
      </c>
      <c r="AA72">
        <f t="shared" si="13"/>
        <v>0</v>
      </c>
    </row>
    <row r="73" spans="1:27" hidden="1" x14ac:dyDescent="0.3">
      <c r="A73" t="s">
        <v>26</v>
      </c>
      <c r="B73" t="s">
        <v>32</v>
      </c>
      <c r="C73" t="s">
        <v>35</v>
      </c>
      <c r="D73" t="s">
        <v>38</v>
      </c>
      <c r="E73" t="s">
        <v>43</v>
      </c>
      <c r="F73" t="s">
        <v>60</v>
      </c>
      <c r="G73" t="s">
        <v>73</v>
      </c>
      <c r="H73" t="s">
        <v>79</v>
      </c>
      <c r="I73" t="s">
        <v>59</v>
      </c>
      <c r="J73" t="s">
        <v>82</v>
      </c>
      <c r="K73" t="s">
        <v>105</v>
      </c>
      <c r="L73" t="s">
        <v>80</v>
      </c>
      <c r="M73">
        <v>2</v>
      </c>
      <c r="N73">
        <v>2</v>
      </c>
      <c r="O73">
        <v>3</v>
      </c>
      <c r="P73">
        <v>2</v>
      </c>
      <c r="Q73">
        <v>2</v>
      </c>
      <c r="R73" t="s">
        <v>112</v>
      </c>
      <c r="S73">
        <v>4</v>
      </c>
      <c r="T73" t="s">
        <v>119</v>
      </c>
      <c r="U73">
        <v>2</v>
      </c>
      <c r="V73">
        <v>3</v>
      </c>
      <c r="W73" t="s">
        <v>111</v>
      </c>
      <c r="X73">
        <v>126</v>
      </c>
      <c r="Y73" t="s">
        <v>120</v>
      </c>
    </row>
    <row r="74" spans="1:27" x14ac:dyDescent="0.3">
      <c r="A74" t="s">
        <v>25</v>
      </c>
      <c r="B74" t="s">
        <v>32</v>
      </c>
      <c r="C74" t="s">
        <v>35</v>
      </c>
      <c r="D74" t="s">
        <v>38</v>
      </c>
      <c r="E74" t="s">
        <v>43</v>
      </c>
      <c r="F74" t="s">
        <v>57</v>
      </c>
      <c r="G74" t="s">
        <v>78</v>
      </c>
      <c r="H74" t="s">
        <v>79</v>
      </c>
      <c r="I74" t="s">
        <v>59</v>
      </c>
      <c r="J74" t="s">
        <v>84</v>
      </c>
      <c r="K74" t="s">
        <v>98</v>
      </c>
      <c r="L74" t="s">
        <v>79</v>
      </c>
      <c r="M74">
        <v>3</v>
      </c>
      <c r="N74">
        <v>3</v>
      </c>
      <c r="O74">
        <v>4</v>
      </c>
      <c r="P74">
        <v>3</v>
      </c>
      <c r="Q74">
        <v>2</v>
      </c>
      <c r="R74" t="s">
        <v>111</v>
      </c>
      <c r="S74">
        <v>3</v>
      </c>
      <c r="T74" t="s">
        <v>117</v>
      </c>
      <c r="U74">
        <v>3</v>
      </c>
      <c r="V74">
        <v>4</v>
      </c>
      <c r="W74" t="s">
        <v>111</v>
      </c>
      <c r="X74">
        <v>105</v>
      </c>
      <c r="Y74" t="s">
        <v>121</v>
      </c>
      <c r="Z74">
        <f>IF(ISNUMBER(SEARCH("Zepto",F74)),1,0)</f>
        <v>1</v>
      </c>
      <c r="AA74">
        <f>IF(ISNUMBER(SEARCH("Complain to customer support",K74)),1,0)</f>
        <v>0</v>
      </c>
    </row>
    <row r="75" spans="1:27" hidden="1" x14ac:dyDescent="0.3">
      <c r="A75" t="s">
        <v>26</v>
      </c>
      <c r="B75" t="s">
        <v>32</v>
      </c>
      <c r="C75" t="s">
        <v>35</v>
      </c>
      <c r="D75" t="s">
        <v>41</v>
      </c>
      <c r="E75" t="s">
        <v>33</v>
      </c>
      <c r="F75" t="s">
        <v>68</v>
      </c>
      <c r="G75" t="s">
        <v>78</v>
      </c>
      <c r="H75" t="s">
        <v>80</v>
      </c>
      <c r="J75" t="s">
        <v>82</v>
      </c>
      <c r="K75" t="s">
        <v>87</v>
      </c>
      <c r="L75" t="s">
        <v>80</v>
      </c>
      <c r="M75">
        <v>3</v>
      </c>
      <c r="N75">
        <v>3</v>
      </c>
      <c r="O75">
        <v>2</v>
      </c>
      <c r="P75">
        <v>3</v>
      </c>
      <c r="Q75">
        <v>2</v>
      </c>
      <c r="R75" t="s">
        <v>111</v>
      </c>
      <c r="S75">
        <v>3</v>
      </c>
      <c r="T75" t="s">
        <v>117</v>
      </c>
      <c r="U75">
        <v>3</v>
      </c>
      <c r="V75">
        <v>3</v>
      </c>
      <c r="W75" t="s">
        <v>113</v>
      </c>
      <c r="X75">
        <v>0</v>
      </c>
      <c r="Y75" t="s">
        <v>122</v>
      </c>
    </row>
    <row r="76" spans="1:27" x14ac:dyDescent="0.3">
      <c r="A76" t="s">
        <v>26</v>
      </c>
      <c r="B76" t="s">
        <v>30</v>
      </c>
      <c r="C76" t="s">
        <v>34</v>
      </c>
      <c r="D76" t="s">
        <v>37</v>
      </c>
      <c r="E76" t="s">
        <v>43</v>
      </c>
      <c r="F76" t="s">
        <v>48</v>
      </c>
      <c r="G76" t="s">
        <v>74</v>
      </c>
      <c r="H76" t="s">
        <v>80</v>
      </c>
      <c r="J76" t="s">
        <v>82</v>
      </c>
      <c r="K76" t="s">
        <v>87</v>
      </c>
      <c r="L76" t="s">
        <v>79</v>
      </c>
      <c r="M76">
        <v>3</v>
      </c>
      <c r="N76">
        <v>3</v>
      </c>
      <c r="O76">
        <v>3</v>
      </c>
      <c r="P76">
        <v>2</v>
      </c>
      <c r="Q76">
        <v>2</v>
      </c>
      <c r="R76" t="s">
        <v>110</v>
      </c>
      <c r="S76">
        <v>4</v>
      </c>
      <c r="T76" t="s">
        <v>115</v>
      </c>
      <c r="U76">
        <v>2</v>
      </c>
      <c r="V76">
        <v>3</v>
      </c>
      <c r="W76" t="s">
        <v>112</v>
      </c>
      <c r="X76">
        <v>118</v>
      </c>
      <c r="Y76" t="s">
        <v>122</v>
      </c>
      <c r="Z76">
        <f t="shared" ref="Z76:Z79" si="14">IF(ISNUMBER(SEARCH("Zepto",F76)),1,0)</f>
        <v>1</v>
      </c>
      <c r="AA76">
        <f t="shared" ref="AA76:AA79" si="15">IF(ISNUMBER(SEARCH("Complain to customer support",K76)),1,0)</f>
        <v>0</v>
      </c>
    </row>
    <row r="77" spans="1:27" x14ac:dyDescent="0.3">
      <c r="A77" t="s">
        <v>26</v>
      </c>
      <c r="B77" t="s">
        <v>30</v>
      </c>
      <c r="C77" t="s">
        <v>36</v>
      </c>
      <c r="D77" t="s">
        <v>38</v>
      </c>
      <c r="E77" t="s">
        <v>43</v>
      </c>
      <c r="F77" t="s">
        <v>55</v>
      </c>
      <c r="G77" t="s">
        <v>77</v>
      </c>
      <c r="H77" t="s">
        <v>80</v>
      </c>
      <c r="J77" t="s">
        <v>82</v>
      </c>
      <c r="K77" t="s">
        <v>87</v>
      </c>
      <c r="L77" t="s">
        <v>79</v>
      </c>
      <c r="M77">
        <v>3</v>
      </c>
      <c r="N77">
        <v>3</v>
      </c>
      <c r="O77">
        <v>4</v>
      </c>
      <c r="P77">
        <v>3</v>
      </c>
      <c r="Q77">
        <v>4</v>
      </c>
      <c r="R77" t="s">
        <v>112</v>
      </c>
      <c r="S77">
        <v>3</v>
      </c>
      <c r="T77" t="s">
        <v>117</v>
      </c>
      <c r="U77">
        <v>4</v>
      </c>
      <c r="V77">
        <v>4</v>
      </c>
      <c r="W77" t="s">
        <v>111</v>
      </c>
      <c r="X77">
        <v>153</v>
      </c>
      <c r="Y77" t="s">
        <v>120</v>
      </c>
      <c r="Z77">
        <f t="shared" si="14"/>
        <v>0</v>
      </c>
      <c r="AA77">
        <f t="shared" si="15"/>
        <v>0</v>
      </c>
    </row>
    <row r="78" spans="1:27" x14ac:dyDescent="0.3">
      <c r="A78" t="s">
        <v>26</v>
      </c>
      <c r="B78" t="s">
        <v>32</v>
      </c>
      <c r="C78" t="s">
        <v>35</v>
      </c>
      <c r="D78" t="s">
        <v>38</v>
      </c>
      <c r="E78" t="s">
        <v>42</v>
      </c>
      <c r="F78" t="s">
        <v>66</v>
      </c>
      <c r="G78" t="s">
        <v>75</v>
      </c>
      <c r="H78" t="s">
        <v>79</v>
      </c>
      <c r="I78" t="s">
        <v>66</v>
      </c>
      <c r="J78" t="s">
        <v>84</v>
      </c>
      <c r="K78" t="s">
        <v>100</v>
      </c>
      <c r="L78" t="s">
        <v>79</v>
      </c>
      <c r="M78">
        <v>3</v>
      </c>
      <c r="N78">
        <v>3</v>
      </c>
      <c r="O78">
        <v>3</v>
      </c>
      <c r="P78">
        <v>3</v>
      </c>
      <c r="Q78">
        <v>3</v>
      </c>
      <c r="R78" t="s">
        <v>112</v>
      </c>
      <c r="S78">
        <v>3</v>
      </c>
      <c r="T78" t="s">
        <v>115</v>
      </c>
      <c r="U78">
        <v>4</v>
      </c>
      <c r="V78">
        <v>3</v>
      </c>
      <c r="W78" t="s">
        <v>114</v>
      </c>
      <c r="X78">
        <v>80</v>
      </c>
      <c r="Y78" t="s">
        <v>123</v>
      </c>
      <c r="Z78">
        <f t="shared" si="14"/>
        <v>0</v>
      </c>
      <c r="AA78">
        <f t="shared" si="15"/>
        <v>0</v>
      </c>
    </row>
    <row r="79" spans="1:27" x14ac:dyDescent="0.3">
      <c r="A79" t="s">
        <v>26</v>
      </c>
      <c r="B79" t="s">
        <v>30</v>
      </c>
      <c r="C79" t="s">
        <v>35</v>
      </c>
      <c r="D79" t="s">
        <v>38</v>
      </c>
      <c r="E79" t="s">
        <v>43</v>
      </c>
      <c r="F79" t="s">
        <v>59</v>
      </c>
      <c r="G79" t="s">
        <v>72</v>
      </c>
      <c r="H79" t="s">
        <v>80</v>
      </c>
      <c r="J79" t="s">
        <v>82</v>
      </c>
      <c r="K79" t="s">
        <v>87</v>
      </c>
      <c r="L79" t="s">
        <v>79</v>
      </c>
      <c r="M79">
        <v>4</v>
      </c>
      <c r="N79">
        <v>4</v>
      </c>
      <c r="O79">
        <v>4</v>
      </c>
      <c r="P79">
        <v>4</v>
      </c>
      <c r="Q79">
        <v>4</v>
      </c>
      <c r="R79" t="s">
        <v>112</v>
      </c>
      <c r="S79">
        <v>3</v>
      </c>
      <c r="T79" t="s">
        <v>116</v>
      </c>
      <c r="U79">
        <v>5</v>
      </c>
      <c r="V79">
        <v>4</v>
      </c>
      <c r="W79" t="s">
        <v>114</v>
      </c>
      <c r="X79">
        <v>71</v>
      </c>
      <c r="Y79" t="s">
        <v>122</v>
      </c>
      <c r="Z79">
        <f t="shared" si="14"/>
        <v>1</v>
      </c>
      <c r="AA79">
        <f t="shared" si="15"/>
        <v>0</v>
      </c>
    </row>
    <row r="80" spans="1:27" hidden="1" x14ac:dyDescent="0.3">
      <c r="A80" t="s">
        <v>26</v>
      </c>
      <c r="B80" t="s">
        <v>32</v>
      </c>
      <c r="C80" t="s">
        <v>35</v>
      </c>
      <c r="D80" t="s">
        <v>38</v>
      </c>
      <c r="E80" t="s">
        <v>46</v>
      </c>
      <c r="F80" t="s">
        <v>51</v>
      </c>
      <c r="G80" t="s">
        <v>77</v>
      </c>
      <c r="H80" t="s">
        <v>79</v>
      </c>
      <c r="I80" t="s">
        <v>51</v>
      </c>
      <c r="J80" t="s">
        <v>82</v>
      </c>
      <c r="K80" t="s">
        <v>95</v>
      </c>
      <c r="L80" t="s">
        <v>80</v>
      </c>
      <c r="M80">
        <v>3</v>
      </c>
      <c r="N80">
        <v>4</v>
      </c>
      <c r="O80">
        <v>3</v>
      </c>
      <c r="P80">
        <v>3</v>
      </c>
      <c r="Q80">
        <v>3</v>
      </c>
      <c r="R80" t="s">
        <v>112</v>
      </c>
      <c r="S80">
        <v>2</v>
      </c>
      <c r="T80" t="s">
        <v>117</v>
      </c>
      <c r="U80">
        <v>3</v>
      </c>
      <c r="V80">
        <v>3</v>
      </c>
      <c r="W80" t="s">
        <v>114</v>
      </c>
      <c r="X80">
        <v>116</v>
      </c>
      <c r="Y80" t="s">
        <v>121</v>
      </c>
    </row>
    <row r="81" spans="1:27" x14ac:dyDescent="0.3">
      <c r="A81" t="s">
        <v>26</v>
      </c>
      <c r="B81" t="s">
        <v>30</v>
      </c>
      <c r="C81" t="s">
        <v>35</v>
      </c>
      <c r="D81" t="s">
        <v>38</v>
      </c>
      <c r="E81" t="s">
        <v>42</v>
      </c>
      <c r="F81" t="s">
        <v>69</v>
      </c>
      <c r="G81" t="s">
        <v>74</v>
      </c>
      <c r="H81" t="s">
        <v>80</v>
      </c>
      <c r="J81" t="s">
        <v>82</v>
      </c>
      <c r="K81" t="s">
        <v>87</v>
      </c>
      <c r="L81" t="s">
        <v>79</v>
      </c>
      <c r="M81">
        <v>3</v>
      </c>
      <c r="N81">
        <v>3</v>
      </c>
      <c r="O81">
        <v>4</v>
      </c>
      <c r="P81">
        <v>3</v>
      </c>
      <c r="Q81">
        <v>3</v>
      </c>
      <c r="R81" t="s">
        <v>111</v>
      </c>
      <c r="S81">
        <v>3</v>
      </c>
      <c r="T81" t="s">
        <v>117</v>
      </c>
      <c r="U81">
        <v>4</v>
      </c>
      <c r="V81">
        <v>4</v>
      </c>
      <c r="W81" t="s">
        <v>111</v>
      </c>
      <c r="X81">
        <v>135</v>
      </c>
      <c r="Y81" t="s">
        <v>124</v>
      </c>
      <c r="Z81">
        <f>IF(ISNUMBER(SEARCH("Zepto",F81)),1,0)</f>
        <v>1</v>
      </c>
      <c r="AA81">
        <f>IF(ISNUMBER(SEARCH("Complain to customer support",K81)),1,0)</f>
        <v>0</v>
      </c>
    </row>
    <row r="82" spans="1:27" hidden="1" x14ac:dyDescent="0.3">
      <c r="A82" t="s">
        <v>26</v>
      </c>
      <c r="B82" t="s">
        <v>30</v>
      </c>
      <c r="C82" t="s">
        <v>35</v>
      </c>
      <c r="D82" t="s">
        <v>38</v>
      </c>
      <c r="E82" t="s">
        <v>42</v>
      </c>
      <c r="F82" t="s">
        <v>50</v>
      </c>
      <c r="G82" t="s">
        <v>73</v>
      </c>
      <c r="H82" t="s">
        <v>79</v>
      </c>
      <c r="I82" t="s">
        <v>66</v>
      </c>
      <c r="J82" t="s">
        <v>82</v>
      </c>
      <c r="K82" t="s">
        <v>103</v>
      </c>
      <c r="L82" t="s">
        <v>80</v>
      </c>
      <c r="M82">
        <v>3</v>
      </c>
      <c r="N82">
        <v>3</v>
      </c>
      <c r="O82">
        <v>4</v>
      </c>
      <c r="P82">
        <v>3</v>
      </c>
      <c r="Q82">
        <v>3</v>
      </c>
      <c r="R82" t="s">
        <v>114</v>
      </c>
      <c r="S82">
        <v>2</v>
      </c>
      <c r="T82" t="s">
        <v>115</v>
      </c>
      <c r="U82">
        <v>4</v>
      </c>
      <c r="V82">
        <v>4</v>
      </c>
      <c r="W82" t="s">
        <v>113</v>
      </c>
      <c r="X82">
        <v>70</v>
      </c>
      <c r="Y82" t="s">
        <v>121</v>
      </c>
    </row>
    <row r="83" spans="1:27" hidden="1" x14ac:dyDescent="0.3">
      <c r="A83" t="s">
        <v>26</v>
      </c>
      <c r="B83" t="s">
        <v>33</v>
      </c>
      <c r="C83" t="s">
        <v>36</v>
      </c>
      <c r="D83" t="s">
        <v>38</v>
      </c>
      <c r="E83" t="s">
        <v>44</v>
      </c>
      <c r="F83" t="s">
        <v>68</v>
      </c>
      <c r="G83" t="s">
        <v>75</v>
      </c>
      <c r="H83" t="s">
        <v>80</v>
      </c>
      <c r="J83" t="s">
        <v>82</v>
      </c>
      <c r="K83" t="s">
        <v>87</v>
      </c>
      <c r="L83" t="s">
        <v>80</v>
      </c>
      <c r="M83">
        <v>2</v>
      </c>
      <c r="N83">
        <v>3</v>
      </c>
      <c r="O83">
        <v>3</v>
      </c>
      <c r="P83">
        <v>3</v>
      </c>
      <c r="Q83">
        <v>3</v>
      </c>
      <c r="R83" t="s">
        <v>111</v>
      </c>
      <c r="S83">
        <v>3</v>
      </c>
      <c r="T83" t="s">
        <v>118</v>
      </c>
      <c r="U83">
        <v>3</v>
      </c>
      <c r="V83">
        <v>3</v>
      </c>
      <c r="W83" t="s">
        <v>110</v>
      </c>
      <c r="X83">
        <v>68</v>
      </c>
      <c r="Y83" t="s">
        <v>122</v>
      </c>
    </row>
    <row r="84" spans="1:27" hidden="1" x14ac:dyDescent="0.3">
      <c r="A84" t="s">
        <v>26</v>
      </c>
      <c r="B84" t="s">
        <v>30</v>
      </c>
      <c r="C84" t="s">
        <v>35</v>
      </c>
      <c r="D84" t="s">
        <v>38</v>
      </c>
      <c r="E84" t="s">
        <v>42</v>
      </c>
      <c r="F84" t="s">
        <v>61</v>
      </c>
      <c r="G84" t="s">
        <v>75</v>
      </c>
      <c r="H84" t="s">
        <v>79</v>
      </c>
      <c r="I84" t="s">
        <v>51</v>
      </c>
      <c r="J84" t="s">
        <v>81</v>
      </c>
      <c r="K84" t="s">
        <v>93</v>
      </c>
      <c r="L84" t="s">
        <v>80</v>
      </c>
      <c r="M84">
        <v>2</v>
      </c>
      <c r="N84">
        <v>2</v>
      </c>
      <c r="O84">
        <v>3</v>
      </c>
      <c r="P84">
        <v>2</v>
      </c>
      <c r="Q84">
        <v>2</v>
      </c>
      <c r="R84" t="s">
        <v>111</v>
      </c>
      <c r="S84">
        <v>4</v>
      </c>
      <c r="T84" t="s">
        <v>117</v>
      </c>
      <c r="U84">
        <v>3</v>
      </c>
      <c r="V84">
        <v>2</v>
      </c>
      <c r="W84" t="s">
        <v>112</v>
      </c>
      <c r="X84">
        <v>111</v>
      </c>
      <c r="Y84" t="s">
        <v>121</v>
      </c>
    </row>
    <row r="85" spans="1:27" hidden="1" x14ac:dyDescent="0.3">
      <c r="A85" t="s">
        <v>26</v>
      </c>
      <c r="B85" t="s">
        <v>32</v>
      </c>
      <c r="C85" t="s">
        <v>35</v>
      </c>
      <c r="D85" t="s">
        <v>37</v>
      </c>
      <c r="E85" t="s">
        <v>42</v>
      </c>
      <c r="F85" t="s">
        <v>68</v>
      </c>
      <c r="G85" t="s">
        <v>73</v>
      </c>
      <c r="H85" t="s">
        <v>79</v>
      </c>
      <c r="I85" t="s">
        <v>51</v>
      </c>
      <c r="J85" t="s">
        <v>84</v>
      </c>
      <c r="K85" t="s">
        <v>90</v>
      </c>
      <c r="L85" t="s">
        <v>80</v>
      </c>
      <c r="M85">
        <v>2</v>
      </c>
      <c r="N85">
        <v>2</v>
      </c>
      <c r="O85">
        <v>3</v>
      </c>
      <c r="P85">
        <v>3</v>
      </c>
      <c r="Q85">
        <v>3</v>
      </c>
      <c r="R85" t="s">
        <v>110</v>
      </c>
      <c r="S85">
        <v>4</v>
      </c>
      <c r="T85" t="s">
        <v>118</v>
      </c>
      <c r="U85">
        <v>3</v>
      </c>
      <c r="V85">
        <v>2</v>
      </c>
      <c r="W85" t="s">
        <v>114</v>
      </c>
      <c r="X85">
        <v>56</v>
      </c>
      <c r="Y85" t="s">
        <v>121</v>
      </c>
    </row>
    <row r="86" spans="1:27" hidden="1" x14ac:dyDescent="0.3">
      <c r="A86" t="s">
        <v>26</v>
      </c>
      <c r="B86" t="s">
        <v>32</v>
      </c>
      <c r="C86" t="s">
        <v>35</v>
      </c>
      <c r="D86" t="s">
        <v>38</v>
      </c>
      <c r="E86" t="s">
        <v>44</v>
      </c>
      <c r="F86" t="s">
        <v>61</v>
      </c>
      <c r="G86" t="s">
        <v>74</v>
      </c>
      <c r="H86" t="s">
        <v>80</v>
      </c>
      <c r="J86" t="s">
        <v>82</v>
      </c>
      <c r="K86" t="s">
        <v>87</v>
      </c>
      <c r="L86" t="s">
        <v>80</v>
      </c>
      <c r="M86">
        <v>3</v>
      </c>
      <c r="N86">
        <v>4</v>
      </c>
      <c r="O86">
        <v>4</v>
      </c>
      <c r="P86">
        <v>4</v>
      </c>
      <c r="Q86">
        <v>3</v>
      </c>
      <c r="R86" t="s">
        <v>111</v>
      </c>
      <c r="S86">
        <v>3</v>
      </c>
      <c r="T86" t="s">
        <v>117</v>
      </c>
      <c r="U86">
        <v>3</v>
      </c>
      <c r="V86">
        <v>4</v>
      </c>
      <c r="W86" t="s">
        <v>114</v>
      </c>
      <c r="X86">
        <v>91</v>
      </c>
      <c r="Y86" t="s">
        <v>122</v>
      </c>
    </row>
    <row r="87" spans="1:27" x14ac:dyDescent="0.3">
      <c r="A87" t="s">
        <v>26</v>
      </c>
      <c r="B87" t="s">
        <v>32</v>
      </c>
      <c r="C87" t="s">
        <v>35</v>
      </c>
      <c r="D87" t="s">
        <v>37</v>
      </c>
      <c r="E87" t="s">
        <v>33</v>
      </c>
      <c r="F87" t="s">
        <v>68</v>
      </c>
      <c r="G87" t="s">
        <v>75</v>
      </c>
      <c r="H87" t="s">
        <v>79</v>
      </c>
      <c r="I87" t="s">
        <v>51</v>
      </c>
      <c r="J87" t="s">
        <v>84</v>
      </c>
      <c r="K87" t="s">
        <v>104</v>
      </c>
      <c r="L87" t="s">
        <v>79</v>
      </c>
      <c r="M87">
        <v>2</v>
      </c>
      <c r="N87">
        <v>2</v>
      </c>
      <c r="O87">
        <v>3</v>
      </c>
      <c r="P87">
        <v>2</v>
      </c>
      <c r="Q87">
        <v>2</v>
      </c>
      <c r="R87" t="s">
        <v>114</v>
      </c>
      <c r="S87">
        <v>4</v>
      </c>
      <c r="T87" t="s">
        <v>115</v>
      </c>
      <c r="U87">
        <v>3</v>
      </c>
      <c r="V87">
        <v>2</v>
      </c>
      <c r="W87" t="s">
        <v>112</v>
      </c>
      <c r="X87">
        <v>155</v>
      </c>
      <c r="Y87" t="s">
        <v>122</v>
      </c>
      <c r="Z87">
        <f>IF(ISNUMBER(SEARCH("Zepto",F87)),1,0)</f>
        <v>0</v>
      </c>
      <c r="AA87">
        <f>IF(ISNUMBER(SEARCH("Complain to customer support",K87)),1,0)</f>
        <v>0</v>
      </c>
    </row>
    <row r="88" spans="1:27" hidden="1" x14ac:dyDescent="0.3">
      <c r="A88" t="s">
        <v>29</v>
      </c>
      <c r="B88" t="s">
        <v>32</v>
      </c>
      <c r="C88" t="s">
        <v>35</v>
      </c>
      <c r="D88" t="s">
        <v>38</v>
      </c>
      <c r="E88" t="s">
        <v>43</v>
      </c>
      <c r="F88" t="s">
        <v>66</v>
      </c>
      <c r="G88" t="s">
        <v>76</v>
      </c>
      <c r="H88" t="s">
        <v>80</v>
      </c>
      <c r="J88" t="s">
        <v>82</v>
      </c>
      <c r="K88" t="s">
        <v>87</v>
      </c>
      <c r="L88" t="s">
        <v>80</v>
      </c>
      <c r="M88">
        <v>3</v>
      </c>
      <c r="N88">
        <v>3</v>
      </c>
      <c r="O88">
        <v>3</v>
      </c>
      <c r="P88">
        <v>2</v>
      </c>
      <c r="Q88">
        <v>3</v>
      </c>
      <c r="R88" t="s">
        <v>111</v>
      </c>
      <c r="S88">
        <v>4</v>
      </c>
      <c r="T88" t="s">
        <v>115</v>
      </c>
      <c r="U88">
        <v>3</v>
      </c>
      <c r="V88">
        <v>3</v>
      </c>
      <c r="W88" t="s">
        <v>113</v>
      </c>
      <c r="X88">
        <v>23</v>
      </c>
      <c r="Y88" t="s">
        <v>121</v>
      </c>
    </row>
    <row r="89" spans="1:27" x14ac:dyDescent="0.3">
      <c r="A89" t="s">
        <v>26</v>
      </c>
      <c r="B89" t="s">
        <v>32</v>
      </c>
      <c r="C89" t="s">
        <v>35</v>
      </c>
      <c r="D89" t="s">
        <v>38</v>
      </c>
      <c r="E89" t="s">
        <v>44</v>
      </c>
      <c r="F89" t="s">
        <v>51</v>
      </c>
      <c r="G89" t="s">
        <v>74</v>
      </c>
      <c r="H89" t="s">
        <v>80</v>
      </c>
      <c r="J89" t="s">
        <v>82</v>
      </c>
      <c r="K89" t="s">
        <v>87</v>
      </c>
      <c r="L89" t="s">
        <v>79</v>
      </c>
      <c r="M89">
        <v>4</v>
      </c>
      <c r="N89">
        <v>4</v>
      </c>
      <c r="O89">
        <v>4</v>
      </c>
      <c r="P89">
        <v>4</v>
      </c>
      <c r="Q89">
        <v>3</v>
      </c>
      <c r="R89" t="s">
        <v>111</v>
      </c>
      <c r="S89">
        <v>3</v>
      </c>
      <c r="T89" t="s">
        <v>116</v>
      </c>
      <c r="U89">
        <v>4</v>
      </c>
      <c r="V89">
        <v>4</v>
      </c>
      <c r="W89" t="s">
        <v>112</v>
      </c>
      <c r="X89">
        <v>154</v>
      </c>
      <c r="Y89" t="s">
        <v>123</v>
      </c>
      <c r="Z89">
        <f>IF(ISNUMBER(SEARCH("Zepto",F89)),1,0)</f>
        <v>0</v>
      </c>
      <c r="AA89">
        <f>IF(ISNUMBER(SEARCH("Complain to customer support",K89)),1,0)</f>
        <v>0</v>
      </c>
    </row>
    <row r="90" spans="1:27" hidden="1" x14ac:dyDescent="0.3">
      <c r="A90" t="s">
        <v>26</v>
      </c>
      <c r="B90" t="s">
        <v>30</v>
      </c>
      <c r="C90" t="s">
        <v>35</v>
      </c>
      <c r="D90" t="s">
        <v>38</v>
      </c>
      <c r="E90" t="s">
        <v>44</v>
      </c>
      <c r="F90" t="s">
        <v>68</v>
      </c>
      <c r="G90" t="s">
        <v>76</v>
      </c>
      <c r="H90" t="s">
        <v>79</v>
      </c>
      <c r="I90" t="s">
        <v>59</v>
      </c>
      <c r="J90" t="s">
        <v>83</v>
      </c>
      <c r="K90" t="s">
        <v>87</v>
      </c>
      <c r="L90" t="s">
        <v>80</v>
      </c>
      <c r="M90">
        <v>3</v>
      </c>
      <c r="N90">
        <v>4</v>
      </c>
      <c r="O90">
        <v>4</v>
      </c>
      <c r="P90">
        <v>4</v>
      </c>
      <c r="Q90">
        <v>3</v>
      </c>
      <c r="R90" t="s">
        <v>114</v>
      </c>
      <c r="S90">
        <v>2</v>
      </c>
      <c r="T90" t="s">
        <v>115</v>
      </c>
      <c r="U90">
        <v>4</v>
      </c>
      <c r="V90">
        <v>4</v>
      </c>
      <c r="W90" t="s">
        <v>112</v>
      </c>
      <c r="X90">
        <v>129</v>
      </c>
      <c r="Y90" t="s">
        <v>121</v>
      </c>
    </row>
    <row r="91" spans="1:27" x14ac:dyDescent="0.3">
      <c r="A91" t="s">
        <v>26</v>
      </c>
      <c r="B91" t="s">
        <v>32</v>
      </c>
      <c r="C91" t="s">
        <v>35</v>
      </c>
      <c r="D91" t="s">
        <v>37</v>
      </c>
      <c r="E91" t="s">
        <v>43</v>
      </c>
      <c r="F91" t="s">
        <v>53</v>
      </c>
      <c r="G91" t="s">
        <v>76</v>
      </c>
      <c r="H91" t="s">
        <v>79</v>
      </c>
      <c r="I91" t="s">
        <v>51</v>
      </c>
      <c r="J91" t="s">
        <v>85</v>
      </c>
      <c r="K91" t="s">
        <v>93</v>
      </c>
      <c r="L91" t="s">
        <v>79</v>
      </c>
      <c r="M91">
        <v>3</v>
      </c>
      <c r="N91">
        <v>3</v>
      </c>
      <c r="O91">
        <v>4</v>
      </c>
      <c r="P91">
        <v>3</v>
      </c>
      <c r="Q91">
        <v>3</v>
      </c>
      <c r="R91" t="s">
        <v>111</v>
      </c>
      <c r="S91">
        <v>3</v>
      </c>
      <c r="T91" t="s">
        <v>117</v>
      </c>
      <c r="U91">
        <v>2</v>
      </c>
      <c r="V91">
        <v>3</v>
      </c>
      <c r="W91" t="s">
        <v>110</v>
      </c>
      <c r="X91">
        <v>85</v>
      </c>
      <c r="Y91" t="s">
        <v>124</v>
      </c>
      <c r="Z91">
        <f t="shared" ref="Z91:Z93" si="16">IF(ISNUMBER(SEARCH("Zepto",F91)),1,0)</f>
        <v>1</v>
      </c>
      <c r="AA91">
        <f t="shared" ref="AA91:AA93" si="17">IF(ISNUMBER(SEARCH("Complain to customer support",K91)),1,0)</f>
        <v>0</v>
      </c>
    </row>
    <row r="92" spans="1:27" x14ac:dyDescent="0.3">
      <c r="A92" t="s">
        <v>25</v>
      </c>
      <c r="B92" t="s">
        <v>32</v>
      </c>
      <c r="C92" t="s">
        <v>35</v>
      </c>
      <c r="D92" t="s">
        <v>38</v>
      </c>
      <c r="E92" t="s">
        <v>42</v>
      </c>
      <c r="F92" t="s">
        <v>68</v>
      </c>
      <c r="G92" t="s">
        <v>78</v>
      </c>
      <c r="H92" t="s">
        <v>80</v>
      </c>
      <c r="J92" t="s">
        <v>82</v>
      </c>
      <c r="K92" t="s">
        <v>87</v>
      </c>
      <c r="L92" t="s">
        <v>79</v>
      </c>
      <c r="M92">
        <v>4</v>
      </c>
      <c r="N92">
        <v>5</v>
      </c>
      <c r="O92">
        <v>4</v>
      </c>
      <c r="P92">
        <v>3</v>
      </c>
      <c r="Q92">
        <v>4</v>
      </c>
      <c r="R92" t="s">
        <v>111</v>
      </c>
      <c r="S92">
        <v>3</v>
      </c>
      <c r="T92" t="s">
        <v>116</v>
      </c>
      <c r="U92">
        <v>4</v>
      </c>
      <c r="V92">
        <v>5</v>
      </c>
      <c r="W92" t="s">
        <v>114</v>
      </c>
      <c r="X92">
        <v>121</v>
      </c>
      <c r="Y92" t="s">
        <v>121</v>
      </c>
      <c r="Z92">
        <f t="shared" si="16"/>
        <v>0</v>
      </c>
      <c r="AA92">
        <f t="shared" si="17"/>
        <v>0</v>
      </c>
    </row>
    <row r="93" spans="1:27" x14ac:dyDescent="0.3">
      <c r="A93" t="s">
        <v>25</v>
      </c>
      <c r="B93" t="s">
        <v>32</v>
      </c>
      <c r="C93" t="s">
        <v>36</v>
      </c>
      <c r="D93" t="s">
        <v>38</v>
      </c>
      <c r="E93" t="s">
        <v>44</v>
      </c>
      <c r="F93" t="s">
        <v>57</v>
      </c>
      <c r="G93" t="s">
        <v>77</v>
      </c>
      <c r="H93" t="s">
        <v>79</v>
      </c>
      <c r="I93" t="s">
        <v>59</v>
      </c>
      <c r="J93" t="s">
        <v>84</v>
      </c>
      <c r="K93" t="s">
        <v>105</v>
      </c>
      <c r="L93" t="s">
        <v>79</v>
      </c>
      <c r="M93">
        <v>2</v>
      </c>
      <c r="N93">
        <v>3</v>
      </c>
      <c r="O93">
        <v>3</v>
      </c>
      <c r="P93">
        <v>2</v>
      </c>
      <c r="Q93">
        <v>2</v>
      </c>
      <c r="R93" t="s">
        <v>112</v>
      </c>
      <c r="S93">
        <v>4</v>
      </c>
      <c r="T93" t="s">
        <v>115</v>
      </c>
      <c r="U93">
        <v>3</v>
      </c>
      <c r="V93">
        <v>3</v>
      </c>
      <c r="W93" t="s">
        <v>114</v>
      </c>
      <c r="X93">
        <v>95</v>
      </c>
      <c r="Y93" t="s">
        <v>121</v>
      </c>
      <c r="Z93">
        <f t="shared" si="16"/>
        <v>1</v>
      </c>
      <c r="AA93">
        <f t="shared" si="17"/>
        <v>1</v>
      </c>
    </row>
    <row r="94" spans="1:27" hidden="1" x14ac:dyDescent="0.3">
      <c r="A94" t="s">
        <v>25</v>
      </c>
      <c r="B94" t="s">
        <v>32</v>
      </c>
      <c r="C94" t="s">
        <v>35</v>
      </c>
      <c r="D94" t="s">
        <v>37</v>
      </c>
      <c r="E94" t="s">
        <v>33</v>
      </c>
      <c r="F94" t="s">
        <v>60</v>
      </c>
      <c r="G94" t="s">
        <v>72</v>
      </c>
      <c r="H94" t="s">
        <v>80</v>
      </c>
      <c r="J94" t="s">
        <v>82</v>
      </c>
      <c r="K94" t="s">
        <v>87</v>
      </c>
      <c r="L94" t="s">
        <v>80</v>
      </c>
      <c r="M94">
        <v>3</v>
      </c>
      <c r="N94">
        <v>4</v>
      </c>
      <c r="O94">
        <v>4</v>
      </c>
      <c r="P94">
        <v>3</v>
      </c>
      <c r="Q94">
        <v>4</v>
      </c>
      <c r="R94" t="s">
        <v>112</v>
      </c>
      <c r="S94">
        <v>3</v>
      </c>
      <c r="T94" t="s">
        <v>117</v>
      </c>
      <c r="U94">
        <v>4</v>
      </c>
      <c r="V94">
        <v>5</v>
      </c>
      <c r="W94" t="s">
        <v>114</v>
      </c>
      <c r="X94">
        <v>74</v>
      </c>
      <c r="Y94" t="s">
        <v>120</v>
      </c>
    </row>
    <row r="95" spans="1:27" hidden="1" x14ac:dyDescent="0.3">
      <c r="A95" t="s">
        <v>26</v>
      </c>
      <c r="B95" t="s">
        <v>32</v>
      </c>
      <c r="C95" t="s">
        <v>35</v>
      </c>
      <c r="D95" t="s">
        <v>38</v>
      </c>
      <c r="E95" t="s">
        <v>44</v>
      </c>
      <c r="F95" t="s">
        <v>54</v>
      </c>
      <c r="G95" t="s">
        <v>72</v>
      </c>
      <c r="H95" t="s">
        <v>79</v>
      </c>
      <c r="I95" t="s">
        <v>51</v>
      </c>
      <c r="J95" t="s">
        <v>83</v>
      </c>
      <c r="K95" t="s">
        <v>91</v>
      </c>
      <c r="L95" t="s">
        <v>80</v>
      </c>
      <c r="M95">
        <v>2</v>
      </c>
      <c r="N95">
        <v>3</v>
      </c>
      <c r="O95">
        <v>3</v>
      </c>
      <c r="P95">
        <v>4</v>
      </c>
      <c r="Q95">
        <v>3</v>
      </c>
      <c r="R95" t="s">
        <v>112</v>
      </c>
      <c r="S95">
        <v>2</v>
      </c>
      <c r="T95" t="s">
        <v>117</v>
      </c>
      <c r="U95">
        <v>4</v>
      </c>
      <c r="V95">
        <v>4</v>
      </c>
      <c r="W95" t="s">
        <v>111</v>
      </c>
      <c r="X95">
        <v>88</v>
      </c>
      <c r="Y95" t="s">
        <v>122</v>
      </c>
    </row>
    <row r="96" spans="1:27" x14ac:dyDescent="0.3">
      <c r="A96" t="s">
        <v>29</v>
      </c>
      <c r="B96" t="s">
        <v>30</v>
      </c>
      <c r="C96" t="s">
        <v>36</v>
      </c>
      <c r="D96" t="s">
        <v>39</v>
      </c>
      <c r="E96" t="s">
        <v>42</v>
      </c>
      <c r="F96" t="s">
        <v>57</v>
      </c>
      <c r="G96" t="s">
        <v>74</v>
      </c>
      <c r="H96" t="s">
        <v>80</v>
      </c>
      <c r="J96" t="s">
        <v>82</v>
      </c>
      <c r="K96" t="s">
        <v>87</v>
      </c>
      <c r="L96" t="s">
        <v>79</v>
      </c>
      <c r="M96">
        <v>4</v>
      </c>
      <c r="N96">
        <v>4</v>
      </c>
      <c r="O96">
        <v>4</v>
      </c>
      <c r="P96">
        <v>5</v>
      </c>
      <c r="Q96">
        <v>4</v>
      </c>
      <c r="R96" t="s">
        <v>111</v>
      </c>
      <c r="S96">
        <v>2</v>
      </c>
      <c r="T96" t="s">
        <v>118</v>
      </c>
      <c r="U96">
        <v>4</v>
      </c>
      <c r="V96">
        <v>4</v>
      </c>
      <c r="W96" t="s">
        <v>110</v>
      </c>
      <c r="X96">
        <v>28</v>
      </c>
      <c r="Y96" t="s">
        <v>120</v>
      </c>
      <c r="Z96">
        <f>IF(ISNUMBER(SEARCH("Zepto",F96)),1,0)</f>
        <v>1</v>
      </c>
      <c r="AA96">
        <f>IF(ISNUMBER(SEARCH("Complain to customer support",K96)),1,0)</f>
        <v>0</v>
      </c>
    </row>
    <row r="97" spans="1:27" hidden="1" x14ac:dyDescent="0.3">
      <c r="A97" t="s">
        <v>25</v>
      </c>
      <c r="B97" t="s">
        <v>30</v>
      </c>
      <c r="C97" t="s">
        <v>35</v>
      </c>
      <c r="D97" t="s">
        <v>38</v>
      </c>
      <c r="E97" t="s">
        <v>42</v>
      </c>
      <c r="F97" t="s">
        <v>68</v>
      </c>
      <c r="G97" t="s">
        <v>76</v>
      </c>
      <c r="H97" t="s">
        <v>79</v>
      </c>
      <c r="I97" t="s">
        <v>51</v>
      </c>
      <c r="J97" t="s">
        <v>84</v>
      </c>
      <c r="K97" t="s">
        <v>96</v>
      </c>
      <c r="L97" t="s">
        <v>80</v>
      </c>
      <c r="M97">
        <v>2</v>
      </c>
      <c r="N97">
        <v>3</v>
      </c>
      <c r="O97">
        <v>3</v>
      </c>
      <c r="P97">
        <v>3</v>
      </c>
      <c r="Q97">
        <v>2</v>
      </c>
      <c r="R97" t="s">
        <v>114</v>
      </c>
      <c r="S97">
        <v>4</v>
      </c>
      <c r="T97" t="s">
        <v>115</v>
      </c>
      <c r="U97">
        <v>4</v>
      </c>
      <c r="V97">
        <v>3</v>
      </c>
      <c r="W97" t="s">
        <v>110</v>
      </c>
      <c r="X97">
        <v>26</v>
      </c>
      <c r="Y97" t="s">
        <v>121</v>
      </c>
    </row>
    <row r="98" spans="1:27" x14ac:dyDescent="0.3">
      <c r="A98" t="s">
        <v>26</v>
      </c>
      <c r="B98" t="s">
        <v>30</v>
      </c>
      <c r="C98" t="s">
        <v>35</v>
      </c>
      <c r="D98" t="s">
        <v>38</v>
      </c>
      <c r="E98" t="s">
        <v>43</v>
      </c>
      <c r="F98" t="s">
        <v>70</v>
      </c>
      <c r="G98" t="s">
        <v>77</v>
      </c>
      <c r="H98" t="s">
        <v>79</v>
      </c>
      <c r="I98" t="s">
        <v>51</v>
      </c>
      <c r="J98" t="s">
        <v>82</v>
      </c>
      <c r="K98" t="s">
        <v>101</v>
      </c>
      <c r="L98" t="s">
        <v>79</v>
      </c>
      <c r="M98">
        <v>2</v>
      </c>
      <c r="N98">
        <v>3</v>
      </c>
      <c r="O98">
        <v>4</v>
      </c>
      <c r="P98">
        <v>3</v>
      </c>
      <c r="Q98">
        <v>3</v>
      </c>
      <c r="R98" t="s">
        <v>114</v>
      </c>
      <c r="S98">
        <v>3</v>
      </c>
      <c r="T98" t="s">
        <v>115</v>
      </c>
      <c r="U98">
        <v>4</v>
      </c>
      <c r="V98">
        <v>4</v>
      </c>
      <c r="W98" t="s">
        <v>114</v>
      </c>
      <c r="X98">
        <v>130</v>
      </c>
      <c r="Y98" t="s">
        <v>122</v>
      </c>
      <c r="Z98">
        <f>IF(ISNUMBER(SEARCH("Zepto",F98)),1,0)</f>
        <v>1</v>
      </c>
      <c r="AA98">
        <f>IF(ISNUMBER(SEARCH("Complain to customer support",K98)),1,0)</f>
        <v>1</v>
      </c>
    </row>
    <row r="99" spans="1:27" hidden="1" x14ac:dyDescent="0.3">
      <c r="A99" t="s">
        <v>26</v>
      </c>
      <c r="B99" t="s">
        <v>30</v>
      </c>
      <c r="C99" t="s">
        <v>36</v>
      </c>
      <c r="D99" t="s">
        <v>40</v>
      </c>
      <c r="E99" t="s">
        <v>42</v>
      </c>
      <c r="F99" t="s">
        <v>62</v>
      </c>
      <c r="G99" t="s">
        <v>72</v>
      </c>
      <c r="H99" t="s">
        <v>80</v>
      </c>
      <c r="J99" t="s">
        <v>82</v>
      </c>
      <c r="K99" t="s">
        <v>87</v>
      </c>
      <c r="L99" t="s">
        <v>80</v>
      </c>
      <c r="M99">
        <v>4</v>
      </c>
      <c r="N99">
        <v>4</v>
      </c>
      <c r="O99">
        <v>5</v>
      </c>
      <c r="P99">
        <v>5</v>
      </c>
      <c r="Q99">
        <v>4</v>
      </c>
      <c r="R99" t="s">
        <v>112</v>
      </c>
      <c r="S99">
        <v>2</v>
      </c>
      <c r="T99" t="s">
        <v>116</v>
      </c>
      <c r="U99">
        <v>5</v>
      </c>
      <c r="V99">
        <v>5</v>
      </c>
      <c r="W99" t="s">
        <v>113</v>
      </c>
      <c r="X99">
        <v>52</v>
      </c>
      <c r="Y99" t="s">
        <v>120</v>
      </c>
    </row>
    <row r="100" spans="1:27" hidden="1" x14ac:dyDescent="0.3">
      <c r="A100" t="s">
        <v>26</v>
      </c>
      <c r="B100" t="s">
        <v>30</v>
      </c>
      <c r="C100" t="s">
        <v>34</v>
      </c>
      <c r="D100" t="s">
        <v>38</v>
      </c>
      <c r="E100" t="s">
        <v>43</v>
      </c>
      <c r="F100" t="s">
        <v>62</v>
      </c>
      <c r="G100" t="s">
        <v>78</v>
      </c>
      <c r="H100" t="s">
        <v>79</v>
      </c>
      <c r="I100" t="s">
        <v>51</v>
      </c>
      <c r="J100" t="s">
        <v>83</v>
      </c>
      <c r="K100" t="s">
        <v>106</v>
      </c>
      <c r="L100" t="s">
        <v>80</v>
      </c>
      <c r="M100">
        <v>2</v>
      </c>
      <c r="N100">
        <v>1</v>
      </c>
      <c r="O100">
        <v>2</v>
      </c>
      <c r="P100">
        <v>2</v>
      </c>
      <c r="Q100">
        <v>1</v>
      </c>
      <c r="R100" t="s">
        <v>113</v>
      </c>
      <c r="S100">
        <v>4</v>
      </c>
      <c r="T100" t="s">
        <v>118</v>
      </c>
      <c r="U100">
        <v>3</v>
      </c>
      <c r="V100">
        <v>3</v>
      </c>
      <c r="W100" t="s">
        <v>113</v>
      </c>
      <c r="X100">
        <v>57</v>
      </c>
      <c r="Y100" t="s">
        <v>121</v>
      </c>
    </row>
    <row r="101" spans="1:27" x14ac:dyDescent="0.3">
      <c r="A101" t="s">
        <v>27</v>
      </c>
      <c r="B101" t="s">
        <v>30</v>
      </c>
      <c r="C101" t="s">
        <v>34</v>
      </c>
      <c r="D101" t="s">
        <v>37</v>
      </c>
      <c r="E101" t="s">
        <v>43</v>
      </c>
      <c r="F101" t="s">
        <v>69</v>
      </c>
      <c r="G101" t="s">
        <v>73</v>
      </c>
      <c r="H101" t="s">
        <v>79</v>
      </c>
      <c r="I101" t="s">
        <v>59</v>
      </c>
      <c r="J101" t="s">
        <v>84</v>
      </c>
      <c r="K101" t="s">
        <v>104</v>
      </c>
      <c r="L101" t="s">
        <v>79</v>
      </c>
      <c r="M101">
        <v>2</v>
      </c>
      <c r="N101">
        <v>3</v>
      </c>
      <c r="O101">
        <v>3</v>
      </c>
      <c r="P101">
        <v>2</v>
      </c>
      <c r="Q101">
        <v>3</v>
      </c>
      <c r="R101" t="s">
        <v>113</v>
      </c>
      <c r="S101">
        <v>4</v>
      </c>
      <c r="T101" t="s">
        <v>119</v>
      </c>
      <c r="U101">
        <v>3</v>
      </c>
      <c r="V101">
        <v>3</v>
      </c>
      <c r="W101" t="s">
        <v>113</v>
      </c>
      <c r="X101">
        <v>56</v>
      </c>
      <c r="Y101" t="s">
        <v>120</v>
      </c>
      <c r="Z101">
        <f t="shared" ref="Z101:Z102" si="18">IF(ISNUMBER(SEARCH("Zepto",F101)),1,0)</f>
        <v>1</v>
      </c>
      <c r="AA101">
        <f t="shared" ref="AA101:AA102" si="19">IF(ISNUMBER(SEARCH("Complain to customer support",K101)),1,0)</f>
        <v>0</v>
      </c>
    </row>
    <row r="102" spans="1:27" x14ac:dyDescent="0.3">
      <c r="A102" t="s">
        <v>29</v>
      </c>
      <c r="B102" t="s">
        <v>33</v>
      </c>
      <c r="C102" t="s">
        <v>35</v>
      </c>
      <c r="D102" t="s">
        <v>39</v>
      </c>
      <c r="E102" t="s">
        <v>45</v>
      </c>
      <c r="F102" t="s">
        <v>53</v>
      </c>
      <c r="G102" t="s">
        <v>76</v>
      </c>
      <c r="H102" t="s">
        <v>79</v>
      </c>
      <c r="I102" t="s">
        <v>66</v>
      </c>
      <c r="J102" t="s">
        <v>85</v>
      </c>
      <c r="K102" t="s">
        <v>86</v>
      </c>
      <c r="L102" t="s">
        <v>79</v>
      </c>
      <c r="M102">
        <v>2</v>
      </c>
      <c r="N102">
        <v>2</v>
      </c>
      <c r="O102">
        <v>3</v>
      </c>
      <c r="P102">
        <v>1</v>
      </c>
      <c r="Q102">
        <v>1</v>
      </c>
      <c r="R102" t="s">
        <v>114</v>
      </c>
      <c r="S102">
        <v>4</v>
      </c>
      <c r="T102" t="s">
        <v>118</v>
      </c>
      <c r="U102">
        <v>2</v>
      </c>
      <c r="V102">
        <v>2</v>
      </c>
      <c r="W102" t="s">
        <v>114</v>
      </c>
      <c r="X102">
        <v>131</v>
      </c>
      <c r="Y102" t="s">
        <v>121</v>
      </c>
      <c r="Z102">
        <f t="shared" si="18"/>
        <v>1</v>
      </c>
      <c r="AA102">
        <f t="shared" si="19"/>
        <v>0</v>
      </c>
    </row>
    <row r="103" spans="1:27" hidden="1" x14ac:dyDescent="0.3">
      <c r="A103" t="s">
        <v>25</v>
      </c>
      <c r="B103" t="s">
        <v>30</v>
      </c>
      <c r="C103" t="s">
        <v>36</v>
      </c>
      <c r="D103" t="s">
        <v>39</v>
      </c>
      <c r="E103" t="s">
        <v>42</v>
      </c>
      <c r="F103" t="s">
        <v>52</v>
      </c>
      <c r="G103" t="s">
        <v>73</v>
      </c>
      <c r="H103" t="s">
        <v>80</v>
      </c>
      <c r="J103" t="s">
        <v>82</v>
      </c>
      <c r="K103" t="s">
        <v>87</v>
      </c>
      <c r="L103" t="s">
        <v>80</v>
      </c>
      <c r="M103">
        <v>3</v>
      </c>
      <c r="N103">
        <v>3</v>
      </c>
      <c r="O103">
        <v>4</v>
      </c>
      <c r="P103">
        <v>4</v>
      </c>
      <c r="Q103">
        <v>4</v>
      </c>
      <c r="R103" t="s">
        <v>112</v>
      </c>
      <c r="S103">
        <v>3</v>
      </c>
      <c r="T103" t="s">
        <v>115</v>
      </c>
      <c r="U103">
        <v>4</v>
      </c>
      <c r="V103">
        <v>4</v>
      </c>
      <c r="W103" t="s">
        <v>114</v>
      </c>
      <c r="X103">
        <v>65</v>
      </c>
      <c r="Y103" t="s">
        <v>120</v>
      </c>
    </row>
    <row r="104" spans="1:27" x14ac:dyDescent="0.3">
      <c r="A104" t="s">
        <v>26</v>
      </c>
      <c r="B104" t="s">
        <v>32</v>
      </c>
      <c r="C104" t="s">
        <v>35</v>
      </c>
      <c r="D104" t="s">
        <v>38</v>
      </c>
      <c r="E104" t="s">
        <v>44</v>
      </c>
      <c r="F104" t="s">
        <v>66</v>
      </c>
      <c r="G104" t="s">
        <v>73</v>
      </c>
      <c r="H104" t="s">
        <v>79</v>
      </c>
      <c r="I104" t="s">
        <v>66</v>
      </c>
      <c r="J104" t="s">
        <v>85</v>
      </c>
      <c r="K104" t="s">
        <v>107</v>
      </c>
      <c r="L104" t="s">
        <v>79</v>
      </c>
      <c r="M104">
        <v>2</v>
      </c>
      <c r="N104">
        <v>2</v>
      </c>
      <c r="O104">
        <v>2</v>
      </c>
      <c r="P104">
        <v>2</v>
      </c>
      <c r="Q104">
        <v>2</v>
      </c>
      <c r="R104" t="s">
        <v>113</v>
      </c>
      <c r="S104">
        <v>4</v>
      </c>
      <c r="T104" t="s">
        <v>117</v>
      </c>
      <c r="U104">
        <v>2</v>
      </c>
      <c r="V104">
        <v>2</v>
      </c>
      <c r="W104" t="s">
        <v>112</v>
      </c>
      <c r="X104">
        <v>122</v>
      </c>
      <c r="Y104" t="s">
        <v>120</v>
      </c>
      <c r="Z104">
        <f>IF(ISNUMBER(SEARCH("Zepto",F104)),1,0)</f>
        <v>0</v>
      </c>
      <c r="AA104">
        <f>IF(ISNUMBER(SEARCH("Complain to customer support",K104)),1,0)</f>
        <v>1</v>
      </c>
    </row>
    <row r="105" spans="1:27" hidden="1" x14ac:dyDescent="0.3">
      <c r="A105" t="s">
        <v>26</v>
      </c>
      <c r="B105" t="s">
        <v>30</v>
      </c>
      <c r="C105" t="s">
        <v>35</v>
      </c>
      <c r="D105" t="s">
        <v>38</v>
      </c>
      <c r="E105" t="s">
        <v>44</v>
      </c>
      <c r="F105" t="s">
        <v>51</v>
      </c>
      <c r="G105" t="s">
        <v>76</v>
      </c>
      <c r="H105" t="s">
        <v>80</v>
      </c>
      <c r="J105" t="s">
        <v>82</v>
      </c>
      <c r="K105" t="s">
        <v>87</v>
      </c>
      <c r="L105" t="s">
        <v>80</v>
      </c>
      <c r="M105">
        <v>3</v>
      </c>
      <c r="N105">
        <v>3</v>
      </c>
      <c r="O105">
        <v>3</v>
      </c>
      <c r="P105">
        <v>3</v>
      </c>
      <c r="Q105">
        <v>3</v>
      </c>
      <c r="R105" t="s">
        <v>112</v>
      </c>
      <c r="S105">
        <v>3</v>
      </c>
      <c r="T105" t="s">
        <v>118</v>
      </c>
      <c r="U105">
        <v>3</v>
      </c>
      <c r="V105">
        <v>3</v>
      </c>
      <c r="W105" t="s">
        <v>110</v>
      </c>
      <c r="X105">
        <v>39</v>
      </c>
      <c r="Y105" t="s">
        <v>121</v>
      </c>
    </row>
    <row r="106" spans="1:27" x14ac:dyDescent="0.3">
      <c r="A106" t="s">
        <v>25</v>
      </c>
      <c r="B106" t="s">
        <v>32</v>
      </c>
      <c r="C106" t="s">
        <v>35</v>
      </c>
      <c r="D106" t="s">
        <v>37</v>
      </c>
      <c r="E106" t="s">
        <v>33</v>
      </c>
      <c r="F106" t="s">
        <v>69</v>
      </c>
      <c r="G106" t="s">
        <v>74</v>
      </c>
      <c r="H106" t="s">
        <v>79</v>
      </c>
      <c r="I106" t="s">
        <v>66</v>
      </c>
      <c r="J106" t="s">
        <v>83</v>
      </c>
      <c r="K106" t="s">
        <v>87</v>
      </c>
      <c r="L106" t="s">
        <v>79</v>
      </c>
      <c r="M106">
        <v>1</v>
      </c>
      <c r="N106">
        <v>1</v>
      </c>
      <c r="O106">
        <v>2</v>
      </c>
      <c r="P106">
        <v>1</v>
      </c>
      <c r="Q106">
        <v>1</v>
      </c>
      <c r="R106" t="s">
        <v>111</v>
      </c>
      <c r="S106">
        <v>5</v>
      </c>
      <c r="T106" t="s">
        <v>118</v>
      </c>
      <c r="U106">
        <v>2</v>
      </c>
      <c r="V106">
        <v>2</v>
      </c>
      <c r="W106" t="s">
        <v>111</v>
      </c>
      <c r="X106">
        <v>105</v>
      </c>
      <c r="Y106" t="s">
        <v>120</v>
      </c>
      <c r="Z106">
        <f>IF(ISNUMBER(SEARCH("Zepto",F106)),1,0)</f>
        <v>1</v>
      </c>
      <c r="AA106">
        <f>IF(ISNUMBER(SEARCH("Complain to customer support",K106)),1,0)</f>
        <v>0</v>
      </c>
    </row>
    <row r="107" spans="1:27" hidden="1" x14ac:dyDescent="0.3">
      <c r="A107" t="s">
        <v>26</v>
      </c>
      <c r="B107" t="s">
        <v>30</v>
      </c>
      <c r="C107" t="s">
        <v>36</v>
      </c>
      <c r="D107" t="s">
        <v>37</v>
      </c>
      <c r="E107" t="s">
        <v>44</v>
      </c>
      <c r="F107" t="s">
        <v>54</v>
      </c>
      <c r="G107" t="s">
        <v>76</v>
      </c>
      <c r="H107" t="s">
        <v>80</v>
      </c>
      <c r="J107" t="s">
        <v>82</v>
      </c>
      <c r="K107" t="s">
        <v>87</v>
      </c>
      <c r="L107" t="s">
        <v>80</v>
      </c>
      <c r="M107">
        <v>4</v>
      </c>
      <c r="N107">
        <v>4</v>
      </c>
      <c r="O107">
        <v>5</v>
      </c>
      <c r="P107">
        <v>4</v>
      </c>
      <c r="Q107">
        <v>4</v>
      </c>
      <c r="R107" t="s">
        <v>110</v>
      </c>
      <c r="S107">
        <v>2</v>
      </c>
      <c r="T107" t="s">
        <v>116</v>
      </c>
      <c r="U107">
        <v>5</v>
      </c>
      <c r="V107">
        <v>5</v>
      </c>
      <c r="W107" t="s">
        <v>111</v>
      </c>
      <c r="X107">
        <v>189</v>
      </c>
      <c r="Y107" t="s">
        <v>120</v>
      </c>
    </row>
    <row r="108" spans="1:27" hidden="1" x14ac:dyDescent="0.3">
      <c r="A108" t="s">
        <v>26</v>
      </c>
      <c r="B108" t="s">
        <v>30</v>
      </c>
      <c r="C108" t="s">
        <v>35</v>
      </c>
      <c r="D108" t="s">
        <v>39</v>
      </c>
      <c r="E108" t="s">
        <v>44</v>
      </c>
      <c r="F108" t="s">
        <v>68</v>
      </c>
      <c r="G108" t="s">
        <v>76</v>
      </c>
      <c r="H108" t="s">
        <v>79</v>
      </c>
      <c r="I108" t="s">
        <v>59</v>
      </c>
      <c r="J108" t="s">
        <v>82</v>
      </c>
      <c r="K108" t="s">
        <v>108</v>
      </c>
      <c r="L108" t="s">
        <v>80</v>
      </c>
      <c r="M108">
        <v>3</v>
      </c>
      <c r="N108">
        <v>3</v>
      </c>
      <c r="O108">
        <v>3</v>
      </c>
      <c r="P108">
        <v>3</v>
      </c>
      <c r="Q108">
        <v>3</v>
      </c>
      <c r="R108" t="s">
        <v>112</v>
      </c>
      <c r="S108">
        <v>3</v>
      </c>
      <c r="T108" t="s">
        <v>118</v>
      </c>
      <c r="U108">
        <v>4</v>
      </c>
      <c r="V108">
        <v>4</v>
      </c>
      <c r="W108" t="s">
        <v>114</v>
      </c>
      <c r="X108">
        <v>132</v>
      </c>
      <c r="Y108" t="s">
        <v>120</v>
      </c>
    </row>
    <row r="109" spans="1:27" hidden="1" x14ac:dyDescent="0.3">
      <c r="A109" t="s">
        <v>25</v>
      </c>
      <c r="B109" t="s">
        <v>32</v>
      </c>
      <c r="C109" t="s">
        <v>35</v>
      </c>
      <c r="D109" t="s">
        <v>38</v>
      </c>
      <c r="E109" t="s">
        <v>42</v>
      </c>
      <c r="F109" t="s">
        <v>54</v>
      </c>
      <c r="G109" t="s">
        <v>73</v>
      </c>
      <c r="H109" t="s">
        <v>79</v>
      </c>
      <c r="I109" t="s">
        <v>66</v>
      </c>
      <c r="J109" t="s">
        <v>84</v>
      </c>
      <c r="K109" t="s">
        <v>101</v>
      </c>
      <c r="L109" t="s">
        <v>80</v>
      </c>
      <c r="M109">
        <v>2</v>
      </c>
      <c r="N109">
        <v>3</v>
      </c>
      <c r="O109">
        <v>4</v>
      </c>
      <c r="P109">
        <v>3</v>
      </c>
      <c r="Q109">
        <v>2</v>
      </c>
      <c r="R109" t="s">
        <v>113</v>
      </c>
      <c r="S109">
        <v>3</v>
      </c>
      <c r="T109" t="s">
        <v>115</v>
      </c>
      <c r="U109">
        <v>3</v>
      </c>
      <c r="V109">
        <v>3</v>
      </c>
      <c r="W109" t="s">
        <v>114</v>
      </c>
      <c r="X109">
        <v>119</v>
      </c>
      <c r="Y109" t="s">
        <v>124</v>
      </c>
    </row>
    <row r="110" spans="1:27" hidden="1" x14ac:dyDescent="0.3">
      <c r="A110" t="s">
        <v>26</v>
      </c>
      <c r="B110" t="s">
        <v>30</v>
      </c>
      <c r="C110" t="s">
        <v>35</v>
      </c>
      <c r="D110" t="s">
        <v>37</v>
      </c>
      <c r="E110" t="s">
        <v>33</v>
      </c>
      <c r="F110" t="s">
        <v>68</v>
      </c>
      <c r="G110" t="s">
        <v>72</v>
      </c>
      <c r="H110" t="s">
        <v>79</v>
      </c>
      <c r="I110" t="s">
        <v>51</v>
      </c>
      <c r="J110" t="s">
        <v>82</v>
      </c>
      <c r="K110" t="s">
        <v>106</v>
      </c>
      <c r="L110" t="s">
        <v>80</v>
      </c>
      <c r="M110">
        <v>2</v>
      </c>
      <c r="N110">
        <v>2</v>
      </c>
      <c r="O110">
        <v>3</v>
      </c>
      <c r="P110">
        <v>2</v>
      </c>
      <c r="Q110">
        <v>2</v>
      </c>
      <c r="R110" t="s">
        <v>114</v>
      </c>
      <c r="S110">
        <v>3</v>
      </c>
      <c r="T110" t="s">
        <v>118</v>
      </c>
      <c r="U110">
        <v>3</v>
      </c>
      <c r="V110">
        <v>3</v>
      </c>
      <c r="W110" t="s">
        <v>110</v>
      </c>
      <c r="X110">
        <v>23</v>
      </c>
      <c r="Y110" t="s">
        <v>124</v>
      </c>
    </row>
    <row r="111" spans="1:27" hidden="1" x14ac:dyDescent="0.3">
      <c r="A111" t="s">
        <v>26</v>
      </c>
      <c r="B111" t="s">
        <v>33</v>
      </c>
      <c r="C111" t="s">
        <v>36</v>
      </c>
      <c r="D111" t="s">
        <v>37</v>
      </c>
      <c r="E111" t="s">
        <v>33</v>
      </c>
      <c r="F111" t="s">
        <v>62</v>
      </c>
      <c r="G111" t="s">
        <v>72</v>
      </c>
      <c r="H111" t="s">
        <v>79</v>
      </c>
      <c r="I111" t="s">
        <v>51</v>
      </c>
      <c r="J111" t="s">
        <v>84</v>
      </c>
      <c r="K111" t="s">
        <v>109</v>
      </c>
      <c r="L111" t="s">
        <v>80</v>
      </c>
      <c r="M111">
        <v>3</v>
      </c>
      <c r="N111">
        <v>3</v>
      </c>
      <c r="O111">
        <v>3</v>
      </c>
      <c r="P111">
        <v>3</v>
      </c>
      <c r="Q111">
        <v>3</v>
      </c>
      <c r="R111" t="s">
        <v>113</v>
      </c>
      <c r="S111">
        <v>3</v>
      </c>
      <c r="T111" t="s">
        <v>118</v>
      </c>
      <c r="U111">
        <v>4</v>
      </c>
      <c r="V111">
        <v>4</v>
      </c>
      <c r="W111" t="s">
        <v>111</v>
      </c>
      <c r="X111">
        <v>206</v>
      </c>
      <c r="Y111" t="s">
        <v>121</v>
      </c>
    </row>
    <row r="112" spans="1:27" x14ac:dyDescent="0.3">
      <c r="A112" t="s">
        <v>26</v>
      </c>
      <c r="B112" t="s">
        <v>32</v>
      </c>
      <c r="C112" t="s">
        <v>34</v>
      </c>
      <c r="D112" t="s">
        <v>38</v>
      </c>
      <c r="E112" t="s">
        <v>42</v>
      </c>
      <c r="F112" t="s">
        <v>58</v>
      </c>
      <c r="G112" t="s">
        <v>78</v>
      </c>
      <c r="H112" t="s">
        <v>80</v>
      </c>
      <c r="J112" t="s">
        <v>82</v>
      </c>
      <c r="K112" t="s">
        <v>87</v>
      </c>
      <c r="L112" t="s">
        <v>79</v>
      </c>
      <c r="M112">
        <v>5</v>
      </c>
      <c r="N112">
        <v>4</v>
      </c>
      <c r="O112">
        <v>5</v>
      </c>
      <c r="P112">
        <v>5</v>
      </c>
      <c r="Q112">
        <v>5</v>
      </c>
      <c r="R112" t="s">
        <v>111</v>
      </c>
      <c r="S112">
        <v>2</v>
      </c>
      <c r="T112" t="s">
        <v>116</v>
      </c>
      <c r="U112">
        <v>5</v>
      </c>
      <c r="V112">
        <v>5</v>
      </c>
      <c r="W112" t="s">
        <v>112</v>
      </c>
      <c r="X112">
        <v>59</v>
      </c>
      <c r="Y112" t="s">
        <v>122</v>
      </c>
      <c r="Z112">
        <f>IF(ISNUMBER(SEARCH("Zepto",F112)),1,0)</f>
        <v>1</v>
      </c>
      <c r="AA112">
        <f>IF(ISNUMBER(SEARCH("Complain to customer support",K112)),1,0)</f>
        <v>0</v>
      </c>
    </row>
    <row r="113" spans="1:27" hidden="1" x14ac:dyDescent="0.3">
      <c r="A113" t="s">
        <v>29</v>
      </c>
      <c r="B113" t="s">
        <v>30</v>
      </c>
      <c r="C113" t="s">
        <v>35</v>
      </c>
      <c r="D113" t="s">
        <v>38</v>
      </c>
      <c r="E113" t="s">
        <v>43</v>
      </c>
      <c r="F113" t="s">
        <v>68</v>
      </c>
      <c r="G113" t="s">
        <v>74</v>
      </c>
      <c r="H113" t="s">
        <v>79</v>
      </c>
      <c r="I113" t="s">
        <v>51</v>
      </c>
      <c r="J113" t="s">
        <v>83</v>
      </c>
      <c r="K113" t="s">
        <v>95</v>
      </c>
      <c r="L113" t="s">
        <v>80</v>
      </c>
      <c r="M113">
        <v>2</v>
      </c>
      <c r="N113">
        <v>3</v>
      </c>
      <c r="O113">
        <v>3</v>
      </c>
      <c r="P113">
        <v>2</v>
      </c>
      <c r="Q113">
        <v>2</v>
      </c>
      <c r="R113" t="s">
        <v>112</v>
      </c>
      <c r="S113">
        <v>3</v>
      </c>
      <c r="T113" t="s">
        <v>117</v>
      </c>
      <c r="U113">
        <v>3</v>
      </c>
      <c r="V113">
        <v>3</v>
      </c>
      <c r="W113" t="s">
        <v>111</v>
      </c>
      <c r="X113">
        <v>92</v>
      </c>
      <c r="Y113" t="s">
        <v>122</v>
      </c>
    </row>
    <row r="114" spans="1:27" hidden="1" x14ac:dyDescent="0.3">
      <c r="A114" t="s">
        <v>26</v>
      </c>
      <c r="B114" t="s">
        <v>32</v>
      </c>
      <c r="C114" t="s">
        <v>35</v>
      </c>
      <c r="D114" t="s">
        <v>41</v>
      </c>
      <c r="E114" t="s">
        <v>44</v>
      </c>
      <c r="F114" t="s">
        <v>60</v>
      </c>
      <c r="G114" t="s">
        <v>78</v>
      </c>
      <c r="H114" t="s">
        <v>80</v>
      </c>
      <c r="J114" t="s">
        <v>82</v>
      </c>
      <c r="K114" t="s">
        <v>87</v>
      </c>
      <c r="L114" t="s">
        <v>80</v>
      </c>
      <c r="M114">
        <v>2</v>
      </c>
      <c r="N114">
        <v>3</v>
      </c>
      <c r="O114">
        <v>3</v>
      </c>
      <c r="P114">
        <v>3</v>
      </c>
      <c r="Q114">
        <v>2</v>
      </c>
      <c r="R114" t="s">
        <v>112</v>
      </c>
      <c r="S114">
        <v>5</v>
      </c>
      <c r="T114" t="s">
        <v>117</v>
      </c>
      <c r="U114">
        <v>2</v>
      </c>
      <c r="V114">
        <v>2</v>
      </c>
      <c r="W114" t="s">
        <v>113</v>
      </c>
      <c r="X114">
        <v>71</v>
      </c>
      <c r="Y114" t="s">
        <v>120</v>
      </c>
    </row>
    <row r="115" spans="1:27" x14ac:dyDescent="0.3">
      <c r="A115" t="s">
        <v>25</v>
      </c>
      <c r="B115" t="s">
        <v>30</v>
      </c>
      <c r="C115" t="s">
        <v>36</v>
      </c>
      <c r="D115" t="s">
        <v>38</v>
      </c>
      <c r="E115" t="s">
        <v>33</v>
      </c>
      <c r="F115" t="s">
        <v>56</v>
      </c>
      <c r="G115" t="s">
        <v>73</v>
      </c>
      <c r="H115" t="s">
        <v>80</v>
      </c>
      <c r="J115" t="s">
        <v>82</v>
      </c>
      <c r="K115" t="s">
        <v>87</v>
      </c>
      <c r="L115" t="s">
        <v>79</v>
      </c>
      <c r="M115">
        <v>3</v>
      </c>
      <c r="N115">
        <v>4</v>
      </c>
      <c r="O115">
        <v>4</v>
      </c>
      <c r="P115">
        <v>3</v>
      </c>
      <c r="Q115">
        <v>3</v>
      </c>
      <c r="R115" t="s">
        <v>113</v>
      </c>
      <c r="S115">
        <v>3</v>
      </c>
      <c r="T115" t="s">
        <v>118</v>
      </c>
      <c r="U115">
        <v>4</v>
      </c>
      <c r="V115">
        <v>4</v>
      </c>
      <c r="W115" t="s">
        <v>110</v>
      </c>
      <c r="X115">
        <v>19</v>
      </c>
      <c r="Y115" t="s">
        <v>122</v>
      </c>
      <c r="Z115">
        <f t="shared" ref="Z115:Z117" si="20">IF(ISNUMBER(SEARCH("Zepto",F115)),1,0)</f>
        <v>0</v>
      </c>
      <c r="AA115">
        <f t="shared" ref="AA115:AA117" si="21">IF(ISNUMBER(SEARCH("Complain to customer support",K115)),1,0)</f>
        <v>0</v>
      </c>
    </row>
    <row r="116" spans="1:27" x14ac:dyDescent="0.3">
      <c r="A116" t="s">
        <v>26</v>
      </c>
      <c r="B116" t="s">
        <v>30</v>
      </c>
      <c r="C116" t="s">
        <v>36</v>
      </c>
      <c r="D116" t="s">
        <v>38</v>
      </c>
      <c r="E116" t="s">
        <v>44</v>
      </c>
      <c r="F116" t="s">
        <v>69</v>
      </c>
      <c r="G116" t="s">
        <v>75</v>
      </c>
      <c r="H116" t="s">
        <v>80</v>
      </c>
      <c r="J116" t="s">
        <v>82</v>
      </c>
      <c r="K116" t="s">
        <v>87</v>
      </c>
      <c r="L116" t="s">
        <v>79</v>
      </c>
      <c r="M116">
        <v>4</v>
      </c>
      <c r="N116">
        <v>3</v>
      </c>
      <c r="O116">
        <v>4</v>
      </c>
      <c r="P116">
        <v>3</v>
      </c>
      <c r="Q116">
        <v>4</v>
      </c>
      <c r="R116" t="s">
        <v>114</v>
      </c>
      <c r="S116">
        <v>2</v>
      </c>
      <c r="T116" t="s">
        <v>116</v>
      </c>
      <c r="U116">
        <v>4</v>
      </c>
      <c r="V116">
        <v>4</v>
      </c>
      <c r="W116" t="s">
        <v>114</v>
      </c>
      <c r="X116">
        <v>78</v>
      </c>
      <c r="Y116" t="s">
        <v>121</v>
      </c>
      <c r="Z116">
        <f t="shared" si="20"/>
        <v>1</v>
      </c>
      <c r="AA116">
        <f t="shared" si="21"/>
        <v>0</v>
      </c>
    </row>
    <row r="117" spans="1:27" x14ac:dyDescent="0.3">
      <c r="A117" t="s">
        <v>26</v>
      </c>
      <c r="B117" t="s">
        <v>32</v>
      </c>
      <c r="C117" t="s">
        <v>34</v>
      </c>
      <c r="D117" t="s">
        <v>38</v>
      </c>
      <c r="E117" t="s">
        <v>44</v>
      </c>
      <c r="F117" t="s">
        <v>71</v>
      </c>
      <c r="G117" t="s">
        <v>72</v>
      </c>
      <c r="H117" t="s">
        <v>80</v>
      </c>
      <c r="J117" t="s">
        <v>82</v>
      </c>
      <c r="K117" t="s">
        <v>87</v>
      </c>
      <c r="L117" t="s">
        <v>79</v>
      </c>
      <c r="M117">
        <v>3</v>
      </c>
      <c r="N117">
        <v>3</v>
      </c>
      <c r="O117">
        <v>4</v>
      </c>
      <c r="P117">
        <v>3</v>
      </c>
      <c r="Q117">
        <v>3</v>
      </c>
      <c r="R117" t="s">
        <v>111</v>
      </c>
      <c r="S117">
        <v>3</v>
      </c>
      <c r="T117" t="s">
        <v>119</v>
      </c>
      <c r="U117">
        <v>4</v>
      </c>
      <c r="V117">
        <v>3</v>
      </c>
      <c r="W117" t="s">
        <v>114</v>
      </c>
      <c r="X117">
        <v>56</v>
      </c>
      <c r="Y117" t="s">
        <v>120</v>
      </c>
      <c r="Z117">
        <f t="shared" si="20"/>
        <v>1</v>
      </c>
      <c r="AA117">
        <f t="shared" si="21"/>
        <v>0</v>
      </c>
    </row>
    <row r="118" spans="1:27" hidden="1" x14ac:dyDescent="0.3">
      <c r="A118" t="s">
        <v>26</v>
      </c>
      <c r="B118" t="s">
        <v>30</v>
      </c>
      <c r="C118" t="s">
        <v>34</v>
      </c>
      <c r="D118" t="s">
        <v>39</v>
      </c>
      <c r="E118" t="s">
        <v>45</v>
      </c>
      <c r="F118" t="s">
        <v>68</v>
      </c>
      <c r="G118" t="s">
        <v>73</v>
      </c>
      <c r="H118" t="s">
        <v>80</v>
      </c>
      <c r="J118" t="s">
        <v>82</v>
      </c>
      <c r="K118" t="s">
        <v>87</v>
      </c>
      <c r="L118" t="s">
        <v>80</v>
      </c>
      <c r="M118">
        <v>3</v>
      </c>
      <c r="N118">
        <v>4</v>
      </c>
      <c r="O118">
        <v>4</v>
      </c>
      <c r="P118">
        <v>3</v>
      </c>
      <c r="Q118">
        <v>3</v>
      </c>
      <c r="R118" t="s">
        <v>112</v>
      </c>
      <c r="S118">
        <v>3</v>
      </c>
      <c r="T118" t="s">
        <v>117</v>
      </c>
      <c r="U118">
        <v>4</v>
      </c>
      <c r="V118">
        <v>4</v>
      </c>
      <c r="W118" t="s">
        <v>110</v>
      </c>
      <c r="X118">
        <v>35</v>
      </c>
      <c r="Y118" t="s">
        <v>121</v>
      </c>
    </row>
    <row r="119" spans="1:27" x14ac:dyDescent="0.3">
      <c r="A119" t="s">
        <v>28</v>
      </c>
      <c r="B119" t="s">
        <v>30</v>
      </c>
      <c r="C119" t="s">
        <v>35</v>
      </c>
      <c r="D119" t="s">
        <v>38</v>
      </c>
      <c r="E119" t="s">
        <v>43</v>
      </c>
      <c r="F119" t="s">
        <v>59</v>
      </c>
      <c r="G119" t="s">
        <v>77</v>
      </c>
      <c r="H119" t="s">
        <v>79</v>
      </c>
      <c r="I119" t="s">
        <v>59</v>
      </c>
      <c r="J119" t="s">
        <v>81</v>
      </c>
      <c r="K119" t="s">
        <v>108</v>
      </c>
      <c r="L119" t="s">
        <v>79</v>
      </c>
      <c r="M119">
        <v>2</v>
      </c>
      <c r="N119">
        <v>2</v>
      </c>
      <c r="O119">
        <v>2</v>
      </c>
      <c r="P119">
        <v>2</v>
      </c>
      <c r="Q119">
        <v>2</v>
      </c>
      <c r="R119" t="s">
        <v>113</v>
      </c>
      <c r="S119">
        <v>4</v>
      </c>
      <c r="T119" t="s">
        <v>118</v>
      </c>
      <c r="U119">
        <v>2</v>
      </c>
      <c r="V119">
        <v>2</v>
      </c>
      <c r="W119" t="s">
        <v>113</v>
      </c>
      <c r="X119">
        <v>54</v>
      </c>
      <c r="Y119" t="s">
        <v>122</v>
      </c>
      <c r="Z119">
        <f>IF(ISNUMBER(SEARCH("Zepto",F119)),1,0)</f>
        <v>1</v>
      </c>
      <c r="AA119">
        <f>IF(ISNUMBER(SEARCH("Complain to customer support",K119)),1,0)</f>
        <v>0</v>
      </c>
    </row>
    <row r="120" spans="1:27" hidden="1" x14ac:dyDescent="0.3">
      <c r="A120" t="s">
        <v>26</v>
      </c>
      <c r="B120" t="s">
        <v>30</v>
      </c>
      <c r="C120" t="s">
        <v>35</v>
      </c>
      <c r="D120" t="s">
        <v>38</v>
      </c>
      <c r="E120" t="s">
        <v>42</v>
      </c>
      <c r="F120" t="s">
        <v>51</v>
      </c>
      <c r="G120" t="s">
        <v>76</v>
      </c>
      <c r="H120" t="s">
        <v>80</v>
      </c>
      <c r="J120" t="s">
        <v>82</v>
      </c>
      <c r="K120" t="s">
        <v>87</v>
      </c>
      <c r="L120" t="s">
        <v>80</v>
      </c>
      <c r="M120">
        <v>3</v>
      </c>
      <c r="N120">
        <v>3</v>
      </c>
      <c r="O120">
        <v>3</v>
      </c>
      <c r="P120">
        <v>4</v>
      </c>
      <c r="Q120">
        <v>3</v>
      </c>
      <c r="R120" t="s">
        <v>114</v>
      </c>
      <c r="S120">
        <v>3</v>
      </c>
      <c r="T120" t="s">
        <v>118</v>
      </c>
      <c r="U120">
        <v>4</v>
      </c>
      <c r="V120">
        <v>4</v>
      </c>
      <c r="W120" t="s">
        <v>111</v>
      </c>
      <c r="X120">
        <v>232</v>
      </c>
      <c r="Y120" t="s">
        <v>124</v>
      </c>
    </row>
    <row r="121" spans="1:27" x14ac:dyDescent="0.3">
      <c r="A121" t="s">
        <v>29</v>
      </c>
      <c r="B121" t="s">
        <v>32</v>
      </c>
      <c r="C121" t="s">
        <v>36</v>
      </c>
      <c r="D121" t="s">
        <v>37</v>
      </c>
      <c r="E121" t="s">
        <v>46</v>
      </c>
      <c r="F121" t="s">
        <v>58</v>
      </c>
      <c r="G121" t="s">
        <v>73</v>
      </c>
      <c r="H121" t="s">
        <v>79</v>
      </c>
      <c r="I121" t="s">
        <v>59</v>
      </c>
      <c r="J121" t="s">
        <v>82</v>
      </c>
      <c r="K121" t="s">
        <v>88</v>
      </c>
      <c r="L121" t="s">
        <v>79</v>
      </c>
      <c r="M121">
        <v>3</v>
      </c>
      <c r="N121">
        <v>3</v>
      </c>
      <c r="O121">
        <v>3</v>
      </c>
      <c r="P121">
        <v>2</v>
      </c>
      <c r="Q121">
        <v>2</v>
      </c>
      <c r="R121" t="s">
        <v>113</v>
      </c>
      <c r="S121">
        <v>3</v>
      </c>
      <c r="T121" t="s">
        <v>115</v>
      </c>
      <c r="U121">
        <v>3</v>
      </c>
      <c r="V121">
        <v>3</v>
      </c>
      <c r="W121" t="s">
        <v>112</v>
      </c>
      <c r="X121">
        <v>103</v>
      </c>
      <c r="Y121" t="s">
        <v>123</v>
      </c>
      <c r="Z121">
        <f t="shared" ref="Z121:Z128" si="22">IF(ISNUMBER(SEARCH("Zepto",F121)),1,0)</f>
        <v>1</v>
      </c>
      <c r="AA121">
        <f t="shared" ref="AA121:AA128" si="23">IF(ISNUMBER(SEARCH("Complain to customer support",K121)),1,0)</f>
        <v>1</v>
      </c>
    </row>
    <row r="122" spans="1:27" x14ac:dyDescent="0.3">
      <c r="A122" t="s">
        <v>25</v>
      </c>
      <c r="B122" t="s">
        <v>32</v>
      </c>
      <c r="C122" t="s">
        <v>34</v>
      </c>
      <c r="D122" t="s">
        <v>37</v>
      </c>
      <c r="E122" t="s">
        <v>42</v>
      </c>
      <c r="F122" t="s">
        <v>53</v>
      </c>
      <c r="G122" t="s">
        <v>74</v>
      </c>
      <c r="H122" t="s">
        <v>79</v>
      </c>
      <c r="I122" t="s">
        <v>59</v>
      </c>
      <c r="J122" t="s">
        <v>84</v>
      </c>
      <c r="K122" t="s">
        <v>102</v>
      </c>
      <c r="L122" t="s">
        <v>79</v>
      </c>
      <c r="M122">
        <v>4</v>
      </c>
      <c r="N122">
        <v>4</v>
      </c>
      <c r="O122">
        <v>4</v>
      </c>
      <c r="P122">
        <v>4</v>
      </c>
      <c r="Q122">
        <v>4</v>
      </c>
      <c r="R122" t="s">
        <v>111</v>
      </c>
      <c r="S122">
        <v>3</v>
      </c>
      <c r="T122" t="s">
        <v>117</v>
      </c>
      <c r="U122">
        <v>4</v>
      </c>
      <c r="V122">
        <v>4</v>
      </c>
      <c r="W122" t="s">
        <v>112</v>
      </c>
      <c r="X122">
        <v>158</v>
      </c>
      <c r="Y122" t="s">
        <v>123</v>
      </c>
      <c r="Z122">
        <f t="shared" si="22"/>
        <v>1</v>
      </c>
      <c r="AA122">
        <f t="shared" si="23"/>
        <v>1</v>
      </c>
    </row>
    <row r="123" spans="1:27" x14ac:dyDescent="0.3">
      <c r="A123" t="s">
        <v>25</v>
      </c>
      <c r="B123" t="s">
        <v>32</v>
      </c>
      <c r="C123" t="s">
        <v>34</v>
      </c>
      <c r="D123" t="s">
        <v>37</v>
      </c>
      <c r="E123" t="s">
        <v>33</v>
      </c>
      <c r="F123" t="s">
        <v>59</v>
      </c>
      <c r="G123" t="s">
        <v>76</v>
      </c>
      <c r="H123" t="s">
        <v>79</v>
      </c>
      <c r="I123" t="s">
        <v>59</v>
      </c>
      <c r="J123" t="s">
        <v>82</v>
      </c>
      <c r="K123" t="s">
        <v>88</v>
      </c>
      <c r="L123" t="s">
        <v>79</v>
      </c>
      <c r="M123">
        <v>4</v>
      </c>
      <c r="N123">
        <v>3</v>
      </c>
      <c r="O123">
        <v>4</v>
      </c>
      <c r="P123">
        <v>3</v>
      </c>
      <c r="Q123">
        <v>3</v>
      </c>
      <c r="R123" t="s">
        <v>112</v>
      </c>
      <c r="S123">
        <v>3</v>
      </c>
      <c r="T123" t="s">
        <v>118</v>
      </c>
      <c r="U123">
        <v>4</v>
      </c>
      <c r="V123">
        <v>4</v>
      </c>
      <c r="W123" t="s">
        <v>111</v>
      </c>
      <c r="X123">
        <v>159</v>
      </c>
      <c r="Y123" t="s">
        <v>120</v>
      </c>
      <c r="Z123">
        <f t="shared" si="22"/>
        <v>1</v>
      </c>
      <c r="AA123">
        <f t="shared" si="23"/>
        <v>1</v>
      </c>
    </row>
    <row r="124" spans="1:27" x14ac:dyDescent="0.3">
      <c r="A124" t="s">
        <v>26</v>
      </c>
      <c r="B124" t="s">
        <v>32</v>
      </c>
      <c r="C124" t="s">
        <v>35</v>
      </c>
      <c r="D124" t="s">
        <v>38</v>
      </c>
      <c r="E124" t="s">
        <v>42</v>
      </c>
      <c r="F124" t="s">
        <v>64</v>
      </c>
      <c r="G124" t="s">
        <v>76</v>
      </c>
      <c r="H124" t="s">
        <v>80</v>
      </c>
      <c r="J124" t="s">
        <v>82</v>
      </c>
      <c r="K124" t="s">
        <v>87</v>
      </c>
      <c r="L124" t="s">
        <v>79</v>
      </c>
      <c r="M124">
        <v>4</v>
      </c>
      <c r="N124">
        <v>4</v>
      </c>
      <c r="O124">
        <v>4</v>
      </c>
      <c r="P124">
        <v>3</v>
      </c>
      <c r="Q124">
        <v>3</v>
      </c>
      <c r="R124" t="s">
        <v>112</v>
      </c>
      <c r="S124">
        <v>3</v>
      </c>
      <c r="T124" t="s">
        <v>117</v>
      </c>
      <c r="U124">
        <v>5</v>
      </c>
      <c r="V124">
        <v>5</v>
      </c>
      <c r="W124" t="s">
        <v>113</v>
      </c>
      <c r="X124">
        <v>68</v>
      </c>
      <c r="Y124" t="s">
        <v>123</v>
      </c>
      <c r="Z124">
        <f t="shared" si="22"/>
        <v>1</v>
      </c>
      <c r="AA124">
        <f t="shared" si="23"/>
        <v>0</v>
      </c>
    </row>
    <row r="125" spans="1:27" x14ac:dyDescent="0.3">
      <c r="A125" t="s">
        <v>25</v>
      </c>
      <c r="B125" t="s">
        <v>30</v>
      </c>
      <c r="C125" t="s">
        <v>35</v>
      </c>
      <c r="D125" t="s">
        <v>38</v>
      </c>
      <c r="E125" t="s">
        <v>45</v>
      </c>
      <c r="F125" t="s">
        <v>53</v>
      </c>
      <c r="G125" t="s">
        <v>76</v>
      </c>
      <c r="H125" t="s">
        <v>80</v>
      </c>
      <c r="J125" t="s">
        <v>82</v>
      </c>
      <c r="K125" t="s">
        <v>87</v>
      </c>
      <c r="L125" t="s">
        <v>79</v>
      </c>
      <c r="M125">
        <v>3</v>
      </c>
      <c r="N125">
        <v>3</v>
      </c>
      <c r="O125">
        <v>3</v>
      </c>
      <c r="P125">
        <v>3</v>
      </c>
      <c r="Q125">
        <v>3</v>
      </c>
      <c r="R125" t="s">
        <v>110</v>
      </c>
      <c r="S125">
        <v>3</v>
      </c>
      <c r="T125" t="s">
        <v>119</v>
      </c>
      <c r="U125">
        <v>3</v>
      </c>
      <c r="V125">
        <v>3</v>
      </c>
      <c r="W125" t="s">
        <v>113</v>
      </c>
      <c r="X125">
        <v>38</v>
      </c>
      <c r="Y125" t="s">
        <v>121</v>
      </c>
      <c r="Z125">
        <f t="shared" si="22"/>
        <v>1</v>
      </c>
      <c r="AA125">
        <f t="shared" si="23"/>
        <v>0</v>
      </c>
    </row>
    <row r="126" spans="1:27" x14ac:dyDescent="0.3">
      <c r="A126" t="s">
        <v>26</v>
      </c>
      <c r="B126" t="s">
        <v>32</v>
      </c>
      <c r="C126" t="s">
        <v>35</v>
      </c>
      <c r="D126" t="s">
        <v>38</v>
      </c>
      <c r="E126" t="s">
        <v>44</v>
      </c>
      <c r="F126" t="s">
        <v>68</v>
      </c>
      <c r="G126" t="s">
        <v>73</v>
      </c>
      <c r="H126" t="s">
        <v>79</v>
      </c>
      <c r="I126" t="s">
        <v>59</v>
      </c>
      <c r="J126" t="s">
        <v>82</v>
      </c>
      <c r="K126" t="s">
        <v>105</v>
      </c>
      <c r="L126" t="s">
        <v>79</v>
      </c>
      <c r="M126">
        <v>4</v>
      </c>
      <c r="N126">
        <v>3</v>
      </c>
      <c r="O126">
        <v>4</v>
      </c>
      <c r="P126">
        <v>4</v>
      </c>
      <c r="Q126">
        <v>4</v>
      </c>
      <c r="R126" t="s">
        <v>110</v>
      </c>
      <c r="S126">
        <v>3</v>
      </c>
      <c r="T126" t="s">
        <v>117</v>
      </c>
      <c r="U126">
        <v>3</v>
      </c>
      <c r="V126">
        <v>4</v>
      </c>
      <c r="W126" t="s">
        <v>110</v>
      </c>
      <c r="X126">
        <v>26</v>
      </c>
      <c r="Y126" t="s">
        <v>122</v>
      </c>
      <c r="Z126">
        <f t="shared" si="22"/>
        <v>0</v>
      </c>
      <c r="AA126">
        <f t="shared" si="23"/>
        <v>1</v>
      </c>
    </row>
    <row r="127" spans="1:27" x14ac:dyDescent="0.3">
      <c r="A127" t="s">
        <v>28</v>
      </c>
      <c r="B127" t="s">
        <v>32</v>
      </c>
      <c r="C127" t="s">
        <v>35</v>
      </c>
      <c r="D127" t="s">
        <v>38</v>
      </c>
      <c r="E127" t="s">
        <v>42</v>
      </c>
      <c r="F127" t="s">
        <v>59</v>
      </c>
      <c r="G127" t="s">
        <v>74</v>
      </c>
      <c r="H127" t="s">
        <v>80</v>
      </c>
      <c r="J127" t="s">
        <v>82</v>
      </c>
      <c r="K127" t="s">
        <v>87</v>
      </c>
      <c r="L127" t="s">
        <v>79</v>
      </c>
      <c r="M127">
        <v>4</v>
      </c>
      <c r="N127">
        <v>4</v>
      </c>
      <c r="O127">
        <v>4</v>
      </c>
      <c r="P127">
        <v>3</v>
      </c>
      <c r="Q127">
        <v>4</v>
      </c>
      <c r="R127" t="s">
        <v>112</v>
      </c>
      <c r="S127">
        <v>3</v>
      </c>
      <c r="T127" t="s">
        <v>116</v>
      </c>
      <c r="U127">
        <v>4</v>
      </c>
      <c r="V127">
        <v>4</v>
      </c>
      <c r="W127" t="s">
        <v>113</v>
      </c>
      <c r="X127">
        <v>15</v>
      </c>
      <c r="Y127" t="s">
        <v>121</v>
      </c>
      <c r="Z127">
        <f t="shared" si="22"/>
        <v>1</v>
      </c>
      <c r="AA127">
        <f t="shared" si="23"/>
        <v>0</v>
      </c>
    </row>
    <row r="128" spans="1:27" x14ac:dyDescent="0.3">
      <c r="A128" t="s">
        <v>26</v>
      </c>
      <c r="B128" t="s">
        <v>32</v>
      </c>
      <c r="C128" t="s">
        <v>35</v>
      </c>
      <c r="D128" t="s">
        <v>38</v>
      </c>
      <c r="E128" t="s">
        <v>33</v>
      </c>
      <c r="F128" t="s">
        <v>49</v>
      </c>
      <c r="G128" t="s">
        <v>73</v>
      </c>
      <c r="H128" t="s">
        <v>79</v>
      </c>
      <c r="I128" t="s">
        <v>66</v>
      </c>
      <c r="J128" t="s">
        <v>85</v>
      </c>
      <c r="K128" t="s">
        <v>97</v>
      </c>
      <c r="L128" t="s">
        <v>79</v>
      </c>
      <c r="M128">
        <v>2</v>
      </c>
      <c r="N128">
        <v>1</v>
      </c>
      <c r="O128">
        <v>2</v>
      </c>
      <c r="P128">
        <v>2</v>
      </c>
      <c r="Q128">
        <v>2</v>
      </c>
      <c r="R128" t="s">
        <v>114</v>
      </c>
      <c r="S128">
        <v>4</v>
      </c>
      <c r="T128" t="s">
        <v>118</v>
      </c>
      <c r="U128">
        <v>3</v>
      </c>
      <c r="V128">
        <v>2</v>
      </c>
      <c r="W128" t="s">
        <v>112</v>
      </c>
      <c r="X128">
        <v>187</v>
      </c>
      <c r="Y128" t="s">
        <v>122</v>
      </c>
      <c r="Z128">
        <f t="shared" si="22"/>
        <v>1</v>
      </c>
      <c r="AA128">
        <f t="shared" si="23"/>
        <v>1</v>
      </c>
    </row>
    <row r="129" spans="1:27" hidden="1" x14ac:dyDescent="0.3">
      <c r="A129" t="s">
        <v>26</v>
      </c>
      <c r="B129" t="s">
        <v>32</v>
      </c>
      <c r="C129" t="s">
        <v>35</v>
      </c>
      <c r="D129" t="s">
        <v>37</v>
      </c>
      <c r="E129" t="s">
        <v>44</v>
      </c>
      <c r="F129" t="s">
        <v>66</v>
      </c>
      <c r="G129" t="s">
        <v>72</v>
      </c>
      <c r="H129" t="s">
        <v>80</v>
      </c>
      <c r="J129" t="s">
        <v>82</v>
      </c>
      <c r="K129" t="s">
        <v>87</v>
      </c>
      <c r="L129" t="s">
        <v>80</v>
      </c>
      <c r="M129">
        <v>3</v>
      </c>
      <c r="N129">
        <v>3</v>
      </c>
      <c r="O129">
        <v>4</v>
      </c>
      <c r="P129">
        <v>3</v>
      </c>
      <c r="Q129">
        <v>3</v>
      </c>
      <c r="R129" t="s">
        <v>112</v>
      </c>
      <c r="S129">
        <v>3</v>
      </c>
      <c r="T129" t="s">
        <v>116</v>
      </c>
      <c r="U129">
        <v>4</v>
      </c>
      <c r="V129">
        <v>3</v>
      </c>
      <c r="W129" t="s">
        <v>112</v>
      </c>
      <c r="X129">
        <v>171</v>
      </c>
      <c r="Y129" t="s">
        <v>122</v>
      </c>
    </row>
    <row r="130" spans="1:27" x14ac:dyDescent="0.3">
      <c r="A130" t="s">
        <v>27</v>
      </c>
      <c r="B130" t="s">
        <v>30</v>
      </c>
      <c r="C130" t="s">
        <v>34</v>
      </c>
      <c r="D130" t="s">
        <v>41</v>
      </c>
      <c r="E130" t="s">
        <v>44</v>
      </c>
      <c r="F130" t="s">
        <v>61</v>
      </c>
      <c r="G130" t="s">
        <v>74</v>
      </c>
      <c r="H130" t="s">
        <v>79</v>
      </c>
      <c r="I130" t="s">
        <v>51</v>
      </c>
      <c r="J130" t="s">
        <v>82</v>
      </c>
      <c r="K130" t="s">
        <v>105</v>
      </c>
      <c r="L130" t="s">
        <v>79</v>
      </c>
      <c r="M130">
        <v>3</v>
      </c>
      <c r="N130">
        <v>3</v>
      </c>
      <c r="O130">
        <v>2</v>
      </c>
      <c r="P130">
        <v>2</v>
      </c>
      <c r="Q130">
        <v>2</v>
      </c>
      <c r="R130" t="s">
        <v>112</v>
      </c>
      <c r="S130">
        <v>3</v>
      </c>
      <c r="T130" t="s">
        <v>118</v>
      </c>
      <c r="U130">
        <v>3</v>
      </c>
      <c r="V130">
        <v>3</v>
      </c>
      <c r="W130" t="s">
        <v>113</v>
      </c>
      <c r="X130">
        <v>42</v>
      </c>
      <c r="Y130" t="s">
        <v>122</v>
      </c>
      <c r="Z130">
        <f t="shared" ref="Z130:Z131" si="24">IF(ISNUMBER(SEARCH("Zepto",F130)),1,0)</f>
        <v>0</v>
      </c>
      <c r="AA130">
        <f t="shared" ref="AA130:AA131" si="25">IF(ISNUMBER(SEARCH("Complain to customer support",K130)),1,0)</f>
        <v>1</v>
      </c>
    </row>
    <row r="131" spans="1:27" x14ac:dyDescent="0.3">
      <c r="A131" t="s">
        <v>26</v>
      </c>
      <c r="B131" t="s">
        <v>30</v>
      </c>
      <c r="C131" t="s">
        <v>36</v>
      </c>
      <c r="D131" t="s">
        <v>38</v>
      </c>
      <c r="E131" t="s">
        <v>44</v>
      </c>
      <c r="F131" t="s">
        <v>52</v>
      </c>
      <c r="G131" t="s">
        <v>72</v>
      </c>
      <c r="H131" t="s">
        <v>80</v>
      </c>
      <c r="J131" t="s">
        <v>82</v>
      </c>
      <c r="K131" t="s">
        <v>87</v>
      </c>
      <c r="L131" t="s">
        <v>79</v>
      </c>
      <c r="M131">
        <v>5</v>
      </c>
      <c r="N131">
        <v>4</v>
      </c>
      <c r="O131">
        <v>5</v>
      </c>
      <c r="P131">
        <v>4</v>
      </c>
      <c r="Q131">
        <v>4</v>
      </c>
      <c r="R131" t="s">
        <v>111</v>
      </c>
      <c r="S131">
        <v>2</v>
      </c>
      <c r="T131" t="s">
        <v>118</v>
      </c>
      <c r="U131">
        <v>5</v>
      </c>
      <c r="V131">
        <v>5</v>
      </c>
      <c r="W131" t="s">
        <v>114</v>
      </c>
      <c r="X131">
        <v>86</v>
      </c>
      <c r="Y131" t="s">
        <v>123</v>
      </c>
      <c r="Z131">
        <f t="shared" si="24"/>
        <v>0</v>
      </c>
      <c r="AA131">
        <f t="shared" si="25"/>
        <v>0</v>
      </c>
    </row>
    <row r="132" spans="1:27" hidden="1" x14ac:dyDescent="0.3">
      <c r="A132" t="s">
        <v>26</v>
      </c>
      <c r="B132" t="s">
        <v>30</v>
      </c>
      <c r="C132" t="s">
        <v>35</v>
      </c>
      <c r="D132" t="s">
        <v>38</v>
      </c>
      <c r="E132" t="s">
        <v>43</v>
      </c>
      <c r="F132" t="s">
        <v>68</v>
      </c>
      <c r="G132" t="s">
        <v>72</v>
      </c>
      <c r="H132" t="s">
        <v>79</v>
      </c>
      <c r="I132" t="s">
        <v>66</v>
      </c>
      <c r="J132" t="s">
        <v>82</v>
      </c>
      <c r="K132" t="s">
        <v>95</v>
      </c>
      <c r="L132" t="s">
        <v>80</v>
      </c>
      <c r="M132">
        <v>3</v>
      </c>
      <c r="N132">
        <v>3</v>
      </c>
      <c r="O132">
        <v>3</v>
      </c>
      <c r="P132">
        <v>3</v>
      </c>
      <c r="Q132">
        <v>2</v>
      </c>
      <c r="R132" t="s">
        <v>113</v>
      </c>
      <c r="S132">
        <v>3</v>
      </c>
      <c r="T132" t="s">
        <v>116</v>
      </c>
      <c r="U132">
        <v>3</v>
      </c>
      <c r="V132">
        <v>3</v>
      </c>
      <c r="W132" t="s">
        <v>113</v>
      </c>
      <c r="X132">
        <v>24</v>
      </c>
      <c r="Y132" t="s">
        <v>121</v>
      </c>
    </row>
    <row r="133" spans="1:27" x14ac:dyDescent="0.3">
      <c r="A133" t="s">
        <v>26</v>
      </c>
      <c r="B133" t="s">
        <v>32</v>
      </c>
      <c r="C133" t="s">
        <v>35</v>
      </c>
      <c r="D133" t="s">
        <v>37</v>
      </c>
      <c r="E133" t="s">
        <v>42</v>
      </c>
      <c r="F133" t="s">
        <v>70</v>
      </c>
      <c r="G133" t="s">
        <v>73</v>
      </c>
      <c r="H133" t="s">
        <v>79</v>
      </c>
      <c r="I133" t="s">
        <v>59</v>
      </c>
      <c r="J133" t="s">
        <v>81</v>
      </c>
      <c r="K133" t="s">
        <v>91</v>
      </c>
      <c r="L133" t="s">
        <v>79</v>
      </c>
      <c r="M133">
        <v>3</v>
      </c>
      <c r="N133">
        <v>3</v>
      </c>
      <c r="O133">
        <v>3</v>
      </c>
      <c r="P133">
        <v>3</v>
      </c>
      <c r="Q133">
        <v>3</v>
      </c>
      <c r="R133" t="s">
        <v>114</v>
      </c>
      <c r="S133">
        <v>3</v>
      </c>
      <c r="T133" t="s">
        <v>115</v>
      </c>
      <c r="U133">
        <v>3</v>
      </c>
      <c r="V133">
        <v>3</v>
      </c>
      <c r="W133" t="s">
        <v>113</v>
      </c>
      <c r="X133">
        <v>90</v>
      </c>
      <c r="Y133" t="s">
        <v>122</v>
      </c>
      <c r="Z133">
        <f>IF(ISNUMBER(SEARCH("Zepto",F133)),1,0)</f>
        <v>1</v>
      </c>
      <c r="AA133">
        <f>IF(ISNUMBER(SEARCH("Complain to customer support",K133)),1,0)</f>
        <v>0</v>
      </c>
    </row>
    <row r="134" spans="1:27" hidden="1" x14ac:dyDescent="0.3">
      <c r="A134" t="s">
        <v>26</v>
      </c>
      <c r="B134" t="s">
        <v>32</v>
      </c>
      <c r="C134" t="s">
        <v>35</v>
      </c>
      <c r="D134" t="s">
        <v>39</v>
      </c>
      <c r="E134" t="s">
        <v>44</v>
      </c>
      <c r="F134" t="s">
        <v>52</v>
      </c>
      <c r="G134" t="s">
        <v>78</v>
      </c>
      <c r="H134" t="s">
        <v>79</v>
      </c>
      <c r="I134" t="s">
        <v>66</v>
      </c>
      <c r="J134" t="s">
        <v>85</v>
      </c>
      <c r="K134" t="s">
        <v>108</v>
      </c>
      <c r="L134" t="s">
        <v>80</v>
      </c>
      <c r="M134">
        <v>3</v>
      </c>
      <c r="N134">
        <v>4</v>
      </c>
      <c r="O134">
        <v>4</v>
      </c>
      <c r="P134">
        <v>3</v>
      </c>
      <c r="Q134">
        <v>3</v>
      </c>
      <c r="R134" t="s">
        <v>110</v>
      </c>
      <c r="S134">
        <v>3</v>
      </c>
      <c r="T134" t="s">
        <v>119</v>
      </c>
      <c r="U134">
        <v>4</v>
      </c>
      <c r="V134">
        <v>3</v>
      </c>
      <c r="W134" t="s">
        <v>113</v>
      </c>
      <c r="X134">
        <v>17</v>
      </c>
      <c r="Y134" t="s">
        <v>122</v>
      </c>
    </row>
    <row r="135" spans="1:27" hidden="1" x14ac:dyDescent="0.3">
      <c r="A135" t="s">
        <v>26</v>
      </c>
      <c r="B135" t="s">
        <v>32</v>
      </c>
      <c r="C135" t="s">
        <v>35</v>
      </c>
      <c r="D135" t="s">
        <v>39</v>
      </c>
      <c r="E135" t="s">
        <v>42</v>
      </c>
      <c r="F135" t="s">
        <v>65</v>
      </c>
      <c r="G135" t="s">
        <v>73</v>
      </c>
      <c r="H135" t="s">
        <v>80</v>
      </c>
      <c r="J135" t="s">
        <v>82</v>
      </c>
      <c r="K135" t="s">
        <v>87</v>
      </c>
      <c r="L135" t="s">
        <v>80</v>
      </c>
      <c r="M135">
        <v>3</v>
      </c>
      <c r="N135">
        <v>3</v>
      </c>
      <c r="O135">
        <v>4</v>
      </c>
      <c r="P135">
        <v>4</v>
      </c>
      <c r="Q135">
        <v>3</v>
      </c>
      <c r="R135" t="s">
        <v>112</v>
      </c>
      <c r="S135">
        <v>4</v>
      </c>
      <c r="T135" t="s">
        <v>116</v>
      </c>
      <c r="U135">
        <v>3</v>
      </c>
      <c r="V135">
        <v>3</v>
      </c>
      <c r="W135" t="s">
        <v>114</v>
      </c>
      <c r="X135">
        <v>102</v>
      </c>
      <c r="Y135" t="s">
        <v>122</v>
      </c>
    </row>
    <row r="136" spans="1:27" hidden="1" x14ac:dyDescent="0.3">
      <c r="A136" t="s">
        <v>26</v>
      </c>
      <c r="B136" t="s">
        <v>30</v>
      </c>
      <c r="C136" t="s">
        <v>35</v>
      </c>
      <c r="D136" t="s">
        <v>40</v>
      </c>
      <c r="E136" t="s">
        <v>42</v>
      </c>
      <c r="F136" t="s">
        <v>56</v>
      </c>
      <c r="G136" t="s">
        <v>73</v>
      </c>
      <c r="H136" t="s">
        <v>79</v>
      </c>
      <c r="I136" t="s">
        <v>66</v>
      </c>
      <c r="J136" t="s">
        <v>82</v>
      </c>
      <c r="K136" t="s">
        <v>93</v>
      </c>
      <c r="L136" t="s">
        <v>80</v>
      </c>
      <c r="M136">
        <v>2</v>
      </c>
      <c r="N136">
        <v>3</v>
      </c>
      <c r="O136">
        <v>4</v>
      </c>
      <c r="P136">
        <v>3</v>
      </c>
      <c r="Q136">
        <v>3</v>
      </c>
      <c r="R136" t="s">
        <v>112</v>
      </c>
      <c r="S136">
        <v>3</v>
      </c>
      <c r="T136" t="s">
        <v>118</v>
      </c>
      <c r="U136">
        <v>4</v>
      </c>
      <c r="V136">
        <v>4</v>
      </c>
      <c r="W136" t="s">
        <v>113</v>
      </c>
      <c r="X136">
        <v>55</v>
      </c>
      <c r="Y136" t="s">
        <v>121</v>
      </c>
    </row>
    <row r="137" spans="1:27" hidden="1" x14ac:dyDescent="0.3">
      <c r="A137" t="s">
        <v>26</v>
      </c>
      <c r="B137" t="s">
        <v>30</v>
      </c>
      <c r="C137" t="s">
        <v>35</v>
      </c>
      <c r="D137" t="s">
        <v>38</v>
      </c>
      <c r="E137" t="s">
        <v>43</v>
      </c>
      <c r="F137" t="s">
        <v>52</v>
      </c>
      <c r="G137" t="s">
        <v>76</v>
      </c>
      <c r="H137" t="s">
        <v>80</v>
      </c>
      <c r="J137" t="s">
        <v>82</v>
      </c>
      <c r="K137" t="s">
        <v>87</v>
      </c>
      <c r="L137" t="s">
        <v>80</v>
      </c>
      <c r="M137">
        <v>3</v>
      </c>
      <c r="N137">
        <v>3</v>
      </c>
      <c r="O137">
        <v>3</v>
      </c>
      <c r="P137">
        <v>3</v>
      </c>
      <c r="Q137">
        <v>4</v>
      </c>
      <c r="R137" t="s">
        <v>114</v>
      </c>
      <c r="S137">
        <v>3</v>
      </c>
      <c r="T137" t="s">
        <v>118</v>
      </c>
      <c r="U137">
        <v>4</v>
      </c>
      <c r="V137">
        <v>4</v>
      </c>
      <c r="W137" t="s">
        <v>112</v>
      </c>
      <c r="X137">
        <v>123</v>
      </c>
      <c r="Y137" t="s">
        <v>123</v>
      </c>
    </row>
    <row r="138" spans="1:27" x14ac:dyDescent="0.3">
      <c r="A138" t="s">
        <v>29</v>
      </c>
      <c r="B138" t="s">
        <v>32</v>
      </c>
      <c r="C138" t="s">
        <v>34</v>
      </c>
      <c r="D138" t="s">
        <v>38</v>
      </c>
      <c r="E138" t="s">
        <v>43</v>
      </c>
      <c r="F138" t="s">
        <v>51</v>
      </c>
      <c r="G138" t="s">
        <v>73</v>
      </c>
      <c r="H138" t="s">
        <v>80</v>
      </c>
      <c r="J138" t="s">
        <v>82</v>
      </c>
      <c r="K138" t="s">
        <v>87</v>
      </c>
      <c r="L138" t="s">
        <v>79</v>
      </c>
      <c r="M138">
        <v>3</v>
      </c>
      <c r="N138">
        <v>3</v>
      </c>
      <c r="O138">
        <v>4</v>
      </c>
      <c r="P138">
        <v>3</v>
      </c>
      <c r="Q138">
        <v>3</v>
      </c>
      <c r="R138" t="s">
        <v>111</v>
      </c>
      <c r="S138">
        <v>3</v>
      </c>
      <c r="T138" t="s">
        <v>117</v>
      </c>
      <c r="U138">
        <v>4</v>
      </c>
      <c r="V138">
        <v>4</v>
      </c>
      <c r="W138" t="s">
        <v>111</v>
      </c>
      <c r="X138">
        <v>167</v>
      </c>
      <c r="Y138" t="s">
        <v>123</v>
      </c>
      <c r="Z138">
        <f t="shared" ref="Z138:Z141" si="26">IF(ISNUMBER(SEARCH("Zepto",F138)),1,0)</f>
        <v>0</v>
      </c>
      <c r="AA138">
        <f t="shared" ref="AA138:AA141" si="27">IF(ISNUMBER(SEARCH("Complain to customer support",K138)),1,0)</f>
        <v>0</v>
      </c>
    </row>
    <row r="139" spans="1:27" x14ac:dyDescent="0.3">
      <c r="A139" t="s">
        <v>25</v>
      </c>
      <c r="B139" t="s">
        <v>30</v>
      </c>
      <c r="C139" t="s">
        <v>35</v>
      </c>
      <c r="D139" t="s">
        <v>39</v>
      </c>
      <c r="E139" t="s">
        <v>44</v>
      </c>
      <c r="F139" t="s">
        <v>70</v>
      </c>
      <c r="G139" t="s">
        <v>73</v>
      </c>
      <c r="H139" t="s">
        <v>79</v>
      </c>
      <c r="I139" t="s">
        <v>51</v>
      </c>
      <c r="J139" t="s">
        <v>81</v>
      </c>
      <c r="K139" t="s">
        <v>99</v>
      </c>
      <c r="L139" t="s">
        <v>79</v>
      </c>
      <c r="M139">
        <v>2</v>
      </c>
      <c r="N139">
        <v>2</v>
      </c>
      <c r="O139">
        <v>2</v>
      </c>
      <c r="P139">
        <v>2</v>
      </c>
      <c r="Q139">
        <v>2</v>
      </c>
      <c r="R139" t="s">
        <v>111</v>
      </c>
      <c r="S139">
        <v>4</v>
      </c>
      <c r="T139" t="s">
        <v>119</v>
      </c>
      <c r="U139">
        <v>2</v>
      </c>
      <c r="V139">
        <v>3</v>
      </c>
      <c r="W139" t="s">
        <v>113</v>
      </c>
      <c r="X139">
        <v>17</v>
      </c>
      <c r="Y139" t="s">
        <v>122</v>
      </c>
      <c r="Z139">
        <f t="shared" si="26"/>
        <v>1</v>
      </c>
      <c r="AA139">
        <f t="shared" si="27"/>
        <v>0</v>
      </c>
    </row>
    <row r="140" spans="1:27" x14ac:dyDescent="0.3">
      <c r="A140" t="s">
        <v>26</v>
      </c>
      <c r="B140" t="s">
        <v>32</v>
      </c>
      <c r="C140" t="s">
        <v>35</v>
      </c>
      <c r="D140" t="s">
        <v>38</v>
      </c>
      <c r="E140" t="s">
        <v>43</v>
      </c>
      <c r="F140" t="s">
        <v>71</v>
      </c>
      <c r="G140" t="s">
        <v>72</v>
      </c>
      <c r="H140" t="s">
        <v>80</v>
      </c>
      <c r="J140" t="s">
        <v>82</v>
      </c>
      <c r="K140" t="s">
        <v>87</v>
      </c>
      <c r="L140" t="s">
        <v>79</v>
      </c>
      <c r="M140">
        <v>3</v>
      </c>
      <c r="N140">
        <v>3</v>
      </c>
      <c r="O140">
        <v>3</v>
      </c>
      <c r="P140">
        <v>3</v>
      </c>
      <c r="Q140">
        <v>3</v>
      </c>
      <c r="R140" t="s">
        <v>111</v>
      </c>
      <c r="S140">
        <v>3</v>
      </c>
      <c r="T140" t="s">
        <v>116</v>
      </c>
      <c r="U140">
        <v>4</v>
      </c>
      <c r="V140">
        <v>4</v>
      </c>
      <c r="W140" t="s">
        <v>114</v>
      </c>
      <c r="X140">
        <v>63</v>
      </c>
      <c r="Y140" t="s">
        <v>122</v>
      </c>
      <c r="Z140">
        <f t="shared" si="26"/>
        <v>1</v>
      </c>
      <c r="AA140">
        <f t="shared" si="27"/>
        <v>0</v>
      </c>
    </row>
    <row r="141" spans="1:27" x14ac:dyDescent="0.3">
      <c r="A141" t="s">
        <v>26</v>
      </c>
      <c r="B141" t="s">
        <v>32</v>
      </c>
      <c r="C141" t="s">
        <v>34</v>
      </c>
      <c r="D141" t="s">
        <v>38</v>
      </c>
      <c r="E141" t="s">
        <v>44</v>
      </c>
      <c r="F141" t="s">
        <v>71</v>
      </c>
      <c r="G141" t="s">
        <v>72</v>
      </c>
      <c r="H141" t="s">
        <v>79</v>
      </c>
      <c r="I141" t="s">
        <v>59</v>
      </c>
      <c r="J141" t="s">
        <v>82</v>
      </c>
      <c r="K141" t="s">
        <v>107</v>
      </c>
      <c r="L141" t="s">
        <v>79</v>
      </c>
      <c r="M141">
        <v>4</v>
      </c>
      <c r="N141">
        <v>4</v>
      </c>
      <c r="O141">
        <v>4</v>
      </c>
      <c r="P141">
        <v>4</v>
      </c>
      <c r="Q141">
        <v>4</v>
      </c>
      <c r="R141" t="s">
        <v>114</v>
      </c>
      <c r="S141">
        <v>2</v>
      </c>
      <c r="T141" t="s">
        <v>116</v>
      </c>
      <c r="U141">
        <v>4</v>
      </c>
      <c r="V141">
        <v>4</v>
      </c>
      <c r="W141" t="s">
        <v>111</v>
      </c>
      <c r="X141">
        <v>154</v>
      </c>
      <c r="Y141" t="s">
        <v>122</v>
      </c>
      <c r="Z141">
        <f t="shared" si="26"/>
        <v>1</v>
      </c>
      <c r="AA141">
        <f t="shared" si="27"/>
        <v>1</v>
      </c>
    </row>
    <row r="142" spans="1:27" hidden="1" x14ac:dyDescent="0.3">
      <c r="A142" t="s">
        <v>25</v>
      </c>
      <c r="B142" t="s">
        <v>32</v>
      </c>
      <c r="C142" t="s">
        <v>35</v>
      </c>
      <c r="D142" t="s">
        <v>38</v>
      </c>
      <c r="E142" t="s">
        <v>43</v>
      </c>
      <c r="F142" t="s">
        <v>55</v>
      </c>
      <c r="G142" t="s">
        <v>78</v>
      </c>
      <c r="H142" t="s">
        <v>80</v>
      </c>
      <c r="J142" t="s">
        <v>82</v>
      </c>
      <c r="K142" t="s">
        <v>87</v>
      </c>
      <c r="L142" t="s">
        <v>80</v>
      </c>
      <c r="M142">
        <v>3</v>
      </c>
      <c r="N142">
        <v>3</v>
      </c>
      <c r="O142">
        <v>3</v>
      </c>
      <c r="P142">
        <v>3</v>
      </c>
      <c r="Q142">
        <v>3</v>
      </c>
      <c r="R142" t="s">
        <v>114</v>
      </c>
      <c r="S142">
        <v>4</v>
      </c>
      <c r="T142" t="s">
        <v>119</v>
      </c>
      <c r="U142">
        <v>3</v>
      </c>
      <c r="V142">
        <v>4</v>
      </c>
      <c r="W142" t="s">
        <v>113</v>
      </c>
      <c r="X142">
        <v>15</v>
      </c>
      <c r="Y142" t="s">
        <v>122</v>
      </c>
    </row>
    <row r="143" spans="1:27" x14ac:dyDescent="0.3">
      <c r="A143" t="s">
        <v>25</v>
      </c>
      <c r="B143" t="s">
        <v>32</v>
      </c>
      <c r="C143" t="s">
        <v>34</v>
      </c>
      <c r="D143" t="s">
        <v>41</v>
      </c>
      <c r="E143" t="s">
        <v>44</v>
      </c>
      <c r="F143" t="s">
        <v>57</v>
      </c>
      <c r="G143" t="s">
        <v>78</v>
      </c>
      <c r="H143" t="s">
        <v>80</v>
      </c>
      <c r="J143" t="s">
        <v>82</v>
      </c>
      <c r="K143" t="s">
        <v>87</v>
      </c>
      <c r="L143" t="s">
        <v>79</v>
      </c>
      <c r="M143">
        <v>4</v>
      </c>
      <c r="N143">
        <v>4</v>
      </c>
      <c r="O143">
        <v>4</v>
      </c>
      <c r="P143">
        <v>4</v>
      </c>
      <c r="Q143">
        <v>4</v>
      </c>
      <c r="R143" t="s">
        <v>111</v>
      </c>
      <c r="S143">
        <v>2</v>
      </c>
      <c r="T143" t="s">
        <v>118</v>
      </c>
      <c r="U143">
        <v>5</v>
      </c>
      <c r="V143">
        <v>4</v>
      </c>
      <c r="W143" t="s">
        <v>112</v>
      </c>
      <c r="X143">
        <v>142</v>
      </c>
      <c r="Y143" t="s">
        <v>122</v>
      </c>
      <c r="Z143">
        <f t="shared" ref="Z143:Z144" si="28">IF(ISNUMBER(SEARCH("Zepto",F143)),1,0)</f>
        <v>1</v>
      </c>
      <c r="AA143">
        <f t="shared" ref="AA143:AA144" si="29">IF(ISNUMBER(SEARCH("Complain to customer support",K143)),1,0)</f>
        <v>0</v>
      </c>
    </row>
    <row r="144" spans="1:27" x14ac:dyDescent="0.3">
      <c r="A144" t="s">
        <v>25</v>
      </c>
      <c r="B144" t="s">
        <v>30</v>
      </c>
      <c r="C144" t="s">
        <v>35</v>
      </c>
      <c r="D144" t="s">
        <v>38</v>
      </c>
      <c r="E144" t="s">
        <v>43</v>
      </c>
      <c r="F144" t="s">
        <v>59</v>
      </c>
      <c r="G144" t="s">
        <v>77</v>
      </c>
      <c r="H144" t="s">
        <v>79</v>
      </c>
      <c r="I144" t="s">
        <v>59</v>
      </c>
      <c r="J144" t="s">
        <v>82</v>
      </c>
      <c r="K144" t="s">
        <v>103</v>
      </c>
      <c r="L144" t="s">
        <v>79</v>
      </c>
      <c r="M144">
        <v>3</v>
      </c>
      <c r="N144">
        <v>3</v>
      </c>
      <c r="O144">
        <v>3</v>
      </c>
      <c r="P144">
        <v>3</v>
      </c>
      <c r="Q144">
        <v>3</v>
      </c>
      <c r="R144" t="s">
        <v>113</v>
      </c>
      <c r="S144">
        <v>3</v>
      </c>
      <c r="T144" t="s">
        <v>118</v>
      </c>
      <c r="U144">
        <v>3</v>
      </c>
      <c r="V144">
        <v>4</v>
      </c>
      <c r="W144" t="s">
        <v>114</v>
      </c>
      <c r="X144">
        <v>146</v>
      </c>
      <c r="Y144" t="s">
        <v>124</v>
      </c>
      <c r="Z144">
        <f t="shared" si="28"/>
        <v>1</v>
      </c>
      <c r="AA144">
        <f t="shared" si="29"/>
        <v>0</v>
      </c>
    </row>
    <row r="145" spans="1:27" hidden="1" x14ac:dyDescent="0.3">
      <c r="A145" t="s">
        <v>25</v>
      </c>
      <c r="B145" t="s">
        <v>31</v>
      </c>
      <c r="C145" t="s">
        <v>35</v>
      </c>
      <c r="D145" t="s">
        <v>39</v>
      </c>
      <c r="E145" t="s">
        <v>33</v>
      </c>
      <c r="F145" t="s">
        <v>62</v>
      </c>
      <c r="G145" t="s">
        <v>77</v>
      </c>
      <c r="H145" t="s">
        <v>79</v>
      </c>
      <c r="I145" t="s">
        <v>51</v>
      </c>
      <c r="J145" t="s">
        <v>82</v>
      </c>
      <c r="K145" t="s">
        <v>92</v>
      </c>
      <c r="L145" t="s">
        <v>80</v>
      </c>
      <c r="M145">
        <v>2</v>
      </c>
      <c r="N145">
        <v>3</v>
      </c>
      <c r="O145">
        <v>3</v>
      </c>
      <c r="P145">
        <v>3</v>
      </c>
      <c r="Q145">
        <v>3</v>
      </c>
      <c r="R145" t="s">
        <v>111</v>
      </c>
      <c r="S145">
        <v>3</v>
      </c>
      <c r="T145" t="s">
        <v>116</v>
      </c>
      <c r="U145">
        <v>3</v>
      </c>
      <c r="V145">
        <v>3</v>
      </c>
      <c r="W145" t="s">
        <v>111</v>
      </c>
      <c r="X145">
        <v>166</v>
      </c>
      <c r="Y145" t="s">
        <v>122</v>
      </c>
    </row>
    <row r="146" spans="1:27" x14ac:dyDescent="0.3">
      <c r="A146" t="s">
        <v>25</v>
      </c>
      <c r="B146" t="s">
        <v>32</v>
      </c>
      <c r="C146" t="s">
        <v>34</v>
      </c>
      <c r="D146" t="s">
        <v>37</v>
      </c>
      <c r="E146" t="s">
        <v>44</v>
      </c>
      <c r="F146" t="s">
        <v>63</v>
      </c>
      <c r="G146" t="s">
        <v>73</v>
      </c>
      <c r="H146" t="s">
        <v>79</v>
      </c>
      <c r="I146" t="s">
        <v>59</v>
      </c>
      <c r="J146" t="s">
        <v>82</v>
      </c>
      <c r="K146" t="s">
        <v>93</v>
      </c>
      <c r="L146" t="s">
        <v>79</v>
      </c>
      <c r="M146">
        <v>5</v>
      </c>
      <c r="N146">
        <v>5</v>
      </c>
      <c r="O146">
        <v>5</v>
      </c>
      <c r="P146">
        <v>4</v>
      </c>
      <c r="Q146">
        <v>5</v>
      </c>
      <c r="R146" t="s">
        <v>111</v>
      </c>
      <c r="S146">
        <v>2</v>
      </c>
      <c r="T146" t="s">
        <v>116</v>
      </c>
      <c r="U146">
        <v>5</v>
      </c>
      <c r="V146">
        <v>4</v>
      </c>
      <c r="W146" t="s">
        <v>114</v>
      </c>
      <c r="X146">
        <v>196</v>
      </c>
      <c r="Y146" t="s">
        <v>122</v>
      </c>
      <c r="Z146">
        <f>IF(ISNUMBER(SEARCH("Zepto",F146)),1,0)</f>
        <v>1</v>
      </c>
      <c r="AA146">
        <f>IF(ISNUMBER(SEARCH("Complain to customer support",K146)),1,0)</f>
        <v>0</v>
      </c>
    </row>
    <row r="147" spans="1:27" hidden="1" x14ac:dyDescent="0.3">
      <c r="A147" t="s">
        <v>26</v>
      </c>
      <c r="B147" t="s">
        <v>30</v>
      </c>
      <c r="C147" t="s">
        <v>35</v>
      </c>
      <c r="D147" t="s">
        <v>37</v>
      </c>
      <c r="E147" t="s">
        <v>42</v>
      </c>
      <c r="F147" t="s">
        <v>50</v>
      </c>
      <c r="G147" t="s">
        <v>72</v>
      </c>
      <c r="H147" t="s">
        <v>80</v>
      </c>
      <c r="J147" t="s">
        <v>82</v>
      </c>
      <c r="K147" t="s">
        <v>87</v>
      </c>
      <c r="L147" t="s">
        <v>80</v>
      </c>
      <c r="M147">
        <v>3</v>
      </c>
      <c r="N147">
        <v>3</v>
      </c>
      <c r="O147">
        <v>3</v>
      </c>
      <c r="P147">
        <v>3</v>
      </c>
      <c r="Q147">
        <v>3</v>
      </c>
      <c r="R147" t="s">
        <v>112</v>
      </c>
      <c r="S147">
        <v>3</v>
      </c>
      <c r="T147" t="s">
        <v>117</v>
      </c>
      <c r="U147">
        <v>4</v>
      </c>
      <c r="V147">
        <v>4</v>
      </c>
      <c r="W147" t="s">
        <v>113</v>
      </c>
      <c r="X147">
        <v>72</v>
      </c>
      <c r="Y147" t="s">
        <v>120</v>
      </c>
    </row>
    <row r="148" spans="1:27" hidden="1" x14ac:dyDescent="0.3">
      <c r="A148" t="s">
        <v>26</v>
      </c>
      <c r="B148" t="s">
        <v>30</v>
      </c>
      <c r="C148" t="s">
        <v>35</v>
      </c>
      <c r="D148" t="s">
        <v>37</v>
      </c>
      <c r="E148" t="s">
        <v>43</v>
      </c>
      <c r="F148" t="s">
        <v>50</v>
      </c>
      <c r="G148" t="s">
        <v>73</v>
      </c>
      <c r="H148" t="s">
        <v>80</v>
      </c>
      <c r="J148" t="s">
        <v>82</v>
      </c>
      <c r="K148" t="s">
        <v>87</v>
      </c>
      <c r="L148" t="s">
        <v>80</v>
      </c>
      <c r="M148">
        <v>2</v>
      </c>
      <c r="N148">
        <v>3</v>
      </c>
      <c r="O148">
        <v>3</v>
      </c>
      <c r="P148">
        <v>2</v>
      </c>
      <c r="Q148">
        <v>2</v>
      </c>
      <c r="R148" t="s">
        <v>112</v>
      </c>
      <c r="S148">
        <v>4</v>
      </c>
      <c r="T148" t="s">
        <v>116</v>
      </c>
      <c r="U148">
        <v>3</v>
      </c>
      <c r="V148">
        <v>3</v>
      </c>
      <c r="W148" t="s">
        <v>110</v>
      </c>
      <c r="X148">
        <v>67</v>
      </c>
      <c r="Y148" t="s">
        <v>122</v>
      </c>
    </row>
    <row r="149" spans="1:27" x14ac:dyDescent="0.3">
      <c r="A149" t="s">
        <v>28</v>
      </c>
      <c r="B149" t="s">
        <v>30</v>
      </c>
      <c r="C149" t="s">
        <v>34</v>
      </c>
      <c r="D149" t="s">
        <v>39</v>
      </c>
      <c r="E149" t="s">
        <v>33</v>
      </c>
      <c r="F149" t="s">
        <v>58</v>
      </c>
      <c r="G149" t="s">
        <v>72</v>
      </c>
      <c r="H149" t="s">
        <v>79</v>
      </c>
      <c r="I149" t="s">
        <v>59</v>
      </c>
      <c r="J149" t="s">
        <v>81</v>
      </c>
      <c r="K149" t="s">
        <v>91</v>
      </c>
      <c r="L149" t="s">
        <v>79</v>
      </c>
      <c r="M149">
        <v>3</v>
      </c>
      <c r="N149">
        <v>2</v>
      </c>
      <c r="O149">
        <v>3</v>
      </c>
      <c r="P149">
        <v>2</v>
      </c>
      <c r="Q149">
        <v>2</v>
      </c>
      <c r="R149" t="s">
        <v>111</v>
      </c>
      <c r="S149">
        <v>4</v>
      </c>
      <c r="T149" t="s">
        <v>119</v>
      </c>
      <c r="U149">
        <v>3</v>
      </c>
      <c r="V149">
        <v>3</v>
      </c>
      <c r="W149" t="s">
        <v>113</v>
      </c>
      <c r="X149">
        <v>41</v>
      </c>
      <c r="Y149" t="s">
        <v>122</v>
      </c>
      <c r="Z149">
        <f>IF(ISNUMBER(SEARCH("Zepto",F149)),1,0)</f>
        <v>1</v>
      </c>
      <c r="AA149">
        <f>IF(ISNUMBER(SEARCH("Complain to customer support",K149)),1,0)</f>
        <v>0</v>
      </c>
    </row>
    <row r="150" spans="1:27" hidden="1" x14ac:dyDescent="0.3">
      <c r="A150" t="s">
        <v>29</v>
      </c>
      <c r="B150" t="s">
        <v>30</v>
      </c>
      <c r="C150" t="s">
        <v>35</v>
      </c>
      <c r="D150" t="s">
        <v>38</v>
      </c>
      <c r="E150" t="s">
        <v>44</v>
      </c>
      <c r="F150" t="s">
        <v>62</v>
      </c>
      <c r="G150" t="s">
        <v>73</v>
      </c>
      <c r="H150" t="s">
        <v>80</v>
      </c>
      <c r="J150" t="s">
        <v>82</v>
      </c>
      <c r="K150" t="s">
        <v>87</v>
      </c>
      <c r="L150" t="s">
        <v>80</v>
      </c>
      <c r="M150">
        <v>3</v>
      </c>
      <c r="N150">
        <v>4</v>
      </c>
      <c r="O150">
        <v>4</v>
      </c>
      <c r="P150">
        <v>3</v>
      </c>
      <c r="Q150">
        <v>3</v>
      </c>
      <c r="R150" t="s">
        <v>113</v>
      </c>
      <c r="S150">
        <v>3</v>
      </c>
      <c r="T150" t="s">
        <v>117</v>
      </c>
      <c r="U150">
        <v>4</v>
      </c>
      <c r="V150">
        <v>4</v>
      </c>
      <c r="W150" t="s">
        <v>114</v>
      </c>
      <c r="X150">
        <v>102</v>
      </c>
      <c r="Y150" t="s">
        <v>122</v>
      </c>
    </row>
    <row r="151" spans="1:27" hidden="1" x14ac:dyDescent="0.3">
      <c r="A151" t="s">
        <v>25</v>
      </c>
      <c r="B151" t="s">
        <v>32</v>
      </c>
      <c r="C151" t="s">
        <v>35</v>
      </c>
      <c r="D151" t="s">
        <v>38</v>
      </c>
      <c r="E151" t="s">
        <v>42</v>
      </c>
      <c r="F151" t="s">
        <v>60</v>
      </c>
      <c r="G151" t="s">
        <v>73</v>
      </c>
      <c r="H151" t="s">
        <v>80</v>
      </c>
      <c r="J151" t="s">
        <v>82</v>
      </c>
      <c r="K151" t="s">
        <v>87</v>
      </c>
      <c r="L151" t="s">
        <v>80</v>
      </c>
      <c r="M151">
        <v>3</v>
      </c>
      <c r="N151">
        <v>3</v>
      </c>
      <c r="O151">
        <v>3</v>
      </c>
      <c r="P151">
        <v>2</v>
      </c>
      <c r="Q151">
        <v>3</v>
      </c>
      <c r="R151" t="s">
        <v>113</v>
      </c>
      <c r="S151">
        <v>3</v>
      </c>
      <c r="T151" t="s">
        <v>115</v>
      </c>
      <c r="U151">
        <v>3</v>
      </c>
      <c r="V151">
        <v>3</v>
      </c>
      <c r="W151" t="s">
        <v>111</v>
      </c>
      <c r="X151">
        <v>161</v>
      </c>
      <c r="Y151" t="s">
        <v>122</v>
      </c>
    </row>
  </sheetData>
  <autoFilter ref="A1:Y151" xr:uid="{00000000-0001-0000-0000-000000000000}">
    <filterColumn colId="11">
      <filters>
        <filter val="Yes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ROHIT GHOSH</cp:lastModifiedBy>
  <dcterms:created xsi:type="dcterms:W3CDTF">2025-11-29T16:29:20Z</dcterms:created>
  <dcterms:modified xsi:type="dcterms:W3CDTF">2025-12-12T11:56:14Z</dcterms:modified>
</cp:coreProperties>
</file>