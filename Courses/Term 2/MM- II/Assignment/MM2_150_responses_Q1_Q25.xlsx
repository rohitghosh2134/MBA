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BA\Courses\Term 2\MM- II\Assignment\"/>
    </mc:Choice>
  </mc:AlternateContent>
  <xr:revisionPtr revIDLastSave="0" documentId="13_ncr:1_{5FD9EAD7-AAA7-45AC-8839-4767AE33201D}" xr6:coauthVersionLast="47" xr6:coauthVersionMax="47" xr10:uidLastSave="{00000000-0000-0000-0000-000000000000}"/>
  <bookViews>
    <workbookView xWindow="-108" yWindow="-108" windowWidth="23256" windowHeight="13176" firstSheet="1" activeTab="2" xr2:uid="{00000000-000D-0000-FFFF-FFFF00000000}"/>
  </bookViews>
  <sheets>
    <sheet name="Sheet1" sheetId="1" r:id="rId1"/>
    <sheet name="LOOKUPS" sheetId="2" r:id="rId2"/>
    <sheet name="QUANTIFIED RESPONSES" sheetId="3" r:id="rId3"/>
    <sheet name="ANNOVA RESULTS" sheetId="11" r:id="rId4"/>
    <sheet name="PROJECT X" sheetId="12" r:id="rId5"/>
    <sheet name="ANNOVA_Q14" sheetId="4" r:id="rId6"/>
    <sheet name="ANNOVA_Q15" sheetId="5" r:id="rId7"/>
    <sheet name="ANNOVA_Q16" sheetId="6" r:id="rId8"/>
    <sheet name="ANNOVA_Q17" sheetId="7" r:id="rId9"/>
    <sheet name="ANNOVA_Q18" sheetId="8" r:id="rId10"/>
    <sheet name="ANNOVA_Q19" sheetId="9" r:id="rId11"/>
    <sheet name="ANNOVA_Q20" sheetId="10" r:id="rId12"/>
  </sheets>
  <definedNames>
    <definedName name="_xlnm._FilterDatabase" localSheetId="2" hidden="1">'QUANTIFIED RESPONSES'!$A$1:$Y$151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4" l="1" a="1"/>
  <c r="F2" i="4" s="1"/>
  <c r="B2" i="4" a="1"/>
  <c r="B2" i="4" s="1"/>
  <c r="F2" i="10" a="1"/>
  <c r="F2" i="10" s="1"/>
  <c r="E2" i="10" a="1"/>
  <c r="E2" i="10" s="1"/>
  <c r="D2" i="10" a="1"/>
  <c r="D2" i="10" s="1"/>
  <c r="C2" i="10" a="1"/>
  <c r="C2" i="10" s="1"/>
  <c r="B2" i="10" a="1"/>
  <c r="B2" i="10" s="1"/>
  <c r="F2" i="9" a="1"/>
  <c r="F2" i="9" s="1"/>
  <c r="E2" i="9" a="1"/>
  <c r="E2" i="9" s="1"/>
  <c r="D2" i="9" a="1"/>
  <c r="D2" i="9" s="1"/>
  <c r="C2" i="9" a="1"/>
  <c r="C2" i="9" s="1"/>
  <c r="B2" i="9" a="1"/>
  <c r="B2" i="9" s="1"/>
  <c r="F2" i="8" a="1"/>
  <c r="F2" i="8" s="1"/>
  <c r="E2" i="8" a="1"/>
  <c r="E2" i="8" s="1"/>
  <c r="D2" i="8" a="1"/>
  <c r="D2" i="8" s="1"/>
  <c r="C2" i="8" a="1"/>
  <c r="C2" i="8" s="1"/>
  <c r="B2" i="8" a="1"/>
  <c r="B2" i="8" s="1"/>
  <c r="F2" i="7" a="1"/>
  <c r="F2" i="7" s="1"/>
  <c r="E2" i="7" a="1"/>
  <c r="E2" i="7" s="1"/>
  <c r="D2" i="7" a="1"/>
  <c r="D2" i="7" s="1"/>
  <c r="C2" i="7" a="1"/>
  <c r="C2" i="7" s="1"/>
  <c r="B2" i="7" a="1"/>
  <c r="B2" i="7" s="1"/>
  <c r="F2" i="6" a="1"/>
  <c r="F2" i="6" s="1"/>
  <c r="E2" i="6" a="1"/>
  <c r="E2" i="6" s="1"/>
  <c r="D2" i="6" a="1"/>
  <c r="D2" i="6" s="1"/>
  <c r="C2" i="6" a="1"/>
  <c r="C2" i="6" s="1"/>
  <c r="B2" i="6" a="1"/>
  <c r="B2" i="6" s="1"/>
  <c r="F2" i="5" a="1"/>
  <c r="F2" i="5" s="1"/>
  <c r="E2" i="5" a="1"/>
  <c r="E2" i="5" s="1"/>
  <c r="D2" i="5" a="1"/>
  <c r="D2" i="5" s="1"/>
  <c r="C2" i="5" a="1"/>
  <c r="C2" i="5" s="1"/>
  <c r="B2" i="5" a="1"/>
  <c r="B2" i="5" s="1"/>
  <c r="E2" i="4" a="1"/>
  <c r="E2" i="4" s="1"/>
  <c r="D2" i="4" a="1"/>
  <c r="D2" i="4" s="1"/>
  <c r="C2" i="4" a="1"/>
  <c r="C2" i="4" s="1"/>
  <c r="T151" i="3"/>
  <c r="T150" i="3"/>
  <c r="T149" i="3"/>
  <c r="T148" i="3"/>
  <c r="T147" i="3"/>
  <c r="T146" i="3"/>
  <c r="T145" i="3"/>
  <c r="T144" i="3"/>
  <c r="T143" i="3"/>
  <c r="T142" i="3"/>
  <c r="T141" i="3"/>
  <c r="T140" i="3"/>
  <c r="T139" i="3"/>
  <c r="T138" i="3"/>
  <c r="T137" i="3"/>
  <c r="T136" i="3"/>
  <c r="T135" i="3"/>
  <c r="T134" i="3"/>
  <c r="T133" i="3"/>
  <c r="T132" i="3"/>
  <c r="T131" i="3"/>
  <c r="T130" i="3"/>
  <c r="T129" i="3"/>
  <c r="T128" i="3"/>
  <c r="T127" i="3"/>
  <c r="T126" i="3"/>
  <c r="T125" i="3"/>
  <c r="T124" i="3"/>
  <c r="T123" i="3"/>
  <c r="T122" i="3"/>
  <c r="T121" i="3"/>
  <c r="T120" i="3"/>
  <c r="T119" i="3"/>
  <c r="T118" i="3"/>
  <c r="T117" i="3"/>
  <c r="T116" i="3"/>
  <c r="T115" i="3"/>
  <c r="T114" i="3"/>
  <c r="T113" i="3"/>
  <c r="T112" i="3"/>
  <c r="T111" i="3"/>
  <c r="T110" i="3"/>
  <c r="T109" i="3"/>
  <c r="T108" i="3"/>
  <c r="T107" i="3"/>
  <c r="T106" i="3"/>
  <c r="T105" i="3"/>
  <c r="T104" i="3"/>
  <c r="T103" i="3"/>
  <c r="T102" i="3"/>
  <c r="T101" i="3"/>
  <c r="T100" i="3"/>
  <c r="T99" i="3"/>
  <c r="T98" i="3"/>
  <c r="T97" i="3"/>
  <c r="T96" i="3"/>
  <c r="T95" i="3"/>
  <c r="T94" i="3"/>
  <c r="T93" i="3"/>
  <c r="T92" i="3"/>
  <c r="T91" i="3"/>
  <c r="T90" i="3"/>
  <c r="T89" i="3"/>
  <c r="T88" i="3"/>
  <c r="T87" i="3"/>
  <c r="T86" i="3"/>
  <c r="T85" i="3"/>
  <c r="T84" i="3"/>
  <c r="T83" i="3"/>
  <c r="T82" i="3"/>
  <c r="T81" i="3"/>
  <c r="T80" i="3"/>
  <c r="T79" i="3"/>
  <c r="T78" i="3"/>
  <c r="T77" i="3"/>
  <c r="T76" i="3"/>
  <c r="T75" i="3"/>
  <c r="T74" i="3"/>
  <c r="T73" i="3"/>
  <c r="T72" i="3"/>
  <c r="T71" i="3"/>
  <c r="T70" i="3"/>
  <c r="T69" i="3"/>
  <c r="T68" i="3"/>
  <c r="T67" i="3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3" i="3"/>
  <c r="T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<sst xmlns="http://schemas.openxmlformats.org/spreadsheetml/2006/main" count="4218" uniqueCount="223">
  <si>
    <t>Q1_Age</t>
  </si>
  <si>
    <t>Q2_Gender</t>
  </si>
  <si>
    <t>Q3_Place_of_residence</t>
  </si>
  <si>
    <t>Q4_Occupation</t>
  </si>
  <si>
    <t>Q5_Monthly_household_income</t>
  </si>
  <si>
    <t>Q6_Q_commerce_apps_used</t>
  </si>
  <si>
    <t>Q7_Order_frequency_Q_commerce</t>
  </si>
  <si>
    <t>Q8_Received_poor_quality_perishable</t>
  </si>
  <si>
    <t>Q9_App_most_recent_poor_item</t>
  </si>
  <si>
    <t>Q10_Poor_quality_frequency_6_months</t>
  </si>
  <si>
    <t>Q11_Reaction_to_poor_quality</t>
  </si>
  <si>
    <t>Q12_Used_Zepto</t>
  </si>
  <si>
    <t>Q13_Trust_Zepto_fresh_perishables_1_5</t>
  </si>
  <si>
    <t>Q14_Satisfaction_perishables_overall_1_5</t>
  </si>
  <si>
    <t>Q15_Quality_influences_reorder_1_5</t>
  </si>
  <si>
    <t>Q16_Quality_controls_reliable_1_5</t>
  </si>
  <si>
    <t>Q17_Price_fair_given_quality_1_5</t>
  </si>
  <si>
    <t>Q18_Likely_continue_next_month</t>
  </si>
  <si>
    <t>Q19_Switched_due_to_quality_1_5</t>
  </si>
  <si>
    <t>Q20_Recommend_Zepto</t>
  </si>
  <si>
    <t>Q21_Freshness_guarantee_intent_1_5</t>
  </si>
  <si>
    <t>Q22_Strict_sourcing_trust_increase_1_5</t>
  </si>
  <si>
    <t>Q23_Subscription_likely_to_subscribe</t>
  </si>
  <si>
    <t>Q24_Subscription_WTP_Rs_per_month</t>
  </si>
  <si>
    <t>Q25_Premium_percent_willing</t>
  </si>
  <si>
    <t>25–34</t>
  </si>
  <si>
    <t>18–24</t>
  </si>
  <si>
    <t>45–54</t>
  </si>
  <si>
    <t>55+</t>
  </si>
  <si>
    <t>35–44</t>
  </si>
  <si>
    <t>Male</t>
  </si>
  <si>
    <t>Non-binary</t>
  </si>
  <si>
    <t>Female</t>
  </si>
  <si>
    <t>Prefer not to say</t>
  </si>
  <si>
    <t>Village</t>
  </si>
  <si>
    <t>Urban</t>
  </si>
  <si>
    <t>Sub-urban</t>
  </si>
  <si>
    <t>Employed (salaried)</t>
  </si>
  <si>
    <t>Student</t>
  </si>
  <si>
    <t>Self-employed</t>
  </si>
  <si>
    <t>Other</t>
  </si>
  <si>
    <t>Homemaker</t>
  </si>
  <si>
    <t>&lt; ₹20,000</t>
  </si>
  <si>
    <t>₹20–40k</t>
  </si>
  <si>
    <t>₹40–60k</t>
  </si>
  <si>
    <t>₹60–100k</t>
  </si>
  <si>
    <t>&gt; ₹100k</t>
  </si>
  <si>
    <t>Instamart, Local grocery app, None</t>
  </si>
  <si>
    <t>Local grocery app, Zepto</t>
  </si>
  <si>
    <t>Blinkit, Local grocery app, Zepto</t>
  </si>
  <si>
    <t>Blinkit, None</t>
  </si>
  <si>
    <t>Instamart</t>
  </si>
  <si>
    <t>Blinkit, Local grocery app</t>
  </si>
  <si>
    <t>Blinkit, Instamart, Zepto</t>
  </si>
  <si>
    <t>Blinkit, Instamart</t>
  </si>
  <si>
    <t>Blinkit, Local grocery app, None</t>
  </si>
  <si>
    <t>Local grocery app, None</t>
  </si>
  <si>
    <t>Instamart, None, Zepto</t>
  </si>
  <si>
    <t>None, Zepto</t>
  </si>
  <si>
    <t>Zepto</t>
  </si>
  <si>
    <t>Local grocery app</t>
  </si>
  <si>
    <t>Instamart, None</t>
  </si>
  <si>
    <t>Instamart, Local grocery app</t>
  </si>
  <si>
    <t>Blinkit, None, Zepto</t>
  </si>
  <si>
    <t>Instamart, Zepto</t>
  </si>
  <si>
    <t>Blinkit, Instamart, Local grocery app</t>
  </si>
  <si>
    <t>Blinkit</t>
  </si>
  <si>
    <t>Blinkit, Instamart, None</t>
  </si>
  <si>
    <t>None</t>
  </si>
  <si>
    <t>Blinkit, Zepto</t>
  </si>
  <si>
    <t>Instamart, Local grocery app, Zepto</t>
  </si>
  <si>
    <t>Local grocery app, None, Zepto</t>
  </si>
  <si>
    <t>Weekly</t>
  </si>
  <si>
    <t>2–3 times/week</t>
  </si>
  <si>
    <t>Rarely</t>
  </si>
  <si>
    <t>Monthly</t>
  </si>
  <si>
    <t>Daily</t>
  </si>
  <si>
    <t>Never</t>
  </si>
  <si>
    <t>Twice a month</t>
  </si>
  <si>
    <t>Yes</t>
  </si>
  <si>
    <t>No</t>
  </si>
  <si>
    <t>6+ times</t>
  </si>
  <si>
    <t>0 times</t>
  </si>
  <si>
    <t>2–3 times</t>
  </si>
  <si>
    <t>1 time</t>
  </si>
  <si>
    <t>4–5 times</t>
  </si>
  <si>
    <t>Complain to friends/family, Do nothing, Return item in app</t>
  </si>
  <si>
    <t>Do nothing</t>
  </si>
  <si>
    <t>Complain to customer support, Return item in app</t>
  </si>
  <si>
    <t>Do nothing, Return item in app</t>
  </si>
  <si>
    <t>Do nothing, Post on social media</t>
  </si>
  <si>
    <t>Do nothing, Post on social media, Return item in app</t>
  </si>
  <si>
    <t>Complain to customer support, Post on social media</t>
  </si>
  <si>
    <t>Complain to friends/family</t>
  </si>
  <si>
    <t>Complain to friends/family, Do nothing</t>
  </si>
  <si>
    <t>Complain to customer support</t>
  </si>
  <si>
    <t>Complain to customer support, Do nothing, Return item in app</t>
  </si>
  <si>
    <t>Complain to customer support, Complain to friends/family, Post on social media</t>
  </si>
  <si>
    <t>Post on social media, Return item in app</t>
  </si>
  <si>
    <t>Complain to friends/family, Post on social media</t>
  </si>
  <si>
    <t>Post on social media</t>
  </si>
  <si>
    <t>Complain to customer support, Do nothing, Post on social media</t>
  </si>
  <si>
    <t>Complain to customer support, Complain to friends/family, Do nothing</t>
  </si>
  <si>
    <t>Return item in app</t>
  </si>
  <si>
    <t>Complain to friends/family, Do nothing, Post on social media</t>
  </si>
  <si>
    <t>Complain to customer support, Complain to friends/family, Return item in app</t>
  </si>
  <si>
    <t>Complain to customer support, Do nothing</t>
  </si>
  <si>
    <t>Complain to customer support, Post on social media, Return item in app</t>
  </si>
  <si>
    <t>Complain to friends/family, Post on social media, Return item in app</t>
  </si>
  <si>
    <t>Complain to friends/family, Return item in app</t>
  </si>
  <si>
    <t>Very unlikely</t>
  </si>
  <si>
    <t>Likely</t>
  </si>
  <si>
    <t>Very likely</t>
  </si>
  <si>
    <t>Unlikely</t>
  </si>
  <si>
    <t>Neutral</t>
  </si>
  <si>
    <t>Probably no</t>
  </si>
  <si>
    <t>Definitely yes</t>
  </si>
  <si>
    <t>Probably yes</t>
  </si>
  <si>
    <t>Might or might not</t>
  </si>
  <si>
    <t>Definitely no</t>
  </si>
  <si>
    <t>6–10%</t>
  </si>
  <si>
    <t>11–20%</t>
  </si>
  <si>
    <t>up to 5%</t>
  </si>
  <si>
    <t>&gt;20%</t>
  </si>
  <si>
    <t>0%</t>
  </si>
  <si>
    <t>QUESTION 7</t>
  </si>
  <si>
    <t>Category</t>
  </si>
  <si>
    <t>Numeric_Code</t>
  </si>
  <si>
    <t>QUESTION 8</t>
  </si>
  <si>
    <t>QUESTION 10</t>
  </si>
  <si>
    <t>QUESTION 12</t>
  </si>
  <si>
    <t>QUESTION 20</t>
  </si>
  <si>
    <t>QUESTION 18</t>
  </si>
  <si>
    <t>QUESTION 23</t>
  </si>
  <si>
    <t>QUESTION 25</t>
  </si>
  <si>
    <t>Group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</si>
  <si>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</si>
  <si>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</si>
  <si>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</si>
  <si>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</si>
  <si>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</si>
  <si>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</si>
  <si>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</si>
  <si>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</si>
  <si>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</si>
  <si>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</si>
  <si>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</si>
  <si>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</si>
  <si>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</si>
  <si>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</si>
  <si>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</si>
  <si>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</si>
  <si>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</si>
  <si>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</si>
  <si>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 xml:space="preserve">ANNOVA TESTS </t>
  </si>
  <si>
    <t xml:space="preserve">DEPENDENT VARIABLE </t>
  </si>
  <si>
    <t>Q13</t>
  </si>
  <si>
    <t>INDEPENDENT VARIABLE</t>
  </si>
  <si>
    <t>Q14 TO Q20</t>
  </si>
  <si>
    <t>QUESTION 14 TEST</t>
  </si>
  <si>
    <t>QUESTION 15</t>
  </si>
  <si>
    <t>QUESTION 16</t>
  </si>
  <si>
    <t>QUESTION 17</t>
  </si>
  <si>
    <t>QUESTION 19</t>
  </si>
  <si>
    <t>VARIABLES USED FOR ANOVA</t>
  </si>
  <si>
    <t>Role</t>
  </si>
  <si>
    <t>Question</t>
  </si>
  <si>
    <t>Meaning</t>
  </si>
  <si>
    <t>Grouping Variable 1</t>
  </si>
  <si>
    <t>Trust in freshness</t>
  </si>
  <si>
    <t>Grouping Variable 2</t>
  </si>
  <si>
    <t>Q14</t>
  </si>
  <si>
    <t>Satisfaction with quality</t>
  </si>
  <si>
    <t>Grouping Variable 3</t>
  </si>
  <si>
    <t>Q15</t>
  </si>
  <si>
    <t>Reorder influence</t>
  </si>
  <si>
    <t>Grouping Variable 4</t>
  </si>
  <si>
    <t>Q17</t>
  </si>
  <si>
    <t>Price fairness</t>
  </si>
  <si>
    <t>Dependent Variable</t>
  </si>
  <si>
    <t>Q20</t>
  </si>
  <si>
    <t>Recommendation (Sad reviews proxy)</t>
  </si>
  <si>
    <t>Churn Indicator</t>
  </si>
  <si>
    <t>Q19</t>
  </si>
  <si>
    <t>Switching behavior</t>
  </si>
  <si>
    <t>Usage Filter</t>
  </si>
  <si>
    <t>Q12</t>
  </si>
  <si>
    <t>Used Zepto (Yes = 1)</t>
  </si>
  <si>
    <t>Q16</t>
  </si>
  <si>
    <t>Q18</t>
  </si>
  <si>
    <t>Continuation of using Zepto</t>
  </si>
  <si>
    <t>Reliable quality controls</t>
  </si>
  <si>
    <t>1. OVERALL HYPOTHESIS</t>
  </si>
  <si>
    <t>(Tests whether all IVs together influence trust)</t>
  </si>
  <si>
    <t>Null Hypothesis (H₀ – Overall):</t>
  </si>
  <si>
    <r>
      <t xml:space="preserve">Customer perceptions measured through Q14–Q20 </t>
    </r>
    <r>
      <rPr>
        <b/>
        <sz val="11"/>
        <color theme="1"/>
        <rFont val="Calibri"/>
        <family val="2"/>
        <scheme val="minor"/>
      </rPr>
      <t>do not have any significant effect</t>
    </r>
    <r>
      <rPr>
        <sz val="11"/>
        <color theme="1"/>
        <rFont val="Calibri"/>
        <family val="2"/>
        <scheme val="minor"/>
      </rPr>
      <t xml:space="preserve"> on trust in Zepto’s ability to deliver fresh perishable items (Q13).</t>
    </r>
  </si>
  <si>
    <t>In statistical terms:</t>
  </si>
  <si>
    <t>Alternative Hypothesis (H₁ – Overall):</t>
  </si>
  <si>
    <r>
      <t xml:space="preserve">At least one perception factor among Q14–Q20 </t>
    </r>
    <r>
      <rPr>
        <b/>
        <sz val="11"/>
        <color theme="1"/>
        <rFont val="Calibri"/>
        <family val="2"/>
        <scheme val="minor"/>
      </rPr>
      <t>significantly affects</t>
    </r>
    <r>
      <rPr>
        <sz val="11"/>
        <color theme="1"/>
        <rFont val="Calibri"/>
        <family val="2"/>
        <scheme val="minor"/>
      </rPr>
      <t xml:space="preserve"> trust in Zepto’s ability to deliver fresh perishable items (Q13).</t>
    </r>
  </si>
  <si>
    <t>INDIVIDUAL HYPOTHESES (ONE PER VARIABLE)</t>
  </si>
  <si>
    <t>Q14 → Q13</t>
  </si>
  <si>
    <r>
      <t>H₀:</t>
    </r>
    <r>
      <rPr>
        <sz val="11"/>
        <color theme="1"/>
        <rFont val="Calibri"/>
        <family val="2"/>
        <scheme val="minor"/>
      </rPr>
      <t xml:space="preserve"> Q14 has no significant effect on trust in freshness (Q13).</t>
    </r>
  </si>
  <si>
    <r>
      <t>H₁:</t>
    </r>
    <r>
      <rPr>
        <sz val="11"/>
        <color theme="1"/>
        <rFont val="Calibri"/>
        <family val="2"/>
        <scheme val="minor"/>
      </rPr>
      <t xml:space="preserve"> Q14 has a significant effect on trust in freshness (Q13).</t>
    </r>
  </si>
  <si>
    <t>Q15 → Q13</t>
  </si>
  <si>
    <r>
      <t>H₀:</t>
    </r>
    <r>
      <rPr>
        <sz val="11"/>
        <color theme="1"/>
        <rFont val="Calibri"/>
        <family val="2"/>
        <scheme val="minor"/>
      </rPr>
      <t xml:space="preserve"> Q15 has no significant effect on trust in freshness (Q13).</t>
    </r>
  </si>
  <si>
    <r>
      <t>H₁:</t>
    </r>
    <r>
      <rPr>
        <sz val="11"/>
        <color theme="1"/>
        <rFont val="Calibri"/>
        <family val="2"/>
        <scheme val="minor"/>
      </rPr>
      <t xml:space="preserve"> Q15 has a significant effect on trust in freshness (Q13).</t>
    </r>
  </si>
  <si>
    <t>Q16 → Q13</t>
  </si>
  <si>
    <r>
      <t>H₀:</t>
    </r>
    <r>
      <rPr>
        <sz val="11"/>
        <color theme="1"/>
        <rFont val="Calibri"/>
        <family val="2"/>
        <scheme val="minor"/>
      </rPr>
      <t xml:space="preserve"> Q16 has no significant effect on trust in freshness (Q13).</t>
    </r>
  </si>
  <si>
    <r>
      <t>H₁:</t>
    </r>
    <r>
      <rPr>
        <sz val="11"/>
        <color theme="1"/>
        <rFont val="Calibri"/>
        <family val="2"/>
        <scheme val="minor"/>
      </rPr>
      <t xml:space="preserve"> Q16 has a significant effect on trust in freshness (Q13).</t>
    </r>
  </si>
  <si>
    <t>Q17 → Q13</t>
  </si>
  <si>
    <r>
      <t>H₀:</t>
    </r>
    <r>
      <rPr>
        <sz val="11"/>
        <color theme="1"/>
        <rFont val="Calibri"/>
        <family val="2"/>
        <scheme val="minor"/>
      </rPr>
      <t xml:space="preserve"> Q17 has no significant effect on trust in freshness (Q13).</t>
    </r>
  </si>
  <si>
    <r>
      <t>H₁:</t>
    </r>
    <r>
      <rPr>
        <sz val="11"/>
        <color theme="1"/>
        <rFont val="Calibri"/>
        <family val="2"/>
        <scheme val="minor"/>
      </rPr>
      <t xml:space="preserve"> Q17 has a significant effect on trust in freshness (Q13).</t>
    </r>
  </si>
  <si>
    <t>Q18 → Q13</t>
  </si>
  <si>
    <r>
      <t>H₀:</t>
    </r>
    <r>
      <rPr>
        <sz val="11"/>
        <color theme="1"/>
        <rFont val="Calibri"/>
        <family val="2"/>
        <scheme val="minor"/>
      </rPr>
      <t xml:space="preserve"> Q18 has no significant effect on trust in freshness (Q13).</t>
    </r>
  </si>
  <si>
    <r>
      <t>H₁:</t>
    </r>
    <r>
      <rPr>
        <sz val="11"/>
        <color theme="1"/>
        <rFont val="Calibri"/>
        <family val="2"/>
        <scheme val="minor"/>
      </rPr>
      <t xml:space="preserve"> Q18 has a significant effect on trust in freshness (Q13).</t>
    </r>
  </si>
  <si>
    <t>Q19 → Q13</t>
  </si>
  <si>
    <r>
      <t>H₀:</t>
    </r>
    <r>
      <rPr>
        <sz val="11"/>
        <color theme="1"/>
        <rFont val="Calibri"/>
        <family val="2"/>
        <scheme val="minor"/>
      </rPr>
      <t xml:space="preserve"> Q19 has no significant effect on trust in freshness (Q13).</t>
    </r>
  </si>
  <si>
    <r>
      <t>H₁:</t>
    </r>
    <r>
      <rPr>
        <sz val="11"/>
        <color theme="1"/>
        <rFont val="Calibri"/>
        <family val="2"/>
        <scheme val="minor"/>
      </rPr>
      <t xml:space="preserve"> Q19 has a significant effect on trust in freshness (Q13).</t>
    </r>
  </si>
  <si>
    <t>Q20 → Q13</t>
  </si>
  <si>
    <r>
      <t>H₀:</t>
    </r>
    <r>
      <rPr>
        <sz val="11"/>
        <color theme="1"/>
        <rFont val="Calibri"/>
        <family val="2"/>
        <scheme val="minor"/>
      </rPr>
      <t xml:space="preserve"> Q20 has no significant effect on trust in freshness (Q13).</t>
    </r>
  </si>
  <si>
    <r>
      <t>H₁:</t>
    </r>
    <r>
      <rPr>
        <sz val="11"/>
        <color theme="1"/>
        <rFont val="Calibri"/>
        <family val="2"/>
        <scheme val="minor"/>
      </rPr>
      <t xml:space="preserve"> Q20 has a significant effect on trust in freshness (Q13).</t>
    </r>
  </si>
  <si>
    <t>Theme likh do</t>
  </si>
  <si>
    <t>theme likh do in every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</si>
</sst>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2" applyNumberFormat="0" applyFont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4" fillId="0" borderId="1" xfId="0" applyFont="1" applyBorder="1" applyAlignment="1">
      <alignment horizontal="center"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3" xfId="0" applyBorder="1"/>
    <xf numFmtId="0" fontId="5" fillId="0" borderId="4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2" borderId="2" xfId="1" applyFont="1" applyAlignment="1">
      <alignment horizontal="center"/>
    </xf>
  </cellXfs>
  <cellStyles count="2">
    <cellStyle name="Normal" xfId="0" builtinId="0"/>
    <cellStyle name="Note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1"/>
  <sheetViews>
    <sheetView topLeftCell="Q1" workbookViewId="0">
      <selection activeCell="W5" sqref="W5"/>
    </sheetView>
  </sheetViews>
  <sheetFormatPr defaultColWidth="8.77734375" defaultRowHeight="14.4" x14ac:dyDescent="0.3"/>
  <cols>
    <col min="1" max="1" width="7.5546875" bestFit="1" customWidth="1"/>
    <col min="2" max="2" width="14.6640625" bestFit="1" customWidth="1"/>
    <col min="3" max="3" width="20.77734375" bestFit="1" customWidth="1"/>
    <col min="4" max="4" width="17" bestFit="1" customWidth="1"/>
    <col min="5" max="5" width="29.109375" bestFit="1" customWidth="1"/>
    <col min="6" max="6" width="30.5546875" bestFit="1" customWidth="1"/>
    <col min="7" max="7" width="31.44140625" bestFit="1" customWidth="1"/>
    <col min="8" max="8" width="34" bestFit="1" customWidth="1"/>
    <col min="9" max="9" width="29.6640625" bestFit="1" customWidth="1"/>
    <col min="10" max="10" width="35.77734375" bestFit="1" customWidth="1"/>
    <col min="11" max="11" width="67.33203125" bestFit="1" customWidth="1"/>
    <col min="12" max="12" width="15.5546875" bestFit="1" customWidth="1"/>
    <col min="13" max="13" width="35.77734375" bestFit="1" customWidth="1"/>
    <col min="14" max="14" width="36.88671875" bestFit="1" customWidth="1"/>
    <col min="15" max="15" width="32.6640625" bestFit="1" customWidth="1"/>
    <col min="16" max="16" width="30.77734375" bestFit="1" customWidth="1"/>
    <col min="17" max="17" width="30.109375" bestFit="1" customWidth="1"/>
    <col min="18" max="18" width="30.44140625" bestFit="1" customWidth="1"/>
    <col min="19" max="19" width="31.33203125" bestFit="1" customWidth="1"/>
    <col min="20" max="20" width="22.21875" bestFit="1" customWidth="1"/>
    <col min="21" max="21" width="33.6640625" bestFit="1" customWidth="1"/>
    <col min="22" max="22" width="35.21875" bestFit="1" customWidth="1"/>
    <col min="23" max="23" width="33.33203125" bestFit="1" customWidth="1"/>
    <col min="24" max="24" width="34.6640625" bestFit="1" customWidth="1"/>
    <col min="25" max="25" width="27.2187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30</v>
      </c>
      <c r="C2" t="s">
        <v>34</v>
      </c>
      <c r="D2" t="s">
        <v>37</v>
      </c>
      <c r="E2" t="s">
        <v>42</v>
      </c>
      <c r="F2" t="s">
        <v>47</v>
      </c>
      <c r="G2" t="s">
        <v>72</v>
      </c>
      <c r="H2" t="s">
        <v>79</v>
      </c>
      <c r="I2" t="s">
        <v>51</v>
      </c>
      <c r="J2" t="s">
        <v>81</v>
      </c>
      <c r="K2" t="s">
        <v>86</v>
      </c>
      <c r="L2" t="s">
        <v>80</v>
      </c>
      <c r="M2">
        <v>2</v>
      </c>
      <c r="N2">
        <v>3</v>
      </c>
      <c r="O2">
        <v>3</v>
      </c>
      <c r="P2">
        <v>3</v>
      </c>
      <c r="Q2">
        <v>2</v>
      </c>
      <c r="R2" t="s">
        <v>110</v>
      </c>
      <c r="S2">
        <v>3</v>
      </c>
      <c r="T2" t="s">
        <v>115</v>
      </c>
      <c r="U2">
        <v>3</v>
      </c>
      <c r="V2">
        <v>3</v>
      </c>
      <c r="W2" t="s">
        <v>112</v>
      </c>
      <c r="X2">
        <v>165</v>
      </c>
      <c r="Y2" t="s">
        <v>120</v>
      </c>
    </row>
    <row r="3" spans="1:25" x14ac:dyDescent="0.3">
      <c r="A3" t="s">
        <v>25</v>
      </c>
      <c r="B3" t="s">
        <v>31</v>
      </c>
      <c r="C3" t="s">
        <v>35</v>
      </c>
      <c r="D3" t="s">
        <v>38</v>
      </c>
      <c r="E3" t="s">
        <v>43</v>
      </c>
      <c r="F3" t="s">
        <v>48</v>
      </c>
      <c r="G3" t="s">
        <v>73</v>
      </c>
      <c r="H3" t="s">
        <v>80</v>
      </c>
      <c r="J3" t="s">
        <v>82</v>
      </c>
      <c r="K3" t="s">
        <v>87</v>
      </c>
      <c r="L3" t="s">
        <v>79</v>
      </c>
      <c r="M3">
        <v>4</v>
      </c>
      <c r="N3">
        <v>4</v>
      </c>
      <c r="O3">
        <v>4</v>
      </c>
      <c r="P3">
        <v>4</v>
      </c>
      <c r="Q3">
        <v>4</v>
      </c>
      <c r="R3" t="s">
        <v>111</v>
      </c>
      <c r="S3">
        <v>2</v>
      </c>
      <c r="T3" t="s">
        <v>116</v>
      </c>
      <c r="U3">
        <v>4</v>
      </c>
      <c r="V3">
        <v>4</v>
      </c>
      <c r="W3" t="s">
        <v>114</v>
      </c>
      <c r="X3">
        <v>47</v>
      </c>
      <c r="Y3" t="s">
        <v>121</v>
      </c>
    </row>
    <row r="4" spans="1:25" x14ac:dyDescent="0.3">
      <c r="A4" t="s">
        <v>26</v>
      </c>
      <c r="B4" t="s">
        <v>32</v>
      </c>
      <c r="C4" t="s">
        <v>35</v>
      </c>
      <c r="D4" t="s">
        <v>38</v>
      </c>
      <c r="E4" t="s">
        <v>44</v>
      </c>
      <c r="F4" t="s">
        <v>49</v>
      </c>
      <c r="G4" t="s">
        <v>72</v>
      </c>
      <c r="H4" t="s">
        <v>79</v>
      </c>
      <c r="I4" t="s">
        <v>59</v>
      </c>
      <c r="J4" t="s">
        <v>82</v>
      </c>
      <c r="K4" t="s">
        <v>88</v>
      </c>
      <c r="L4" t="s">
        <v>79</v>
      </c>
      <c r="M4">
        <v>3</v>
      </c>
      <c r="N4">
        <v>3</v>
      </c>
      <c r="O4">
        <v>3</v>
      </c>
      <c r="P4">
        <v>3</v>
      </c>
      <c r="Q4">
        <v>3</v>
      </c>
      <c r="R4" t="s">
        <v>112</v>
      </c>
      <c r="S4">
        <v>2</v>
      </c>
      <c r="T4" t="s">
        <v>117</v>
      </c>
      <c r="U4">
        <v>4</v>
      </c>
      <c r="V4">
        <v>4</v>
      </c>
      <c r="W4" t="s">
        <v>114</v>
      </c>
      <c r="X4">
        <v>114</v>
      </c>
      <c r="Y4" t="s">
        <v>122</v>
      </c>
    </row>
    <row r="5" spans="1:25" x14ac:dyDescent="0.3">
      <c r="A5" t="s">
        <v>26</v>
      </c>
      <c r="B5" t="s">
        <v>30</v>
      </c>
      <c r="C5" t="s">
        <v>36</v>
      </c>
      <c r="D5" t="s">
        <v>38</v>
      </c>
      <c r="E5" t="s">
        <v>42</v>
      </c>
      <c r="F5" t="s">
        <v>49</v>
      </c>
      <c r="G5" t="s">
        <v>73</v>
      </c>
      <c r="H5" t="s">
        <v>79</v>
      </c>
      <c r="I5" t="s">
        <v>59</v>
      </c>
      <c r="J5" t="s">
        <v>83</v>
      </c>
      <c r="K5" t="s">
        <v>89</v>
      </c>
      <c r="L5" t="s">
        <v>79</v>
      </c>
      <c r="M5">
        <v>2</v>
      </c>
      <c r="N5">
        <v>2</v>
      </c>
      <c r="O5">
        <v>2</v>
      </c>
      <c r="P5">
        <v>2</v>
      </c>
      <c r="Q5">
        <v>2</v>
      </c>
      <c r="R5" t="s">
        <v>113</v>
      </c>
      <c r="S5">
        <v>4</v>
      </c>
      <c r="T5" t="s">
        <v>118</v>
      </c>
      <c r="U5">
        <v>3</v>
      </c>
      <c r="V5">
        <v>2</v>
      </c>
      <c r="W5" t="s">
        <v>110</v>
      </c>
      <c r="X5">
        <v>70</v>
      </c>
      <c r="Y5" t="s">
        <v>122</v>
      </c>
    </row>
    <row r="6" spans="1:25" x14ac:dyDescent="0.3">
      <c r="A6" t="s">
        <v>26</v>
      </c>
      <c r="B6" t="s">
        <v>32</v>
      </c>
      <c r="C6" t="s">
        <v>35</v>
      </c>
      <c r="D6" t="s">
        <v>39</v>
      </c>
      <c r="E6" t="s">
        <v>45</v>
      </c>
      <c r="F6" t="s">
        <v>50</v>
      </c>
      <c r="G6" t="s">
        <v>72</v>
      </c>
      <c r="H6" t="s">
        <v>80</v>
      </c>
      <c r="J6" t="s">
        <v>82</v>
      </c>
      <c r="K6" t="s">
        <v>87</v>
      </c>
      <c r="L6" t="s">
        <v>79</v>
      </c>
      <c r="M6">
        <v>4</v>
      </c>
      <c r="N6">
        <v>4</v>
      </c>
      <c r="O6">
        <v>4</v>
      </c>
      <c r="P6">
        <v>4</v>
      </c>
      <c r="Q6">
        <v>4</v>
      </c>
      <c r="R6" t="s">
        <v>111</v>
      </c>
      <c r="S6">
        <v>3</v>
      </c>
      <c r="T6" t="s">
        <v>115</v>
      </c>
      <c r="U6">
        <v>4</v>
      </c>
      <c r="V6">
        <v>4</v>
      </c>
      <c r="W6" t="s">
        <v>114</v>
      </c>
      <c r="X6">
        <v>91</v>
      </c>
      <c r="Y6" t="s">
        <v>123</v>
      </c>
    </row>
    <row r="7" spans="1:25" x14ac:dyDescent="0.3">
      <c r="A7" t="s">
        <v>26</v>
      </c>
      <c r="B7" t="s">
        <v>32</v>
      </c>
      <c r="C7" t="s">
        <v>35</v>
      </c>
      <c r="D7" t="s">
        <v>38</v>
      </c>
      <c r="E7" t="s">
        <v>43</v>
      </c>
      <c r="F7" t="s">
        <v>51</v>
      </c>
      <c r="G7" t="s">
        <v>72</v>
      </c>
      <c r="H7" t="s">
        <v>79</v>
      </c>
      <c r="I7" t="s">
        <v>51</v>
      </c>
      <c r="J7" t="s">
        <v>82</v>
      </c>
      <c r="K7" t="s">
        <v>90</v>
      </c>
      <c r="L7" t="s">
        <v>79</v>
      </c>
      <c r="M7">
        <v>4</v>
      </c>
      <c r="N7">
        <v>3</v>
      </c>
      <c r="O7">
        <v>4</v>
      </c>
      <c r="P7">
        <v>3</v>
      </c>
      <c r="Q7">
        <v>3</v>
      </c>
      <c r="R7" t="s">
        <v>112</v>
      </c>
      <c r="S7">
        <v>2</v>
      </c>
      <c r="T7" t="s">
        <v>118</v>
      </c>
      <c r="U7">
        <v>4</v>
      </c>
      <c r="V7">
        <v>4</v>
      </c>
      <c r="W7" t="s">
        <v>110</v>
      </c>
      <c r="X7">
        <v>19</v>
      </c>
      <c r="Y7" t="s">
        <v>124</v>
      </c>
    </row>
    <row r="8" spans="1:25" x14ac:dyDescent="0.3">
      <c r="A8" t="s">
        <v>25</v>
      </c>
      <c r="B8" t="s">
        <v>30</v>
      </c>
      <c r="C8" t="s">
        <v>36</v>
      </c>
      <c r="D8" t="s">
        <v>39</v>
      </c>
      <c r="E8" t="s">
        <v>43</v>
      </c>
      <c r="F8" t="s">
        <v>52</v>
      </c>
      <c r="G8" t="s">
        <v>73</v>
      </c>
      <c r="H8" t="s">
        <v>80</v>
      </c>
      <c r="J8" t="s">
        <v>82</v>
      </c>
      <c r="K8" t="s">
        <v>87</v>
      </c>
      <c r="L8" t="s">
        <v>80</v>
      </c>
      <c r="M8">
        <v>3</v>
      </c>
      <c r="N8">
        <v>3</v>
      </c>
      <c r="O8">
        <v>4</v>
      </c>
      <c r="P8">
        <v>4</v>
      </c>
      <c r="Q8">
        <v>3</v>
      </c>
      <c r="R8" t="s">
        <v>113</v>
      </c>
      <c r="S8">
        <v>3</v>
      </c>
      <c r="T8" t="s">
        <v>117</v>
      </c>
      <c r="U8">
        <v>4</v>
      </c>
      <c r="V8">
        <v>3</v>
      </c>
      <c r="W8" t="s">
        <v>114</v>
      </c>
      <c r="X8">
        <v>114</v>
      </c>
      <c r="Y8" t="s">
        <v>120</v>
      </c>
    </row>
    <row r="9" spans="1:25" x14ac:dyDescent="0.3">
      <c r="A9" t="s">
        <v>26</v>
      </c>
      <c r="B9" t="s">
        <v>32</v>
      </c>
      <c r="C9" t="s">
        <v>35</v>
      </c>
      <c r="D9" t="s">
        <v>38</v>
      </c>
      <c r="E9" t="s">
        <v>45</v>
      </c>
      <c r="F9" t="s">
        <v>53</v>
      </c>
      <c r="G9" t="s">
        <v>73</v>
      </c>
      <c r="H9" t="s">
        <v>79</v>
      </c>
      <c r="I9" t="s">
        <v>51</v>
      </c>
      <c r="J9" t="s">
        <v>83</v>
      </c>
      <c r="K9" t="s">
        <v>87</v>
      </c>
      <c r="L9" t="s">
        <v>79</v>
      </c>
      <c r="M9">
        <v>3</v>
      </c>
      <c r="N9">
        <v>3</v>
      </c>
      <c r="O9">
        <v>4</v>
      </c>
      <c r="P9">
        <v>3</v>
      </c>
      <c r="Q9">
        <v>3</v>
      </c>
      <c r="R9" t="s">
        <v>112</v>
      </c>
      <c r="S9">
        <v>3</v>
      </c>
      <c r="T9" t="s">
        <v>115</v>
      </c>
      <c r="U9">
        <v>3</v>
      </c>
      <c r="V9">
        <v>3</v>
      </c>
      <c r="W9" t="s">
        <v>113</v>
      </c>
      <c r="X9">
        <v>71</v>
      </c>
      <c r="Y9" t="s">
        <v>120</v>
      </c>
    </row>
    <row r="10" spans="1:25" x14ac:dyDescent="0.3">
      <c r="A10" t="s">
        <v>26</v>
      </c>
      <c r="B10" t="s">
        <v>30</v>
      </c>
      <c r="C10" t="s">
        <v>34</v>
      </c>
      <c r="D10" t="s">
        <v>38</v>
      </c>
      <c r="E10" t="s">
        <v>43</v>
      </c>
      <c r="F10" t="s">
        <v>54</v>
      </c>
      <c r="G10" t="s">
        <v>73</v>
      </c>
      <c r="H10" t="s">
        <v>80</v>
      </c>
      <c r="J10" t="s">
        <v>82</v>
      </c>
      <c r="K10" t="s">
        <v>87</v>
      </c>
      <c r="L10" t="s">
        <v>79</v>
      </c>
      <c r="M10">
        <v>4</v>
      </c>
      <c r="N10">
        <v>3</v>
      </c>
      <c r="O10">
        <v>4</v>
      </c>
      <c r="P10">
        <v>4</v>
      </c>
      <c r="Q10">
        <v>4</v>
      </c>
      <c r="R10" t="s">
        <v>111</v>
      </c>
      <c r="S10">
        <v>3</v>
      </c>
      <c r="T10" t="s">
        <v>118</v>
      </c>
      <c r="U10">
        <v>4</v>
      </c>
      <c r="V10">
        <v>4</v>
      </c>
      <c r="W10" t="s">
        <v>112</v>
      </c>
      <c r="X10">
        <v>197</v>
      </c>
      <c r="Y10" t="s">
        <v>121</v>
      </c>
    </row>
    <row r="11" spans="1:25" x14ac:dyDescent="0.3">
      <c r="A11" t="s">
        <v>25</v>
      </c>
      <c r="B11" t="s">
        <v>30</v>
      </c>
      <c r="C11" t="s">
        <v>35</v>
      </c>
      <c r="D11" t="s">
        <v>37</v>
      </c>
      <c r="E11" t="s">
        <v>46</v>
      </c>
      <c r="F11" t="s">
        <v>51</v>
      </c>
      <c r="G11" t="s">
        <v>73</v>
      </c>
      <c r="H11" t="s">
        <v>79</v>
      </c>
      <c r="I11" t="s">
        <v>51</v>
      </c>
      <c r="J11" t="s">
        <v>83</v>
      </c>
      <c r="K11" t="s">
        <v>91</v>
      </c>
      <c r="L11" t="s">
        <v>80</v>
      </c>
      <c r="M11">
        <v>3</v>
      </c>
      <c r="N11">
        <v>3</v>
      </c>
      <c r="O11">
        <v>2</v>
      </c>
      <c r="P11">
        <v>2</v>
      </c>
      <c r="Q11">
        <v>2</v>
      </c>
      <c r="R11" t="s">
        <v>113</v>
      </c>
      <c r="S11">
        <v>4</v>
      </c>
      <c r="T11" t="s">
        <v>117</v>
      </c>
      <c r="U11">
        <v>3</v>
      </c>
      <c r="V11">
        <v>3</v>
      </c>
      <c r="W11" t="s">
        <v>111</v>
      </c>
      <c r="X11">
        <v>143</v>
      </c>
      <c r="Y11" t="s">
        <v>124</v>
      </c>
    </row>
    <row r="12" spans="1:25" x14ac:dyDescent="0.3">
      <c r="A12" t="s">
        <v>26</v>
      </c>
      <c r="B12" t="s">
        <v>30</v>
      </c>
      <c r="C12" t="s">
        <v>35</v>
      </c>
      <c r="D12" t="s">
        <v>38</v>
      </c>
      <c r="E12" t="s">
        <v>44</v>
      </c>
      <c r="F12" t="s">
        <v>55</v>
      </c>
      <c r="G12" t="s">
        <v>74</v>
      </c>
      <c r="H12" t="s">
        <v>80</v>
      </c>
      <c r="J12" t="s">
        <v>82</v>
      </c>
      <c r="K12" t="s">
        <v>87</v>
      </c>
      <c r="L12" t="s">
        <v>79</v>
      </c>
      <c r="M12">
        <v>4</v>
      </c>
      <c r="N12">
        <v>4</v>
      </c>
      <c r="O12">
        <v>4</v>
      </c>
      <c r="P12">
        <v>3</v>
      </c>
      <c r="Q12">
        <v>3</v>
      </c>
      <c r="R12" t="s">
        <v>114</v>
      </c>
      <c r="S12">
        <v>3</v>
      </c>
      <c r="T12" t="s">
        <v>115</v>
      </c>
      <c r="U12">
        <v>3</v>
      </c>
      <c r="V12">
        <v>4</v>
      </c>
      <c r="W12" t="s">
        <v>110</v>
      </c>
      <c r="X12">
        <v>21</v>
      </c>
      <c r="Y12" t="s">
        <v>121</v>
      </c>
    </row>
    <row r="13" spans="1:25" x14ac:dyDescent="0.3">
      <c r="A13" t="s">
        <v>25</v>
      </c>
      <c r="B13" t="s">
        <v>32</v>
      </c>
      <c r="C13" t="s">
        <v>36</v>
      </c>
      <c r="D13" t="s">
        <v>38</v>
      </c>
      <c r="E13" t="s">
        <v>44</v>
      </c>
      <c r="F13" t="s">
        <v>47</v>
      </c>
      <c r="G13" t="s">
        <v>72</v>
      </c>
      <c r="H13" t="s">
        <v>79</v>
      </c>
      <c r="I13" t="s">
        <v>51</v>
      </c>
      <c r="J13" t="s">
        <v>82</v>
      </c>
      <c r="K13" t="s">
        <v>88</v>
      </c>
      <c r="L13" t="s">
        <v>80</v>
      </c>
      <c r="M13">
        <v>2</v>
      </c>
      <c r="N13">
        <v>2</v>
      </c>
      <c r="O13">
        <v>2</v>
      </c>
      <c r="P13">
        <v>2</v>
      </c>
      <c r="Q13">
        <v>2</v>
      </c>
      <c r="R13" t="s">
        <v>110</v>
      </c>
      <c r="S13">
        <v>4</v>
      </c>
      <c r="T13" t="s">
        <v>118</v>
      </c>
      <c r="U13">
        <v>3</v>
      </c>
      <c r="V13">
        <v>3</v>
      </c>
      <c r="W13" t="s">
        <v>113</v>
      </c>
      <c r="X13">
        <v>59</v>
      </c>
      <c r="Y13" t="s">
        <v>121</v>
      </c>
    </row>
    <row r="14" spans="1:25" x14ac:dyDescent="0.3">
      <c r="A14" t="s">
        <v>26</v>
      </c>
      <c r="B14" t="s">
        <v>32</v>
      </c>
      <c r="C14" t="s">
        <v>35</v>
      </c>
      <c r="D14" t="s">
        <v>37</v>
      </c>
      <c r="E14" t="s">
        <v>42</v>
      </c>
      <c r="F14" t="s">
        <v>56</v>
      </c>
      <c r="G14" t="s">
        <v>72</v>
      </c>
      <c r="H14" t="s">
        <v>79</v>
      </c>
      <c r="I14" t="s">
        <v>59</v>
      </c>
      <c r="J14" t="s">
        <v>83</v>
      </c>
      <c r="K14" t="s">
        <v>92</v>
      </c>
      <c r="L14" t="s">
        <v>79</v>
      </c>
      <c r="M14">
        <v>2</v>
      </c>
      <c r="N14">
        <v>3</v>
      </c>
      <c r="O14">
        <v>3</v>
      </c>
      <c r="P14">
        <v>2</v>
      </c>
      <c r="Q14">
        <v>2</v>
      </c>
      <c r="R14" t="s">
        <v>111</v>
      </c>
      <c r="S14">
        <v>4</v>
      </c>
      <c r="T14" t="s">
        <v>116</v>
      </c>
      <c r="U14">
        <v>3</v>
      </c>
      <c r="V14">
        <v>3</v>
      </c>
      <c r="W14" t="s">
        <v>114</v>
      </c>
      <c r="X14">
        <v>18</v>
      </c>
      <c r="Y14" t="s">
        <v>120</v>
      </c>
    </row>
    <row r="15" spans="1:25" x14ac:dyDescent="0.3">
      <c r="A15" t="s">
        <v>25</v>
      </c>
      <c r="B15" t="s">
        <v>32</v>
      </c>
      <c r="C15" t="s">
        <v>35</v>
      </c>
      <c r="D15" t="s">
        <v>37</v>
      </c>
      <c r="E15" t="s">
        <v>33</v>
      </c>
      <c r="F15" t="s">
        <v>57</v>
      </c>
      <c r="G15" t="s">
        <v>72</v>
      </c>
      <c r="H15" t="s">
        <v>80</v>
      </c>
      <c r="J15" t="s">
        <v>82</v>
      </c>
      <c r="K15" t="s">
        <v>87</v>
      </c>
      <c r="L15" t="s">
        <v>79</v>
      </c>
      <c r="M15">
        <v>4</v>
      </c>
      <c r="N15">
        <v>4</v>
      </c>
      <c r="O15">
        <v>4</v>
      </c>
      <c r="P15">
        <v>4</v>
      </c>
      <c r="Q15">
        <v>4</v>
      </c>
      <c r="R15" t="s">
        <v>112</v>
      </c>
      <c r="S15">
        <v>3</v>
      </c>
      <c r="T15" t="s">
        <v>116</v>
      </c>
      <c r="U15">
        <v>5</v>
      </c>
      <c r="V15">
        <v>4</v>
      </c>
      <c r="W15" t="s">
        <v>111</v>
      </c>
      <c r="X15">
        <v>208</v>
      </c>
      <c r="Y15" t="s">
        <v>120</v>
      </c>
    </row>
    <row r="16" spans="1:25" x14ac:dyDescent="0.3">
      <c r="A16" t="s">
        <v>27</v>
      </c>
      <c r="B16" t="s">
        <v>32</v>
      </c>
      <c r="C16" t="s">
        <v>35</v>
      </c>
      <c r="D16" t="s">
        <v>38</v>
      </c>
      <c r="E16" t="s">
        <v>33</v>
      </c>
      <c r="F16" t="s">
        <v>53</v>
      </c>
      <c r="G16" t="s">
        <v>72</v>
      </c>
      <c r="H16" t="s">
        <v>79</v>
      </c>
      <c r="I16" t="s">
        <v>66</v>
      </c>
      <c r="J16" t="s">
        <v>84</v>
      </c>
      <c r="K16" t="s">
        <v>93</v>
      </c>
      <c r="L16" t="s">
        <v>79</v>
      </c>
      <c r="M16">
        <v>3</v>
      </c>
      <c r="N16">
        <v>2</v>
      </c>
      <c r="O16">
        <v>3</v>
      </c>
      <c r="P16">
        <v>2</v>
      </c>
      <c r="Q16">
        <v>3</v>
      </c>
      <c r="R16" t="s">
        <v>111</v>
      </c>
      <c r="S16">
        <v>3</v>
      </c>
      <c r="T16" t="s">
        <v>115</v>
      </c>
      <c r="U16">
        <v>3</v>
      </c>
      <c r="V16">
        <v>3</v>
      </c>
      <c r="W16" t="s">
        <v>110</v>
      </c>
      <c r="X16">
        <v>37</v>
      </c>
      <c r="Y16" t="s">
        <v>121</v>
      </c>
    </row>
    <row r="17" spans="1:25" x14ac:dyDescent="0.3">
      <c r="A17" t="s">
        <v>26</v>
      </c>
      <c r="B17" t="s">
        <v>33</v>
      </c>
      <c r="C17" t="s">
        <v>36</v>
      </c>
      <c r="D17" t="s">
        <v>37</v>
      </c>
      <c r="E17" t="s">
        <v>42</v>
      </c>
      <c r="F17" t="s">
        <v>49</v>
      </c>
      <c r="G17" t="s">
        <v>75</v>
      </c>
      <c r="H17" t="s">
        <v>79</v>
      </c>
      <c r="I17" t="s">
        <v>59</v>
      </c>
      <c r="J17" t="s">
        <v>85</v>
      </c>
      <c r="K17" t="s">
        <v>93</v>
      </c>
      <c r="L17" t="s">
        <v>79</v>
      </c>
      <c r="M17">
        <v>2</v>
      </c>
      <c r="N17">
        <v>3</v>
      </c>
      <c r="O17">
        <v>2</v>
      </c>
      <c r="P17">
        <v>2</v>
      </c>
      <c r="Q17">
        <v>2</v>
      </c>
      <c r="R17" t="s">
        <v>113</v>
      </c>
      <c r="S17">
        <v>4</v>
      </c>
      <c r="T17" t="s">
        <v>119</v>
      </c>
      <c r="U17">
        <v>3</v>
      </c>
      <c r="V17">
        <v>3</v>
      </c>
      <c r="W17" t="s">
        <v>113</v>
      </c>
      <c r="X17">
        <v>82</v>
      </c>
      <c r="Y17" t="s">
        <v>124</v>
      </c>
    </row>
    <row r="18" spans="1:25" x14ac:dyDescent="0.3">
      <c r="A18" t="s">
        <v>26</v>
      </c>
      <c r="B18" t="s">
        <v>30</v>
      </c>
      <c r="C18" t="s">
        <v>35</v>
      </c>
      <c r="D18" t="s">
        <v>37</v>
      </c>
      <c r="E18" t="s">
        <v>44</v>
      </c>
      <c r="F18" t="s">
        <v>58</v>
      </c>
      <c r="G18" t="s">
        <v>73</v>
      </c>
      <c r="H18" t="s">
        <v>79</v>
      </c>
      <c r="I18" t="s">
        <v>59</v>
      </c>
      <c r="J18" t="s">
        <v>83</v>
      </c>
      <c r="K18" t="s">
        <v>94</v>
      </c>
      <c r="L18" t="s">
        <v>79</v>
      </c>
      <c r="M18">
        <v>3</v>
      </c>
      <c r="N18">
        <v>3</v>
      </c>
      <c r="O18">
        <v>3</v>
      </c>
      <c r="P18">
        <v>2</v>
      </c>
      <c r="Q18">
        <v>3</v>
      </c>
      <c r="R18" t="s">
        <v>112</v>
      </c>
      <c r="S18">
        <v>3</v>
      </c>
      <c r="T18" t="s">
        <v>119</v>
      </c>
      <c r="U18">
        <v>3</v>
      </c>
      <c r="V18">
        <v>4</v>
      </c>
      <c r="W18" t="s">
        <v>114</v>
      </c>
      <c r="X18">
        <v>110</v>
      </c>
      <c r="Y18" t="s">
        <v>124</v>
      </c>
    </row>
    <row r="19" spans="1:25" x14ac:dyDescent="0.3">
      <c r="A19" t="s">
        <v>27</v>
      </c>
      <c r="B19" t="s">
        <v>30</v>
      </c>
      <c r="C19" t="s">
        <v>35</v>
      </c>
      <c r="D19" t="s">
        <v>37</v>
      </c>
      <c r="E19" t="s">
        <v>44</v>
      </c>
      <c r="F19" t="s">
        <v>59</v>
      </c>
      <c r="G19" t="s">
        <v>72</v>
      </c>
      <c r="H19" t="s">
        <v>79</v>
      </c>
      <c r="I19" t="s">
        <v>59</v>
      </c>
      <c r="J19" t="s">
        <v>84</v>
      </c>
      <c r="K19" t="s">
        <v>95</v>
      </c>
      <c r="L19" t="s">
        <v>79</v>
      </c>
      <c r="M19">
        <v>3</v>
      </c>
      <c r="N19">
        <v>3</v>
      </c>
      <c r="O19">
        <v>3</v>
      </c>
      <c r="P19">
        <v>3</v>
      </c>
      <c r="Q19">
        <v>3</v>
      </c>
      <c r="R19" t="s">
        <v>111</v>
      </c>
      <c r="S19">
        <v>3</v>
      </c>
      <c r="T19" t="s">
        <v>117</v>
      </c>
      <c r="U19">
        <v>3</v>
      </c>
      <c r="V19">
        <v>3</v>
      </c>
      <c r="W19" t="s">
        <v>112</v>
      </c>
      <c r="X19">
        <v>137</v>
      </c>
      <c r="Y19" t="s">
        <v>122</v>
      </c>
    </row>
    <row r="20" spans="1:25" x14ac:dyDescent="0.3">
      <c r="A20" t="s">
        <v>26</v>
      </c>
      <c r="B20" t="s">
        <v>32</v>
      </c>
      <c r="C20" t="s">
        <v>35</v>
      </c>
      <c r="D20" t="s">
        <v>37</v>
      </c>
      <c r="E20" t="s">
        <v>44</v>
      </c>
      <c r="F20" t="s">
        <v>50</v>
      </c>
      <c r="G20" t="s">
        <v>72</v>
      </c>
      <c r="H20" t="s">
        <v>79</v>
      </c>
      <c r="I20" t="s">
        <v>66</v>
      </c>
      <c r="J20" t="s">
        <v>83</v>
      </c>
      <c r="K20" t="s">
        <v>89</v>
      </c>
      <c r="L20" t="s">
        <v>80</v>
      </c>
      <c r="M20">
        <v>3</v>
      </c>
      <c r="N20">
        <v>3</v>
      </c>
      <c r="O20">
        <v>3</v>
      </c>
      <c r="P20">
        <v>3</v>
      </c>
      <c r="Q20">
        <v>3</v>
      </c>
      <c r="R20" t="s">
        <v>113</v>
      </c>
      <c r="S20">
        <v>3</v>
      </c>
      <c r="T20" t="s">
        <v>119</v>
      </c>
      <c r="U20">
        <v>4</v>
      </c>
      <c r="V20">
        <v>3</v>
      </c>
      <c r="W20" t="s">
        <v>111</v>
      </c>
      <c r="X20">
        <v>136</v>
      </c>
      <c r="Y20" t="s">
        <v>122</v>
      </c>
    </row>
    <row r="21" spans="1:25" x14ac:dyDescent="0.3">
      <c r="A21" t="s">
        <v>25</v>
      </c>
      <c r="B21" t="s">
        <v>30</v>
      </c>
      <c r="C21" t="s">
        <v>36</v>
      </c>
      <c r="D21" t="s">
        <v>39</v>
      </c>
      <c r="E21" t="s">
        <v>43</v>
      </c>
      <c r="F21" t="s">
        <v>60</v>
      </c>
      <c r="G21" t="s">
        <v>76</v>
      </c>
      <c r="H21" t="s">
        <v>79</v>
      </c>
      <c r="I21" t="s">
        <v>66</v>
      </c>
      <c r="J21" t="s">
        <v>81</v>
      </c>
      <c r="K21" t="s">
        <v>87</v>
      </c>
      <c r="L21" t="s">
        <v>80</v>
      </c>
      <c r="M21">
        <v>2</v>
      </c>
      <c r="N21">
        <v>2</v>
      </c>
      <c r="O21">
        <v>2</v>
      </c>
      <c r="P21">
        <v>2</v>
      </c>
      <c r="Q21">
        <v>2</v>
      </c>
      <c r="R21" t="s">
        <v>111</v>
      </c>
      <c r="S21">
        <v>4</v>
      </c>
      <c r="T21" t="s">
        <v>117</v>
      </c>
      <c r="U21">
        <v>2</v>
      </c>
      <c r="V21">
        <v>3</v>
      </c>
      <c r="W21" t="s">
        <v>110</v>
      </c>
      <c r="X21">
        <v>24</v>
      </c>
      <c r="Y21" t="s">
        <v>121</v>
      </c>
    </row>
    <row r="22" spans="1:25" x14ac:dyDescent="0.3">
      <c r="A22" t="s">
        <v>28</v>
      </c>
      <c r="B22" t="s">
        <v>30</v>
      </c>
      <c r="C22" t="s">
        <v>35</v>
      </c>
      <c r="D22" t="s">
        <v>38</v>
      </c>
      <c r="E22" t="s">
        <v>42</v>
      </c>
      <c r="F22" t="s">
        <v>51</v>
      </c>
      <c r="G22" t="s">
        <v>72</v>
      </c>
      <c r="H22" t="s">
        <v>79</v>
      </c>
      <c r="I22" t="s">
        <v>51</v>
      </c>
      <c r="J22" t="s">
        <v>82</v>
      </c>
      <c r="K22" t="s">
        <v>87</v>
      </c>
      <c r="L22" t="s">
        <v>79</v>
      </c>
      <c r="M22">
        <v>2</v>
      </c>
      <c r="N22">
        <v>2</v>
      </c>
      <c r="O22">
        <v>3</v>
      </c>
      <c r="P22">
        <v>1</v>
      </c>
      <c r="Q22">
        <v>2</v>
      </c>
      <c r="R22" t="s">
        <v>111</v>
      </c>
      <c r="S22">
        <v>4</v>
      </c>
      <c r="T22" t="s">
        <v>115</v>
      </c>
      <c r="U22">
        <v>2</v>
      </c>
      <c r="V22">
        <v>2</v>
      </c>
      <c r="W22" t="s">
        <v>113</v>
      </c>
      <c r="X22">
        <v>54</v>
      </c>
      <c r="Y22" t="s">
        <v>122</v>
      </c>
    </row>
    <row r="23" spans="1:25" x14ac:dyDescent="0.3">
      <c r="A23" t="s">
        <v>26</v>
      </c>
      <c r="B23" t="s">
        <v>30</v>
      </c>
      <c r="C23" t="s">
        <v>36</v>
      </c>
      <c r="D23" t="s">
        <v>38</v>
      </c>
      <c r="E23" t="s">
        <v>45</v>
      </c>
      <c r="F23" t="s">
        <v>61</v>
      </c>
      <c r="G23" t="s">
        <v>72</v>
      </c>
      <c r="H23" t="s">
        <v>80</v>
      </c>
      <c r="J23" t="s">
        <v>82</v>
      </c>
      <c r="K23" t="s">
        <v>87</v>
      </c>
      <c r="L23" t="s">
        <v>80</v>
      </c>
      <c r="M23">
        <v>3</v>
      </c>
      <c r="N23">
        <v>3</v>
      </c>
      <c r="O23">
        <v>3</v>
      </c>
      <c r="P23">
        <v>3</v>
      </c>
      <c r="Q23">
        <v>3</v>
      </c>
      <c r="R23" t="s">
        <v>111</v>
      </c>
      <c r="S23">
        <v>4</v>
      </c>
      <c r="T23" t="s">
        <v>119</v>
      </c>
      <c r="U23">
        <v>4</v>
      </c>
      <c r="V23">
        <v>3</v>
      </c>
      <c r="W23" t="s">
        <v>114</v>
      </c>
      <c r="X23">
        <v>96</v>
      </c>
      <c r="Y23" t="s">
        <v>122</v>
      </c>
    </row>
    <row r="24" spans="1:25" x14ac:dyDescent="0.3">
      <c r="A24" t="s">
        <v>25</v>
      </c>
      <c r="B24" t="s">
        <v>32</v>
      </c>
      <c r="C24" t="s">
        <v>34</v>
      </c>
      <c r="D24" t="s">
        <v>37</v>
      </c>
      <c r="E24" t="s">
        <v>43</v>
      </c>
      <c r="F24" t="s">
        <v>62</v>
      </c>
      <c r="G24" t="s">
        <v>77</v>
      </c>
      <c r="H24" t="s">
        <v>80</v>
      </c>
      <c r="J24" t="s">
        <v>82</v>
      </c>
      <c r="K24" t="s">
        <v>87</v>
      </c>
      <c r="L24" t="s">
        <v>80</v>
      </c>
      <c r="M24">
        <v>4</v>
      </c>
      <c r="N24">
        <v>3</v>
      </c>
      <c r="O24">
        <v>4</v>
      </c>
      <c r="P24">
        <v>4</v>
      </c>
      <c r="Q24">
        <v>4</v>
      </c>
      <c r="R24" t="s">
        <v>110</v>
      </c>
      <c r="S24">
        <v>2</v>
      </c>
      <c r="T24" t="s">
        <v>117</v>
      </c>
      <c r="U24">
        <v>4</v>
      </c>
      <c r="V24">
        <v>4</v>
      </c>
      <c r="W24" t="s">
        <v>113</v>
      </c>
      <c r="X24">
        <v>35</v>
      </c>
      <c r="Y24" t="s">
        <v>123</v>
      </c>
    </row>
    <row r="25" spans="1:25" x14ac:dyDescent="0.3">
      <c r="A25" t="s">
        <v>26</v>
      </c>
      <c r="B25" t="s">
        <v>31</v>
      </c>
      <c r="C25" t="s">
        <v>35</v>
      </c>
      <c r="D25" t="s">
        <v>37</v>
      </c>
      <c r="E25" t="s">
        <v>42</v>
      </c>
      <c r="F25" t="s">
        <v>52</v>
      </c>
      <c r="G25" t="s">
        <v>75</v>
      </c>
      <c r="H25" t="s">
        <v>79</v>
      </c>
      <c r="I25" t="s">
        <v>66</v>
      </c>
      <c r="J25" t="s">
        <v>84</v>
      </c>
      <c r="K25" t="s">
        <v>96</v>
      </c>
      <c r="L25" t="s">
        <v>80</v>
      </c>
      <c r="M25">
        <v>3</v>
      </c>
      <c r="N25">
        <v>3</v>
      </c>
      <c r="O25">
        <v>4</v>
      </c>
      <c r="P25">
        <v>3</v>
      </c>
      <c r="Q25">
        <v>3</v>
      </c>
      <c r="R25" t="s">
        <v>111</v>
      </c>
      <c r="S25">
        <v>3</v>
      </c>
      <c r="T25" t="s">
        <v>116</v>
      </c>
      <c r="U25">
        <v>4</v>
      </c>
      <c r="V25">
        <v>3</v>
      </c>
      <c r="W25" t="s">
        <v>112</v>
      </c>
      <c r="X25">
        <v>127</v>
      </c>
      <c r="Y25" t="s">
        <v>121</v>
      </c>
    </row>
    <row r="26" spans="1:25" x14ac:dyDescent="0.3">
      <c r="A26" t="s">
        <v>25</v>
      </c>
      <c r="B26" t="s">
        <v>30</v>
      </c>
      <c r="C26" t="s">
        <v>34</v>
      </c>
      <c r="D26" t="s">
        <v>38</v>
      </c>
      <c r="E26" t="s">
        <v>46</v>
      </c>
      <c r="F26" t="s">
        <v>55</v>
      </c>
      <c r="G26" t="s">
        <v>74</v>
      </c>
      <c r="H26" t="s">
        <v>79</v>
      </c>
      <c r="I26" t="s">
        <v>66</v>
      </c>
      <c r="J26" t="s">
        <v>82</v>
      </c>
      <c r="K26" t="s">
        <v>86</v>
      </c>
      <c r="L26" t="s">
        <v>80</v>
      </c>
      <c r="M26">
        <v>3</v>
      </c>
      <c r="N26">
        <v>3</v>
      </c>
      <c r="O26">
        <v>4</v>
      </c>
      <c r="P26">
        <v>2</v>
      </c>
      <c r="Q26">
        <v>3</v>
      </c>
      <c r="R26" t="s">
        <v>110</v>
      </c>
      <c r="S26">
        <v>3</v>
      </c>
      <c r="T26" t="s">
        <v>117</v>
      </c>
      <c r="U26">
        <v>4</v>
      </c>
      <c r="V26">
        <v>3</v>
      </c>
      <c r="W26" t="s">
        <v>111</v>
      </c>
      <c r="X26">
        <v>161</v>
      </c>
      <c r="Y26" t="s">
        <v>122</v>
      </c>
    </row>
    <row r="27" spans="1:25" x14ac:dyDescent="0.3">
      <c r="A27" t="s">
        <v>25</v>
      </c>
      <c r="B27" t="s">
        <v>30</v>
      </c>
      <c r="C27" t="s">
        <v>35</v>
      </c>
      <c r="D27" t="s">
        <v>40</v>
      </c>
      <c r="E27" t="s">
        <v>45</v>
      </c>
      <c r="F27" t="s">
        <v>63</v>
      </c>
      <c r="G27" t="s">
        <v>73</v>
      </c>
      <c r="H27" t="s">
        <v>80</v>
      </c>
      <c r="J27" t="s">
        <v>82</v>
      </c>
      <c r="K27" t="s">
        <v>87</v>
      </c>
      <c r="L27" t="s">
        <v>79</v>
      </c>
      <c r="M27">
        <v>2</v>
      </c>
      <c r="N27">
        <v>3</v>
      </c>
      <c r="O27">
        <v>4</v>
      </c>
      <c r="P27">
        <v>3</v>
      </c>
      <c r="Q27">
        <v>3</v>
      </c>
      <c r="R27" t="s">
        <v>112</v>
      </c>
      <c r="S27">
        <v>3</v>
      </c>
      <c r="T27" t="s">
        <v>115</v>
      </c>
      <c r="U27">
        <v>4</v>
      </c>
      <c r="V27">
        <v>4</v>
      </c>
      <c r="W27" t="s">
        <v>113</v>
      </c>
      <c r="X27">
        <v>44</v>
      </c>
      <c r="Y27" t="s">
        <v>122</v>
      </c>
    </row>
    <row r="28" spans="1:25" x14ac:dyDescent="0.3">
      <c r="A28" t="s">
        <v>26</v>
      </c>
      <c r="B28" t="s">
        <v>33</v>
      </c>
      <c r="C28" t="s">
        <v>36</v>
      </c>
      <c r="D28" t="s">
        <v>39</v>
      </c>
      <c r="E28" t="s">
        <v>33</v>
      </c>
      <c r="F28" t="s">
        <v>58</v>
      </c>
      <c r="G28" t="s">
        <v>76</v>
      </c>
      <c r="H28" t="s">
        <v>80</v>
      </c>
      <c r="J28" t="s">
        <v>82</v>
      </c>
      <c r="K28" t="s">
        <v>87</v>
      </c>
      <c r="L28" t="s">
        <v>79</v>
      </c>
      <c r="M28">
        <v>3</v>
      </c>
      <c r="N28">
        <v>3</v>
      </c>
      <c r="O28">
        <v>4</v>
      </c>
      <c r="P28">
        <v>2</v>
      </c>
      <c r="Q28">
        <v>3</v>
      </c>
      <c r="R28" t="s">
        <v>112</v>
      </c>
      <c r="S28">
        <v>4</v>
      </c>
      <c r="T28" t="s">
        <v>116</v>
      </c>
      <c r="U28">
        <v>3</v>
      </c>
      <c r="V28">
        <v>4</v>
      </c>
      <c r="W28" t="s">
        <v>111</v>
      </c>
      <c r="X28">
        <v>139</v>
      </c>
      <c r="Y28" t="s">
        <v>124</v>
      </c>
    </row>
    <row r="29" spans="1:25" x14ac:dyDescent="0.3">
      <c r="A29" t="s">
        <v>26</v>
      </c>
      <c r="B29" t="s">
        <v>30</v>
      </c>
      <c r="C29" t="s">
        <v>36</v>
      </c>
      <c r="D29" t="s">
        <v>38</v>
      </c>
      <c r="E29" t="s">
        <v>43</v>
      </c>
      <c r="F29" t="s">
        <v>51</v>
      </c>
      <c r="G29" t="s">
        <v>76</v>
      </c>
      <c r="H29" t="s">
        <v>79</v>
      </c>
      <c r="I29" t="s">
        <v>51</v>
      </c>
      <c r="J29" t="s">
        <v>85</v>
      </c>
      <c r="K29" t="s">
        <v>95</v>
      </c>
      <c r="L29" t="s">
        <v>80</v>
      </c>
      <c r="M29">
        <v>1</v>
      </c>
      <c r="N29">
        <v>2</v>
      </c>
      <c r="O29">
        <v>2</v>
      </c>
      <c r="P29">
        <v>1</v>
      </c>
      <c r="Q29">
        <v>2</v>
      </c>
      <c r="R29" t="s">
        <v>111</v>
      </c>
      <c r="S29">
        <v>5</v>
      </c>
      <c r="T29" t="s">
        <v>118</v>
      </c>
      <c r="U29">
        <v>2</v>
      </c>
      <c r="V29">
        <v>3</v>
      </c>
      <c r="W29" t="s">
        <v>111</v>
      </c>
      <c r="X29">
        <v>179</v>
      </c>
      <c r="Y29" t="s">
        <v>124</v>
      </c>
    </row>
    <row r="30" spans="1:25" x14ac:dyDescent="0.3">
      <c r="A30" t="s">
        <v>26</v>
      </c>
      <c r="B30" t="s">
        <v>32</v>
      </c>
      <c r="C30" t="s">
        <v>35</v>
      </c>
      <c r="D30" t="s">
        <v>38</v>
      </c>
      <c r="E30" t="s">
        <v>42</v>
      </c>
      <c r="F30" t="s">
        <v>59</v>
      </c>
      <c r="G30" t="s">
        <v>73</v>
      </c>
      <c r="H30" t="s">
        <v>79</v>
      </c>
      <c r="I30" t="s">
        <v>59</v>
      </c>
      <c r="J30" t="s">
        <v>82</v>
      </c>
      <c r="K30" t="s">
        <v>86</v>
      </c>
      <c r="L30" t="s">
        <v>79</v>
      </c>
      <c r="M30">
        <v>2</v>
      </c>
      <c r="N30">
        <v>2</v>
      </c>
      <c r="O30">
        <v>3</v>
      </c>
      <c r="P30">
        <v>3</v>
      </c>
      <c r="Q30">
        <v>2</v>
      </c>
      <c r="R30" t="s">
        <v>113</v>
      </c>
      <c r="S30">
        <v>4</v>
      </c>
      <c r="T30" t="s">
        <v>117</v>
      </c>
      <c r="U30">
        <v>3</v>
      </c>
      <c r="V30">
        <v>2</v>
      </c>
      <c r="W30" t="s">
        <v>114</v>
      </c>
      <c r="X30">
        <v>161</v>
      </c>
      <c r="Y30" t="s">
        <v>122</v>
      </c>
    </row>
    <row r="31" spans="1:25" x14ac:dyDescent="0.3">
      <c r="A31" t="s">
        <v>29</v>
      </c>
      <c r="B31" t="s">
        <v>30</v>
      </c>
      <c r="C31" t="s">
        <v>36</v>
      </c>
      <c r="D31" t="s">
        <v>37</v>
      </c>
      <c r="E31" t="s">
        <v>42</v>
      </c>
      <c r="F31" t="s">
        <v>50</v>
      </c>
      <c r="G31" t="s">
        <v>76</v>
      </c>
      <c r="H31" t="s">
        <v>79</v>
      </c>
      <c r="I31" t="s">
        <v>66</v>
      </c>
      <c r="J31" t="s">
        <v>82</v>
      </c>
      <c r="K31" t="s">
        <v>97</v>
      </c>
      <c r="L31" t="s">
        <v>80</v>
      </c>
      <c r="M31">
        <v>3</v>
      </c>
      <c r="N31">
        <v>4</v>
      </c>
      <c r="O31">
        <v>4</v>
      </c>
      <c r="P31">
        <v>4</v>
      </c>
      <c r="Q31">
        <v>3</v>
      </c>
      <c r="R31" t="s">
        <v>112</v>
      </c>
      <c r="S31">
        <v>2</v>
      </c>
      <c r="T31" t="s">
        <v>119</v>
      </c>
      <c r="U31">
        <v>4</v>
      </c>
      <c r="V31">
        <v>4</v>
      </c>
      <c r="W31" t="s">
        <v>110</v>
      </c>
      <c r="X31">
        <v>71</v>
      </c>
      <c r="Y31" t="s">
        <v>124</v>
      </c>
    </row>
    <row r="32" spans="1:25" x14ac:dyDescent="0.3">
      <c r="A32" t="s">
        <v>29</v>
      </c>
      <c r="B32" t="s">
        <v>32</v>
      </c>
      <c r="C32" t="s">
        <v>35</v>
      </c>
      <c r="D32" t="s">
        <v>37</v>
      </c>
      <c r="E32" t="s">
        <v>43</v>
      </c>
      <c r="F32" t="s">
        <v>64</v>
      </c>
      <c r="G32" t="s">
        <v>78</v>
      </c>
      <c r="H32" t="s">
        <v>80</v>
      </c>
      <c r="J32" t="s">
        <v>82</v>
      </c>
      <c r="K32" t="s">
        <v>87</v>
      </c>
      <c r="L32" t="s">
        <v>79</v>
      </c>
      <c r="M32">
        <v>4</v>
      </c>
      <c r="N32">
        <v>4</v>
      </c>
      <c r="O32">
        <v>4</v>
      </c>
      <c r="P32">
        <v>3</v>
      </c>
      <c r="Q32">
        <v>3</v>
      </c>
      <c r="R32" t="s">
        <v>111</v>
      </c>
      <c r="S32">
        <v>3</v>
      </c>
      <c r="T32" t="s">
        <v>118</v>
      </c>
      <c r="U32">
        <v>4</v>
      </c>
      <c r="V32">
        <v>4</v>
      </c>
      <c r="W32" t="s">
        <v>113</v>
      </c>
      <c r="X32">
        <v>17</v>
      </c>
      <c r="Y32" t="s">
        <v>122</v>
      </c>
    </row>
    <row r="33" spans="1:25" x14ac:dyDescent="0.3">
      <c r="A33" t="s">
        <v>26</v>
      </c>
      <c r="B33" t="s">
        <v>30</v>
      </c>
      <c r="C33" t="s">
        <v>36</v>
      </c>
      <c r="D33" t="s">
        <v>38</v>
      </c>
      <c r="E33" t="s">
        <v>43</v>
      </c>
      <c r="F33" t="s">
        <v>65</v>
      </c>
      <c r="G33" t="s">
        <v>76</v>
      </c>
      <c r="H33" t="s">
        <v>80</v>
      </c>
      <c r="J33" t="s">
        <v>82</v>
      </c>
      <c r="K33" t="s">
        <v>87</v>
      </c>
      <c r="L33" t="s">
        <v>80</v>
      </c>
      <c r="M33">
        <v>4</v>
      </c>
      <c r="N33">
        <v>4</v>
      </c>
      <c r="O33">
        <v>4</v>
      </c>
      <c r="P33">
        <v>4</v>
      </c>
      <c r="Q33">
        <v>4</v>
      </c>
      <c r="R33" t="s">
        <v>111</v>
      </c>
      <c r="S33">
        <v>2</v>
      </c>
      <c r="T33" t="s">
        <v>117</v>
      </c>
      <c r="U33">
        <v>5</v>
      </c>
      <c r="V33">
        <v>5</v>
      </c>
      <c r="W33" t="s">
        <v>112</v>
      </c>
      <c r="X33">
        <v>133</v>
      </c>
      <c r="Y33" t="s">
        <v>121</v>
      </c>
    </row>
    <row r="34" spans="1:25" x14ac:dyDescent="0.3">
      <c r="A34" t="s">
        <v>25</v>
      </c>
      <c r="B34" t="s">
        <v>30</v>
      </c>
      <c r="C34" t="s">
        <v>35</v>
      </c>
      <c r="D34" t="s">
        <v>37</v>
      </c>
      <c r="E34" t="s">
        <v>42</v>
      </c>
      <c r="F34" t="s">
        <v>55</v>
      </c>
      <c r="G34" t="s">
        <v>73</v>
      </c>
      <c r="H34" t="s">
        <v>79</v>
      </c>
      <c r="I34" t="s">
        <v>66</v>
      </c>
      <c r="J34" t="s">
        <v>83</v>
      </c>
      <c r="K34" t="s">
        <v>98</v>
      </c>
      <c r="L34" t="s">
        <v>80</v>
      </c>
      <c r="M34">
        <v>2</v>
      </c>
      <c r="N34">
        <v>3</v>
      </c>
      <c r="O34">
        <v>3</v>
      </c>
      <c r="P34">
        <v>3</v>
      </c>
      <c r="Q34">
        <v>3</v>
      </c>
      <c r="R34" t="s">
        <v>111</v>
      </c>
      <c r="S34">
        <v>3</v>
      </c>
      <c r="T34" t="s">
        <v>118</v>
      </c>
      <c r="U34">
        <v>3</v>
      </c>
      <c r="V34">
        <v>3</v>
      </c>
      <c r="W34" t="s">
        <v>112</v>
      </c>
      <c r="X34">
        <v>146</v>
      </c>
      <c r="Y34" t="s">
        <v>121</v>
      </c>
    </row>
    <row r="35" spans="1:25" x14ac:dyDescent="0.3">
      <c r="A35" t="s">
        <v>26</v>
      </c>
      <c r="B35" t="s">
        <v>30</v>
      </c>
      <c r="C35" t="s">
        <v>35</v>
      </c>
      <c r="D35" t="s">
        <v>38</v>
      </c>
      <c r="E35" t="s">
        <v>43</v>
      </c>
      <c r="F35" t="s">
        <v>59</v>
      </c>
      <c r="G35" t="s">
        <v>72</v>
      </c>
      <c r="H35" t="s">
        <v>80</v>
      </c>
      <c r="J35" t="s">
        <v>82</v>
      </c>
      <c r="K35" t="s">
        <v>87</v>
      </c>
      <c r="L35" t="s">
        <v>79</v>
      </c>
      <c r="M35">
        <v>3</v>
      </c>
      <c r="N35">
        <v>3</v>
      </c>
      <c r="O35">
        <v>4</v>
      </c>
      <c r="P35">
        <v>3</v>
      </c>
      <c r="Q35">
        <v>3</v>
      </c>
      <c r="R35" t="s">
        <v>113</v>
      </c>
      <c r="S35">
        <v>3</v>
      </c>
      <c r="T35" t="s">
        <v>119</v>
      </c>
      <c r="U35">
        <v>4</v>
      </c>
      <c r="V35">
        <v>4</v>
      </c>
      <c r="W35" t="s">
        <v>112</v>
      </c>
      <c r="X35">
        <v>160</v>
      </c>
      <c r="Y35" t="s">
        <v>122</v>
      </c>
    </row>
    <row r="36" spans="1:25" x14ac:dyDescent="0.3">
      <c r="A36" t="s">
        <v>25</v>
      </c>
      <c r="B36" t="s">
        <v>30</v>
      </c>
      <c r="C36" t="s">
        <v>36</v>
      </c>
      <c r="D36" t="s">
        <v>37</v>
      </c>
      <c r="E36" t="s">
        <v>44</v>
      </c>
      <c r="F36" t="s">
        <v>66</v>
      </c>
      <c r="G36" t="s">
        <v>73</v>
      </c>
      <c r="H36" t="s">
        <v>80</v>
      </c>
      <c r="J36" t="s">
        <v>82</v>
      </c>
      <c r="K36" t="s">
        <v>87</v>
      </c>
      <c r="L36" t="s">
        <v>80</v>
      </c>
      <c r="M36">
        <v>3</v>
      </c>
      <c r="N36">
        <v>2</v>
      </c>
      <c r="O36">
        <v>3</v>
      </c>
      <c r="P36">
        <v>3</v>
      </c>
      <c r="Q36">
        <v>3</v>
      </c>
      <c r="R36" t="s">
        <v>111</v>
      </c>
      <c r="S36">
        <v>4</v>
      </c>
      <c r="T36" t="s">
        <v>117</v>
      </c>
      <c r="U36">
        <v>3</v>
      </c>
      <c r="V36">
        <v>3</v>
      </c>
      <c r="W36" t="s">
        <v>111</v>
      </c>
      <c r="X36">
        <v>105</v>
      </c>
      <c r="Y36" t="s">
        <v>122</v>
      </c>
    </row>
    <row r="37" spans="1:25" x14ac:dyDescent="0.3">
      <c r="A37" t="s">
        <v>26</v>
      </c>
      <c r="B37" t="s">
        <v>30</v>
      </c>
      <c r="C37" t="s">
        <v>35</v>
      </c>
      <c r="D37" t="s">
        <v>37</v>
      </c>
      <c r="E37" t="s">
        <v>46</v>
      </c>
      <c r="F37" t="s">
        <v>67</v>
      </c>
      <c r="G37" t="s">
        <v>73</v>
      </c>
      <c r="H37" t="s">
        <v>79</v>
      </c>
      <c r="I37" t="s">
        <v>66</v>
      </c>
      <c r="J37" t="s">
        <v>81</v>
      </c>
      <c r="K37" t="s">
        <v>87</v>
      </c>
      <c r="L37" t="s">
        <v>80</v>
      </c>
      <c r="M37">
        <v>3</v>
      </c>
      <c r="N37">
        <v>2</v>
      </c>
      <c r="O37">
        <v>3</v>
      </c>
      <c r="P37">
        <v>2</v>
      </c>
      <c r="Q37">
        <v>2</v>
      </c>
      <c r="R37" t="s">
        <v>112</v>
      </c>
      <c r="S37">
        <v>4</v>
      </c>
      <c r="T37" t="s">
        <v>118</v>
      </c>
      <c r="U37">
        <v>3</v>
      </c>
      <c r="V37">
        <v>3</v>
      </c>
      <c r="W37" t="s">
        <v>114</v>
      </c>
      <c r="X37">
        <v>58</v>
      </c>
      <c r="Y37" t="s">
        <v>122</v>
      </c>
    </row>
    <row r="38" spans="1:25" x14ac:dyDescent="0.3">
      <c r="A38" t="s">
        <v>26</v>
      </c>
      <c r="B38" t="s">
        <v>30</v>
      </c>
      <c r="C38" t="s">
        <v>34</v>
      </c>
      <c r="D38" t="s">
        <v>38</v>
      </c>
      <c r="E38" t="s">
        <v>44</v>
      </c>
      <c r="F38" t="s">
        <v>67</v>
      </c>
      <c r="G38" t="s">
        <v>77</v>
      </c>
      <c r="H38" t="s">
        <v>80</v>
      </c>
      <c r="J38" t="s">
        <v>82</v>
      </c>
      <c r="K38" t="s">
        <v>87</v>
      </c>
      <c r="L38" t="s">
        <v>80</v>
      </c>
      <c r="M38">
        <v>2</v>
      </c>
      <c r="N38">
        <v>3</v>
      </c>
      <c r="O38">
        <v>2</v>
      </c>
      <c r="P38">
        <v>2</v>
      </c>
      <c r="Q38">
        <v>3</v>
      </c>
      <c r="R38" t="s">
        <v>113</v>
      </c>
      <c r="S38">
        <v>3</v>
      </c>
      <c r="T38" t="s">
        <v>115</v>
      </c>
      <c r="U38">
        <v>3</v>
      </c>
      <c r="V38">
        <v>3</v>
      </c>
      <c r="W38" t="s">
        <v>110</v>
      </c>
      <c r="X38">
        <v>23</v>
      </c>
      <c r="Y38" t="s">
        <v>120</v>
      </c>
    </row>
    <row r="39" spans="1:25" x14ac:dyDescent="0.3">
      <c r="A39" t="s">
        <v>26</v>
      </c>
      <c r="B39" t="s">
        <v>33</v>
      </c>
      <c r="C39" t="s">
        <v>35</v>
      </c>
      <c r="D39" t="s">
        <v>38</v>
      </c>
      <c r="E39" t="s">
        <v>43</v>
      </c>
      <c r="F39" t="s">
        <v>48</v>
      </c>
      <c r="G39" t="s">
        <v>73</v>
      </c>
      <c r="H39" t="s">
        <v>80</v>
      </c>
      <c r="J39" t="s">
        <v>82</v>
      </c>
      <c r="K39" t="s">
        <v>87</v>
      </c>
      <c r="L39" t="s">
        <v>79</v>
      </c>
      <c r="M39">
        <v>3</v>
      </c>
      <c r="N39">
        <v>3</v>
      </c>
      <c r="O39">
        <v>3</v>
      </c>
      <c r="P39">
        <v>2</v>
      </c>
      <c r="Q39">
        <v>3</v>
      </c>
      <c r="R39" t="s">
        <v>110</v>
      </c>
      <c r="S39">
        <v>4</v>
      </c>
      <c r="T39" t="s">
        <v>117</v>
      </c>
      <c r="U39">
        <v>4</v>
      </c>
      <c r="V39">
        <v>3</v>
      </c>
      <c r="W39" t="s">
        <v>112</v>
      </c>
      <c r="X39">
        <v>92</v>
      </c>
      <c r="Y39" t="s">
        <v>121</v>
      </c>
    </row>
    <row r="40" spans="1:25" x14ac:dyDescent="0.3">
      <c r="A40" t="s">
        <v>25</v>
      </c>
      <c r="B40" t="s">
        <v>33</v>
      </c>
      <c r="C40" t="s">
        <v>35</v>
      </c>
      <c r="D40" t="s">
        <v>37</v>
      </c>
      <c r="E40" t="s">
        <v>43</v>
      </c>
      <c r="F40" t="s">
        <v>65</v>
      </c>
      <c r="G40" t="s">
        <v>72</v>
      </c>
      <c r="H40" t="s">
        <v>80</v>
      </c>
      <c r="J40" t="s">
        <v>82</v>
      </c>
      <c r="K40" t="s">
        <v>87</v>
      </c>
      <c r="L40" t="s">
        <v>80</v>
      </c>
      <c r="M40">
        <v>4</v>
      </c>
      <c r="N40">
        <v>3</v>
      </c>
      <c r="O40">
        <v>4</v>
      </c>
      <c r="P40">
        <v>3</v>
      </c>
      <c r="Q40">
        <v>4</v>
      </c>
      <c r="R40" t="s">
        <v>112</v>
      </c>
      <c r="S40">
        <v>3</v>
      </c>
      <c r="T40" t="s">
        <v>118</v>
      </c>
      <c r="U40">
        <v>4</v>
      </c>
      <c r="V40">
        <v>4</v>
      </c>
      <c r="W40" t="s">
        <v>112</v>
      </c>
      <c r="X40">
        <v>99</v>
      </c>
      <c r="Y40" t="s">
        <v>122</v>
      </c>
    </row>
    <row r="41" spans="1:25" x14ac:dyDescent="0.3">
      <c r="A41" t="s">
        <v>25</v>
      </c>
      <c r="B41" t="s">
        <v>32</v>
      </c>
      <c r="C41" t="s">
        <v>35</v>
      </c>
      <c r="D41" t="s">
        <v>37</v>
      </c>
      <c r="E41" t="s">
        <v>42</v>
      </c>
      <c r="F41" t="s">
        <v>63</v>
      </c>
      <c r="G41" t="s">
        <v>74</v>
      </c>
      <c r="H41" t="s">
        <v>79</v>
      </c>
      <c r="I41" t="s">
        <v>66</v>
      </c>
      <c r="J41" t="s">
        <v>84</v>
      </c>
      <c r="K41" t="s">
        <v>99</v>
      </c>
      <c r="L41" t="s">
        <v>79</v>
      </c>
      <c r="M41">
        <v>2</v>
      </c>
      <c r="N41">
        <v>1</v>
      </c>
      <c r="O41">
        <v>2</v>
      </c>
      <c r="P41">
        <v>2</v>
      </c>
      <c r="Q41">
        <v>1</v>
      </c>
      <c r="R41" t="s">
        <v>113</v>
      </c>
      <c r="S41">
        <v>4</v>
      </c>
      <c r="T41" t="s">
        <v>118</v>
      </c>
      <c r="U41">
        <v>2</v>
      </c>
      <c r="V41">
        <v>2</v>
      </c>
      <c r="W41" t="s">
        <v>114</v>
      </c>
      <c r="X41">
        <v>127</v>
      </c>
      <c r="Y41" t="s">
        <v>121</v>
      </c>
    </row>
    <row r="42" spans="1:25" x14ac:dyDescent="0.3">
      <c r="A42" t="s">
        <v>26</v>
      </c>
      <c r="B42" t="s">
        <v>32</v>
      </c>
      <c r="C42" t="s">
        <v>35</v>
      </c>
      <c r="D42" t="s">
        <v>37</v>
      </c>
      <c r="E42" t="s">
        <v>43</v>
      </c>
      <c r="F42" t="s">
        <v>56</v>
      </c>
      <c r="G42" t="s">
        <v>75</v>
      </c>
      <c r="H42" t="s">
        <v>80</v>
      </c>
      <c r="J42" t="s">
        <v>82</v>
      </c>
      <c r="K42" t="s">
        <v>87</v>
      </c>
      <c r="L42" t="s">
        <v>80</v>
      </c>
      <c r="M42">
        <v>3</v>
      </c>
      <c r="N42">
        <v>4</v>
      </c>
      <c r="O42">
        <v>3</v>
      </c>
      <c r="P42">
        <v>4</v>
      </c>
      <c r="Q42">
        <v>3</v>
      </c>
      <c r="R42" t="s">
        <v>112</v>
      </c>
      <c r="S42">
        <v>3</v>
      </c>
      <c r="T42" t="s">
        <v>117</v>
      </c>
      <c r="U42">
        <v>4</v>
      </c>
      <c r="V42">
        <v>4</v>
      </c>
      <c r="W42" t="s">
        <v>113</v>
      </c>
      <c r="X42">
        <v>77</v>
      </c>
      <c r="Y42" t="s">
        <v>122</v>
      </c>
    </row>
    <row r="43" spans="1:25" x14ac:dyDescent="0.3">
      <c r="A43" t="s">
        <v>26</v>
      </c>
      <c r="B43" t="s">
        <v>30</v>
      </c>
      <c r="C43" t="s">
        <v>36</v>
      </c>
      <c r="D43" t="s">
        <v>39</v>
      </c>
      <c r="E43" t="s">
        <v>42</v>
      </c>
      <c r="F43" t="s">
        <v>58</v>
      </c>
      <c r="G43" t="s">
        <v>77</v>
      </c>
      <c r="H43" t="s">
        <v>79</v>
      </c>
      <c r="I43" t="s">
        <v>59</v>
      </c>
      <c r="J43" t="s">
        <v>82</v>
      </c>
      <c r="K43" t="s">
        <v>100</v>
      </c>
      <c r="L43" t="s">
        <v>79</v>
      </c>
      <c r="M43">
        <v>4</v>
      </c>
      <c r="N43">
        <v>5</v>
      </c>
      <c r="O43">
        <v>5</v>
      </c>
      <c r="P43">
        <v>4</v>
      </c>
      <c r="Q43">
        <v>5</v>
      </c>
      <c r="R43" t="s">
        <v>112</v>
      </c>
      <c r="S43">
        <v>1</v>
      </c>
      <c r="T43" t="s">
        <v>117</v>
      </c>
      <c r="U43">
        <v>5</v>
      </c>
      <c r="V43">
        <v>4</v>
      </c>
      <c r="W43" t="s">
        <v>111</v>
      </c>
      <c r="X43">
        <v>137</v>
      </c>
      <c r="Y43" t="s">
        <v>120</v>
      </c>
    </row>
    <row r="44" spans="1:25" x14ac:dyDescent="0.3">
      <c r="A44" t="s">
        <v>26</v>
      </c>
      <c r="B44" t="s">
        <v>32</v>
      </c>
      <c r="C44" t="s">
        <v>36</v>
      </c>
      <c r="D44" t="s">
        <v>40</v>
      </c>
      <c r="E44" t="s">
        <v>33</v>
      </c>
      <c r="F44" t="s">
        <v>59</v>
      </c>
      <c r="G44" t="s">
        <v>78</v>
      </c>
      <c r="H44" t="s">
        <v>80</v>
      </c>
      <c r="J44" t="s">
        <v>82</v>
      </c>
      <c r="K44" t="s">
        <v>87</v>
      </c>
      <c r="L44" t="s">
        <v>79</v>
      </c>
      <c r="M44">
        <v>5</v>
      </c>
      <c r="N44">
        <v>4</v>
      </c>
      <c r="O44">
        <v>5</v>
      </c>
      <c r="P44">
        <v>4</v>
      </c>
      <c r="Q44">
        <v>4</v>
      </c>
      <c r="R44" t="s">
        <v>111</v>
      </c>
      <c r="S44">
        <v>3</v>
      </c>
      <c r="T44" t="s">
        <v>118</v>
      </c>
      <c r="U44">
        <v>5</v>
      </c>
      <c r="V44">
        <v>5</v>
      </c>
      <c r="W44" t="s">
        <v>114</v>
      </c>
      <c r="X44">
        <v>89</v>
      </c>
      <c r="Y44" t="s">
        <v>122</v>
      </c>
    </row>
    <row r="45" spans="1:25" x14ac:dyDescent="0.3">
      <c r="A45" t="s">
        <v>29</v>
      </c>
      <c r="B45" t="s">
        <v>30</v>
      </c>
      <c r="C45" t="s">
        <v>34</v>
      </c>
      <c r="D45" t="s">
        <v>38</v>
      </c>
      <c r="E45" t="s">
        <v>42</v>
      </c>
      <c r="F45" t="s">
        <v>59</v>
      </c>
      <c r="G45" t="s">
        <v>76</v>
      </c>
      <c r="H45" t="s">
        <v>79</v>
      </c>
      <c r="I45" t="s">
        <v>59</v>
      </c>
      <c r="J45" t="s">
        <v>84</v>
      </c>
      <c r="K45" t="s">
        <v>101</v>
      </c>
      <c r="L45" t="s">
        <v>79</v>
      </c>
      <c r="M45">
        <v>4</v>
      </c>
      <c r="N45">
        <v>4</v>
      </c>
      <c r="O45">
        <v>4</v>
      </c>
      <c r="P45">
        <v>4</v>
      </c>
      <c r="Q45">
        <v>4</v>
      </c>
      <c r="R45" t="s">
        <v>114</v>
      </c>
      <c r="S45">
        <v>2</v>
      </c>
      <c r="T45" t="s">
        <v>116</v>
      </c>
      <c r="U45">
        <v>5</v>
      </c>
      <c r="V45">
        <v>4</v>
      </c>
      <c r="W45" t="s">
        <v>113</v>
      </c>
      <c r="X45">
        <v>46</v>
      </c>
      <c r="Y45" t="s">
        <v>121</v>
      </c>
    </row>
    <row r="46" spans="1:25" x14ac:dyDescent="0.3">
      <c r="A46" t="s">
        <v>26</v>
      </c>
      <c r="B46" t="s">
        <v>30</v>
      </c>
      <c r="C46" t="s">
        <v>35</v>
      </c>
      <c r="D46" t="s">
        <v>38</v>
      </c>
      <c r="E46" t="s">
        <v>45</v>
      </c>
      <c r="F46" t="s">
        <v>63</v>
      </c>
      <c r="G46" t="s">
        <v>75</v>
      </c>
      <c r="H46" t="s">
        <v>79</v>
      </c>
      <c r="I46" t="s">
        <v>59</v>
      </c>
      <c r="J46" t="s">
        <v>81</v>
      </c>
      <c r="K46" t="s">
        <v>102</v>
      </c>
      <c r="L46" t="s">
        <v>79</v>
      </c>
      <c r="M46">
        <v>3</v>
      </c>
      <c r="N46">
        <v>3</v>
      </c>
      <c r="O46">
        <v>2</v>
      </c>
      <c r="P46">
        <v>2</v>
      </c>
      <c r="Q46">
        <v>2</v>
      </c>
      <c r="R46" t="s">
        <v>113</v>
      </c>
      <c r="S46">
        <v>4</v>
      </c>
      <c r="T46" t="s">
        <v>115</v>
      </c>
      <c r="U46">
        <v>3</v>
      </c>
      <c r="V46">
        <v>3</v>
      </c>
      <c r="W46" t="s">
        <v>113</v>
      </c>
      <c r="X46">
        <v>94</v>
      </c>
      <c r="Y46" t="s">
        <v>124</v>
      </c>
    </row>
    <row r="47" spans="1:25" x14ac:dyDescent="0.3">
      <c r="A47" t="s">
        <v>26</v>
      </c>
      <c r="B47" t="s">
        <v>32</v>
      </c>
      <c r="C47" t="s">
        <v>35</v>
      </c>
      <c r="D47" t="s">
        <v>38</v>
      </c>
      <c r="E47" t="s">
        <v>43</v>
      </c>
      <c r="F47" t="s">
        <v>68</v>
      </c>
      <c r="G47" t="s">
        <v>72</v>
      </c>
      <c r="H47" t="s">
        <v>79</v>
      </c>
      <c r="I47" t="s">
        <v>59</v>
      </c>
      <c r="J47" t="s">
        <v>82</v>
      </c>
      <c r="K47" t="s">
        <v>100</v>
      </c>
      <c r="L47" t="s">
        <v>80</v>
      </c>
      <c r="M47">
        <v>3</v>
      </c>
      <c r="N47">
        <v>4</v>
      </c>
      <c r="O47">
        <v>4</v>
      </c>
      <c r="P47">
        <v>3</v>
      </c>
      <c r="Q47">
        <v>3</v>
      </c>
      <c r="R47" t="s">
        <v>111</v>
      </c>
      <c r="S47">
        <v>2</v>
      </c>
      <c r="T47" t="s">
        <v>115</v>
      </c>
      <c r="U47">
        <v>4</v>
      </c>
      <c r="V47">
        <v>4</v>
      </c>
      <c r="W47" t="s">
        <v>110</v>
      </c>
      <c r="X47">
        <v>67</v>
      </c>
      <c r="Y47" t="s">
        <v>122</v>
      </c>
    </row>
    <row r="48" spans="1:25" x14ac:dyDescent="0.3">
      <c r="A48" t="s">
        <v>25</v>
      </c>
      <c r="B48" t="s">
        <v>30</v>
      </c>
      <c r="C48" t="s">
        <v>36</v>
      </c>
      <c r="D48" t="s">
        <v>38</v>
      </c>
      <c r="E48" t="s">
        <v>42</v>
      </c>
      <c r="F48" t="s">
        <v>51</v>
      </c>
      <c r="G48" t="s">
        <v>73</v>
      </c>
      <c r="H48" t="s">
        <v>79</v>
      </c>
      <c r="I48" t="s">
        <v>51</v>
      </c>
      <c r="J48" t="s">
        <v>85</v>
      </c>
      <c r="K48" t="s">
        <v>103</v>
      </c>
      <c r="L48" t="s">
        <v>80</v>
      </c>
      <c r="M48">
        <v>2</v>
      </c>
      <c r="N48">
        <v>2</v>
      </c>
      <c r="O48">
        <v>3</v>
      </c>
      <c r="P48">
        <v>2</v>
      </c>
      <c r="Q48">
        <v>2</v>
      </c>
      <c r="R48" t="s">
        <v>110</v>
      </c>
      <c r="S48">
        <v>5</v>
      </c>
      <c r="T48" t="s">
        <v>117</v>
      </c>
      <c r="U48">
        <v>2</v>
      </c>
      <c r="V48">
        <v>2</v>
      </c>
      <c r="W48" t="s">
        <v>111</v>
      </c>
      <c r="X48">
        <v>201</v>
      </c>
      <c r="Y48" t="s">
        <v>121</v>
      </c>
    </row>
    <row r="49" spans="1:25" x14ac:dyDescent="0.3">
      <c r="A49" t="s">
        <v>29</v>
      </c>
      <c r="B49" t="s">
        <v>32</v>
      </c>
      <c r="C49" t="s">
        <v>34</v>
      </c>
      <c r="D49" t="s">
        <v>38</v>
      </c>
      <c r="E49" t="s">
        <v>43</v>
      </c>
      <c r="F49" t="s">
        <v>48</v>
      </c>
      <c r="G49" t="s">
        <v>75</v>
      </c>
      <c r="H49" t="s">
        <v>79</v>
      </c>
      <c r="I49" t="s">
        <v>59</v>
      </c>
      <c r="J49" t="s">
        <v>81</v>
      </c>
      <c r="K49" t="s">
        <v>100</v>
      </c>
      <c r="L49" t="s">
        <v>79</v>
      </c>
      <c r="M49">
        <v>3</v>
      </c>
      <c r="N49">
        <v>2</v>
      </c>
      <c r="O49">
        <v>3</v>
      </c>
      <c r="P49">
        <v>3</v>
      </c>
      <c r="Q49">
        <v>3</v>
      </c>
      <c r="R49" t="s">
        <v>112</v>
      </c>
      <c r="S49">
        <v>3</v>
      </c>
      <c r="T49" t="s">
        <v>115</v>
      </c>
      <c r="U49">
        <v>4</v>
      </c>
      <c r="V49">
        <v>3</v>
      </c>
      <c r="W49" t="s">
        <v>114</v>
      </c>
      <c r="X49">
        <v>101</v>
      </c>
      <c r="Y49" t="s">
        <v>121</v>
      </c>
    </row>
    <row r="50" spans="1:25" x14ac:dyDescent="0.3">
      <c r="A50" t="s">
        <v>27</v>
      </c>
      <c r="B50" t="s">
        <v>30</v>
      </c>
      <c r="C50" t="s">
        <v>35</v>
      </c>
      <c r="D50" t="s">
        <v>38</v>
      </c>
      <c r="E50" t="s">
        <v>44</v>
      </c>
      <c r="F50" t="s">
        <v>60</v>
      </c>
      <c r="G50" t="s">
        <v>72</v>
      </c>
      <c r="H50" t="s">
        <v>79</v>
      </c>
      <c r="I50" t="s">
        <v>59</v>
      </c>
      <c r="J50" t="s">
        <v>82</v>
      </c>
      <c r="K50" t="s">
        <v>103</v>
      </c>
      <c r="L50" t="s">
        <v>79</v>
      </c>
      <c r="M50">
        <v>3</v>
      </c>
      <c r="N50">
        <v>3</v>
      </c>
      <c r="O50">
        <v>3</v>
      </c>
      <c r="P50">
        <v>2</v>
      </c>
      <c r="Q50">
        <v>2</v>
      </c>
      <c r="R50" t="s">
        <v>111</v>
      </c>
      <c r="S50">
        <v>4</v>
      </c>
      <c r="T50" t="s">
        <v>119</v>
      </c>
      <c r="U50">
        <v>3</v>
      </c>
      <c r="V50">
        <v>3</v>
      </c>
      <c r="W50" t="s">
        <v>112</v>
      </c>
      <c r="X50">
        <v>206</v>
      </c>
      <c r="Y50" t="s">
        <v>122</v>
      </c>
    </row>
    <row r="51" spans="1:25" x14ac:dyDescent="0.3">
      <c r="A51" t="s">
        <v>27</v>
      </c>
      <c r="B51" t="s">
        <v>32</v>
      </c>
      <c r="C51" t="s">
        <v>35</v>
      </c>
      <c r="D51" t="s">
        <v>38</v>
      </c>
      <c r="E51" t="s">
        <v>44</v>
      </c>
      <c r="F51" t="s">
        <v>59</v>
      </c>
      <c r="G51" t="s">
        <v>78</v>
      </c>
      <c r="H51" t="s">
        <v>80</v>
      </c>
      <c r="J51" t="s">
        <v>82</v>
      </c>
      <c r="K51" t="s">
        <v>87</v>
      </c>
      <c r="L51" t="s">
        <v>79</v>
      </c>
      <c r="M51">
        <v>3</v>
      </c>
      <c r="N51">
        <v>2</v>
      </c>
      <c r="O51">
        <v>3</v>
      </c>
      <c r="P51">
        <v>2</v>
      </c>
      <c r="Q51">
        <v>2</v>
      </c>
      <c r="R51" t="s">
        <v>111</v>
      </c>
      <c r="S51">
        <v>4</v>
      </c>
      <c r="T51" t="s">
        <v>117</v>
      </c>
      <c r="U51">
        <v>3</v>
      </c>
      <c r="V51">
        <v>3</v>
      </c>
      <c r="W51" t="s">
        <v>114</v>
      </c>
      <c r="X51">
        <v>108</v>
      </c>
      <c r="Y51" t="s">
        <v>123</v>
      </c>
    </row>
    <row r="52" spans="1:25" x14ac:dyDescent="0.3">
      <c r="A52" t="s">
        <v>28</v>
      </c>
      <c r="B52" t="s">
        <v>32</v>
      </c>
      <c r="C52" t="s">
        <v>35</v>
      </c>
      <c r="D52" t="s">
        <v>37</v>
      </c>
      <c r="E52" t="s">
        <v>46</v>
      </c>
      <c r="F52" t="s">
        <v>59</v>
      </c>
      <c r="G52" t="s">
        <v>75</v>
      </c>
      <c r="H52" t="s">
        <v>79</v>
      </c>
      <c r="I52" t="s">
        <v>59</v>
      </c>
      <c r="J52" t="s">
        <v>84</v>
      </c>
      <c r="K52" t="s">
        <v>94</v>
      </c>
      <c r="L52" t="s">
        <v>79</v>
      </c>
      <c r="M52">
        <v>3</v>
      </c>
      <c r="N52">
        <v>3</v>
      </c>
      <c r="O52">
        <v>4</v>
      </c>
      <c r="P52">
        <v>4</v>
      </c>
      <c r="Q52">
        <v>3</v>
      </c>
      <c r="R52" t="s">
        <v>112</v>
      </c>
      <c r="S52">
        <v>2</v>
      </c>
      <c r="T52" t="s">
        <v>115</v>
      </c>
      <c r="U52">
        <v>4</v>
      </c>
      <c r="V52">
        <v>4</v>
      </c>
      <c r="W52" t="s">
        <v>114</v>
      </c>
      <c r="X52">
        <v>140</v>
      </c>
      <c r="Y52" t="s">
        <v>122</v>
      </c>
    </row>
    <row r="53" spans="1:25" x14ac:dyDescent="0.3">
      <c r="A53" t="s">
        <v>25</v>
      </c>
      <c r="B53" t="s">
        <v>30</v>
      </c>
      <c r="C53" t="s">
        <v>36</v>
      </c>
      <c r="D53" t="s">
        <v>38</v>
      </c>
      <c r="E53" t="s">
        <v>43</v>
      </c>
      <c r="F53" t="s">
        <v>63</v>
      </c>
      <c r="G53" t="s">
        <v>73</v>
      </c>
      <c r="H53" t="s">
        <v>79</v>
      </c>
      <c r="I53" t="s">
        <v>66</v>
      </c>
      <c r="J53" t="s">
        <v>81</v>
      </c>
      <c r="K53" t="s">
        <v>100</v>
      </c>
      <c r="L53" t="s">
        <v>79</v>
      </c>
      <c r="M53">
        <v>3</v>
      </c>
      <c r="N53">
        <v>3</v>
      </c>
      <c r="O53">
        <v>3</v>
      </c>
      <c r="P53">
        <v>4</v>
      </c>
      <c r="Q53">
        <v>2</v>
      </c>
      <c r="R53" t="s">
        <v>111</v>
      </c>
      <c r="S53">
        <v>3</v>
      </c>
      <c r="T53" t="s">
        <v>116</v>
      </c>
      <c r="U53">
        <v>3</v>
      </c>
      <c r="V53">
        <v>3</v>
      </c>
      <c r="W53" t="s">
        <v>110</v>
      </c>
      <c r="X53">
        <v>57</v>
      </c>
      <c r="Y53" t="s">
        <v>120</v>
      </c>
    </row>
    <row r="54" spans="1:25" x14ac:dyDescent="0.3">
      <c r="A54" t="s">
        <v>26</v>
      </c>
      <c r="B54" t="s">
        <v>32</v>
      </c>
      <c r="C54" t="s">
        <v>35</v>
      </c>
      <c r="D54" t="s">
        <v>41</v>
      </c>
      <c r="E54" t="s">
        <v>45</v>
      </c>
      <c r="F54" t="s">
        <v>59</v>
      </c>
      <c r="G54" t="s">
        <v>75</v>
      </c>
      <c r="H54" t="s">
        <v>79</v>
      </c>
      <c r="I54" t="s">
        <v>59</v>
      </c>
      <c r="J54" t="s">
        <v>84</v>
      </c>
      <c r="K54" t="s">
        <v>87</v>
      </c>
      <c r="L54" t="s">
        <v>79</v>
      </c>
      <c r="M54">
        <v>3</v>
      </c>
      <c r="N54">
        <v>2</v>
      </c>
      <c r="O54">
        <v>3</v>
      </c>
      <c r="P54">
        <v>2</v>
      </c>
      <c r="Q54">
        <v>3</v>
      </c>
      <c r="R54" t="s">
        <v>111</v>
      </c>
      <c r="S54">
        <v>3</v>
      </c>
      <c r="T54" t="s">
        <v>119</v>
      </c>
      <c r="U54">
        <v>4</v>
      </c>
      <c r="V54">
        <v>3</v>
      </c>
      <c r="W54" t="s">
        <v>113</v>
      </c>
      <c r="X54">
        <v>11</v>
      </c>
      <c r="Y54" t="s">
        <v>123</v>
      </c>
    </row>
    <row r="55" spans="1:25" x14ac:dyDescent="0.3">
      <c r="A55" t="s">
        <v>29</v>
      </c>
      <c r="B55" t="s">
        <v>32</v>
      </c>
      <c r="C55" t="s">
        <v>35</v>
      </c>
      <c r="D55" t="s">
        <v>37</v>
      </c>
      <c r="E55" t="s">
        <v>44</v>
      </c>
      <c r="F55" t="s">
        <v>57</v>
      </c>
      <c r="G55" t="s">
        <v>72</v>
      </c>
      <c r="H55" t="s">
        <v>79</v>
      </c>
      <c r="I55" t="s">
        <v>59</v>
      </c>
      <c r="J55" t="s">
        <v>84</v>
      </c>
      <c r="K55" t="s">
        <v>103</v>
      </c>
      <c r="L55" t="s">
        <v>79</v>
      </c>
      <c r="M55">
        <v>3</v>
      </c>
      <c r="N55">
        <v>3</v>
      </c>
      <c r="O55">
        <v>3</v>
      </c>
      <c r="P55">
        <v>3</v>
      </c>
      <c r="Q55">
        <v>3</v>
      </c>
      <c r="R55" t="s">
        <v>114</v>
      </c>
      <c r="S55">
        <v>3</v>
      </c>
      <c r="T55" t="s">
        <v>117</v>
      </c>
      <c r="U55">
        <v>3</v>
      </c>
      <c r="V55">
        <v>4</v>
      </c>
      <c r="W55" t="s">
        <v>111</v>
      </c>
      <c r="X55">
        <v>141</v>
      </c>
      <c r="Y55" t="s">
        <v>123</v>
      </c>
    </row>
    <row r="56" spans="1:25" x14ac:dyDescent="0.3">
      <c r="A56" t="s">
        <v>28</v>
      </c>
      <c r="B56" t="s">
        <v>30</v>
      </c>
      <c r="C56" t="s">
        <v>35</v>
      </c>
      <c r="D56" t="s">
        <v>38</v>
      </c>
      <c r="E56" t="s">
        <v>42</v>
      </c>
      <c r="F56" t="s">
        <v>51</v>
      </c>
      <c r="G56" t="s">
        <v>74</v>
      </c>
      <c r="H56" t="s">
        <v>79</v>
      </c>
      <c r="I56" t="s">
        <v>51</v>
      </c>
      <c r="J56" t="s">
        <v>83</v>
      </c>
      <c r="K56" t="s">
        <v>101</v>
      </c>
      <c r="L56" t="s">
        <v>80</v>
      </c>
      <c r="M56">
        <v>4</v>
      </c>
      <c r="N56">
        <v>3</v>
      </c>
      <c r="O56">
        <v>5</v>
      </c>
      <c r="P56">
        <v>4</v>
      </c>
      <c r="Q56">
        <v>4</v>
      </c>
      <c r="R56" t="s">
        <v>111</v>
      </c>
      <c r="S56">
        <v>3</v>
      </c>
      <c r="T56" t="s">
        <v>117</v>
      </c>
      <c r="U56">
        <v>4</v>
      </c>
      <c r="V56">
        <v>4</v>
      </c>
      <c r="W56" t="s">
        <v>113</v>
      </c>
      <c r="X56">
        <v>26</v>
      </c>
      <c r="Y56" t="s">
        <v>122</v>
      </c>
    </row>
    <row r="57" spans="1:25" x14ac:dyDescent="0.3">
      <c r="A57" t="s">
        <v>26</v>
      </c>
      <c r="B57" t="s">
        <v>32</v>
      </c>
      <c r="C57" t="s">
        <v>35</v>
      </c>
      <c r="D57" t="s">
        <v>41</v>
      </c>
      <c r="E57" t="s">
        <v>42</v>
      </c>
      <c r="F57" t="s">
        <v>54</v>
      </c>
      <c r="G57" t="s">
        <v>72</v>
      </c>
      <c r="H57" t="s">
        <v>79</v>
      </c>
      <c r="I57" t="s">
        <v>51</v>
      </c>
      <c r="J57" t="s">
        <v>81</v>
      </c>
      <c r="K57" t="s">
        <v>100</v>
      </c>
      <c r="L57" t="s">
        <v>80</v>
      </c>
      <c r="M57">
        <v>2</v>
      </c>
      <c r="N57">
        <v>2</v>
      </c>
      <c r="O57">
        <v>3</v>
      </c>
      <c r="P57">
        <v>2</v>
      </c>
      <c r="Q57">
        <v>2</v>
      </c>
      <c r="R57" t="s">
        <v>110</v>
      </c>
      <c r="S57">
        <v>4</v>
      </c>
      <c r="T57" t="s">
        <v>119</v>
      </c>
      <c r="U57">
        <v>2</v>
      </c>
      <c r="V57">
        <v>2</v>
      </c>
      <c r="W57" t="s">
        <v>113</v>
      </c>
      <c r="X57">
        <v>46</v>
      </c>
      <c r="Y57" t="s">
        <v>121</v>
      </c>
    </row>
    <row r="58" spans="1:25" x14ac:dyDescent="0.3">
      <c r="A58" t="s">
        <v>26</v>
      </c>
      <c r="B58" t="s">
        <v>32</v>
      </c>
      <c r="C58" t="s">
        <v>34</v>
      </c>
      <c r="D58" t="s">
        <v>37</v>
      </c>
      <c r="E58" t="s">
        <v>43</v>
      </c>
      <c r="F58" t="s">
        <v>47</v>
      </c>
      <c r="G58" t="s">
        <v>72</v>
      </c>
      <c r="H58" t="s">
        <v>80</v>
      </c>
      <c r="J58" t="s">
        <v>82</v>
      </c>
      <c r="K58" t="s">
        <v>87</v>
      </c>
      <c r="L58" t="s">
        <v>80</v>
      </c>
      <c r="M58">
        <v>2</v>
      </c>
      <c r="N58">
        <v>2</v>
      </c>
      <c r="O58">
        <v>2</v>
      </c>
      <c r="P58">
        <v>3</v>
      </c>
      <c r="Q58">
        <v>3</v>
      </c>
      <c r="R58" t="s">
        <v>114</v>
      </c>
      <c r="S58">
        <v>4</v>
      </c>
      <c r="T58" t="s">
        <v>119</v>
      </c>
      <c r="U58">
        <v>3</v>
      </c>
      <c r="V58">
        <v>4</v>
      </c>
      <c r="W58" t="s">
        <v>110</v>
      </c>
      <c r="X58">
        <v>39</v>
      </c>
      <c r="Y58" t="s">
        <v>122</v>
      </c>
    </row>
    <row r="59" spans="1:25" x14ac:dyDescent="0.3">
      <c r="A59" t="s">
        <v>26</v>
      </c>
      <c r="B59" t="s">
        <v>32</v>
      </c>
      <c r="C59" t="s">
        <v>34</v>
      </c>
      <c r="D59" t="s">
        <v>37</v>
      </c>
      <c r="E59" t="s">
        <v>45</v>
      </c>
      <c r="F59" t="s">
        <v>65</v>
      </c>
      <c r="G59" t="s">
        <v>73</v>
      </c>
      <c r="H59" t="s">
        <v>79</v>
      </c>
      <c r="I59" t="s">
        <v>51</v>
      </c>
      <c r="J59" t="s">
        <v>82</v>
      </c>
      <c r="K59" t="s">
        <v>86</v>
      </c>
      <c r="L59" t="s">
        <v>80</v>
      </c>
      <c r="M59">
        <v>2</v>
      </c>
      <c r="N59">
        <v>3</v>
      </c>
      <c r="O59">
        <v>3</v>
      </c>
      <c r="P59">
        <v>3</v>
      </c>
      <c r="Q59">
        <v>3</v>
      </c>
      <c r="R59" t="s">
        <v>111</v>
      </c>
      <c r="S59">
        <v>3</v>
      </c>
      <c r="T59" t="s">
        <v>118</v>
      </c>
      <c r="U59">
        <v>4</v>
      </c>
      <c r="V59">
        <v>3</v>
      </c>
      <c r="W59" t="s">
        <v>113</v>
      </c>
      <c r="X59">
        <v>98</v>
      </c>
      <c r="Y59" t="s">
        <v>122</v>
      </c>
    </row>
    <row r="60" spans="1:25" x14ac:dyDescent="0.3">
      <c r="A60" t="s">
        <v>26</v>
      </c>
      <c r="B60" t="s">
        <v>30</v>
      </c>
      <c r="C60" t="s">
        <v>35</v>
      </c>
      <c r="D60" t="s">
        <v>38</v>
      </c>
      <c r="E60" t="s">
        <v>42</v>
      </c>
      <c r="F60" t="s">
        <v>68</v>
      </c>
      <c r="G60" t="s">
        <v>72</v>
      </c>
      <c r="H60" t="s">
        <v>80</v>
      </c>
      <c r="J60" t="s">
        <v>82</v>
      </c>
      <c r="K60" t="s">
        <v>87</v>
      </c>
      <c r="L60" t="s">
        <v>80</v>
      </c>
      <c r="M60">
        <v>2</v>
      </c>
      <c r="N60">
        <v>3</v>
      </c>
      <c r="O60">
        <v>3</v>
      </c>
      <c r="P60">
        <v>3</v>
      </c>
      <c r="Q60">
        <v>3</v>
      </c>
      <c r="R60" t="s">
        <v>112</v>
      </c>
      <c r="S60">
        <v>4</v>
      </c>
      <c r="T60" t="s">
        <v>118</v>
      </c>
      <c r="U60">
        <v>3</v>
      </c>
      <c r="V60">
        <v>3</v>
      </c>
      <c r="W60" t="s">
        <v>114</v>
      </c>
      <c r="X60">
        <v>133</v>
      </c>
      <c r="Y60" t="s">
        <v>121</v>
      </c>
    </row>
    <row r="61" spans="1:25" x14ac:dyDescent="0.3">
      <c r="A61" t="s">
        <v>26</v>
      </c>
      <c r="B61" t="s">
        <v>30</v>
      </c>
      <c r="C61" t="s">
        <v>36</v>
      </c>
      <c r="D61" t="s">
        <v>39</v>
      </c>
      <c r="E61" t="s">
        <v>33</v>
      </c>
      <c r="F61" t="s">
        <v>68</v>
      </c>
      <c r="G61" t="s">
        <v>73</v>
      </c>
      <c r="H61" t="s">
        <v>79</v>
      </c>
      <c r="I61" t="s">
        <v>66</v>
      </c>
      <c r="J61" t="s">
        <v>82</v>
      </c>
      <c r="K61" t="s">
        <v>91</v>
      </c>
      <c r="L61" t="s">
        <v>80</v>
      </c>
      <c r="M61">
        <v>3</v>
      </c>
      <c r="N61">
        <v>3</v>
      </c>
      <c r="O61">
        <v>3</v>
      </c>
      <c r="P61">
        <v>3</v>
      </c>
      <c r="Q61">
        <v>3</v>
      </c>
      <c r="R61" t="s">
        <v>114</v>
      </c>
      <c r="S61">
        <v>3</v>
      </c>
      <c r="T61" t="s">
        <v>116</v>
      </c>
      <c r="U61">
        <v>4</v>
      </c>
      <c r="V61">
        <v>4</v>
      </c>
      <c r="W61" t="s">
        <v>111</v>
      </c>
      <c r="X61">
        <v>133</v>
      </c>
      <c r="Y61" t="s">
        <v>124</v>
      </c>
    </row>
    <row r="62" spans="1:25" x14ac:dyDescent="0.3">
      <c r="A62" t="s">
        <v>25</v>
      </c>
      <c r="B62" t="s">
        <v>32</v>
      </c>
      <c r="C62" t="s">
        <v>35</v>
      </c>
      <c r="D62" t="s">
        <v>38</v>
      </c>
      <c r="E62" t="s">
        <v>33</v>
      </c>
      <c r="F62" t="s">
        <v>51</v>
      </c>
      <c r="G62" t="s">
        <v>72</v>
      </c>
      <c r="H62" t="s">
        <v>79</v>
      </c>
      <c r="I62" t="s">
        <v>51</v>
      </c>
      <c r="J62" t="s">
        <v>83</v>
      </c>
      <c r="K62" t="s">
        <v>99</v>
      </c>
      <c r="L62" t="s">
        <v>80</v>
      </c>
      <c r="M62">
        <v>2</v>
      </c>
      <c r="N62">
        <v>2</v>
      </c>
      <c r="O62">
        <v>2</v>
      </c>
      <c r="P62">
        <v>2</v>
      </c>
      <c r="Q62">
        <v>2</v>
      </c>
      <c r="R62" t="s">
        <v>114</v>
      </c>
      <c r="S62">
        <v>4</v>
      </c>
      <c r="T62" t="s">
        <v>116</v>
      </c>
      <c r="U62">
        <v>3</v>
      </c>
      <c r="V62">
        <v>2</v>
      </c>
      <c r="W62" t="s">
        <v>114</v>
      </c>
      <c r="X62">
        <v>131</v>
      </c>
      <c r="Y62" t="s">
        <v>122</v>
      </c>
    </row>
    <row r="63" spans="1:25" x14ac:dyDescent="0.3">
      <c r="A63" t="s">
        <v>26</v>
      </c>
      <c r="B63" t="s">
        <v>30</v>
      </c>
      <c r="C63" t="s">
        <v>34</v>
      </c>
      <c r="D63" t="s">
        <v>37</v>
      </c>
      <c r="E63" t="s">
        <v>44</v>
      </c>
      <c r="F63" t="s">
        <v>51</v>
      </c>
      <c r="G63" t="s">
        <v>72</v>
      </c>
      <c r="H63" t="s">
        <v>80</v>
      </c>
      <c r="J63" t="s">
        <v>82</v>
      </c>
      <c r="K63" t="s">
        <v>87</v>
      </c>
      <c r="L63" t="s">
        <v>80</v>
      </c>
      <c r="M63">
        <v>3</v>
      </c>
      <c r="N63">
        <v>3</v>
      </c>
      <c r="O63">
        <v>4</v>
      </c>
      <c r="P63">
        <v>2</v>
      </c>
      <c r="Q63">
        <v>3</v>
      </c>
      <c r="R63" t="s">
        <v>114</v>
      </c>
      <c r="S63">
        <v>3</v>
      </c>
      <c r="T63" t="s">
        <v>115</v>
      </c>
      <c r="U63">
        <v>3</v>
      </c>
      <c r="V63">
        <v>3</v>
      </c>
      <c r="W63" t="s">
        <v>111</v>
      </c>
      <c r="X63">
        <v>138</v>
      </c>
      <c r="Y63" t="s">
        <v>122</v>
      </c>
    </row>
    <row r="64" spans="1:25" x14ac:dyDescent="0.3">
      <c r="A64" t="s">
        <v>26</v>
      </c>
      <c r="B64" t="s">
        <v>32</v>
      </c>
      <c r="C64" t="s">
        <v>35</v>
      </c>
      <c r="D64" t="s">
        <v>38</v>
      </c>
      <c r="E64" t="s">
        <v>45</v>
      </c>
      <c r="F64" t="s">
        <v>59</v>
      </c>
      <c r="G64" t="s">
        <v>73</v>
      </c>
      <c r="H64" t="s">
        <v>80</v>
      </c>
      <c r="J64" t="s">
        <v>82</v>
      </c>
      <c r="K64" t="s">
        <v>87</v>
      </c>
      <c r="L64" t="s">
        <v>79</v>
      </c>
      <c r="M64">
        <v>4</v>
      </c>
      <c r="N64">
        <v>4</v>
      </c>
      <c r="O64">
        <v>5</v>
      </c>
      <c r="P64">
        <v>3</v>
      </c>
      <c r="Q64">
        <v>4</v>
      </c>
      <c r="R64" t="s">
        <v>112</v>
      </c>
      <c r="S64">
        <v>2</v>
      </c>
      <c r="T64" t="s">
        <v>116</v>
      </c>
      <c r="U64">
        <v>4</v>
      </c>
      <c r="V64">
        <v>4</v>
      </c>
      <c r="W64" t="s">
        <v>112</v>
      </c>
      <c r="X64">
        <v>160</v>
      </c>
      <c r="Y64" t="s">
        <v>123</v>
      </c>
    </row>
    <row r="65" spans="1:25" x14ac:dyDescent="0.3">
      <c r="A65" t="s">
        <v>25</v>
      </c>
      <c r="B65" t="s">
        <v>30</v>
      </c>
      <c r="C65" t="s">
        <v>34</v>
      </c>
      <c r="D65" t="s">
        <v>38</v>
      </c>
      <c r="E65" t="s">
        <v>45</v>
      </c>
      <c r="F65" t="s">
        <v>60</v>
      </c>
      <c r="G65" t="s">
        <v>73</v>
      </c>
      <c r="H65" t="s">
        <v>79</v>
      </c>
      <c r="I65" t="s">
        <v>66</v>
      </c>
      <c r="J65" t="s">
        <v>82</v>
      </c>
      <c r="K65" t="s">
        <v>100</v>
      </c>
      <c r="L65" t="s">
        <v>80</v>
      </c>
      <c r="M65">
        <v>3</v>
      </c>
      <c r="N65">
        <v>3</v>
      </c>
      <c r="O65">
        <v>4</v>
      </c>
      <c r="P65">
        <v>4</v>
      </c>
      <c r="Q65">
        <v>4</v>
      </c>
      <c r="R65" t="s">
        <v>111</v>
      </c>
      <c r="S65">
        <v>3</v>
      </c>
      <c r="T65" t="s">
        <v>116</v>
      </c>
      <c r="U65">
        <v>4</v>
      </c>
      <c r="V65">
        <v>3</v>
      </c>
      <c r="W65" t="s">
        <v>113</v>
      </c>
      <c r="X65">
        <v>52</v>
      </c>
      <c r="Y65" t="s">
        <v>123</v>
      </c>
    </row>
    <row r="66" spans="1:25" x14ac:dyDescent="0.3">
      <c r="A66" t="s">
        <v>26</v>
      </c>
      <c r="B66" t="s">
        <v>32</v>
      </c>
      <c r="C66" t="s">
        <v>35</v>
      </c>
      <c r="D66" t="s">
        <v>40</v>
      </c>
      <c r="E66" t="s">
        <v>42</v>
      </c>
      <c r="F66" t="s">
        <v>48</v>
      </c>
      <c r="G66" t="s">
        <v>75</v>
      </c>
      <c r="H66" t="s">
        <v>79</v>
      </c>
      <c r="I66" t="s">
        <v>59</v>
      </c>
      <c r="J66" t="s">
        <v>81</v>
      </c>
      <c r="K66" t="s">
        <v>94</v>
      </c>
      <c r="L66" t="s">
        <v>79</v>
      </c>
      <c r="M66">
        <v>2</v>
      </c>
      <c r="N66">
        <v>3</v>
      </c>
      <c r="O66">
        <v>3</v>
      </c>
      <c r="P66">
        <v>2</v>
      </c>
      <c r="Q66">
        <v>2</v>
      </c>
      <c r="R66" t="s">
        <v>111</v>
      </c>
      <c r="S66">
        <v>4</v>
      </c>
      <c r="T66" t="s">
        <v>115</v>
      </c>
      <c r="U66">
        <v>3</v>
      </c>
      <c r="V66">
        <v>3</v>
      </c>
      <c r="W66" t="s">
        <v>111</v>
      </c>
      <c r="X66">
        <v>127</v>
      </c>
      <c r="Y66" t="s">
        <v>124</v>
      </c>
    </row>
    <row r="67" spans="1:25" x14ac:dyDescent="0.3">
      <c r="A67" t="s">
        <v>26</v>
      </c>
      <c r="B67" t="s">
        <v>32</v>
      </c>
      <c r="C67" t="s">
        <v>35</v>
      </c>
      <c r="D67" t="s">
        <v>37</v>
      </c>
      <c r="E67" t="s">
        <v>43</v>
      </c>
      <c r="F67" t="s">
        <v>60</v>
      </c>
      <c r="G67" t="s">
        <v>74</v>
      </c>
      <c r="H67" t="s">
        <v>79</v>
      </c>
      <c r="I67" t="s">
        <v>51</v>
      </c>
      <c r="J67" t="s">
        <v>84</v>
      </c>
      <c r="K67" t="s">
        <v>94</v>
      </c>
      <c r="L67" t="s">
        <v>80</v>
      </c>
      <c r="M67">
        <v>2</v>
      </c>
      <c r="N67">
        <v>3</v>
      </c>
      <c r="O67">
        <v>3</v>
      </c>
      <c r="P67">
        <v>2</v>
      </c>
      <c r="Q67">
        <v>3</v>
      </c>
      <c r="R67" t="s">
        <v>114</v>
      </c>
      <c r="S67">
        <v>3</v>
      </c>
      <c r="T67" t="s">
        <v>115</v>
      </c>
      <c r="U67">
        <v>4</v>
      </c>
      <c r="V67">
        <v>3</v>
      </c>
      <c r="W67" t="s">
        <v>113</v>
      </c>
      <c r="X67">
        <v>0</v>
      </c>
      <c r="Y67" t="s">
        <v>120</v>
      </c>
    </row>
    <row r="68" spans="1:25" x14ac:dyDescent="0.3">
      <c r="A68" t="s">
        <v>26</v>
      </c>
      <c r="B68" t="s">
        <v>31</v>
      </c>
      <c r="C68" t="s">
        <v>34</v>
      </c>
      <c r="D68" t="s">
        <v>41</v>
      </c>
      <c r="E68" t="s">
        <v>43</v>
      </c>
      <c r="F68" t="s">
        <v>66</v>
      </c>
      <c r="G68" t="s">
        <v>76</v>
      </c>
      <c r="H68" t="s">
        <v>79</v>
      </c>
      <c r="I68" t="s">
        <v>66</v>
      </c>
      <c r="J68" t="s">
        <v>82</v>
      </c>
      <c r="K68" t="s">
        <v>87</v>
      </c>
      <c r="L68" t="s">
        <v>79</v>
      </c>
      <c r="M68">
        <v>3</v>
      </c>
      <c r="N68">
        <v>3</v>
      </c>
      <c r="O68">
        <v>3</v>
      </c>
      <c r="P68">
        <v>3</v>
      </c>
      <c r="Q68">
        <v>3</v>
      </c>
      <c r="R68" t="s">
        <v>114</v>
      </c>
      <c r="S68">
        <v>3</v>
      </c>
      <c r="T68" t="s">
        <v>115</v>
      </c>
      <c r="U68">
        <v>3</v>
      </c>
      <c r="V68">
        <v>4</v>
      </c>
      <c r="W68" t="s">
        <v>114</v>
      </c>
      <c r="X68">
        <v>92</v>
      </c>
      <c r="Y68" t="s">
        <v>121</v>
      </c>
    </row>
    <row r="69" spans="1:25" x14ac:dyDescent="0.3">
      <c r="A69" t="s">
        <v>26</v>
      </c>
      <c r="B69" t="s">
        <v>30</v>
      </c>
      <c r="C69" t="s">
        <v>35</v>
      </c>
      <c r="D69" t="s">
        <v>39</v>
      </c>
      <c r="E69" t="s">
        <v>43</v>
      </c>
      <c r="F69" t="s">
        <v>56</v>
      </c>
      <c r="G69" t="s">
        <v>78</v>
      </c>
      <c r="H69" t="s">
        <v>79</v>
      </c>
      <c r="I69" t="s">
        <v>66</v>
      </c>
      <c r="J69" t="s">
        <v>82</v>
      </c>
      <c r="K69" t="s">
        <v>99</v>
      </c>
      <c r="L69" t="s">
        <v>80</v>
      </c>
      <c r="M69">
        <v>3</v>
      </c>
      <c r="N69">
        <v>3</v>
      </c>
      <c r="O69">
        <v>3</v>
      </c>
      <c r="P69">
        <v>3</v>
      </c>
      <c r="Q69">
        <v>2</v>
      </c>
      <c r="R69" t="s">
        <v>112</v>
      </c>
      <c r="S69">
        <v>4</v>
      </c>
      <c r="T69" t="s">
        <v>115</v>
      </c>
      <c r="U69">
        <v>3</v>
      </c>
      <c r="V69">
        <v>3</v>
      </c>
      <c r="W69" t="s">
        <v>114</v>
      </c>
      <c r="X69">
        <v>93</v>
      </c>
      <c r="Y69" t="s">
        <v>124</v>
      </c>
    </row>
    <row r="70" spans="1:25" x14ac:dyDescent="0.3">
      <c r="A70" t="s">
        <v>26</v>
      </c>
      <c r="B70" t="s">
        <v>30</v>
      </c>
      <c r="C70" t="s">
        <v>36</v>
      </c>
      <c r="D70" t="s">
        <v>38</v>
      </c>
      <c r="E70" t="s">
        <v>45</v>
      </c>
      <c r="F70" t="s">
        <v>60</v>
      </c>
      <c r="G70" t="s">
        <v>72</v>
      </c>
      <c r="H70" t="s">
        <v>79</v>
      </c>
      <c r="I70" t="s">
        <v>66</v>
      </c>
      <c r="J70" t="s">
        <v>83</v>
      </c>
      <c r="K70" t="s">
        <v>104</v>
      </c>
      <c r="L70" t="s">
        <v>80</v>
      </c>
      <c r="M70">
        <v>4</v>
      </c>
      <c r="N70">
        <v>4</v>
      </c>
      <c r="O70">
        <v>3</v>
      </c>
      <c r="P70">
        <v>3</v>
      </c>
      <c r="Q70">
        <v>4</v>
      </c>
      <c r="R70" t="s">
        <v>111</v>
      </c>
      <c r="S70">
        <v>2</v>
      </c>
      <c r="T70" t="s">
        <v>117</v>
      </c>
      <c r="U70">
        <v>4</v>
      </c>
      <c r="V70">
        <v>4</v>
      </c>
      <c r="W70" t="s">
        <v>112</v>
      </c>
      <c r="X70">
        <v>148</v>
      </c>
      <c r="Y70" t="s">
        <v>122</v>
      </c>
    </row>
    <row r="71" spans="1:25" x14ac:dyDescent="0.3">
      <c r="A71" t="s">
        <v>25</v>
      </c>
      <c r="B71" t="s">
        <v>32</v>
      </c>
      <c r="C71" t="s">
        <v>35</v>
      </c>
      <c r="D71" t="s">
        <v>37</v>
      </c>
      <c r="E71" t="s">
        <v>42</v>
      </c>
      <c r="F71" t="s">
        <v>49</v>
      </c>
      <c r="G71" t="s">
        <v>72</v>
      </c>
      <c r="H71" t="s">
        <v>79</v>
      </c>
      <c r="I71" t="s">
        <v>59</v>
      </c>
      <c r="J71" t="s">
        <v>83</v>
      </c>
      <c r="K71" t="s">
        <v>103</v>
      </c>
      <c r="L71" t="s">
        <v>79</v>
      </c>
      <c r="M71">
        <v>3</v>
      </c>
      <c r="N71">
        <v>3</v>
      </c>
      <c r="O71">
        <v>4</v>
      </c>
      <c r="P71">
        <v>2</v>
      </c>
      <c r="Q71">
        <v>2</v>
      </c>
      <c r="R71" t="s">
        <v>112</v>
      </c>
      <c r="S71">
        <v>3</v>
      </c>
      <c r="T71" t="s">
        <v>116</v>
      </c>
      <c r="U71">
        <v>4</v>
      </c>
      <c r="V71">
        <v>4</v>
      </c>
      <c r="W71" t="s">
        <v>110</v>
      </c>
      <c r="X71">
        <v>61</v>
      </c>
      <c r="Y71" t="s">
        <v>120</v>
      </c>
    </row>
    <row r="72" spans="1:25" x14ac:dyDescent="0.3">
      <c r="A72" t="s">
        <v>29</v>
      </c>
      <c r="B72" t="s">
        <v>32</v>
      </c>
      <c r="C72" t="s">
        <v>35</v>
      </c>
      <c r="D72" t="s">
        <v>38</v>
      </c>
      <c r="E72" t="s">
        <v>45</v>
      </c>
      <c r="F72" t="s">
        <v>63</v>
      </c>
      <c r="G72" t="s">
        <v>74</v>
      </c>
      <c r="H72" t="s">
        <v>80</v>
      </c>
      <c r="J72" t="s">
        <v>82</v>
      </c>
      <c r="K72" t="s">
        <v>87</v>
      </c>
      <c r="L72" t="s">
        <v>79</v>
      </c>
      <c r="M72">
        <v>3</v>
      </c>
      <c r="N72">
        <v>4</v>
      </c>
      <c r="O72">
        <v>4</v>
      </c>
      <c r="P72">
        <v>3</v>
      </c>
      <c r="Q72">
        <v>3</v>
      </c>
      <c r="R72" t="s">
        <v>111</v>
      </c>
      <c r="S72">
        <v>2</v>
      </c>
      <c r="T72" t="s">
        <v>117</v>
      </c>
      <c r="U72">
        <v>4</v>
      </c>
      <c r="V72">
        <v>4</v>
      </c>
      <c r="W72" t="s">
        <v>111</v>
      </c>
      <c r="X72">
        <v>89</v>
      </c>
      <c r="Y72" t="s">
        <v>122</v>
      </c>
    </row>
    <row r="73" spans="1:25" x14ac:dyDescent="0.3">
      <c r="A73" t="s">
        <v>26</v>
      </c>
      <c r="B73" t="s">
        <v>32</v>
      </c>
      <c r="C73" t="s">
        <v>35</v>
      </c>
      <c r="D73" t="s">
        <v>38</v>
      </c>
      <c r="E73" t="s">
        <v>43</v>
      </c>
      <c r="F73" t="s">
        <v>60</v>
      </c>
      <c r="G73" t="s">
        <v>73</v>
      </c>
      <c r="H73" t="s">
        <v>79</v>
      </c>
      <c r="I73" t="s">
        <v>59</v>
      </c>
      <c r="J73" t="s">
        <v>82</v>
      </c>
      <c r="K73" t="s">
        <v>105</v>
      </c>
      <c r="L73" t="s">
        <v>80</v>
      </c>
      <c r="M73">
        <v>2</v>
      </c>
      <c r="N73">
        <v>2</v>
      </c>
      <c r="O73">
        <v>3</v>
      </c>
      <c r="P73">
        <v>2</v>
      </c>
      <c r="Q73">
        <v>2</v>
      </c>
      <c r="R73" t="s">
        <v>112</v>
      </c>
      <c r="S73">
        <v>4</v>
      </c>
      <c r="T73" t="s">
        <v>119</v>
      </c>
      <c r="U73">
        <v>2</v>
      </c>
      <c r="V73">
        <v>3</v>
      </c>
      <c r="W73" t="s">
        <v>111</v>
      </c>
      <c r="X73">
        <v>126</v>
      </c>
      <c r="Y73" t="s">
        <v>120</v>
      </c>
    </row>
    <row r="74" spans="1:25" x14ac:dyDescent="0.3">
      <c r="A74" t="s">
        <v>25</v>
      </c>
      <c r="B74" t="s">
        <v>32</v>
      </c>
      <c r="C74" t="s">
        <v>35</v>
      </c>
      <c r="D74" t="s">
        <v>38</v>
      </c>
      <c r="E74" t="s">
        <v>43</v>
      </c>
      <c r="F74" t="s">
        <v>57</v>
      </c>
      <c r="G74" t="s">
        <v>78</v>
      </c>
      <c r="H74" t="s">
        <v>79</v>
      </c>
      <c r="I74" t="s">
        <v>59</v>
      </c>
      <c r="J74" t="s">
        <v>84</v>
      </c>
      <c r="K74" t="s">
        <v>98</v>
      </c>
      <c r="L74" t="s">
        <v>79</v>
      </c>
      <c r="M74">
        <v>3</v>
      </c>
      <c r="N74">
        <v>3</v>
      </c>
      <c r="O74">
        <v>4</v>
      </c>
      <c r="P74">
        <v>3</v>
      </c>
      <c r="Q74">
        <v>2</v>
      </c>
      <c r="R74" t="s">
        <v>111</v>
      </c>
      <c r="S74">
        <v>3</v>
      </c>
      <c r="T74" t="s">
        <v>117</v>
      </c>
      <c r="U74">
        <v>3</v>
      </c>
      <c r="V74">
        <v>4</v>
      </c>
      <c r="W74" t="s">
        <v>111</v>
      </c>
      <c r="X74">
        <v>105</v>
      </c>
      <c r="Y74" t="s">
        <v>121</v>
      </c>
    </row>
    <row r="75" spans="1:25" x14ac:dyDescent="0.3">
      <c r="A75" t="s">
        <v>26</v>
      </c>
      <c r="B75" t="s">
        <v>32</v>
      </c>
      <c r="C75" t="s">
        <v>35</v>
      </c>
      <c r="D75" t="s">
        <v>41</v>
      </c>
      <c r="E75" t="s">
        <v>33</v>
      </c>
      <c r="F75" t="s">
        <v>68</v>
      </c>
      <c r="G75" t="s">
        <v>78</v>
      </c>
      <c r="H75" t="s">
        <v>80</v>
      </c>
      <c r="J75" t="s">
        <v>82</v>
      </c>
      <c r="K75" t="s">
        <v>87</v>
      </c>
      <c r="L75" t="s">
        <v>80</v>
      </c>
      <c r="M75">
        <v>3</v>
      </c>
      <c r="N75">
        <v>3</v>
      </c>
      <c r="O75">
        <v>2</v>
      </c>
      <c r="P75">
        <v>3</v>
      </c>
      <c r="Q75">
        <v>2</v>
      </c>
      <c r="R75" t="s">
        <v>111</v>
      </c>
      <c r="S75">
        <v>3</v>
      </c>
      <c r="T75" t="s">
        <v>117</v>
      </c>
      <c r="U75">
        <v>3</v>
      </c>
      <c r="V75">
        <v>3</v>
      </c>
      <c r="W75" t="s">
        <v>113</v>
      </c>
      <c r="X75">
        <v>0</v>
      </c>
      <c r="Y75" t="s">
        <v>122</v>
      </c>
    </row>
    <row r="76" spans="1:25" x14ac:dyDescent="0.3">
      <c r="A76" t="s">
        <v>26</v>
      </c>
      <c r="B76" t="s">
        <v>30</v>
      </c>
      <c r="C76" t="s">
        <v>34</v>
      </c>
      <c r="D76" t="s">
        <v>37</v>
      </c>
      <c r="E76" t="s">
        <v>43</v>
      </c>
      <c r="F76" t="s">
        <v>48</v>
      </c>
      <c r="G76" t="s">
        <v>74</v>
      </c>
      <c r="H76" t="s">
        <v>80</v>
      </c>
      <c r="J76" t="s">
        <v>82</v>
      </c>
      <c r="K76" t="s">
        <v>87</v>
      </c>
      <c r="L76" t="s">
        <v>79</v>
      </c>
      <c r="M76">
        <v>3</v>
      </c>
      <c r="N76">
        <v>3</v>
      </c>
      <c r="O76">
        <v>3</v>
      </c>
      <c r="P76">
        <v>2</v>
      </c>
      <c r="Q76">
        <v>2</v>
      </c>
      <c r="R76" t="s">
        <v>110</v>
      </c>
      <c r="S76">
        <v>4</v>
      </c>
      <c r="T76" t="s">
        <v>115</v>
      </c>
      <c r="U76">
        <v>2</v>
      </c>
      <c r="V76">
        <v>3</v>
      </c>
      <c r="W76" t="s">
        <v>112</v>
      </c>
      <c r="X76">
        <v>118</v>
      </c>
      <c r="Y76" t="s">
        <v>122</v>
      </c>
    </row>
    <row r="77" spans="1:25" x14ac:dyDescent="0.3">
      <c r="A77" t="s">
        <v>26</v>
      </c>
      <c r="B77" t="s">
        <v>30</v>
      </c>
      <c r="C77" t="s">
        <v>36</v>
      </c>
      <c r="D77" t="s">
        <v>38</v>
      </c>
      <c r="E77" t="s">
        <v>43</v>
      </c>
      <c r="F77" t="s">
        <v>55</v>
      </c>
      <c r="G77" t="s">
        <v>77</v>
      </c>
      <c r="H77" t="s">
        <v>80</v>
      </c>
      <c r="J77" t="s">
        <v>82</v>
      </c>
      <c r="K77" t="s">
        <v>87</v>
      </c>
      <c r="L77" t="s">
        <v>79</v>
      </c>
      <c r="M77">
        <v>3</v>
      </c>
      <c r="N77">
        <v>3</v>
      </c>
      <c r="O77">
        <v>4</v>
      </c>
      <c r="P77">
        <v>3</v>
      </c>
      <c r="Q77">
        <v>4</v>
      </c>
      <c r="R77" t="s">
        <v>112</v>
      </c>
      <c r="S77">
        <v>3</v>
      </c>
      <c r="T77" t="s">
        <v>117</v>
      </c>
      <c r="U77">
        <v>4</v>
      </c>
      <c r="V77">
        <v>4</v>
      </c>
      <c r="W77" t="s">
        <v>111</v>
      </c>
      <c r="X77">
        <v>153</v>
      </c>
      <c r="Y77" t="s">
        <v>120</v>
      </c>
    </row>
    <row r="78" spans="1:25" x14ac:dyDescent="0.3">
      <c r="A78" t="s">
        <v>26</v>
      </c>
      <c r="B78" t="s">
        <v>32</v>
      </c>
      <c r="C78" t="s">
        <v>35</v>
      </c>
      <c r="D78" t="s">
        <v>38</v>
      </c>
      <c r="E78" t="s">
        <v>42</v>
      </c>
      <c r="F78" t="s">
        <v>66</v>
      </c>
      <c r="G78" t="s">
        <v>75</v>
      </c>
      <c r="H78" t="s">
        <v>79</v>
      </c>
      <c r="I78" t="s">
        <v>66</v>
      </c>
      <c r="J78" t="s">
        <v>84</v>
      </c>
      <c r="K78" t="s">
        <v>100</v>
      </c>
      <c r="L78" t="s">
        <v>79</v>
      </c>
      <c r="M78">
        <v>3</v>
      </c>
      <c r="N78">
        <v>3</v>
      </c>
      <c r="O78">
        <v>3</v>
      </c>
      <c r="P78">
        <v>3</v>
      </c>
      <c r="Q78">
        <v>3</v>
      </c>
      <c r="R78" t="s">
        <v>112</v>
      </c>
      <c r="S78">
        <v>3</v>
      </c>
      <c r="T78" t="s">
        <v>115</v>
      </c>
      <c r="U78">
        <v>4</v>
      </c>
      <c r="V78">
        <v>3</v>
      </c>
      <c r="W78" t="s">
        <v>114</v>
      </c>
      <c r="X78">
        <v>80</v>
      </c>
      <c r="Y78" t="s">
        <v>123</v>
      </c>
    </row>
    <row r="79" spans="1:25" x14ac:dyDescent="0.3">
      <c r="A79" t="s">
        <v>26</v>
      </c>
      <c r="B79" t="s">
        <v>30</v>
      </c>
      <c r="C79" t="s">
        <v>35</v>
      </c>
      <c r="D79" t="s">
        <v>38</v>
      </c>
      <c r="E79" t="s">
        <v>43</v>
      </c>
      <c r="F79" t="s">
        <v>59</v>
      </c>
      <c r="G79" t="s">
        <v>72</v>
      </c>
      <c r="H79" t="s">
        <v>80</v>
      </c>
      <c r="J79" t="s">
        <v>82</v>
      </c>
      <c r="K79" t="s">
        <v>87</v>
      </c>
      <c r="L79" t="s">
        <v>79</v>
      </c>
      <c r="M79">
        <v>4</v>
      </c>
      <c r="N79">
        <v>4</v>
      </c>
      <c r="O79">
        <v>4</v>
      </c>
      <c r="P79">
        <v>4</v>
      </c>
      <c r="Q79">
        <v>4</v>
      </c>
      <c r="R79" t="s">
        <v>112</v>
      </c>
      <c r="S79">
        <v>3</v>
      </c>
      <c r="T79" t="s">
        <v>116</v>
      </c>
      <c r="U79">
        <v>5</v>
      </c>
      <c r="V79">
        <v>4</v>
      </c>
      <c r="W79" t="s">
        <v>114</v>
      </c>
      <c r="X79">
        <v>71</v>
      </c>
      <c r="Y79" t="s">
        <v>122</v>
      </c>
    </row>
    <row r="80" spans="1:25" x14ac:dyDescent="0.3">
      <c r="A80" t="s">
        <v>26</v>
      </c>
      <c r="B80" t="s">
        <v>32</v>
      </c>
      <c r="C80" t="s">
        <v>35</v>
      </c>
      <c r="D80" t="s">
        <v>38</v>
      </c>
      <c r="E80" t="s">
        <v>46</v>
      </c>
      <c r="F80" t="s">
        <v>51</v>
      </c>
      <c r="G80" t="s">
        <v>77</v>
      </c>
      <c r="H80" t="s">
        <v>79</v>
      </c>
      <c r="I80" t="s">
        <v>51</v>
      </c>
      <c r="J80" t="s">
        <v>82</v>
      </c>
      <c r="K80" t="s">
        <v>95</v>
      </c>
      <c r="L80" t="s">
        <v>80</v>
      </c>
      <c r="M80">
        <v>3</v>
      </c>
      <c r="N80">
        <v>4</v>
      </c>
      <c r="O80">
        <v>3</v>
      </c>
      <c r="P80">
        <v>3</v>
      </c>
      <c r="Q80">
        <v>3</v>
      </c>
      <c r="R80" t="s">
        <v>112</v>
      </c>
      <c r="S80">
        <v>2</v>
      </c>
      <c r="T80" t="s">
        <v>117</v>
      </c>
      <c r="U80">
        <v>3</v>
      </c>
      <c r="V80">
        <v>3</v>
      </c>
      <c r="W80" t="s">
        <v>114</v>
      </c>
      <c r="X80">
        <v>116</v>
      </c>
      <c r="Y80" t="s">
        <v>121</v>
      </c>
    </row>
    <row r="81" spans="1:25" x14ac:dyDescent="0.3">
      <c r="A81" t="s">
        <v>26</v>
      </c>
      <c r="B81" t="s">
        <v>30</v>
      </c>
      <c r="C81" t="s">
        <v>35</v>
      </c>
      <c r="D81" t="s">
        <v>38</v>
      </c>
      <c r="E81" t="s">
        <v>42</v>
      </c>
      <c r="F81" t="s">
        <v>69</v>
      </c>
      <c r="G81" t="s">
        <v>74</v>
      </c>
      <c r="H81" t="s">
        <v>80</v>
      </c>
      <c r="J81" t="s">
        <v>82</v>
      </c>
      <c r="K81" t="s">
        <v>87</v>
      </c>
      <c r="L81" t="s">
        <v>79</v>
      </c>
      <c r="M81">
        <v>3</v>
      </c>
      <c r="N81">
        <v>3</v>
      </c>
      <c r="O81">
        <v>4</v>
      </c>
      <c r="P81">
        <v>3</v>
      </c>
      <c r="Q81">
        <v>3</v>
      </c>
      <c r="R81" t="s">
        <v>111</v>
      </c>
      <c r="S81">
        <v>3</v>
      </c>
      <c r="T81" t="s">
        <v>117</v>
      </c>
      <c r="U81">
        <v>4</v>
      </c>
      <c r="V81">
        <v>4</v>
      </c>
      <c r="W81" t="s">
        <v>111</v>
      </c>
      <c r="X81">
        <v>135</v>
      </c>
      <c r="Y81" t="s">
        <v>124</v>
      </c>
    </row>
    <row r="82" spans="1:25" x14ac:dyDescent="0.3">
      <c r="A82" t="s">
        <v>26</v>
      </c>
      <c r="B82" t="s">
        <v>30</v>
      </c>
      <c r="C82" t="s">
        <v>35</v>
      </c>
      <c r="D82" t="s">
        <v>38</v>
      </c>
      <c r="E82" t="s">
        <v>42</v>
      </c>
      <c r="F82" t="s">
        <v>50</v>
      </c>
      <c r="G82" t="s">
        <v>73</v>
      </c>
      <c r="H82" t="s">
        <v>79</v>
      </c>
      <c r="I82" t="s">
        <v>66</v>
      </c>
      <c r="J82" t="s">
        <v>82</v>
      </c>
      <c r="K82" t="s">
        <v>103</v>
      </c>
      <c r="L82" t="s">
        <v>80</v>
      </c>
      <c r="M82">
        <v>3</v>
      </c>
      <c r="N82">
        <v>3</v>
      </c>
      <c r="O82">
        <v>4</v>
      </c>
      <c r="P82">
        <v>3</v>
      </c>
      <c r="Q82">
        <v>3</v>
      </c>
      <c r="R82" t="s">
        <v>114</v>
      </c>
      <c r="S82">
        <v>2</v>
      </c>
      <c r="T82" t="s">
        <v>115</v>
      </c>
      <c r="U82">
        <v>4</v>
      </c>
      <c r="V82">
        <v>4</v>
      </c>
      <c r="W82" t="s">
        <v>113</v>
      </c>
      <c r="X82">
        <v>70</v>
      </c>
      <c r="Y82" t="s">
        <v>121</v>
      </c>
    </row>
    <row r="83" spans="1:25" x14ac:dyDescent="0.3">
      <c r="A83" t="s">
        <v>26</v>
      </c>
      <c r="B83" t="s">
        <v>33</v>
      </c>
      <c r="C83" t="s">
        <v>36</v>
      </c>
      <c r="D83" t="s">
        <v>38</v>
      </c>
      <c r="E83" t="s">
        <v>44</v>
      </c>
      <c r="F83" t="s">
        <v>68</v>
      </c>
      <c r="G83" t="s">
        <v>75</v>
      </c>
      <c r="H83" t="s">
        <v>80</v>
      </c>
      <c r="J83" t="s">
        <v>82</v>
      </c>
      <c r="K83" t="s">
        <v>87</v>
      </c>
      <c r="L83" t="s">
        <v>80</v>
      </c>
      <c r="M83">
        <v>2</v>
      </c>
      <c r="N83">
        <v>3</v>
      </c>
      <c r="O83">
        <v>3</v>
      </c>
      <c r="P83">
        <v>3</v>
      </c>
      <c r="Q83">
        <v>3</v>
      </c>
      <c r="R83" t="s">
        <v>111</v>
      </c>
      <c r="S83">
        <v>3</v>
      </c>
      <c r="T83" t="s">
        <v>118</v>
      </c>
      <c r="U83">
        <v>3</v>
      </c>
      <c r="V83">
        <v>3</v>
      </c>
      <c r="W83" t="s">
        <v>110</v>
      </c>
      <c r="X83">
        <v>68</v>
      </c>
      <c r="Y83" t="s">
        <v>122</v>
      </c>
    </row>
    <row r="84" spans="1:25" x14ac:dyDescent="0.3">
      <c r="A84" t="s">
        <v>26</v>
      </c>
      <c r="B84" t="s">
        <v>30</v>
      </c>
      <c r="C84" t="s">
        <v>35</v>
      </c>
      <c r="D84" t="s">
        <v>38</v>
      </c>
      <c r="E84" t="s">
        <v>42</v>
      </c>
      <c r="F84" t="s">
        <v>61</v>
      </c>
      <c r="G84" t="s">
        <v>75</v>
      </c>
      <c r="H84" t="s">
        <v>79</v>
      </c>
      <c r="I84" t="s">
        <v>51</v>
      </c>
      <c r="J84" t="s">
        <v>81</v>
      </c>
      <c r="K84" t="s">
        <v>93</v>
      </c>
      <c r="L84" t="s">
        <v>80</v>
      </c>
      <c r="M84">
        <v>2</v>
      </c>
      <c r="N84">
        <v>2</v>
      </c>
      <c r="O84">
        <v>3</v>
      </c>
      <c r="P84">
        <v>2</v>
      </c>
      <c r="Q84">
        <v>2</v>
      </c>
      <c r="R84" t="s">
        <v>111</v>
      </c>
      <c r="S84">
        <v>4</v>
      </c>
      <c r="T84" t="s">
        <v>117</v>
      </c>
      <c r="U84">
        <v>3</v>
      </c>
      <c r="V84">
        <v>2</v>
      </c>
      <c r="W84" t="s">
        <v>112</v>
      </c>
      <c r="X84">
        <v>111</v>
      </c>
      <c r="Y84" t="s">
        <v>121</v>
      </c>
    </row>
    <row r="85" spans="1:25" x14ac:dyDescent="0.3">
      <c r="A85" t="s">
        <v>26</v>
      </c>
      <c r="B85" t="s">
        <v>32</v>
      </c>
      <c r="C85" t="s">
        <v>35</v>
      </c>
      <c r="D85" t="s">
        <v>37</v>
      </c>
      <c r="E85" t="s">
        <v>42</v>
      </c>
      <c r="F85" t="s">
        <v>68</v>
      </c>
      <c r="G85" t="s">
        <v>73</v>
      </c>
      <c r="H85" t="s">
        <v>79</v>
      </c>
      <c r="I85" t="s">
        <v>51</v>
      </c>
      <c r="J85" t="s">
        <v>84</v>
      </c>
      <c r="K85" t="s">
        <v>90</v>
      </c>
      <c r="L85" t="s">
        <v>80</v>
      </c>
      <c r="M85">
        <v>2</v>
      </c>
      <c r="N85">
        <v>2</v>
      </c>
      <c r="O85">
        <v>3</v>
      </c>
      <c r="P85">
        <v>3</v>
      </c>
      <c r="Q85">
        <v>3</v>
      </c>
      <c r="R85" t="s">
        <v>110</v>
      </c>
      <c r="S85">
        <v>4</v>
      </c>
      <c r="T85" t="s">
        <v>118</v>
      </c>
      <c r="U85">
        <v>3</v>
      </c>
      <c r="V85">
        <v>2</v>
      </c>
      <c r="W85" t="s">
        <v>114</v>
      </c>
      <c r="X85">
        <v>56</v>
      </c>
      <c r="Y85" t="s">
        <v>121</v>
      </c>
    </row>
    <row r="86" spans="1:25" x14ac:dyDescent="0.3">
      <c r="A86" t="s">
        <v>26</v>
      </c>
      <c r="B86" t="s">
        <v>32</v>
      </c>
      <c r="C86" t="s">
        <v>35</v>
      </c>
      <c r="D86" t="s">
        <v>38</v>
      </c>
      <c r="E86" t="s">
        <v>44</v>
      </c>
      <c r="F86" t="s">
        <v>61</v>
      </c>
      <c r="G86" t="s">
        <v>74</v>
      </c>
      <c r="H86" t="s">
        <v>80</v>
      </c>
      <c r="J86" t="s">
        <v>82</v>
      </c>
      <c r="K86" t="s">
        <v>87</v>
      </c>
      <c r="L86" t="s">
        <v>80</v>
      </c>
      <c r="M86">
        <v>3</v>
      </c>
      <c r="N86">
        <v>4</v>
      </c>
      <c r="O86">
        <v>4</v>
      </c>
      <c r="P86">
        <v>4</v>
      </c>
      <c r="Q86">
        <v>3</v>
      </c>
      <c r="R86" t="s">
        <v>111</v>
      </c>
      <c r="S86">
        <v>3</v>
      </c>
      <c r="T86" t="s">
        <v>117</v>
      </c>
      <c r="U86">
        <v>3</v>
      </c>
      <c r="V86">
        <v>4</v>
      </c>
      <c r="W86" t="s">
        <v>114</v>
      </c>
      <c r="X86">
        <v>91</v>
      </c>
      <c r="Y86" t="s">
        <v>122</v>
      </c>
    </row>
    <row r="87" spans="1:25" x14ac:dyDescent="0.3">
      <c r="A87" t="s">
        <v>26</v>
      </c>
      <c r="B87" t="s">
        <v>32</v>
      </c>
      <c r="C87" t="s">
        <v>35</v>
      </c>
      <c r="D87" t="s">
        <v>37</v>
      </c>
      <c r="E87" t="s">
        <v>33</v>
      </c>
      <c r="F87" t="s">
        <v>68</v>
      </c>
      <c r="G87" t="s">
        <v>75</v>
      </c>
      <c r="H87" t="s">
        <v>79</v>
      </c>
      <c r="I87" t="s">
        <v>51</v>
      </c>
      <c r="J87" t="s">
        <v>84</v>
      </c>
      <c r="K87" t="s">
        <v>104</v>
      </c>
      <c r="L87" t="s">
        <v>79</v>
      </c>
      <c r="M87">
        <v>2</v>
      </c>
      <c r="N87">
        <v>2</v>
      </c>
      <c r="O87">
        <v>3</v>
      </c>
      <c r="P87">
        <v>2</v>
      </c>
      <c r="Q87">
        <v>2</v>
      </c>
      <c r="R87" t="s">
        <v>114</v>
      </c>
      <c r="S87">
        <v>4</v>
      </c>
      <c r="T87" t="s">
        <v>115</v>
      </c>
      <c r="U87">
        <v>3</v>
      </c>
      <c r="V87">
        <v>2</v>
      </c>
      <c r="W87" t="s">
        <v>112</v>
      </c>
      <c r="X87">
        <v>155</v>
      </c>
      <c r="Y87" t="s">
        <v>122</v>
      </c>
    </row>
    <row r="88" spans="1:25" x14ac:dyDescent="0.3">
      <c r="A88" t="s">
        <v>29</v>
      </c>
      <c r="B88" t="s">
        <v>32</v>
      </c>
      <c r="C88" t="s">
        <v>35</v>
      </c>
      <c r="D88" t="s">
        <v>38</v>
      </c>
      <c r="E88" t="s">
        <v>43</v>
      </c>
      <c r="F88" t="s">
        <v>66</v>
      </c>
      <c r="G88" t="s">
        <v>76</v>
      </c>
      <c r="H88" t="s">
        <v>80</v>
      </c>
      <c r="J88" t="s">
        <v>82</v>
      </c>
      <c r="K88" t="s">
        <v>87</v>
      </c>
      <c r="L88" t="s">
        <v>80</v>
      </c>
      <c r="M88">
        <v>3</v>
      </c>
      <c r="N88">
        <v>3</v>
      </c>
      <c r="O88">
        <v>3</v>
      </c>
      <c r="P88">
        <v>2</v>
      </c>
      <c r="Q88">
        <v>3</v>
      </c>
      <c r="R88" t="s">
        <v>111</v>
      </c>
      <c r="S88">
        <v>4</v>
      </c>
      <c r="T88" t="s">
        <v>115</v>
      </c>
      <c r="U88">
        <v>3</v>
      </c>
      <c r="V88">
        <v>3</v>
      </c>
      <c r="W88" t="s">
        <v>113</v>
      </c>
      <c r="X88">
        <v>23</v>
      </c>
      <c r="Y88" t="s">
        <v>121</v>
      </c>
    </row>
    <row r="89" spans="1:25" x14ac:dyDescent="0.3">
      <c r="A89" t="s">
        <v>26</v>
      </c>
      <c r="B89" t="s">
        <v>32</v>
      </c>
      <c r="C89" t="s">
        <v>35</v>
      </c>
      <c r="D89" t="s">
        <v>38</v>
      </c>
      <c r="E89" t="s">
        <v>44</v>
      </c>
      <c r="F89" t="s">
        <v>51</v>
      </c>
      <c r="G89" t="s">
        <v>74</v>
      </c>
      <c r="H89" t="s">
        <v>80</v>
      </c>
      <c r="J89" t="s">
        <v>82</v>
      </c>
      <c r="K89" t="s">
        <v>87</v>
      </c>
      <c r="L89" t="s">
        <v>79</v>
      </c>
      <c r="M89">
        <v>4</v>
      </c>
      <c r="N89">
        <v>4</v>
      </c>
      <c r="O89">
        <v>4</v>
      </c>
      <c r="P89">
        <v>4</v>
      </c>
      <c r="Q89">
        <v>3</v>
      </c>
      <c r="R89" t="s">
        <v>111</v>
      </c>
      <c r="S89">
        <v>3</v>
      </c>
      <c r="T89" t="s">
        <v>116</v>
      </c>
      <c r="U89">
        <v>4</v>
      </c>
      <c r="V89">
        <v>4</v>
      </c>
      <c r="W89" t="s">
        <v>112</v>
      </c>
      <c r="X89">
        <v>154</v>
      </c>
      <c r="Y89" t="s">
        <v>123</v>
      </c>
    </row>
    <row r="90" spans="1:25" x14ac:dyDescent="0.3">
      <c r="A90" t="s">
        <v>26</v>
      </c>
      <c r="B90" t="s">
        <v>30</v>
      </c>
      <c r="C90" t="s">
        <v>35</v>
      </c>
      <c r="D90" t="s">
        <v>38</v>
      </c>
      <c r="E90" t="s">
        <v>44</v>
      </c>
      <c r="F90" t="s">
        <v>68</v>
      </c>
      <c r="G90" t="s">
        <v>76</v>
      </c>
      <c r="H90" t="s">
        <v>79</v>
      </c>
      <c r="I90" t="s">
        <v>59</v>
      </c>
      <c r="J90" t="s">
        <v>83</v>
      </c>
      <c r="K90" t="s">
        <v>87</v>
      </c>
      <c r="L90" t="s">
        <v>80</v>
      </c>
      <c r="M90">
        <v>3</v>
      </c>
      <c r="N90">
        <v>4</v>
      </c>
      <c r="O90">
        <v>4</v>
      </c>
      <c r="P90">
        <v>4</v>
      </c>
      <c r="Q90">
        <v>3</v>
      </c>
      <c r="R90" t="s">
        <v>114</v>
      </c>
      <c r="S90">
        <v>2</v>
      </c>
      <c r="T90" t="s">
        <v>115</v>
      </c>
      <c r="U90">
        <v>4</v>
      </c>
      <c r="V90">
        <v>4</v>
      </c>
      <c r="W90" t="s">
        <v>112</v>
      </c>
      <c r="X90">
        <v>129</v>
      </c>
      <c r="Y90" t="s">
        <v>121</v>
      </c>
    </row>
    <row r="91" spans="1:25" x14ac:dyDescent="0.3">
      <c r="A91" t="s">
        <v>26</v>
      </c>
      <c r="B91" t="s">
        <v>32</v>
      </c>
      <c r="C91" t="s">
        <v>35</v>
      </c>
      <c r="D91" t="s">
        <v>37</v>
      </c>
      <c r="E91" t="s">
        <v>43</v>
      </c>
      <c r="F91" t="s">
        <v>53</v>
      </c>
      <c r="G91" t="s">
        <v>76</v>
      </c>
      <c r="H91" t="s">
        <v>79</v>
      </c>
      <c r="I91" t="s">
        <v>51</v>
      </c>
      <c r="J91" t="s">
        <v>85</v>
      </c>
      <c r="K91" t="s">
        <v>93</v>
      </c>
      <c r="L91" t="s">
        <v>79</v>
      </c>
      <c r="M91">
        <v>3</v>
      </c>
      <c r="N91">
        <v>3</v>
      </c>
      <c r="O91">
        <v>4</v>
      </c>
      <c r="P91">
        <v>3</v>
      </c>
      <c r="Q91">
        <v>3</v>
      </c>
      <c r="R91" t="s">
        <v>111</v>
      </c>
      <c r="S91">
        <v>3</v>
      </c>
      <c r="T91" t="s">
        <v>117</v>
      </c>
      <c r="U91">
        <v>2</v>
      </c>
      <c r="V91">
        <v>3</v>
      </c>
      <c r="W91" t="s">
        <v>110</v>
      </c>
      <c r="X91">
        <v>85</v>
      </c>
      <c r="Y91" t="s">
        <v>124</v>
      </c>
    </row>
    <row r="92" spans="1:25" x14ac:dyDescent="0.3">
      <c r="A92" t="s">
        <v>25</v>
      </c>
      <c r="B92" t="s">
        <v>32</v>
      </c>
      <c r="C92" t="s">
        <v>35</v>
      </c>
      <c r="D92" t="s">
        <v>38</v>
      </c>
      <c r="E92" t="s">
        <v>42</v>
      </c>
      <c r="F92" t="s">
        <v>68</v>
      </c>
      <c r="G92" t="s">
        <v>78</v>
      </c>
      <c r="H92" t="s">
        <v>80</v>
      </c>
      <c r="J92" t="s">
        <v>82</v>
      </c>
      <c r="K92" t="s">
        <v>87</v>
      </c>
      <c r="L92" t="s">
        <v>79</v>
      </c>
      <c r="M92">
        <v>4</v>
      </c>
      <c r="N92">
        <v>5</v>
      </c>
      <c r="O92">
        <v>4</v>
      </c>
      <c r="P92">
        <v>3</v>
      </c>
      <c r="Q92">
        <v>4</v>
      </c>
      <c r="R92" t="s">
        <v>111</v>
      </c>
      <c r="S92">
        <v>3</v>
      </c>
      <c r="T92" t="s">
        <v>116</v>
      </c>
      <c r="U92">
        <v>4</v>
      </c>
      <c r="V92">
        <v>5</v>
      </c>
      <c r="W92" t="s">
        <v>114</v>
      </c>
      <c r="X92">
        <v>121</v>
      </c>
      <c r="Y92" t="s">
        <v>121</v>
      </c>
    </row>
    <row r="93" spans="1:25" x14ac:dyDescent="0.3">
      <c r="A93" t="s">
        <v>25</v>
      </c>
      <c r="B93" t="s">
        <v>32</v>
      </c>
      <c r="C93" t="s">
        <v>36</v>
      </c>
      <c r="D93" t="s">
        <v>38</v>
      </c>
      <c r="E93" t="s">
        <v>44</v>
      </c>
      <c r="F93" t="s">
        <v>57</v>
      </c>
      <c r="G93" t="s">
        <v>77</v>
      </c>
      <c r="H93" t="s">
        <v>79</v>
      </c>
      <c r="I93" t="s">
        <v>59</v>
      </c>
      <c r="J93" t="s">
        <v>84</v>
      </c>
      <c r="K93" t="s">
        <v>105</v>
      </c>
      <c r="L93" t="s">
        <v>79</v>
      </c>
      <c r="M93">
        <v>2</v>
      </c>
      <c r="N93">
        <v>3</v>
      </c>
      <c r="O93">
        <v>3</v>
      </c>
      <c r="P93">
        <v>2</v>
      </c>
      <c r="Q93">
        <v>2</v>
      </c>
      <c r="R93" t="s">
        <v>112</v>
      </c>
      <c r="S93">
        <v>4</v>
      </c>
      <c r="T93" t="s">
        <v>115</v>
      </c>
      <c r="U93">
        <v>3</v>
      </c>
      <c r="V93">
        <v>3</v>
      </c>
      <c r="W93" t="s">
        <v>114</v>
      </c>
      <c r="X93">
        <v>95</v>
      </c>
      <c r="Y93" t="s">
        <v>121</v>
      </c>
    </row>
    <row r="94" spans="1:25" x14ac:dyDescent="0.3">
      <c r="A94" t="s">
        <v>25</v>
      </c>
      <c r="B94" t="s">
        <v>32</v>
      </c>
      <c r="C94" t="s">
        <v>35</v>
      </c>
      <c r="D94" t="s">
        <v>37</v>
      </c>
      <c r="E94" t="s">
        <v>33</v>
      </c>
      <c r="F94" t="s">
        <v>60</v>
      </c>
      <c r="G94" t="s">
        <v>72</v>
      </c>
      <c r="H94" t="s">
        <v>80</v>
      </c>
      <c r="J94" t="s">
        <v>82</v>
      </c>
      <c r="K94" t="s">
        <v>87</v>
      </c>
      <c r="L94" t="s">
        <v>80</v>
      </c>
      <c r="M94">
        <v>3</v>
      </c>
      <c r="N94">
        <v>4</v>
      </c>
      <c r="O94">
        <v>4</v>
      </c>
      <c r="P94">
        <v>3</v>
      </c>
      <c r="Q94">
        <v>4</v>
      </c>
      <c r="R94" t="s">
        <v>112</v>
      </c>
      <c r="S94">
        <v>3</v>
      </c>
      <c r="T94" t="s">
        <v>117</v>
      </c>
      <c r="U94">
        <v>4</v>
      </c>
      <c r="V94">
        <v>5</v>
      </c>
      <c r="W94" t="s">
        <v>114</v>
      </c>
      <c r="X94">
        <v>74</v>
      </c>
      <c r="Y94" t="s">
        <v>120</v>
      </c>
    </row>
    <row r="95" spans="1:25" x14ac:dyDescent="0.3">
      <c r="A95" t="s">
        <v>26</v>
      </c>
      <c r="B95" t="s">
        <v>32</v>
      </c>
      <c r="C95" t="s">
        <v>35</v>
      </c>
      <c r="D95" t="s">
        <v>38</v>
      </c>
      <c r="E95" t="s">
        <v>44</v>
      </c>
      <c r="F95" t="s">
        <v>54</v>
      </c>
      <c r="G95" t="s">
        <v>72</v>
      </c>
      <c r="H95" t="s">
        <v>79</v>
      </c>
      <c r="I95" t="s">
        <v>51</v>
      </c>
      <c r="J95" t="s">
        <v>83</v>
      </c>
      <c r="K95" t="s">
        <v>91</v>
      </c>
      <c r="L95" t="s">
        <v>80</v>
      </c>
      <c r="M95">
        <v>2</v>
      </c>
      <c r="N95">
        <v>3</v>
      </c>
      <c r="O95">
        <v>3</v>
      </c>
      <c r="P95">
        <v>4</v>
      </c>
      <c r="Q95">
        <v>3</v>
      </c>
      <c r="R95" t="s">
        <v>112</v>
      </c>
      <c r="S95">
        <v>2</v>
      </c>
      <c r="T95" t="s">
        <v>117</v>
      </c>
      <c r="U95">
        <v>4</v>
      </c>
      <c r="V95">
        <v>4</v>
      </c>
      <c r="W95" t="s">
        <v>111</v>
      </c>
      <c r="X95">
        <v>88</v>
      </c>
      <c r="Y95" t="s">
        <v>122</v>
      </c>
    </row>
    <row r="96" spans="1:25" x14ac:dyDescent="0.3">
      <c r="A96" t="s">
        <v>29</v>
      </c>
      <c r="B96" t="s">
        <v>30</v>
      </c>
      <c r="C96" t="s">
        <v>36</v>
      </c>
      <c r="D96" t="s">
        <v>39</v>
      </c>
      <c r="E96" t="s">
        <v>42</v>
      </c>
      <c r="F96" t="s">
        <v>57</v>
      </c>
      <c r="G96" t="s">
        <v>74</v>
      </c>
      <c r="H96" t="s">
        <v>80</v>
      </c>
      <c r="J96" t="s">
        <v>82</v>
      </c>
      <c r="K96" t="s">
        <v>87</v>
      </c>
      <c r="L96" t="s">
        <v>79</v>
      </c>
      <c r="M96">
        <v>4</v>
      </c>
      <c r="N96">
        <v>4</v>
      </c>
      <c r="O96">
        <v>4</v>
      </c>
      <c r="P96">
        <v>5</v>
      </c>
      <c r="Q96">
        <v>4</v>
      </c>
      <c r="R96" t="s">
        <v>111</v>
      </c>
      <c r="S96">
        <v>2</v>
      </c>
      <c r="T96" t="s">
        <v>118</v>
      </c>
      <c r="U96">
        <v>4</v>
      </c>
      <c r="V96">
        <v>4</v>
      </c>
      <c r="W96" t="s">
        <v>110</v>
      </c>
      <c r="X96">
        <v>28</v>
      </c>
      <c r="Y96" t="s">
        <v>120</v>
      </c>
    </row>
    <row r="97" spans="1:25" x14ac:dyDescent="0.3">
      <c r="A97" t="s">
        <v>25</v>
      </c>
      <c r="B97" t="s">
        <v>30</v>
      </c>
      <c r="C97" t="s">
        <v>35</v>
      </c>
      <c r="D97" t="s">
        <v>38</v>
      </c>
      <c r="E97" t="s">
        <v>42</v>
      </c>
      <c r="F97" t="s">
        <v>68</v>
      </c>
      <c r="G97" t="s">
        <v>76</v>
      </c>
      <c r="H97" t="s">
        <v>79</v>
      </c>
      <c r="I97" t="s">
        <v>51</v>
      </c>
      <c r="J97" t="s">
        <v>84</v>
      </c>
      <c r="K97" t="s">
        <v>96</v>
      </c>
      <c r="L97" t="s">
        <v>80</v>
      </c>
      <c r="M97">
        <v>2</v>
      </c>
      <c r="N97">
        <v>3</v>
      </c>
      <c r="O97">
        <v>3</v>
      </c>
      <c r="P97">
        <v>3</v>
      </c>
      <c r="Q97">
        <v>2</v>
      </c>
      <c r="R97" t="s">
        <v>114</v>
      </c>
      <c r="S97">
        <v>4</v>
      </c>
      <c r="T97" t="s">
        <v>115</v>
      </c>
      <c r="U97">
        <v>4</v>
      </c>
      <c r="V97">
        <v>3</v>
      </c>
      <c r="W97" t="s">
        <v>110</v>
      </c>
      <c r="X97">
        <v>26</v>
      </c>
      <c r="Y97" t="s">
        <v>121</v>
      </c>
    </row>
    <row r="98" spans="1:25" x14ac:dyDescent="0.3">
      <c r="A98" t="s">
        <v>26</v>
      </c>
      <c r="B98" t="s">
        <v>30</v>
      </c>
      <c r="C98" t="s">
        <v>35</v>
      </c>
      <c r="D98" t="s">
        <v>38</v>
      </c>
      <c r="E98" t="s">
        <v>43</v>
      </c>
      <c r="F98" t="s">
        <v>70</v>
      </c>
      <c r="G98" t="s">
        <v>77</v>
      </c>
      <c r="H98" t="s">
        <v>79</v>
      </c>
      <c r="I98" t="s">
        <v>51</v>
      </c>
      <c r="J98" t="s">
        <v>82</v>
      </c>
      <c r="K98" t="s">
        <v>101</v>
      </c>
      <c r="L98" t="s">
        <v>79</v>
      </c>
      <c r="M98">
        <v>2</v>
      </c>
      <c r="N98">
        <v>3</v>
      </c>
      <c r="O98">
        <v>4</v>
      </c>
      <c r="P98">
        <v>3</v>
      </c>
      <c r="Q98">
        <v>3</v>
      </c>
      <c r="R98" t="s">
        <v>114</v>
      </c>
      <c r="S98">
        <v>3</v>
      </c>
      <c r="T98" t="s">
        <v>115</v>
      </c>
      <c r="U98">
        <v>4</v>
      </c>
      <c r="V98">
        <v>4</v>
      </c>
      <c r="W98" t="s">
        <v>114</v>
      </c>
      <c r="X98">
        <v>130</v>
      </c>
      <c r="Y98" t="s">
        <v>122</v>
      </c>
    </row>
    <row r="99" spans="1:25" x14ac:dyDescent="0.3">
      <c r="A99" t="s">
        <v>26</v>
      </c>
      <c r="B99" t="s">
        <v>30</v>
      </c>
      <c r="C99" t="s">
        <v>36</v>
      </c>
      <c r="D99" t="s">
        <v>40</v>
      </c>
      <c r="E99" t="s">
        <v>42</v>
      </c>
      <c r="F99" t="s">
        <v>62</v>
      </c>
      <c r="G99" t="s">
        <v>72</v>
      </c>
      <c r="H99" t="s">
        <v>80</v>
      </c>
      <c r="J99" t="s">
        <v>82</v>
      </c>
      <c r="K99" t="s">
        <v>87</v>
      </c>
      <c r="L99" t="s">
        <v>80</v>
      </c>
      <c r="M99">
        <v>4</v>
      </c>
      <c r="N99">
        <v>4</v>
      </c>
      <c r="O99">
        <v>5</v>
      </c>
      <c r="P99">
        <v>5</v>
      </c>
      <c r="Q99">
        <v>4</v>
      </c>
      <c r="R99" t="s">
        <v>112</v>
      </c>
      <c r="S99">
        <v>2</v>
      </c>
      <c r="T99" t="s">
        <v>116</v>
      </c>
      <c r="U99">
        <v>5</v>
      </c>
      <c r="V99">
        <v>5</v>
      </c>
      <c r="W99" t="s">
        <v>113</v>
      </c>
      <c r="X99">
        <v>52</v>
      </c>
      <c r="Y99" t="s">
        <v>120</v>
      </c>
    </row>
    <row r="100" spans="1:25" x14ac:dyDescent="0.3">
      <c r="A100" t="s">
        <v>26</v>
      </c>
      <c r="B100" t="s">
        <v>30</v>
      </c>
      <c r="C100" t="s">
        <v>34</v>
      </c>
      <c r="D100" t="s">
        <v>38</v>
      </c>
      <c r="E100" t="s">
        <v>43</v>
      </c>
      <c r="F100" t="s">
        <v>62</v>
      </c>
      <c r="G100" t="s">
        <v>78</v>
      </c>
      <c r="H100" t="s">
        <v>79</v>
      </c>
      <c r="I100" t="s">
        <v>51</v>
      </c>
      <c r="J100" t="s">
        <v>83</v>
      </c>
      <c r="K100" t="s">
        <v>106</v>
      </c>
      <c r="L100" t="s">
        <v>80</v>
      </c>
      <c r="M100">
        <v>2</v>
      </c>
      <c r="N100">
        <v>1</v>
      </c>
      <c r="O100">
        <v>2</v>
      </c>
      <c r="P100">
        <v>2</v>
      </c>
      <c r="Q100">
        <v>1</v>
      </c>
      <c r="R100" t="s">
        <v>113</v>
      </c>
      <c r="S100">
        <v>4</v>
      </c>
      <c r="T100" t="s">
        <v>118</v>
      </c>
      <c r="U100">
        <v>3</v>
      </c>
      <c r="V100">
        <v>3</v>
      </c>
      <c r="W100" t="s">
        <v>113</v>
      </c>
      <c r="X100">
        <v>57</v>
      </c>
      <c r="Y100" t="s">
        <v>121</v>
      </c>
    </row>
    <row r="101" spans="1:25" x14ac:dyDescent="0.3">
      <c r="A101" t="s">
        <v>27</v>
      </c>
      <c r="B101" t="s">
        <v>30</v>
      </c>
      <c r="C101" t="s">
        <v>34</v>
      </c>
      <c r="D101" t="s">
        <v>37</v>
      </c>
      <c r="E101" t="s">
        <v>43</v>
      </c>
      <c r="F101" t="s">
        <v>69</v>
      </c>
      <c r="G101" t="s">
        <v>73</v>
      </c>
      <c r="H101" t="s">
        <v>79</v>
      </c>
      <c r="I101" t="s">
        <v>59</v>
      </c>
      <c r="J101" t="s">
        <v>84</v>
      </c>
      <c r="K101" t="s">
        <v>104</v>
      </c>
      <c r="L101" t="s">
        <v>79</v>
      </c>
      <c r="M101">
        <v>2</v>
      </c>
      <c r="N101">
        <v>3</v>
      </c>
      <c r="O101">
        <v>3</v>
      </c>
      <c r="P101">
        <v>2</v>
      </c>
      <c r="Q101">
        <v>3</v>
      </c>
      <c r="R101" t="s">
        <v>113</v>
      </c>
      <c r="S101">
        <v>4</v>
      </c>
      <c r="T101" t="s">
        <v>119</v>
      </c>
      <c r="U101">
        <v>3</v>
      </c>
      <c r="V101">
        <v>3</v>
      </c>
      <c r="W101" t="s">
        <v>113</v>
      </c>
      <c r="X101">
        <v>56</v>
      </c>
      <c r="Y101" t="s">
        <v>120</v>
      </c>
    </row>
    <row r="102" spans="1:25" x14ac:dyDescent="0.3">
      <c r="A102" t="s">
        <v>29</v>
      </c>
      <c r="B102" t="s">
        <v>33</v>
      </c>
      <c r="C102" t="s">
        <v>35</v>
      </c>
      <c r="D102" t="s">
        <v>39</v>
      </c>
      <c r="E102" t="s">
        <v>45</v>
      </c>
      <c r="F102" t="s">
        <v>53</v>
      </c>
      <c r="G102" t="s">
        <v>76</v>
      </c>
      <c r="H102" t="s">
        <v>79</v>
      </c>
      <c r="I102" t="s">
        <v>66</v>
      </c>
      <c r="J102" t="s">
        <v>85</v>
      </c>
      <c r="K102" t="s">
        <v>86</v>
      </c>
      <c r="L102" t="s">
        <v>79</v>
      </c>
      <c r="M102">
        <v>2</v>
      </c>
      <c r="N102">
        <v>2</v>
      </c>
      <c r="O102">
        <v>3</v>
      </c>
      <c r="P102">
        <v>1</v>
      </c>
      <c r="Q102">
        <v>1</v>
      </c>
      <c r="R102" t="s">
        <v>114</v>
      </c>
      <c r="S102">
        <v>4</v>
      </c>
      <c r="T102" t="s">
        <v>118</v>
      </c>
      <c r="U102">
        <v>2</v>
      </c>
      <c r="V102">
        <v>2</v>
      </c>
      <c r="W102" t="s">
        <v>114</v>
      </c>
      <c r="X102">
        <v>131</v>
      </c>
      <c r="Y102" t="s">
        <v>121</v>
      </c>
    </row>
    <row r="103" spans="1:25" x14ac:dyDescent="0.3">
      <c r="A103" t="s">
        <v>25</v>
      </c>
      <c r="B103" t="s">
        <v>30</v>
      </c>
      <c r="C103" t="s">
        <v>36</v>
      </c>
      <c r="D103" t="s">
        <v>39</v>
      </c>
      <c r="E103" t="s">
        <v>42</v>
      </c>
      <c r="F103" t="s">
        <v>52</v>
      </c>
      <c r="G103" t="s">
        <v>73</v>
      </c>
      <c r="H103" t="s">
        <v>80</v>
      </c>
      <c r="J103" t="s">
        <v>82</v>
      </c>
      <c r="K103" t="s">
        <v>87</v>
      </c>
      <c r="L103" t="s">
        <v>80</v>
      </c>
      <c r="M103">
        <v>3</v>
      </c>
      <c r="N103">
        <v>3</v>
      </c>
      <c r="O103">
        <v>4</v>
      </c>
      <c r="P103">
        <v>4</v>
      </c>
      <c r="Q103">
        <v>4</v>
      </c>
      <c r="R103" t="s">
        <v>112</v>
      </c>
      <c r="S103">
        <v>3</v>
      </c>
      <c r="T103" t="s">
        <v>115</v>
      </c>
      <c r="U103">
        <v>4</v>
      </c>
      <c r="V103">
        <v>4</v>
      </c>
      <c r="W103" t="s">
        <v>114</v>
      </c>
      <c r="X103">
        <v>65</v>
      </c>
      <c r="Y103" t="s">
        <v>120</v>
      </c>
    </row>
    <row r="104" spans="1:25" x14ac:dyDescent="0.3">
      <c r="A104" t="s">
        <v>26</v>
      </c>
      <c r="B104" t="s">
        <v>32</v>
      </c>
      <c r="C104" t="s">
        <v>35</v>
      </c>
      <c r="D104" t="s">
        <v>38</v>
      </c>
      <c r="E104" t="s">
        <v>44</v>
      </c>
      <c r="F104" t="s">
        <v>66</v>
      </c>
      <c r="G104" t="s">
        <v>73</v>
      </c>
      <c r="H104" t="s">
        <v>79</v>
      </c>
      <c r="I104" t="s">
        <v>66</v>
      </c>
      <c r="J104" t="s">
        <v>85</v>
      </c>
      <c r="K104" t="s">
        <v>107</v>
      </c>
      <c r="L104" t="s">
        <v>79</v>
      </c>
      <c r="M104">
        <v>2</v>
      </c>
      <c r="N104">
        <v>2</v>
      </c>
      <c r="O104">
        <v>2</v>
      </c>
      <c r="P104">
        <v>2</v>
      </c>
      <c r="Q104">
        <v>2</v>
      </c>
      <c r="R104" t="s">
        <v>113</v>
      </c>
      <c r="S104">
        <v>4</v>
      </c>
      <c r="T104" t="s">
        <v>117</v>
      </c>
      <c r="U104">
        <v>2</v>
      </c>
      <c r="V104">
        <v>2</v>
      </c>
      <c r="W104" t="s">
        <v>112</v>
      </c>
      <c r="X104">
        <v>122</v>
      </c>
      <c r="Y104" t="s">
        <v>120</v>
      </c>
    </row>
    <row r="105" spans="1:25" x14ac:dyDescent="0.3">
      <c r="A105" t="s">
        <v>26</v>
      </c>
      <c r="B105" t="s">
        <v>30</v>
      </c>
      <c r="C105" t="s">
        <v>35</v>
      </c>
      <c r="D105" t="s">
        <v>38</v>
      </c>
      <c r="E105" t="s">
        <v>44</v>
      </c>
      <c r="F105" t="s">
        <v>51</v>
      </c>
      <c r="G105" t="s">
        <v>76</v>
      </c>
      <c r="H105" t="s">
        <v>80</v>
      </c>
      <c r="J105" t="s">
        <v>82</v>
      </c>
      <c r="K105" t="s">
        <v>87</v>
      </c>
      <c r="L105" t="s">
        <v>80</v>
      </c>
      <c r="M105">
        <v>3</v>
      </c>
      <c r="N105">
        <v>3</v>
      </c>
      <c r="O105">
        <v>3</v>
      </c>
      <c r="P105">
        <v>3</v>
      </c>
      <c r="Q105">
        <v>3</v>
      </c>
      <c r="R105" t="s">
        <v>112</v>
      </c>
      <c r="S105">
        <v>3</v>
      </c>
      <c r="T105" t="s">
        <v>118</v>
      </c>
      <c r="U105">
        <v>3</v>
      </c>
      <c r="V105">
        <v>3</v>
      </c>
      <c r="W105" t="s">
        <v>110</v>
      </c>
      <c r="X105">
        <v>39</v>
      </c>
      <c r="Y105" t="s">
        <v>121</v>
      </c>
    </row>
    <row r="106" spans="1:25" x14ac:dyDescent="0.3">
      <c r="A106" t="s">
        <v>25</v>
      </c>
      <c r="B106" t="s">
        <v>32</v>
      </c>
      <c r="C106" t="s">
        <v>35</v>
      </c>
      <c r="D106" t="s">
        <v>37</v>
      </c>
      <c r="E106" t="s">
        <v>33</v>
      </c>
      <c r="F106" t="s">
        <v>69</v>
      </c>
      <c r="G106" t="s">
        <v>74</v>
      </c>
      <c r="H106" t="s">
        <v>79</v>
      </c>
      <c r="I106" t="s">
        <v>66</v>
      </c>
      <c r="J106" t="s">
        <v>83</v>
      </c>
      <c r="K106" t="s">
        <v>87</v>
      </c>
      <c r="L106" t="s">
        <v>79</v>
      </c>
      <c r="M106">
        <v>1</v>
      </c>
      <c r="N106">
        <v>1</v>
      </c>
      <c r="O106">
        <v>2</v>
      </c>
      <c r="P106">
        <v>1</v>
      </c>
      <c r="Q106">
        <v>1</v>
      </c>
      <c r="R106" t="s">
        <v>111</v>
      </c>
      <c r="S106">
        <v>5</v>
      </c>
      <c r="T106" t="s">
        <v>118</v>
      </c>
      <c r="U106">
        <v>2</v>
      </c>
      <c r="V106">
        <v>2</v>
      </c>
      <c r="W106" t="s">
        <v>111</v>
      </c>
      <c r="X106">
        <v>105</v>
      </c>
      <c r="Y106" t="s">
        <v>120</v>
      </c>
    </row>
    <row r="107" spans="1:25" x14ac:dyDescent="0.3">
      <c r="A107" t="s">
        <v>26</v>
      </c>
      <c r="B107" t="s">
        <v>30</v>
      </c>
      <c r="C107" t="s">
        <v>36</v>
      </c>
      <c r="D107" t="s">
        <v>37</v>
      </c>
      <c r="E107" t="s">
        <v>44</v>
      </c>
      <c r="F107" t="s">
        <v>54</v>
      </c>
      <c r="G107" t="s">
        <v>76</v>
      </c>
      <c r="H107" t="s">
        <v>80</v>
      </c>
      <c r="J107" t="s">
        <v>82</v>
      </c>
      <c r="K107" t="s">
        <v>87</v>
      </c>
      <c r="L107" t="s">
        <v>80</v>
      </c>
      <c r="M107">
        <v>4</v>
      </c>
      <c r="N107">
        <v>4</v>
      </c>
      <c r="O107">
        <v>5</v>
      </c>
      <c r="P107">
        <v>4</v>
      </c>
      <c r="Q107">
        <v>4</v>
      </c>
      <c r="R107" t="s">
        <v>110</v>
      </c>
      <c r="S107">
        <v>2</v>
      </c>
      <c r="T107" t="s">
        <v>116</v>
      </c>
      <c r="U107">
        <v>5</v>
      </c>
      <c r="V107">
        <v>5</v>
      </c>
      <c r="W107" t="s">
        <v>111</v>
      </c>
      <c r="X107">
        <v>189</v>
      </c>
      <c r="Y107" t="s">
        <v>120</v>
      </c>
    </row>
    <row r="108" spans="1:25" x14ac:dyDescent="0.3">
      <c r="A108" t="s">
        <v>26</v>
      </c>
      <c r="B108" t="s">
        <v>30</v>
      </c>
      <c r="C108" t="s">
        <v>35</v>
      </c>
      <c r="D108" t="s">
        <v>39</v>
      </c>
      <c r="E108" t="s">
        <v>44</v>
      </c>
      <c r="F108" t="s">
        <v>68</v>
      </c>
      <c r="G108" t="s">
        <v>76</v>
      </c>
      <c r="H108" t="s">
        <v>79</v>
      </c>
      <c r="I108" t="s">
        <v>59</v>
      </c>
      <c r="J108" t="s">
        <v>82</v>
      </c>
      <c r="K108" t="s">
        <v>108</v>
      </c>
      <c r="L108" t="s">
        <v>80</v>
      </c>
      <c r="M108">
        <v>3</v>
      </c>
      <c r="N108">
        <v>3</v>
      </c>
      <c r="O108">
        <v>3</v>
      </c>
      <c r="P108">
        <v>3</v>
      </c>
      <c r="Q108">
        <v>3</v>
      </c>
      <c r="R108" t="s">
        <v>112</v>
      </c>
      <c r="S108">
        <v>3</v>
      </c>
      <c r="T108" t="s">
        <v>118</v>
      </c>
      <c r="U108">
        <v>4</v>
      </c>
      <c r="V108">
        <v>4</v>
      </c>
      <c r="W108" t="s">
        <v>114</v>
      </c>
      <c r="X108">
        <v>132</v>
      </c>
      <c r="Y108" t="s">
        <v>120</v>
      </c>
    </row>
    <row r="109" spans="1:25" x14ac:dyDescent="0.3">
      <c r="A109" t="s">
        <v>25</v>
      </c>
      <c r="B109" t="s">
        <v>32</v>
      </c>
      <c r="C109" t="s">
        <v>35</v>
      </c>
      <c r="D109" t="s">
        <v>38</v>
      </c>
      <c r="E109" t="s">
        <v>42</v>
      </c>
      <c r="F109" t="s">
        <v>54</v>
      </c>
      <c r="G109" t="s">
        <v>73</v>
      </c>
      <c r="H109" t="s">
        <v>79</v>
      </c>
      <c r="I109" t="s">
        <v>66</v>
      </c>
      <c r="J109" t="s">
        <v>84</v>
      </c>
      <c r="K109" t="s">
        <v>101</v>
      </c>
      <c r="L109" t="s">
        <v>80</v>
      </c>
      <c r="M109">
        <v>2</v>
      </c>
      <c r="N109">
        <v>3</v>
      </c>
      <c r="O109">
        <v>4</v>
      </c>
      <c r="P109">
        <v>3</v>
      </c>
      <c r="Q109">
        <v>2</v>
      </c>
      <c r="R109" t="s">
        <v>113</v>
      </c>
      <c r="S109">
        <v>3</v>
      </c>
      <c r="T109" t="s">
        <v>115</v>
      </c>
      <c r="U109">
        <v>3</v>
      </c>
      <c r="V109">
        <v>3</v>
      </c>
      <c r="W109" t="s">
        <v>114</v>
      </c>
      <c r="X109">
        <v>119</v>
      </c>
      <c r="Y109" t="s">
        <v>124</v>
      </c>
    </row>
    <row r="110" spans="1:25" x14ac:dyDescent="0.3">
      <c r="A110" t="s">
        <v>26</v>
      </c>
      <c r="B110" t="s">
        <v>30</v>
      </c>
      <c r="C110" t="s">
        <v>35</v>
      </c>
      <c r="D110" t="s">
        <v>37</v>
      </c>
      <c r="E110" t="s">
        <v>33</v>
      </c>
      <c r="F110" t="s">
        <v>68</v>
      </c>
      <c r="G110" t="s">
        <v>72</v>
      </c>
      <c r="H110" t="s">
        <v>79</v>
      </c>
      <c r="I110" t="s">
        <v>51</v>
      </c>
      <c r="J110" t="s">
        <v>82</v>
      </c>
      <c r="K110" t="s">
        <v>106</v>
      </c>
      <c r="L110" t="s">
        <v>80</v>
      </c>
      <c r="M110">
        <v>2</v>
      </c>
      <c r="N110">
        <v>2</v>
      </c>
      <c r="O110">
        <v>3</v>
      </c>
      <c r="P110">
        <v>2</v>
      </c>
      <c r="Q110">
        <v>2</v>
      </c>
      <c r="R110" t="s">
        <v>114</v>
      </c>
      <c r="S110">
        <v>3</v>
      </c>
      <c r="T110" t="s">
        <v>118</v>
      </c>
      <c r="U110">
        <v>3</v>
      </c>
      <c r="V110">
        <v>3</v>
      </c>
      <c r="W110" t="s">
        <v>110</v>
      </c>
      <c r="X110">
        <v>23</v>
      </c>
      <c r="Y110" t="s">
        <v>124</v>
      </c>
    </row>
    <row r="111" spans="1:25" x14ac:dyDescent="0.3">
      <c r="A111" t="s">
        <v>26</v>
      </c>
      <c r="B111" t="s">
        <v>33</v>
      </c>
      <c r="C111" t="s">
        <v>36</v>
      </c>
      <c r="D111" t="s">
        <v>37</v>
      </c>
      <c r="E111" t="s">
        <v>33</v>
      </c>
      <c r="F111" t="s">
        <v>62</v>
      </c>
      <c r="G111" t="s">
        <v>72</v>
      </c>
      <c r="H111" t="s">
        <v>79</v>
      </c>
      <c r="I111" t="s">
        <v>51</v>
      </c>
      <c r="J111" t="s">
        <v>84</v>
      </c>
      <c r="K111" t="s">
        <v>109</v>
      </c>
      <c r="L111" t="s">
        <v>80</v>
      </c>
      <c r="M111">
        <v>3</v>
      </c>
      <c r="N111">
        <v>3</v>
      </c>
      <c r="O111">
        <v>3</v>
      </c>
      <c r="P111">
        <v>3</v>
      </c>
      <c r="Q111">
        <v>3</v>
      </c>
      <c r="R111" t="s">
        <v>113</v>
      </c>
      <c r="S111">
        <v>3</v>
      </c>
      <c r="T111" t="s">
        <v>118</v>
      </c>
      <c r="U111">
        <v>4</v>
      </c>
      <c r="V111">
        <v>4</v>
      </c>
      <c r="W111" t="s">
        <v>111</v>
      </c>
      <c r="X111">
        <v>206</v>
      </c>
      <c r="Y111" t="s">
        <v>121</v>
      </c>
    </row>
    <row r="112" spans="1:25" x14ac:dyDescent="0.3">
      <c r="A112" t="s">
        <v>26</v>
      </c>
      <c r="B112" t="s">
        <v>32</v>
      </c>
      <c r="C112" t="s">
        <v>34</v>
      </c>
      <c r="D112" t="s">
        <v>38</v>
      </c>
      <c r="E112" t="s">
        <v>42</v>
      </c>
      <c r="F112" t="s">
        <v>58</v>
      </c>
      <c r="G112" t="s">
        <v>78</v>
      </c>
      <c r="H112" t="s">
        <v>80</v>
      </c>
      <c r="J112" t="s">
        <v>82</v>
      </c>
      <c r="K112" t="s">
        <v>87</v>
      </c>
      <c r="L112" t="s">
        <v>79</v>
      </c>
      <c r="M112">
        <v>5</v>
      </c>
      <c r="N112">
        <v>4</v>
      </c>
      <c r="O112">
        <v>5</v>
      </c>
      <c r="P112">
        <v>5</v>
      </c>
      <c r="Q112">
        <v>5</v>
      </c>
      <c r="R112" t="s">
        <v>111</v>
      </c>
      <c r="S112">
        <v>2</v>
      </c>
      <c r="T112" t="s">
        <v>116</v>
      </c>
      <c r="U112">
        <v>5</v>
      </c>
      <c r="V112">
        <v>5</v>
      </c>
      <c r="W112" t="s">
        <v>112</v>
      </c>
      <c r="X112">
        <v>59</v>
      </c>
      <c r="Y112" t="s">
        <v>122</v>
      </c>
    </row>
    <row r="113" spans="1:25" x14ac:dyDescent="0.3">
      <c r="A113" t="s">
        <v>29</v>
      </c>
      <c r="B113" t="s">
        <v>30</v>
      </c>
      <c r="C113" t="s">
        <v>35</v>
      </c>
      <c r="D113" t="s">
        <v>38</v>
      </c>
      <c r="E113" t="s">
        <v>43</v>
      </c>
      <c r="F113" t="s">
        <v>68</v>
      </c>
      <c r="G113" t="s">
        <v>74</v>
      </c>
      <c r="H113" t="s">
        <v>79</v>
      </c>
      <c r="I113" t="s">
        <v>51</v>
      </c>
      <c r="J113" t="s">
        <v>83</v>
      </c>
      <c r="K113" t="s">
        <v>95</v>
      </c>
      <c r="L113" t="s">
        <v>80</v>
      </c>
      <c r="M113">
        <v>2</v>
      </c>
      <c r="N113">
        <v>3</v>
      </c>
      <c r="O113">
        <v>3</v>
      </c>
      <c r="P113">
        <v>2</v>
      </c>
      <c r="Q113">
        <v>2</v>
      </c>
      <c r="R113" t="s">
        <v>112</v>
      </c>
      <c r="S113">
        <v>3</v>
      </c>
      <c r="T113" t="s">
        <v>117</v>
      </c>
      <c r="U113">
        <v>3</v>
      </c>
      <c r="V113">
        <v>3</v>
      </c>
      <c r="W113" t="s">
        <v>111</v>
      </c>
      <c r="X113">
        <v>92</v>
      </c>
      <c r="Y113" t="s">
        <v>122</v>
      </c>
    </row>
    <row r="114" spans="1:25" x14ac:dyDescent="0.3">
      <c r="A114" t="s">
        <v>26</v>
      </c>
      <c r="B114" t="s">
        <v>32</v>
      </c>
      <c r="C114" t="s">
        <v>35</v>
      </c>
      <c r="D114" t="s">
        <v>41</v>
      </c>
      <c r="E114" t="s">
        <v>44</v>
      </c>
      <c r="F114" t="s">
        <v>60</v>
      </c>
      <c r="G114" t="s">
        <v>78</v>
      </c>
      <c r="H114" t="s">
        <v>80</v>
      </c>
      <c r="J114" t="s">
        <v>82</v>
      </c>
      <c r="K114" t="s">
        <v>87</v>
      </c>
      <c r="L114" t="s">
        <v>80</v>
      </c>
      <c r="M114">
        <v>2</v>
      </c>
      <c r="N114">
        <v>3</v>
      </c>
      <c r="O114">
        <v>3</v>
      </c>
      <c r="P114">
        <v>3</v>
      </c>
      <c r="Q114">
        <v>2</v>
      </c>
      <c r="R114" t="s">
        <v>112</v>
      </c>
      <c r="S114">
        <v>5</v>
      </c>
      <c r="T114" t="s">
        <v>117</v>
      </c>
      <c r="U114">
        <v>2</v>
      </c>
      <c r="V114">
        <v>2</v>
      </c>
      <c r="W114" t="s">
        <v>113</v>
      </c>
      <c r="X114">
        <v>71</v>
      </c>
      <c r="Y114" t="s">
        <v>120</v>
      </c>
    </row>
    <row r="115" spans="1:25" x14ac:dyDescent="0.3">
      <c r="A115" t="s">
        <v>25</v>
      </c>
      <c r="B115" t="s">
        <v>30</v>
      </c>
      <c r="C115" t="s">
        <v>36</v>
      </c>
      <c r="D115" t="s">
        <v>38</v>
      </c>
      <c r="E115" t="s">
        <v>33</v>
      </c>
      <c r="F115" t="s">
        <v>56</v>
      </c>
      <c r="G115" t="s">
        <v>73</v>
      </c>
      <c r="H115" t="s">
        <v>80</v>
      </c>
      <c r="J115" t="s">
        <v>82</v>
      </c>
      <c r="K115" t="s">
        <v>87</v>
      </c>
      <c r="L115" t="s">
        <v>79</v>
      </c>
      <c r="M115">
        <v>3</v>
      </c>
      <c r="N115">
        <v>4</v>
      </c>
      <c r="O115">
        <v>4</v>
      </c>
      <c r="P115">
        <v>3</v>
      </c>
      <c r="Q115">
        <v>3</v>
      </c>
      <c r="R115" t="s">
        <v>113</v>
      </c>
      <c r="S115">
        <v>3</v>
      </c>
      <c r="T115" t="s">
        <v>118</v>
      </c>
      <c r="U115">
        <v>4</v>
      </c>
      <c r="V115">
        <v>4</v>
      </c>
      <c r="W115" t="s">
        <v>110</v>
      </c>
      <c r="X115">
        <v>19</v>
      </c>
      <c r="Y115" t="s">
        <v>122</v>
      </c>
    </row>
    <row r="116" spans="1:25" x14ac:dyDescent="0.3">
      <c r="A116" t="s">
        <v>26</v>
      </c>
      <c r="B116" t="s">
        <v>30</v>
      </c>
      <c r="C116" t="s">
        <v>36</v>
      </c>
      <c r="D116" t="s">
        <v>38</v>
      </c>
      <c r="E116" t="s">
        <v>44</v>
      </c>
      <c r="F116" t="s">
        <v>69</v>
      </c>
      <c r="G116" t="s">
        <v>75</v>
      </c>
      <c r="H116" t="s">
        <v>80</v>
      </c>
      <c r="J116" t="s">
        <v>82</v>
      </c>
      <c r="K116" t="s">
        <v>87</v>
      </c>
      <c r="L116" t="s">
        <v>79</v>
      </c>
      <c r="M116">
        <v>4</v>
      </c>
      <c r="N116">
        <v>3</v>
      </c>
      <c r="O116">
        <v>4</v>
      </c>
      <c r="P116">
        <v>3</v>
      </c>
      <c r="Q116">
        <v>4</v>
      </c>
      <c r="R116" t="s">
        <v>114</v>
      </c>
      <c r="S116">
        <v>2</v>
      </c>
      <c r="T116" t="s">
        <v>116</v>
      </c>
      <c r="U116">
        <v>4</v>
      </c>
      <c r="V116">
        <v>4</v>
      </c>
      <c r="W116" t="s">
        <v>114</v>
      </c>
      <c r="X116">
        <v>78</v>
      </c>
      <c r="Y116" t="s">
        <v>121</v>
      </c>
    </row>
    <row r="117" spans="1:25" x14ac:dyDescent="0.3">
      <c r="A117" t="s">
        <v>26</v>
      </c>
      <c r="B117" t="s">
        <v>32</v>
      </c>
      <c r="C117" t="s">
        <v>34</v>
      </c>
      <c r="D117" t="s">
        <v>38</v>
      </c>
      <c r="E117" t="s">
        <v>44</v>
      </c>
      <c r="F117" t="s">
        <v>71</v>
      </c>
      <c r="G117" t="s">
        <v>72</v>
      </c>
      <c r="H117" t="s">
        <v>80</v>
      </c>
      <c r="J117" t="s">
        <v>82</v>
      </c>
      <c r="K117" t="s">
        <v>87</v>
      </c>
      <c r="L117" t="s">
        <v>79</v>
      </c>
      <c r="M117">
        <v>3</v>
      </c>
      <c r="N117">
        <v>3</v>
      </c>
      <c r="O117">
        <v>4</v>
      </c>
      <c r="P117">
        <v>3</v>
      </c>
      <c r="Q117">
        <v>3</v>
      </c>
      <c r="R117" t="s">
        <v>111</v>
      </c>
      <c r="S117">
        <v>3</v>
      </c>
      <c r="T117" t="s">
        <v>119</v>
      </c>
      <c r="U117">
        <v>4</v>
      </c>
      <c r="V117">
        <v>3</v>
      </c>
      <c r="W117" t="s">
        <v>114</v>
      </c>
      <c r="X117">
        <v>56</v>
      </c>
      <c r="Y117" t="s">
        <v>120</v>
      </c>
    </row>
    <row r="118" spans="1:25" x14ac:dyDescent="0.3">
      <c r="A118" t="s">
        <v>26</v>
      </c>
      <c r="B118" t="s">
        <v>30</v>
      </c>
      <c r="C118" t="s">
        <v>34</v>
      </c>
      <c r="D118" t="s">
        <v>39</v>
      </c>
      <c r="E118" t="s">
        <v>45</v>
      </c>
      <c r="F118" t="s">
        <v>68</v>
      </c>
      <c r="G118" t="s">
        <v>73</v>
      </c>
      <c r="H118" t="s">
        <v>80</v>
      </c>
      <c r="J118" t="s">
        <v>82</v>
      </c>
      <c r="K118" t="s">
        <v>87</v>
      </c>
      <c r="L118" t="s">
        <v>80</v>
      </c>
      <c r="M118">
        <v>3</v>
      </c>
      <c r="N118">
        <v>4</v>
      </c>
      <c r="O118">
        <v>4</v>
      </c>
      <c r="P118">
        <v>3</v>
      </c>
      <c r="Q118">
        <v>3</v>
      </c>
      <c r="R118" t="s">
        <v>112</v>
      </c>
      <c r="S118">
        <v>3</v>
      </c>
      <c r="T118" t="s">
        <v>117</v>
      </c>
      <c r="U118">
        <v>4</v>
      </c>
      <c r="V118">
        <v>4</v>
      </c>
      <c r="W118" t="s">
        <v>110</v>
      </c>
      <c r="X118">
        <v>35</v>
      </c>
      <c r="Y118" t="s">
        <v>121</v>
      </c>
    </row>
    <row r="119" spans="1:25" x14ac:dyDescent="0.3">
      <c r="A119" t="s">
        <v>28</v>
      </c>
      <c r="B119" t="s">
        <v>30</v>
      </c>
      <c r="C119" t="s">
        <v>35</v>
      </c>
      <c r="D119" t="s">
        <v>38</v>
      </c>
      <c r="E119" t="s">
        <v>43</v>
      </c>
      <c r="F119" t="s">
        <v>59</v>
      </c>
      <c r="G119" t="s">
        <v>77</v>
      </c>
      <c r="H119" t="s">
        <v>79</v>
      </c>
      <c r="I119" t="s">
        <v>59</v>
      </c>
      <c r="J119" t="s">
        <v>81</v>
      </c>
      <c r="K119" t="s">
        <v>108</v>
      </c>
      <c r="L119" t="s">
        <v>79</v>
      </c>
      <c r="M119">
        <v>2</v>
      </c>
      <c r="N119">
        <v>2</v>
      </c>
      <c r="O119">
        <v>2</v>
      </c>
      <c r="P119">
        <v>2</v>
      </c>
      <c r="Q119">
        <v>2</v>
      </c>
      <c r="R119" t="s">
        <v>113</v>
      </c>
      <c r="S119">
        <v>4</v>
      </c>
      <c r="T119" t="s">
        <v>118</v>
      </c>
      <c r="U119">
        <v>2</v>
      </c>
      <c r="V119">
        <v>2</v>
      </c>
      <c r="W119" t="s">
        <v>113</v>
      </c>
      <c r="X119">
        <v>54</v>
      </c>
      <c r="Y119" t="s">
        <v>122</v>
      </c>
    </row>
    <row r="120" spans="1:25" x14ac:dyDescent="0.3">
      <c r="A120" t="s">
        <v>26</v>
      </c>
      <c r="B120" t="s">
        <v>30</v>
      </c>
      <c r="C120" t="s">
        <v>35</v>
      </c>
      <c r="D120" t="s">
        <v>38</v>
      </c>
      <c r="E120" t="s">
        <v>42</v>
      </c>
      <c r="F120" t="s">
        <v>51</v>
      </c>
      <c r="G120" t="s">
        <v>76</v>
      </c>
      <c r="H120" t="s">
        <v>80</v>
      </c>
      <c r="J120" t="s">
        <v>82</v>
      </c>
      <c r="K120" t="s">
        <v>87</v>
      </c>
      <c r="L120" t="s">
        <v>80</v>
      </c>
      <c r="M120">
        <v>3</v>
      </c>
      <c r="N120">
        <v>3</v>
      </c>
      <c r="O120">
        <v>3</v>
      </c>
      <c r="P120">
        <v>4</v>
      </c>
      <c r="Q120">
        <v>3</v>
      </c>
      <c r="R120" t="s">
        <v>114</v>
      </c>
      <c r="S120">
        <v>3</v>
      </c>
      <c r="T120" t="s">
        <v>118</v>
      </c>
      <c r="U120">
        <v>4</v>
      </c>
      <c r="V120">
        <v>4</v>
      </c>
      <c r="W120" t="s">
        <v>111</v>
      </c>
      <c r="X120">
        <v>232</v>
      </c>
      <c r="Y120" t="s">
        <v>124</v>
      </c>
    </row>
    <row r="121" spans="1:25" x14ac:dyDescent="0.3">
      <c r="A121" t="s">
        <v>29</v>
      </c>
      <c r="B121" t="s">
        <v>32</v>
      </c>
      <c r="C121" t="s">
        <v>36</v>
      </c>
      <c r="D121" t="s">
        <v>37</v>
      </c>
      <c r="E121" t="s">
        <v>46</v>
      </c>
      <c r="F121" t="s">
        <v>58</v>
      </c>
      <c r="G121" t="s">
        <v>73</v>
      </c>
      <c r="H121" t="s">
        <v>79</v>
      </c>
      <c r="I121" t="s">
        <v>59</v>
      </c>
      <c r="J121" t="s">
        <v>82</v>
      </c>
      <c r="K121" t="s">
        <v>88</v>
      </c>
      <c r="L121" t="s">
        <v>79</v>
      </c>
      <c r="M121">
        <v>3</v>
      </c>
      <c r="N121">
        <v>3</v>
      </c>
      <c r="O121">
        <v>3</v>
      </c>
      <c r="P121">
        <v>2</v>
      </c>
      <c r="Q121">
        <v>2</v>
      </c>
      <c r="R121" t="s">
        <v>113</v>
      </c>
      <c r="S121">
        <v>3</v>
      </c>
      <c r="T121" t="s">
        <v>115</v>
      </c>
      <c r="U121">
        <v>3</v>
      </c>
      <c r="V121">
        <v>3</v>
      </c>
      <c r="W121" t="s">
        <v>112</v>
      </c>
      <c r="X121">
        <v>103</v>
      </c>
      <c r="Y121" t="s">
        <v>123</v>
      </c>
    </row>
    <row r="122" spans="1:25" x14ac:dyDescent="0.3">
      <c r="A122" t="s">
        <v>25</v>
      </c>
      <c r="B122" t="s">
        <v>32</v>
      </c>
      <c r="C122" t="s">
        <v>34</v>
      </c>
      <c r="D122" t="s">
        <v>37</v>
      </c>
      <c r="E122" t="s">
        <v>42</v>
      </c>
      <c r="F122" t="s">
        <v>53</v>
      </c>
      <c r="G122" t="s">
        <v>74</v>
      </c>
      <c r="H122" t="s">
        <v>79</v>
      </c>
      <c r="I122" t="s">
        <v>59</v>
      </c>
      <c r="J122" t="s">
        <v>84</v>
      </c>
      <c r="K122" t="s">
        <v>102</v>
      </c>
      <c r="L122" t="s">
        <v>79</v>
      </c>
      <c r="M122">
        <v>4</v>
      </c>
      <c r="N122">
        <v>4</v>
      </c>
      <c r="O122">
        <v>4</v>
      </c>
      <c r="P122">
        <v>4</v>
      </c>
      <c r="Q122">
        <v>4</v>
      </c>
      <c r="R122" t="s">
        <v>111</v>
      </c>
      <c r="S122">
        <v>3</v>
      </c>
      <c r="T122" t="s">
        <v>117</v>
      </c>
      <c r="U122">
        <v>4</v>
      </c>
      <c r="V122">
        <v>4</v>
      </c>
      <c r="W122" t="s">
        <v>112</v>
      </c>
      <c r="X122">
        <v>158</v>
      </c>
      <c r="Y122" t="s">
        <v>123</v>
      </c>
    </row>
    <row r="123" spans="1:25" x14ac:dyDescent="0.3">
      <c r="A123" t="s">
        <v>25</v>
      </c>
      <c r="B123" t="s">
        <v>32</v>
      </c>
      <c r="C123" t="s">
        <v>34</v>
      </c>
      <c r="D123" t="s">
        <v>37</v>
      </c>
      <c r="E123" t="s">
        <v>33</v>
      </c>
      <c r="F123" t="s">
        <v>59</v>
      </c>
      <c r="G123" t="s">
        <v>76</v>
      </c>
      <c r="H123" t="s">
        <v>79</v>
      </c>
      <c r="I123" t="s">
        <v>59</v>
      </c>
      <c r="J123" t="s">
        <v>82</v>
      </c>
      <c r="K123" t="s">
        <v>88</v>
      </c>
      <c r="L123" t="s">
        <v>79</v>
      </c>
      <c r="M123">
        <v>4</v>
      </c>
      <c r="N123">
        <v>3</v>
      </c>
      <c r="O123">
        <v>4</v>
      </c>
      <c r="P123">
        <v>3</v>
      </c>
      <c r="Q123">
        <v>3</v>
      </c>
      <c r="R123" t="s">
        <v>112</v>
      </c>
      <c r="S123">
        <v>3</v>
      </c>
      <c r="T123" t="s">
        <v>118</v>
      </c>
      <c r="U123">
        <v>4</v>
      </c>
      <c r="V123">
        <v>4</v>
      </c>
      <c r="W123" t="s">
        <v>111</v>
      </c>
      <c r="X123">
        <v>159</v>
      </c>
      <c r="Y123" t="s">
        <v>120</v>
      </c>
    </row>
    <row r="124" spans="1:25" x14ac:dyDescent="0.3">
      <c r="A124" t="s">
        <v>26</v>
      </c>
      <c r="B124" t="s">
        <v>32</v>
      </c>
      <c r="C124" t="s">
        <v>35</v>
      </c>
      <c r="D124" t="s">
        <v>38</v>
      </c>
      <c r="E124" t="s">
        <v>42</v>
      </c>
      <c r="F124" t="s">
        <v>64</v>
      </c>
      <c r="G124" t="s">
        <v>76</v>
      </c>
      <c r="H124" t="s">
        <v>80</v>
      </c>
      <c r="J124" t="s">
        <v>82</v>
      </c>
      <c r="K124" t="s">
        <v>87</v>
      </c>
      <c r="L124" t="s">
        <v>79</v>
      </c>
      <c r="M124">
        <v>4</v>
      </c>
      <c r="N124">
        <v>4</v>
      </c>
      <c r="O124">
        <v>4</v>
      </c>
      <c r="P124">
        <v>3</v>
      </c>
      <c r="Q124">
        <v>3</v>
      </c>
      <c r="R124" t="s">
        <v>112</v>
      </c>
      <c r="S124">
        <v>3</v>
      </c>
      <c r="T124" t="s">
        <v>117</v>
      </c>
      <c r="U124">
        <v>5</v>
      </c>
      <c r="V124">
        <v>5</v>
      </c>
      <c r="W124" t="s">
        <v>113</v>
      </c>
      <c r="X124">
        <v>68</v>
      </c>
      <c r="Y124" t="s">
        <v>123</v>
      </c>
    </row>
    <row r="125" spans="1:25" x14ac:dyDescent="0.3">
      <c r="A125" t="s">
        <v>25</v>
      </c>
      <c r="B125" t="s">
        <v>30</v>
      </c>
      <c r="C125" t="s">
        <v>35</v>
      </c>
      <c r="D125" t="s">
        <v>38</v>
      </c>
      <c r="E125" t="s">
        <v>45</v>
      </c>
      <c r="F125" t="s">
        <v>53</v>
      </c>
      <c r="G125" t="s">
        <v>76</v>
      </c>
      <c r="H125" t="s">
        <v>80</v>
      </c>
      <c r="J125" t="s">
        <v>82</v>
      </c>
      <c r="K125" t="s">
        <v>87</v>
      </c>
      <c r="L125" t="s">
        <v>79</v>
      </c>
      <c r="M125">
        <v>3</v>
      </c>
      <c r="N125">
        <v>3</v>
      </c>
      <c r="O125">
        <v>3</v>
      </c>
      <c r="P125">
        <v>3</v>
      </c>
      <c r="Q125">
        <v>3</v>
      </c>
      <c r="R125" t="s">
        <v>110</v>
      </c>
      <c r="S125">
        <v>3</v>
      </c>
      <c r="T125" t="s">
        <v>119</v>
      </c>
      <c r="U125">
        <v>3</v>
      </c>
      <c r="V125">
        <v>3</v>
      </c>
      <c r="W125" t="s">
        <v>113</v>
      </c>
      <c r="X125">
        <v>38</v>
      </c>
      <c r="Y125" t="s">
        <v>121</v>
      </c>
    </row>
    <row r="126" spans="1:25" x14ac:dyDescent="0.3">
      <c r="A126" t="s">
        <v>26</v>
      </c>
      <c r="B126" t="s">
        <v>32</v>
      </c>
      <c r="C126" t="s">
        <v>35</v>
      </c>
      <c r="D126" t="s">
        <v>38</v>
      </c>
      <c r="E126" t="s">
        <v>44</v>
      </c>
      <c r="F126" t="s">
        <v>68</v>
      </c>
      <c r="G126" t="s">
        <v>73</v>
      </c>
      <c r="H126" t="s">
        <v>79</v>
      </c>
      <c r="I126" t="s">
        <v>59</v>
      </c>
      <c r="J126" t="s">
        <v>82</v>
      </c>
      <c r="K126" t="s">
        <v>105</v>
      </c>
      <c r="L126" t="s">
        <v>79</v>
      </c>
      <c r="M126">
        <v>4</v>
      </c>
      <c r="N126">
        <v>3</v>
      </c>
      <c r="O126">
        <v>4</v>
      </c>
      <c r="P126">
        <v>4</v>
      </c>
      <c r="Q126">
        <v>4</v>
      </c>
      <c r="R126" t="s">
        <v>110</v>
      </c>
      <c r="S126">
        <v>3</v>
      </c>
      <c r="T126" t="s">
        <v>117</v>
      </c>
      <c r="U126">
        <v>3</v>
      </c>
      <c r="V126">
        <v>4</v>
      </c>
      <c r="W126" t="s">
        <v>110</v>
      </c>
      <c r="X126">
        <v>26</v>
      </c>
      <c r="Y126" t="s">
        <v>122</v>
      </c>
    </row>
    <row r="127" spans="1:25" x14ac:dyDescent="0.3">
      <c r="A127" t="s">
        <v>28</v>
      </c>
      <c r="B127" t="s">
        <v>32</v>
      </c>
      <c r="C127" t="s">
        <v>35</v>
      </c>
      <c r="D127" t="s">
        <v>38</v>
      </c>
      <c r="E127" t="s">
        <v>42</v>
      </c>
      <c r="F127" t="s">
        <v>59</v>
      </c>
      <c r="G127" t="s">
        <v>74</v>
      </c>
      <c r="H127" t="s">
        <v>80</v>
      </c>
      <c r="J127" t="s">
        <v>82</v>
      </c>
      <c r="K127" t="s">
        <v>87</v>
      </c>
      <c r="L127" t="s">
        <v>79</v>
      </c>
      <c r="M127">
        <v>4</v>
      </c>
      <c r="N127">
        <v>4</v>
      </c>
      <c r="O127">
        <v>4</v>
      </c>
      <c r="P127">
        <v>3</v>
      </c>
      <c r="Q127">
        <v>4</v>
      </c>
      <c r="R127" t="s">
        <v>112</v>
      </c>
      <c r="S127">
        <v>3</v>
      </c>
      <c r="T127" t="s">
        <v>116</v>
      </c>
      <c r="U127">
        <v>4</v>
      </c>
      <c r="V127">
        <v>4</v>
      </c>
      <c r="W127" t="s">
        <v>113</v>
      </c>
      <c r="X127">
        <v>15</v>
      </c>
      <c r="Y127" t="s">
        <v>121</v>
      </c>
    </row>
    <row r="128" spans="1:25" x14ac:dyDescent="0.3">
      <c r="A128" t="s">
        <v>26</v>
      </c>
      <c r="B128" t="s">
        <v>32</v>
      </c>
      <c r="C128" t="s">
        <v>35</v>
      </c>
      <c r="D128" t="s">
        <v>38</v>
      </c>
      <c r="E128" t="s">
        <v>33</v>
      </c>
      <c r="F128" t="s">
        <v>49</v>
      </c>
      <c r="G128" t="s">
        <v>73</v>
      </c>
      <c r="H128" t="s">
        <v>79</v>
      </c>
      <c r="I128" t="s">
        <v>66</v>
      </c>
      <c r="J128" t="s">
        <v>85</v>
      </c>
      <c r="K128" t="s">
        <v>97</v>
      </c>
      <c r="L128" t="s">
        <v>79</v>
      </c>
      <c r="M128">
        <v>2</v>
      </c>
      <c r="N128">
        <v>1</v>
      </c>
      <c r="O128">
        <v>2</v>
      </c>
      <c r="P128">
        <v>2</v>
      </c>
      <c r="Q128">
        <v>2</v>
      </c>
      <c r="R128" t="s">
        <v>114</v>
      </c>
      <c r="S128">
        <v>4</v>
      </c>
      <c r="T128" t="s">
        <v>118</v>
      </c>
      <c r="U128">
        <v>3</v>
      </c>
      <c r="V128">
        <v>2</v>
      </c>
      <c r="W128" t="s">
        <v>112</v>
      </c>
      <c r="X128">
        <v>187</v>
      </c>
      <c r="Y128" t="s">
        <v>122</v>
      </c>
    </row>
    <row r="129" spans="1:25" x14ac:dyDescent="0.3">
      <c r="A129" t="s">
        <v>26</v>
      </c>
      <c r="B129" t="s">
        <v>32</v>
      </c>
      <c r="C129" t="s">
        <v>35</v>
      </c>
      <c r="D129" t="s">
        <v>37</v>
      </c>
      <c r="E129" t="s">
        <v>44</v>
      </c>
      <c r="F129" t="s">
        <v>66</v>
      </c>
      <c r="G129" t="s">
        <v>72</v>
      </c>
      <c r="H129" t="s">
        <v>80</v>
      </c>
      <c r="J129" t="s">
        <v>82</v>
      </c>
      <c r="K129" t="s">
        <v>87</v>
      </c>
      <c r="L129" t="s">
        <v>80</v>
      </c>
      <c r="M129">
        <v>3</v>
      </c>
      <c r="N129">
        <v>3</v>
      </c>
      <c r="O129">
        <v>4</v>
      </c>
      <c r="P129">
        <v>3</v>
      </c>
      <c r="Q129">
        <v>3</v>
      </c>
      <c r="R129" t="s">
        <v>112</v>
      </c>
      <c r="S129">
        <v>3</v>
      </c>
      <c r="T129" t="s">
        <v>116</v>
      </c>
      <c r="U129">
        <v>4</v>
      </c>
      <c r="V129">
        <v>3</v>
      </c>
      <c r="W129" t="s">
        <v>112</v>
      </c>
      <c r="X129">
        <v>171</v>
      </c>
      <c r="Y129" t="s">
        <v>122</v>
      </c>
    </row>
    <row r="130" spans="1:25" x14ac:dyDescent="0.3">
      <c r="A130" t="s">
        <v>27</v>
      </c>
      <c r="B130" t="s">
        <v>30</v>
      </c>
      <c r="C130" t="s">
        <v>34</v>
      </c>
      <c r="D130" t="s">
        <v>41</v>
      </c>
      <c r="E130" t="s">
        <v>44</v>
      </c>
      <c r="F130" t="s">
        <v>61</v>
      </c>
      <c r="G130" t="s">
        <v>74</v>
      </c>
      <c r="H130" t="s">
        <v>79</v>
      </c>
      <c r="I130" t="s">
        <v>51</v>
      </c>
      <c r="J130" t="s">
        <v>82</v>
      </c>
      <c r="K130" t="s">
        <v>105</v>
      </c>
      <c r="L130" t="s">
        <v>79</v>
      </c>
      <c r="M130">
        <v>3</v>
      </c>
      <c r="N130">
        <v>3</v>
      </c>
      <c r="O130">
        <v>2</v>
      </c>
      <c r="P130">
        <v>2</v>
      </c>
      <c r="Q130">
        <v>2</v>
      </c>
      <c r="R130" t="s">
        <v>112</v>
      </c>
      <c r="S130">
        <v>3</v>
      </c>
      <c r="T130" t="s">
        <v>118</v>
      </c>
      <c r="U130">
        <v>3</v>
      </c>
      <c r="V130">
        <v>3</v>
      </c>
      <c r="W130" t="s">
        <v>113</v>
      </c>
      <c r="X130">
        <v>42</v>
      </c>
      <c r="Y130" t="s">
        <v>122</v>
      </c>
    </row>
    <row r="131" spans="1:25" x14ac:dyDescent="0.3">
      <c r="A131" t="s">
        <v>26</v>
      </c>
      <c r="B131" t="s">
        <v>30</v>
      </c>
      <c r="C131" t="s">
        <v>36</v>
      </c>
      <c r="D131" t="s">
        <v>38</v>
      </c>
      <c r="E131" t="s">
        <v>44</v>
      </c>
      <c r="F131" t="s">
        <v>52</v>
      </c>
      <c r="G131" t="s">
        <v>72</v>
      </c>
      <c r="H131" t="s">
        <v>80</v>
      </c>
      <c r="J131" t="s">
        <v>82</v>
      </c>
      <c r="K131" t="s">
        <v>87</v>
      </c>
      <c r="L131" t="s">
        <v>79</v>
      </c>
      <c r="M131">
        <v>5</v>
      </c>
      <c r="N131">
        <v>4</v>
      </c>
      <c r="O131">
        <v>5</v>
      </c>
      <c r="P131">
        <v>4</v>
      </c>
      <c r="Q131">
        <v>4</v>
      </c>
      <c r="R131" t="s">
        <v>111</v>
      </c>
      <c r="S131">
        <v>2</v>
      </c>
      <c r="T131" t="s">
        <v>118</v>
      </c>
      <c r="U131">
        <v>5</v>
      </c>
      <c r="V131">
        <v>5</v>
      </c>
      <c r="W131" t="s">
        <v>114</v>
      </c>
      <c r="X131">
        <v>86</v>
      </c>
      <c r="Y131" t="s">
        <v>123</v>
      </c>
    </row>
    <row r="132" spans="1:25" x14ac:dyDescent="0.3">
      <c r="A132" t="s">
        <v>26</v>
      </c>
      <c r="B132" t="s">
        <v>30</v>
      </c>
      <c r="C132" t="s">
        <v>35</v>
      </c>
      <c r="D132" t="s">
        <v>38</v>
      </c>
      <c r="E132" t="s">
        <v>43</v>
      </c>
      <c r="F132" t="s">
        <v>68</v>
      </c>
      <c r="G132" t="s">
        <v>72</v>
      </c>
      <c r="H132" t="s">
        <v>79</v>
      </c>
      <c r="I132" t="s">
        <v>66</v>
      </c>
      <c r="J132" t="s">
        <v>82</v>
      </c>
      <c r="K132" t="s">
        <v>95</v>
      </c>
      <c r="L132" t="s">
        <v>80</v>
      </c>
      <c r="M132">
        <v>3</v>
      </c>
      <c r="N132">
        <v>3</v>
      </c>
      <c r="O132">
        <v>3</v>
      </c>
      <c r="P132">
        <v>3</v>
      </c>
      <c r="Q132">
        <v>2</v>
      </c>
      <c r="R132" t="s">
        <v>113</v>
      </c>
      <c r="S132">
        <v>3</v>
      </c>
      <c r="T132" t="s">
        <v>116</v>
      </c>
      <c r="U132">
        <v>3</v>
      </c>
      <c r="V132">
        <v>3</v>
      </c>
      <c r="W132" t="s">
        <v>113</v>
      </c>
      <c r="X132">
        <v>24</v>
      </c>
      <c r="Y132" t="s">
        <v>121</v>
      </c>
    </row>
    <row r="133" spans="1:25" x14ac:dyDescent="0.3">
      <c r="A133" t="s">
        <v>26</v>
      </c>
      <c r="B133" t="s">
        <v>32</v>
      </c>
      <c r="C133" t="s">
        <v>35</v>
      </c>
      <c r="D133" t="s">
        <v>37</v>
      </c>
      <c r="E133" t="s">
        <v>42</v>
      </c>
      <c r="F133" t="s">
        <v>70</v>
      </c>
      <c r="G133" t="s">
        <v>73</v>
      </c>
      <c r="H133" t="s">
        <v>79</v>
      </c>
      <c r="I133" t="s">
        <v>59</v>
      </c>
      <c r="J133" t="s">
        <v>81</v>
      </c>
      <c r="K133" t="s">
        <v>91</v>
      </c>
      <c r="L133" t="s">
        <v>79</v>
      </c>
      <c r="M133">
        <v>3</v>
      </c>
      <c r="N133">
        <v>3</v>
      </c>
      <c r="O133">
        <v>3</v>
      </c>
      <c r="P133">
        <v>3</v>
      </c>
      <c r="Q133">
        <v>3</v>
      </c>
      <c r="R133" t="s">
        <v>114</v>
      </c>
      <c r="S133">
        <v>3</v>
      </c>
      <c r="T133" t="s">
        <v>115</v>
      </c>
      <c r="U133">
        <v>3</v>
      </c>
      <c r="V133">
        <v>3</v>
      </c>
      <c r="W133" t="s">
        <v>113</v>
      </c>
      <c r="X133">
        <v>90</v>
      </c>
      <c r="Y133" t="s">
        <v>122</v>
      </c>
    </row>
    <row r="134" spans="1:25" x14ac:dyDescent="0.3">
      <c r="A134" t="s">
        <v>26</v>
      </c>
      <c r="B134" t="s">
        <v>32</v>
      </c>
      <c r="C134" t="s">
        <v>35</v>
      </c>
      <c r="D134" t="s">
        <v>39</v>
      </c>
      <c r="E134" t="s">
        <v>44</v>
      </c>
      <c r="F134" t="s">
        <v>52</v>
      </c>
      <c r="G134" t="s">
        <v>78</v>
      </c>
      <c r="H134" t="s">
        <v>79</v>
      </c>
      <c r="I134" t="s">
        <v>66</v>
      </c>
      <c r="J134" t="s">
        <v>85</v>
      </c>
      <c r="K134" t="s">
        <v>108</v>
      </c>
      <c r="L134" t="s">
        <v>80</v>
      </c>
      <c r="M134">
        <v>3</v>
      </c>
      <c r="N134">
        <v>4</v>
      </c>
      <c r="O134">
        <v>4</v>
      </c>
      <c r="P134">
        <v>3</v>
      </c>
      <c r="Q134">
        <v>3</v>
      </c>
      <c r="R134" t="s">
        <v>110</v>
      </c>
      <c r="S134">
        <v>3</v>
      </c>
      <c r="T134" t="s">
        <v>119</v>
      </c>
      <c r="U134">
        <v>4</v>
      </c>
      <c r="V134">
        <v>3</v>
      </c>
      <c r="W134" t="s">
        <v>113</v>
      </c>
      <c r="X134">
        <v>17</v>
      </c>
      <c r="Y134" t="s">
        <v>122</v>
      </c>
    </row>
    <row r="135" spans="1:25" x14ac:dyDescent="0.3">
      <c r="A135" t="s">
        <v>26</v>
      </c>
      <c r="B135" t="s">
        <v>32</v>
      </c>
      <c r="C135" t="s">
        <v>35</v>
      </c>
      <c r="D135" t="s">
        <v>39</v>
      </c>
      <c r="E135" t="s">
        <v>42</v>
      </c>
      <c r="F135" t="s">
        <v>65</v>
      </c>
      <c r="G135" t="s">
        <v>73</v>
      </c>
      <c r="H135" t="s">
        <v>80</v>
      </c>
      <c r="J135" t="s">
        <v>82</v>
      </c>
      <c r="K135" t="s">
        <v>87</v>
      </c>
      <c r="L135" t="s">
        <v>80</v>
      </c>
      <c r="M135">
        <v>3</v>
      </c>
      <c r="N135">
        <v>3</v>
      </c>
      <c r="O135">
        <v>4</v>
      </c>
      <c r="P135">
        <v>4</v>
      </c>
      <c r="Q135">
        <v>3</v>
      </c>
      <c r="R135" t="s">
        <v>112</v>
      </c>
      <c r="S135">
        <v>4</v>
      </c>
      <c r="T135" t="s">
        <v>116</v>
      </c>
      <c r="U135">
        <v>3</v>
      </c>
      <c r="V135">
        <v>3</v>
      </c>
      <c r="W135" t="s">
        <v>114</v>
      </c>
      <c r="X135">
        <v>102</v>
      </c>
      <c r="Y135" t="s">
        <v>122</v>
      </c>
    </row>
    <row r="136" spans="1:25" x14ac:dyDescent="0.3">
      <c r="A136" t="s">
        <v>26</v>
      </c>
      <c r="B136" t="s">
        <v>30</v>
      </c>
      <c r="C136" t="s">
        <v>35</v>
      </c>
      <c r="D136" t="s">
        <v>40</v>
      </c>
      <c r="E136" t="s">
        <v>42</v>
      </c>
      <c r="F136" t="s">
        <v>56</v>
      </c>
      <c r="G136" t="s">
        <v>73</v>
      </c>
      <c r="H136" t="s">
        <v>79</v>
      </c>
      <c r="I136" t="s">
        <v>66</v>
      </c>
      <c r="J136" t="s">
        <v>82</v>
      </c>
      <c r="K136" t="s">
        <v>93</v>
      </c>
      <c r="L136" t="s">
        <v>80</v>
      </c>
      <c r="M136">
        <v>2</v>
      </c>
      <c r="N136">
        <v>3</v>
      </c>
      <c r="O136">
        <v>4</v>
      </c>
      <c r="P136">
        <v>3</v>
      </c>
      <c r="Q136">
        <v>3</v>
      </c>
      <c r="R136" t="s">
        <v>112</v>
      </c>
      <c r="S136">
        <v>3</v>
      </c>
      <c r="T136" t="s">
        <v>118</v>
      </c>
      <c r="U136">
        <v>4</v>
      </c>
      <c r="V136">
        <v>4</v>
      </c>
      <c r="W136" t="s">
        <v>113</v>
      </c>
      <c r="X136">
        <v>55</v>
      </c>
      <c r="Y136" t="s">
        <v>121</v>
      </c>
    </row>
    <row r="137" spans="1:25" x14ac:dyDescent="0.3">
      <c r="A137" t="s">
        <v>26</v>
      </c>
      <c r="B137" t="s">
        <v>30</v>
      </c>
      <c r="C137" t="s">
        <v>35</v>
      </c>
      <c r="D137" t="s">
        <v>38</v>
      </c>
      <c r="E137" t="s">
        <v>43</v>
      </c>
      <c r="F137" t="s">
        <v>52</v>
      </c>
      <c r="G137" t="s">
        <v>76</v>
      </c>
      <c r="H137" t="s">
        <v>80</v>
      </c>
      <c r="J137" t="s">
        <v>82</v>
      </c>
      <c r="K137" t="s">
        <v>87</v>
      </c>
      <c r="L137" t="s">
        <v>80</v>
      </c>
      <c r="M137">
        <v>3</v>
      </c>
      <c r="N137">
        <v>3</v>
      </c>
      <c r="O137">
        <v>3</v>
      </c>
      <c r="P137">
        <v>3</v>
      </c>
      <c r="Q137">
        <v>4</v>
      </c>
      <c r="R137" t="s">
        <v>114</v>
      </c>
      <c r="S137">
        <v>3</v>
      </c>
      <c r="T137" t="s">
        <v>118</v>
      </c>
      <c r="U137">
        <v>4</v>
      </c>
      <c r="V137">
        <v>4</v>
      </c>
      <c r="W137" t="s">
        <v>112</v>
      </c>
      <c r="X137">
        <v>123</v>
      </c>
      <c r="Y137" t="s">
        <v>123</v>
      </c>
    </row>
    <row r="138" spans="1:25" x14ac:dyDescent="0.3">
      <c r="A138" t="s">
        <v>29</v>
      </c>
      <c r="B138" t="s">
        <v>32</v>
      </c>
      <c r="C138" t="s">
        <v>34</v>
      </c>
      <c r="D138" t="s">
        <v>38</v>
      </c>
      <c r="E138" t="s">
        <v>43</v>
      </c>
      <c r="F138" t="s">
        <v>51</v>
      </c>
      <c r="G138" t="s">
        <v>73</v>
      </c>
      <c r="H138" t="s">
        <v>80</v>
      </c>
      <c r="J138" t="s">
        <v>82</v>
      </c>
      <c r="K138" t="s">
        <v>87</v>
      </c>
      <c r="L138" t="s">
        <v>79</v>
      </c>
      <c r="M138">
        <v>3</v>
      </c>
      <c r="N138">
        <v>3</v>
      </c>
      <c r="O138">
        <v>4</v>
      </c>
      <c r="P138">
        <v>3</v>
      </c>
      <c r="Q138">
        <v>3</v>
      </c>
      <c r="R138" t="s">
        <v>111</v>
      </c>
      <c r="S138">
        <v>3</v>
      </c>
      <c r="T138" t="s">
        <v>117</v>
      </c>
      <c r="U138">
        <v>4</v>
      </c>
      <c r="V138">
        <v>4</v>
      </c>
      <c r="W138" t="s">
        <v>111</v>
      </c>
      <c r="X138">
        <v>167</v>
      </c>
      <c r="Y138" t="s">
        <v>123</v>
      </c>
    </row>
    <row r="139" spans="1:25" x14ac:dyDescent="0.3">
      <c r="A139" t="s">
        <v>25</v>
      </c>
      <c r="B139" t="s">
        <v>30</v>
      </c>
      <c r="C139" t="s">
        <v>35</v>
      </c>
      <c r="D139" t="s">
        <v>39</v>
      </c>
      <c r="E139" t="s">
        <v>44</v>
      </c>
      <c r="F139" t="s">
        <v>70</v>
      </c>
      <c r="G139" t="s">
        <v>73</v>
      </c>
      <c r="H139" t="s">
        <v>79</v>
      </c>
      <c r="I139" t="s">
        <v>51</v>
      </c>
      <c r="J139" t="s">
        <v>81</v>
      </c>
      <c r="K139" t="s">
        <v>99</v>
      </c>
      <c r="L139" t="s">
        <v>79</v>
      </c>
      <c r="M139">
        <v>2</v>
      </c>
      <c r="N139">
        <v>2</v>
      </c>
      <c r="O139">
        <v>2</v>
      </c>
      <c r="P139">
        <v>2</v>
      </c>
      <c r="Q139">
        <v>2</v>
      </c>
      <c r="R139" t="s">
        <v>111</v>
      </c>
      <c r="S139">
        <v>4</v>
      </c>
      <c r="T139" t="s">
        <v>119</v>
      </c>
      <c r="U139">
        <v>2</v>
      </c>
      <c r="V139">
        <v>3</v>
      </c>
      <c r="W139" t="s">
        <v>113</v>
      </c>
      <c r="X139">
        <v>17</v>
      </c>
      <c r="Y139" t="s">
        <v>122</v>
      </c>
    </row>
    <row r="140" spans="1:25" x14ac:dyDescent="0.3">
      <c r="A140" t="s">
        <v>26</v>
      </c>
      <c r="B140" t="s">
        <v>32</v>
      </c>
      <c r="C140" t="s">
        <v>35</v>
      </c>
      <c r="D140" t="s">
        <v>38</v>
      </c>
      <c r="E140" t="s">
        <v>43</v>
      </c>
      <c r="F140" t="s">
        <v>71</v>
      </c>
      <c r="G140" t="s">
        <v>72</v>
      </c>
      <c r="H140" t="s">
        <v>80</v>
      </c>
      <c r="J140" t="s">
        <v>82</v>
      </c>
      <c r="K140" t="s">
        <v>87</v>
      </c>
      <c r="L140" t="s">
        <v>79</v>
      </c>
      <c r="M140">
        <v>3</v>
      </c>
      <c r="N140">
        <v>3</v>
      </c>
      <c r="O140">
        <v>3</v>
      </c>
      <c r="P140">
        <v>3</v>
      </c>
      <c r="Q140">
        <v>3</v>
      </c>
      <c r="R140" t="s">
        <v>111</v>
      </c>
      <c r="S140">
        <v>3</v>
      </c>
      <c r="T140" t="s">
        <v>116</v>
      </c>
      <c r="U140">
        <v>4</v>
      </c>
      <c r="V140">
        <v>4</v>
      </c>
      <c r="W140" t="s">
        <v>114</v>
      </c>
      <c r="X140">
        <v>63</v>
      </c>
      <c r="Y140" t="s">
        <v>122</v>
      </c>
    </row>
    <row r="141" spans="1:25" x14ac:dyDescent="0.3">
      <c r="A141" t="s">
        <v>26</v>
      </c>
      <c r="B141" t="s">
        <v>32</v>
      </c>
      <c r="C141" t="s">
        <v>34</v>
      </c>
      <c r="D141" t="s">
        <v>38</v>
      </c>
      <c r="E141" t="s">
        <v>44</v>
      </c>
      <c r="F141" t="s">
        <v>71</v>
      </c>
      <c r="G141" t="s">
        <v>72</v>
      </c>
      <c r="H141" t="s">
        <v>79</v>
      </c>
      <c r="I141" t="s">
        <v>59</v>
      </c>
      <c r="J141" t="s">
        <v>82</v>
      </c>
      <c r="K141" t="s">
        <v>107</v>
      </c>
      <c r="L141" t="s">
        <v>79</v>
      </c>
      <c r="M141">
        <v>4</v>
      </c>
      <c r="N141">
        <v>4</v>
      </c>
      <c r="O141">
        <v>4</v>
      </c>
      <c r="P141">
        <v>4</v>
      </c>
      <c r="Q141">
        <v>4</v>
      </c>
      <c r="R141" t="s">
        <v>114</v>
      </c>
      <c r="S141">
        <v>2</v>
      </c>
      <c r="T141" t="s">
        <v>116</v>
      </c>
      <c r="U141">
        <v>4</v>
      </c>
      <c r="V141">
        <v>4</v>
      </c>
      <c r="W141" t="s">
        <v>111</v>
      </c>
      <c r="X141">
        <v>154</v>
      </c>
      <c r="Y141" t="s">
        <v>122</v>
      </c>
    </row>
    <row r="142" spans="1:25" x14ac:dyDescent="0.3">
      <c r="A142" t="s">
        <v>25</v>
      </c>
      <c r="B142" t="s">
        <v>32</v>
      </c>
      <c r="C142" t="s">
        <v>35</v>
      </c>
      <c r="D142" t="s">
        <v>38</v>
      </c>
      <c r="E142" t="s">
        <v>43</v>
      </c>
      <c r="F142" t="s">
        <v>55</v>
      </c>
      <c r="G142" t="s">
        <v>78</v>
      </c>
      <c r="H142" t="s">
        <v>80</v>
      </c>
      <c r="J142" t="s">
        <v>82</v>
      </c>
      <c r="K142" t="s">
        <v>87</v>
      </c>
      <c r="L142" t="s">
        <v>80</v>
      </c>
      <c r="M142">
        <v>3</v>
      </c>
      <c r="N142">
        <v>3</v>
      </c>
      <c r="O142">
        <v>3</v>
      </c>
      <c r="P142">
        <v>3</v>
      </c>
      <c r="Q142">
        <v>3</v>
      </c>
      <c r="R142" t="s">
        <v>114</v>
      </c>
      <c r="S142">
        <v>4</v>
      </c>
      <c r="T142" t="s">
        <v>119</v>
      </c>
      <c r="U142">
        <v>3</v>
      </c>
      <c r="V142">
        <v>4</v>
      </c>
      <c r="W142" t="s">
        <v>113</v>
      </c>
      <c r="X142">
        <v>15</v>
      </c>
      <c r="Y142" t="s">
        <v>122</v>
      </c>
    </row>
    <row r="143" spans="1:25" x14ac:dyDescent="0.3">
      <c r="A143" t="s">
        <v>25</v>
      </c>
      <c r="B143" t="s">
        <v>32</v>
      </c>
      <c r="C143" t="s">
        <v>34</v>
      </c>
      <c r="D143" t="s">
        <v>41</v>
      </c>
      <c r="E143" t="s">
        <v>44</v>
      </c>
      <c r="F143" t="s">
        <v>57</v>
      </c>
      <c r="G143" t="s">
        <v>78</v>
      </c>
      <c r="H143" t="s">
        <v>80</v>
      </c>
      <c r="J143" t="s">
        <v>82</v>
      </c>
      <c r="K143" t="s">
        <v>87</v>
      </c>
      <c r="L143" t="s">
        <v>79</v>
      </c>
      <c r="M143">
        <v>4</v>
      </c>
      <c r="N143">
        <v>4</v>
      </c>
      <c r="O143">
        <v>4</v>
      </c>
      <c r="P143">
        <v>4</v>
      </c>
      <c r="Q143">
        <v>4</v>
      </c>
      <c r="R143" t="s">
        <v>111</v>
      </c>
      <c r="S143">
        <v>2</v>
      </c>
      <c r="T143" t="s">
        <v>118</v>
      </c>
      <c r="U143">
        <v>5</v>
      </c>
      <c r="V143">
        <v>4</v>
      </c>
      <c r="W143" t="s">
        <v>112</v>
      </c>
      <c r="X143">
        <v>142</v>
      </c>
      <c r="Y143" t="s">
        <v>122</v>
      </c>
    </row>
    <row r="144" spans="1:25" x14ac:dyDescent="0.3">
      <c r="A144" t="s">
        <v>25</v>
      </c>
      <c r="B144" t="s">
        <v>30</v>
      </c>
      <c r="C144" t="s">
        <v>35</v>
      </c>
      <c r="D144" t="s">
        <v>38</v>
      </c>
      <c r="E144" t="s">
        <v>43</v>
      </c>
      <c r="F144" t="s">
        <v>59</v>
      </c>
      <c r="G144" t="s">
        <v>77</v>
      </c>
      <c r="H144" t="s">
        <v>79</v>
      </c>
      <c r="I144" t="s">
        <v>59</v>
      </c>
      <c r="J144" t="s">
        <v>82</v>
      </c>
      <c r="K144" t="s">
        <v>103</v>
      </c>
      <c r="L144" t="s">
        <v>79</v>
      </c>
      <c r="M144">
        <v>3</v>
      </c>
      <c r="N144">
        <v>3</v>
      </c>
      <c r="O144">
        <v>3</v>
      </c>
      <c r="P144">
        <v>3</v>
      </c>
      <c r="Q144">
        <v>3</v>
      </c>
      <c r="R144" t="s">
        <v>113</v>
      </c>
      <c r="S144">
        <v>3</v>
      </c>
      <c r="T144" t="s">
        <v>118</v>
      </c>
      <c r="U144">
        <v>3</v>
      </c>
      <c r="V144">
        <v>4</v>
      </c>
      <c r="W144" t="s">
        <v>114</v>
      </c>
      <c r="X144">
        <v>146</v>
      </c>
      <c r="Y144" t="s">
        <v>124</v>
      </c>
    </row>
    <row r="145" spans="1:25" x14ac:dyDescent="0.3">
      <c r="A145" t="s">
        <v>25</v>
      </c>
      <c r="B145" t="s">
        <v>31</v>
      </c>
      <c r="C145" t="s">
        <v>35</v>
      </c>
      <c r="D145" t="s">
        <v>39</v>
      </c>
      <c r="E145" t="s">
        <v>33</v>
      </c>
      <c r="F145" t="s">
        <v>62</v>
      </c>
      <c r="G145" t="s">
        <v>77</v>
      </c>
      <c r="H145" t="s">
        <v>79</v>
      </c>
      <c r="I145" t="s">
        <v>51</v>
      </c>
      <c r="J145" t="s">
        <v>82</v>
      </c>
      <c r="K145" t="s">
        <v>92</v>
      </c>
      <c r="L145" t="s">
        <v>80</v>
      </c>
      <c r="M145">
        <v>2</v>
      </c>
      <c r="N145">
        <v>3</v>
      </c>
      <c r="O145">
        <v>3</v>
      </c>
      <c r="P145">
        <v>3</v>
      </c>
      <c r="Q145">
        <v>3</v>
      </c>
      <c r="R145" t="s">
        <v>111</v>
      </c>
      <c r="S145">
        <v>3</v>
      </c>
      <c r="T145" t="s">
        <v>116</v>
      </c>
      <c r="U145">
        <v>3</v>
      </c>
      <c r="V145">
        <v>3</v>
      </c>
      <c r="W145" t="s">
        <v>111</v>
      </c>
      <c r="X145">
        <v>166</v>
      </c>
      <c r="Y145" t="s">
        <v>122</v>
      </c>
    </row>
    <row r="146" spans="1:25" x14ac:dyDescent="0.3">
      <c r="A146" t="s">
        <v>25</v>
      </c>
      <c r="B146" t="s">
        <v>32</v>
      </c>
      <c r="C146" t="s">
        <v>34</v>
      </c>
      <c r="D146" t="s">
        <v>37</v>
      </c>
      <c r="E146" t="s">
        <v>44</v>
      </c>
      <c r="F146" t="s">
        <v>63</v>
      </c>
      <c r="G146" t="s">
        <v>73</v>
      </c>
      <c r="H146" t="s">
        <v>79</v>
      </c>
      <c r="I146" t="s">
        <v>59</v>
      </c>
      <c r="J146" t="s">
        <v>82</v>
      </c>
      <c r="K146" t="s">
        <v>93</v>
      </c>
      <c r="L146" t="s">
        <v>79</v>
      </c>
      <c r="M146">
        <v>5</v>
      </c>
      <c r="N146">
        <v>5</v>
      </c>
      <c r="O146">
        <v>5</v>
      </c>
      <c r="P146">
        <v>4</v>
      </c>
      <c r="Q146">
        <v>5</v>
      </c>
      <c r="R146" t="s">
        <v>111</v>
      </c>
      <c r="S146">
        <v>2</v>
      </c>
      <c r="T146" t="s">
        <v>116</v>
      </c>
      <c r="U146">
        <v>5</v>
      </c>
      <c r="V146">
        <v>4</v>
      </c>
      <c r="W146" t="s">
        <v>114</v>
      </c>
      <c r="X146">
        <v>196</v>
      </c>
      <c r="Y146" t="s">
        <v>122</v>
      </c>
    </row>
    <row r="147" spans="1:25" x14ac:dyDescent="0.3">
      <c r="A147" t="s">
        <v>26</v>
      </c>
      <c r="B147" t="s">
        <v>30</v>
      </c>
      <c r="C147" t="s">
        <v>35</v>
      </c>
      <c r="D147" t="s">
        <v>37</v>
      </c>
      <c r="E147" t="s">
        <v>42</v>
      </c>
      <c r="F147" t="s">
        <v>50</v>
      </c>
      <c r="G147" t="s">
        <v>72</v>
      </c>
      <c r="H147" t="s">
        <v>80</v>
      </c>
      <c r="J147" t="s">
        <v>82</v>
      </c>
      <c r="K147" t="s">
        <v>87</v>
      </c>
      <c r="L147" t="s">
        <v>80</v>
      </c>
      <c r="M147">
        <v>3</v>
      </c>
      <c r="N147">
        <v>3</v>
      </c>
      <c r="O147">
        <v>3</v>
      </c>
      <c r="P147">
        <v>3</v>
      </c>
      <c r="Q147">
        <v>3</v>
      </c>
      <c r="R147" t="s">
        <v>112</v>
      </c>
      <c r="S147">
        <v>3</v>
      </c>
      <c r="T147" t="s">
        <v>117</v>
      </c>
      <c r="U147">
        <v>4</v>
      </c>
      <c r="V147">
        <v>4</v>
      </c>
      <c r="W147" t="s">
        <v>113</v>
      </c>
      <c r="X147">
        <v>72</v>
      </c>
      <c r="Y147" t="s">
        <v>120</v>
      </c>
    </row>
    <row r="148" spans="1:25" x14ac:dyDescent="0.3">
      <c r="A148" t="s">
        <v>26</v>
      </c>
      <c r="B148" t="s">
        <v>30</v>
      </c>
      <c r="C148" t="s">
        <v>35</v>
      </c>
      <c r="D148" t="s">
        <v>37</v>
      </c>
      <c r="E148" t="s">
        <v>43</v>
      </c>
      <c r="F148" t="s">
        <v>50</v>
      </c>
      <c r="G148" t="s">
        <v>73</v>
      </c>
      <c r="H148" t="s">
        <v>80</v>
      </c>
      <c r="J148" t="s">
        <v>82</v>
      </c>
      <c r="K148" t="s">
        <v>87</v>
      </c>
      <c r="L148" t="s">
        <v>80</v>
      </c>
      <c r="M148">
        <v>2</v>
      </c>
      <c r="N148">
        <v>3</v>
      </c>
      <c r="O148">
        <v>3</v>
      </c>
      <c r="P148">
        <v>2</v>
      </c>
      <c r="Q148">
        <v>2</v>
      </c>
      <c r="R148" t="s">
        <v>112</v>
      </c>
      <c r="S148">
        <v>4</v>
      </c>
      <c r="T148" t="s">
        <v>116</v>
      </c>
      <c r="U148">
        <v>3</v>
      </c>
      <c r="V148">
        <v>3</v>
      </c>
      <c r="W148" t="s">
        <v>110</v>
      </c>
      <c r="X148">
        <v>67</v>
      </c>
      <c r="Y148" t="s">
        <v>122</v>
      </c>
    </row>
    <row r="149" spans="1:25" x14ac:dyDescent="0.3">
      <c r="A149" t="s">
        <v>28</v>
      </c>
      <c r="B149" t="s">
        <v>30</v>
      </c>
      <c r="C149" t="s">
        <v>34</v>
      </c>
      <c r="D149" t="s">
        <v>39</v>
      </c>
      <c r="E149" t="s">
        <v>33</v>
      </c>
      <c r="F149" t="s">
        <v>58</v>
      </c>
      <c r="G149" t="s">
        <v>72</v>
      </c>
      <c r="H149" t="s">
        <v>79</v>
      </c>
      <c r="I149" t="s">
        <v>59</v>
      </c>
      <c r="J149" t="s">
        <v>81</v>
      </c>
      <c r="K149" t="s">
        <v>91</v>
      </c>
      <c r="L149" t="s">
        <v>79</v>
      </c>
      <c r="M149">
        <v>3</v>
      </c>
      <c r="N149">
        <v>2</v>
      </c>
      <c r="O149">
        <v>3</v>
      </c>
      <c r="P149">
        <v>2</v>
      </c>
      <c r="Q149">
        <v>2</v>
      </c>
      <c r="R149" t="s">
        <v>111</v>
      </c>
      <c r="S149">
        <v>4</v>
      </c>
      <c r="T149" t="s">
        <v>119</v>
      </c>
      <c r="U149">
        <v>3</v>
      </c>
      <c r="V149">
        <v>3</v>
      </c>
      <c r="W149" t="s">
        <v>113</v>
      </c>
      <c r="X149">
        <v>41</v>
      </c>
      <c r="Y149" t="s">
        <v>122</v>
      </c>
    </row>
    <row r="150" spans="1:25" x14ac:dyDescent="0.3">
      <c r="A150" t="s">
        <v>29</v>
      </c>
      <c r="B150" t="s">
        <v>30</v>
      </c>
      <c r="C150" t="s">
        <v>35</v>
      </c>
      <c r="D150" t="s">
        <v>38</v>
      </c>
      <c r="E150" t="s">
        <v>44</v>
      </c>
      <c r="F150" t="s">
        <v>62</v>
      </c>
      <c r="G150" t="s">
        <v>73</v>
      </c>
      <c r="H150" t="s">
        <v>80</v>
      </c>
      <c r="J150" t="s">
        <v>82</v>
      </c>
      <c r="K150" t="s">
        <v>87</v>
      </c>
      <c r="L150" t="s">
        <v>80</v>
      </c>
      <c r="M150">
        <v>3</v>
      </c>
      <c r="N150">
        <v>4</v>
      </c>
      <c r="O150">
        <v>4</v>
      </c>
      <c r="P150">
        <v>3</v>
      </c>
      <c r="Q150">
        <v>3</v>
      </c>
      <c r="R150" t="s">
        <v>113</v>
      </c>
      <c r="S150">
        <v>3</v>
      </c>
      <c r="T150" t="s">
        <v>117</v>
      </c>
      <c r="U150">
        <v>4</v>
      </c>
      <c r="V150">
        <v>4</v>
      </c>
      <c r="W150" t="s">
        <v>114</v>
      </c>
      <c r="X150">
        <v>102</v>
      </c>
      <c r="Y150" t="s">
        <v>122</v>
      </c>
    </row>
    <row r="151" spans="1:25" x14ac:dyDescent="0.3">
      <c r="A151" t="s">
        <v>25</v>
      </c>
      <c r="B151" t="s">
        <v>32</v>
      </c>
      <c r="C151" t="s">
        <v>35</v>
      </c>
      <c r="D151" t="s">
        <v>38</v>
      </c>
      <c r="E151" t="s">
        <v>42</v>
      </c>
      <c r="F151" t="s">
        <v>60</v>
      </c>
      <c r="G151" t="s">
        <v>73</v>
      </c>
      <c r="H151" t="s">
        <v>80</v>
      </c>
      <c r="J151" t="s">
        <v>82</v>
      </c>
      <c r="K151" t="s">
        <v>87</v>
      </c>
      <c r="L151" t="s">
        <v>80</v>
      </c>
      <c r="M151">
        <v>3</v>
      </c>
      <c r="N151">
        <v>3</v>
      </c>
      <c r="O151">
        <v>3</v>
      </c>
      <c r="P151">
        <v>2</v>
      </c>
      <c r="Q151">
        <v>3</v>
      </c>
      <c r="R151" t="s">
        <v>113</v>
      </c>
      <c r="S151">
        <v>3</v>
      </c>
      <c r="T151" t="s">
        <v>115</v>
      </c>
      <c r="U151">
        <v>3</v>
      </c>
      <c r="V151">
        <v>3</v>
      </c>
      <c r="W151" t="s">
        <v>111</v>
      </c>
      <c r="X151">
        <v>161</v>
      </c>
      <c r="Y151" t="s">
        <v>122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3A91C-3BA2-4810-AFBD-0E68D78BD894}">
  <dimension ref="A1:E59"/>
  <sheetViews>
    <sheetView topLeftCell="A21" workbookViewId="0">
      <selection activeCell="C62" sqref="C62"/>
    </sheetView>
  </sheetViews>
  <sheetFormatPr defaultRowHeight="14.4" x14ac:dyDescent="0.3"/>
  <cols>
    <col min="1" max="1" width="16.21875" style="3" bestFit="1" customWidth="1"/>
    <col min="2" max="2" width="13.5546875" style="3" bestFit="1" customWidth="1"/>
    <col min="3" max="16384" width="8.88671875" style="3"/>
  </cols>
  <sheetData>
    <row r="1" spans="1:5" x14ac:dyDescent="0.3">
      <c r="A1" s="2" t="s">
        <v>125</v>
      </c>
      <c r="B1" s="2"/>
      <c r="D1" s="2"/>
      <c r="E1" s="2"/>
    </row>
    <row r="2" spans="1:5" x14ac:dyDescent="0.3">
      <c r="A2" s="4" t="s">
        <v>126</v>
      </c>
      <c r="B2" s="4" t="s">
        <v>127</v>
      </c>
      <c r="D2" s="5"/>
      <c r="E2" s="5"/>
    </row>
    <row r="3" spans="1:5" x14ac:dyDescent="0.3">
      <c r="A3" s="3" t="s">
        <v>76</v>
      </c>
      <c r="B3" s="3">
        <v>7</v>
      </c>
      <c r="D3" s="5"/>
      <c r="E3" s="5"/>
    </row>
    <row r="4" spans="1:5" x14ac:dyDescent="0.3">
      <c r="A4" s="3" t="s">
        <v>73</v>
      </c>
      <c r="B4" s="3">
        <v>6</v>
      </c>
      <c r="D4" s="5"/>
      <c r="E4" s="5"/>
    </row>
    <row r="5" spans="1:5" x14ac:dyDescent="0.3">
      <c r="A5" s="3" t="s">
        <v>72</v>
      </c>
      <c r="B5" s="3">
        <v>5</v>
      </c>
      <c r="D5" s="5"/>
      <c r="E5" s="5"/>
    </row>
    <row r="6" spans="1:5" x14ac:dyDescent="0.3">
      <c r="A6" s="3" t="s">
        <v>78</v>
      </c>
      <c r="B6" s="3">
        <v>4</v>
      </c>
      <c r="D6" s="5"/>
      <c r="E6" s="5"/>
    </row>
    <row r="7" spans="1:5" x14ac:dyDescent="0.3">
      <c r="A7" s="3" t="s">
        <v>75</v>
      </c>
      <c r="B7" s="3">
        <v>3</v>
      </c>
    </row>
    <row r="8" spans="1:5" x14ac:dyDescent="0.3">
      <c r="A8" s="3" t="s">
        <v>74</v>
      </c>
      <c r="B8" s="3">
        <v>2</v>
      </c>
    </row>
    <row r="9" spans="1:5" x14ac:dyDescent="0.3">
      <c r="A9" s="3" t="s">
        <v>77</v>
      </c>
      <c r="B9" s="3">
        <v>1</v>
      </c>
    </row>
    <row r="11" spans="1:5" x14ac:dyDescent="0.3">
      <c r="A11" s="3" t="s">
        <v>128</v>
      </c>
    </row>
    <row r="12" spans="1:5" x14ac:dyDescent="0.3">
      <c r="A12" s="4" t="s">
        <v>126</v>
      </c>
      <c r="B12" s="4" t="s">
        <v>127</v>
      </c>
    </row>
    <row r="13" spans="1:5" x14ac:dyDescent="0.3">
      <c r="A13" t="s">
        <v>79</v>
      </c>
      <c r="B13">
        <v>1</v>
      </c>
    </row>
    <row r="14" spans="1:5" x14ac:dyDescent="0.3">
      <c r="A14" t="s">
        <v>80</v>
      </c>
      <c r="B14">
        <v>0</v>
      </c>
    </row>
    <row r="16" spans="1:5" x14ac:dyDescent="0.3">
      <c r="A16" s="3" t="s">
        <v>129</v>
      </c>
    </row>
    <row r="17" spans="1:2" x14ac:dyDescent="0.3">
      <c r="A17" s="4" t="s">
        <v>126</v>
      </c>
      <c r="B17" s="4" t="s">
        <v>127</v>
      </c>
    </row>
    <row r="18" spans="1:2" x14ac:dyDescent="0.3">
      <c r="A18" t="s">
        <v>81</v>
      </c>
      <c r="B18">
        <v>5</v>
      </c>
    </row>
    <row r="19" spans="1:2" x14ac:dyDescent="0.3">
      <c r="A19" t="s">
        <v>85</v>
      </c>
      <c r="B19">
        <v>4</v>
      </c>
    </row>
    <row r="20" spans="1:2" x14ac:dyDescent="0.3">
      <c r="A20" t="s">
        <v>83</v>
      </c>
      <c r="B20">
        <v>3</v>
      </c>
    </row>
    <row r="21" spans="1:2" x14ac:dyDescent="0.3">
      <c r="A21" t="s">
        <v>84</v>
      </c>
      <c r="B21">
        <v>2</v>
      </c>
    </row>
    <row r="22" spans="1:2" x14ac:dyDescent="0.3">
      <c r="A22" t="s">
        <v>82</v>
      </c>
      <c r="B22">
        <v>1</v>
      </c>
    </row>
    <row r="24" spans="1:2" x14ac:dyDescent="0.3">
      <c r="A24" s="3" t="s">
        <v>130</v>
      </c>
    </row>
    <row r="25" spans="1:2" x14ac:dyDescent="0.3">
      <c r="A25" s="4" t="s">
        <v>126</v>
      </c>
      <c r="B25" s="4" t="s">
        <v>127</v>
      </c>
    </row>
    <row r="26" spans="1:2" x14ac:dyDescent="0.3">
      <c r="A26" t="s">
        <v>80</v>
      </c>
      <c r="B26">
        <v>0</v>
      </c>
    </row>
    <row r="27" spans="1:2" x14ac:dyDescent="0.3">
      <c r="A27" t="s">
        <v>79</v>
      </c>
      <c r="B27">
        <v>1</v>
      </c>
    </row>
    <row r="29" spans="1:2" x14ac:dyDescent="0.3">
      <c r="A29" s="3" t="s">
        <v>131</v>
      </c>
    </row>
    <row r="30" spans="1:2" x14ac:dyDescent="0.3">
      <c r="A30" s="4" t="s">
        <v>126</v>
      </c>
      <c r="B30" s="4" t="s">
        <v>127</v>
      </c>
    </row>
    <row r="31" spans="1:2" x14ac:dyDescent="0.3">
      <c r="A31" t="s">
        <v>116</v>
      </c>
      <c r="B31">
        <v>5</v>
      </c>
    </row>
    <row r="32" spans="1:2" x14ac:dyDescent="0.3">
      <c r="A32" t="s">
        <v>117</v>
      </c>
      <c r="B32">
        <v>4</v>
      </c>
    </row>
    <row r="33" spans="1:2" x14ac:dyDescent="0.3">
      <c r="A33" t="s">
        <v>118</v>
      </c>
      <c r="B33">
        <v>3</v>
      </c>
    </row>
    <row r="34" spans="1:2" x14ac:dyDescent="0.3">
      <c r="A34" t="s">
        <v>115</v>
      </c>
      <c r="B34">
        <v>2</v>
      </c>
    </row>
    <row r="35" spans="1:2" x14ac:dyDescent="0.3">
      <c r="A35" t="s">
        <v>119</v>
      </c>
      <c r="B35">
        <v>1</v>
      </c>
    </row>
    <row r="37" spans="1:2" x14ac:dyDescent="0.3">
      <c r="A37" s="3" t="s">
        <v>132</v>
      </c>
    </row>
    <row r="38" spans="1:2" x14ac:dyDescent="0.3">
      <c r="A38" s="4" t="s">
        <v>126</v>
      </c>
      <c r="B38" s="4" t="s">
        <v>127</v>
      </c>
    </row>
    <row r="39" spans="1:2" x14ac:dyDescent="0.3">
      <c r="A39" t="s">
        <v>112</v>
      </c>
      <c r="B39">
        <v>5</v>
      </c>
    </row>
    <row r="40" spans="1:2" x14ac:dyDescent="0.3">
      <c r="A40" t="s">
        <v>111</v>
      </c>
      <c r="B40">
        <v>4</v>
      </c>
    </row>
    <row r="41" spans="1:2" x14ac:dyDescent="0.3">
      <c r="A41" t="s">
        <v>114</v>
      </c>
      <c r="B41">
        <v>3</v>
      </c>
    </row>
    <row r="42" spans="1:2" x14ac:dyDescent="0.3">
      <c r="A42" t="s">
        <v>113</v>
      </c>
      <c r="B42">
        <v>2</v>
      </c>
    </row>
    <row r="43" spans="1:2" x14ac:dyDescent="0.3">
      <c r="A43" t="s">
        <v>110</v>
      </c>
      <c r="B43">
        <v>1</v>
      </c>
    </row>
    <row r="45" spans="1:2" x14ac:dyDescent="0.3">
      <c r="A45" s="3" t="s">
        <v>133</v>
      </c>
    </row>
    <row r="46" spans="1:2" x14ac:dyDescent="0.3">
      <c r="A46" s="4" t="s">
        <v>126</v>
      </c>
      <c r="B46" s="4" t="s">
        <v>127</v>
      </c>
    </row>
    <row r="47" spans="1:2" x14ac:dyDescent="0.3">
      <c r="A47" t="s">
        <v>112</v>
      </c>
      <c r="B47">
        <v>5</v>
      </c>
    </row>
    <row r="48" spans="1:2" x14ac:dyDescent="0.3">
      <c r="A48" t="s">
        <v>111</v>
      </c>
      <c r="B48">
        <v>4</v>
      </c>
    </row>
    <row r="49" spans="1:2" x14ac:dyDescent="0.3">
      <c r="A49" t="s">
        <v>114</v>
      </c>
      <c r="B49">
        <v>3</v>
      </c>
    </row>
    <row r="50" spans="1:2" x14ac:dyDescent="0.3">
      <c r="A50" t="s">
        <v>113</v>
      </c>
      <c r="B50">
        <v>2</v>
      </c>
    </row>
    <row r="51" spans="1:2" x14ac:dyDescent="0.3">
      <c r="A51" t="s">
        <v>110</v>
      </c>
      <c r="B51">
        <v>1</v>
      </c>
    </row>
    <row r="53" spans="1:2" x14ac:dyDescent="0.3">
      <c r="A53" s="3" t="s">
        <v>134</v>
      </c>
    </row>
    <row r="54" spans="1:2" x14ac:dyDescent="0.3">
      <c r="A54" s="4" t="s">
        <v>126</v>
      </c>
      <c r="B54" s="4" t="s">
        <v>127</v>
      </c>
    </row>
    <row r="55" spans="1:2" x14ac:dyDescent="0.3">
      <c r="A55" t="s">
        <v>123</v>
      </c>
      <c r="B55">
        <v>5</v>
      </c>
    </row>
    <row r="56" spans="1:2" x14ac:dyDescent="0.3">
      <c r="A56" t="s">
        <v>121</v>
      </c>
      <c r="B56">
        <v>4</v>
      </c>
    </row>
    <row r="57" spans="1:2" x14ac:dyDescent="0.3">
      <c r="A57" t="s">
        <v>120</v>
      </c>
      <c r="B57">
        <v>3</v>
      </c>
    </row>
    <row r="58" spans="1:2" x14ac:dyDescent="0.3">
      <c r="A58" t="s">
        <v>122</v>
      </c>
      <c r="B58">
        <v>2</v>
      </c>
    </row>
    <row r="59" spans="1:2" x14ac:dyDescent="0.3">
      <c r="A59" t="s">
        <v>124</v>
      </c>
      <c r="B5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46FA1-0AF0-4282-9F7B-81DB9136612F}">
  <dimension ref="A1:Y151"/>
  <sheetViews>
    <sheetView tabSelected="1" topLeftCell="J1" workbookViewId="0">
      <selection activeCell="L1" sqref="L1:L151"/>
    </sheetView>
  </sheetViews>
  <sheetFormatPr defaultRowHeight="14.4" x14ac:dyDescent="0.3"/>
  <cols>
    <col min="1" max="1" width="7.5546875" bestFit="1" customWidth="1"/>
    <col min="2" max="2" width="14.6640625" bestFit="1" customWidth="1"/>
    <col min="3" max="3" width="20.77734375" bestFit="1" customWidth="1"/>
    <col min="4" max="4" width="17" bestFit="1" customWidth="1"/>
    <col min="5" max="5" width="29.109375" bestFit="1" customWidth="1"/>
    <col min="6" max="6" width="30.5546875" bestFit="1" customWidth="1"/>
    <col min="7" max="7" width="31.44140625" bestFit="1" customWidth="1"/>
    <col min="8" max="8" width="34" bestFit="1" customWidth="1"/>
    <col min="9" max="9" width="29.6640625" bestFit="1" customWidth="1"/>
    <col min="10" max="10" width="35.77734375" bestFit="1" customWidth="1"/>
    <col min="11" max="11" width="67.33203125" bestFit="1" customWidth="1"/>
    <col min="12" max="12" width="15.5546875" bestFit="1" customWidth="1"/>
    <col min="13" max="13" width="35.77734375" bestFit="1" customWidth="1"/>
    <col min="14" max="14" width="36.88671875" bestFit="1" customWidth="1"/>
    <col min="15" max="15" width="32.6640625" bestFit="1" customWidth="1"/>
    <col min="16" max="16" width="30.77734375" bestFit="1" customWidth="1"/>
    <col min="17" max="17" width="30.109375" bestFit="1" customWidth="1"/>
    <col min="18" max="18" width="30.44140625" bestFit="1" customWidth="1"/>
    <col min="19" max="19" width="31.33203125" bestFit="1" customWidth="1"/>
    <col min="20" max="20" width="22.21875" bestFit="1" customWidth="1"/>
    <col min="21" max="21" width="33.6640625" bestFit="1" customWidth="1"/>
    <col min="22" max="22" width="35.21875" bestFit="1" customWidth="1"/>
    <col min="23" max="23" width="33.33203125" bestFit="1" customWidth="1"/>
    <col min="24" max="24" width="34.6640625" bestFit="1" customWidth="1"/>
    <col min="25" max="25" width="27.2187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30</v>
      </c>
      <c r="C2" t="s">
        <v>34</v>
      </c>
      <c r="D2" t="s">
        <v>37</v>
      </c>
      <c r="E2" t="s">
        <v>42</v>
      </c>
      <c r="F2" t="s">
        <v>47</v>
      </c>
      <c r="G2">
        <f>VLOOKUP(Sheet1!G2,LOOKUPS!$A$3:$B$9,2,FALSE)</f>
        <v>5</v>
      </c>
      <c r="H2">
        <f>VLOOKUP(Sheet1!H2,LOOKUPS!$A$13:$B$14,2,FALSE)</f>
        <v>1</v>
      </c>
      <c r="I2" t="s">
        <v>51</v>
      </c>
      <c r="J2">
        <f>VLOOKUP(Sheet1!J2,LOOKUPS!$A$18:$B$22,2,FALSE)</f>
        <v>5</v>
      </c>
      <c r="K2" t="s">
        <v>86</v>
      </c>
      <c r="L2">
        <f>VLOOKUP(Sheet1!L2,LOOKUPS!$A$26:$B$27,2,FALSE)</f>
        <v>0</v>
      </c>
      <c r="M2">
        <v>2</v>
      </c>
      <c r="N2">
        <v>3</v>
      </c>
      <c r="O2">
        <v>3</v>
      </c>
      <c r="P2">
        <v>3</v>
      </c>
      <c r="Q2">
        <v>2</v>
      </c>
      <c r="R2">
        <f>VLOOKUP(Sheet1!R2,LOOKUPS!$A$39:$B$43,2,FALSE)</f>
        <v>1</v>
      </c>
      <c r="S2">
        <v>3</v>
      </c>
      <c r="T2">
        <f>VLOOKUP(Sheet1!T2,LOOKUPS!$A$31:$E$35,2,FALSE)</f>
        <v>2</v>
      </c>
      <c r="U2">
        <v>3</v>
      </c>
      <c r="V2">
        <v>3</v>
      </c>
      <c r="W2" t="s">
        <v>112</v>
      </c>
      <c r="X2">
        <v>165</v>
      </c>
      <c r="Y2" t="s">
        <v>120</v>
      </c>
    </row>
    <row r="3" spans="1:25" x14ac:dyDescent="0.3">
      <c r="A3" t="s">
        <v>25</v>
      </c>
      <c r="B3" t="s">
        <v>31</v>
      </c>
      <c r="C3" t="s">
        <v>35</v>
      </c>
      <c r="D3" t="s">
        <v>38</v>
      </c>
      <c r="E3" t="s">
        <v>43</v>
      </c>
      <c r="F3" t="s">
        <v>48</v>
      </c>
      <c r="G3">
        <f>VLOOKUP(Sheet1!G3,LOOKUPS!$A$3:$B$9,2,FALSE)</f>
        <v>6</v>
      </c>
      <c r="H3">
        <f>VLOOKUP(Sheet1!H3,LOOKUPS!$A$13:$B$14,2,FALSE)</f>
        <v>0</v>
      </c>
      <c r="J3">
        <f>VLOOKUP(Sheet1!J3,LOOKUPS!$A$18:$B$22,2,FALSE)</f>
        <v>1</v>
      </c>
      <c r="K3" t="s">
        <v>87</v>
      </c>
      <c r="L3">
        <f>VLOOKUP(Sheet1!L3,LOOKUPS!$A$26:$B$27,2,FALSE)</f>
        <v>1</v>
      </c>
      <c r="M3">
        <v>4</v>
      </c>
      <c r="N3">
        <v>4</v>
      </c>
      <c r="O3">
        <v>4</v>
      </c>
      <c r="P3">
        <v>4</v>
      </c>
      <c r="Q3">
        <v>4</v>
      </c>
      <c r="R3">
        <f>VLOOKUP(Sheet1!R3,LOOKUPS!$A$39:$B$43,2,FALSE)</f>
        <v>4</v>
      </c>
      <c r="S3">
        <v>2</v>
      </c>
      <c r="T3">
        <f>VLOOKUP(Sheet1!T3,LOOKUPS!$A$31:$E$35,2,FALSE)</f>
        <v>5</v>
      </c>
      <c r="U3">
        <v>4</v>
      </c>
      <c r="V3">
        <v>4</v>
      </c>
      <c r="W3" t="s">
        <v>114</v>
      </c>
      <c r="X3">
        <v>47</v>
      </c>
      <c r="Y3" t="s">
        <v>121</v>
      </c>
    </row>
    <row r="4" spans="1:25" x14ac:dyDescent="0.3">
      <c r="A4" t="s">
        <v>26</v>
      </c>
      <c r="B4" t="s">
        <v>32</v>
      </c>
      <c r="C4" t="s">
        <v>35</v>
      </c>
      <c r="D4" t="s">
        <v>38</v>
      </c>
      <c r="E4" t="s">
        <v>44</v>
      </c>
      <c r="F4" t="s">
        <v>49</v>
      </c>
      <c r="G4">
        <f>VLOOKUP(Sheet1!G4,LOOKUPS!$A$3:$B$9,2,FALSE)</f>
        <v>5</v>
      </c>
      <c r="H4">
        <f>VLOOKUP(Sheet1!H4,LOOKUPS!$A$13:$B$14,2,FALSE)</f>
        <v>1</v>
      </c>
      <c r="I4" t="s">
        <v>59</v>
      </c>
      <c r="J4">
        <f>VLOOKUP(Sheet1!J4,LOOKUPS!$A$18:$B$22,2,FALSE)</f>
        <v>1</v>
      </c>
      <c r="K4" t="s">
        <v>88</v>
      </c>
      <c r="L4">
        <f>VLOOKUP(Sheet1!L4,LOOKUPS!$A$26:$B$27,2,FALSE)</f>
        <v>1</v>
      </c>
      <c r="M4">
        <v>3</v>
      </c>
      <c r="N4">
        <v>3</v>
      </c>
      <c r="O4">
        <v>3</v>
      </c>
      <c r="P4">
        <v>3</v>
      </c>
      <c r="Q4">
        <v>3</v>
      </c>
      <c r="R4">
        <f>VLOOKUP(Sheet1!R4,LOOKUPS!$A$39:$B$43,2,FALSE)</f>
        <v>5</v>
      </c>
      <c r="S4">
        <v>2</v>
      </c>
      <c r="T4">
        <f>VLOOKUP(Sheet1!T4,LOOKUPS!$A$31:$E$35,2,FALSE)</f>
        <v>4</v>
      </c>
      <c r="U4">
        <v>4</v>
      </c>
      <c r="V4">
        <v>4</v>
      </c>
      <c r="W4" t="s">
        <v>114</v>
      </c>
      <c r="X4">
        <v>114</v>
      </c>
      <c r="Y4" t="s">
        <v>122</v>
      </c>
    </row>
    <row r="5" spans="1:25" x14ac:dyDescent="0.3">
      <c r="A5" t="s">
        <v>26</v>
      </c>
      <c r="B5" t="s">
        <v>30</v>
      </c>
      <c r="C5" t="s">
        <v>36</v>
      </c>
      <c r="D5" t="s">
        <v>38</v>
      </c>
      <c r="E5" t="s">
        <v>42</v>
      </c>
      <c r="F5" t="s">
        <v>49</v>
      </c>
      <c r="G5">
        <f>VLOOKUP(Sheet1!G5,LOOKUPS!$A$3:$B$9,2,FALSE)</f>
        <v>6</v>
      </c>
      <c r="H5">
        <f>VLOOKUP(Sheet1!H5,LOOKUPS!$A$13:$B$14,2,FALSE)</f>
        <v>1</v>
      </c>
      <c r="I5" t="s">
        <v>59</v>
      </c>
      <c r="J5">
        <f>VLOOKUP(Sheet1!J5,LOOKUPS!$A$18:$B$22,2,FALSE)</f>
        <v>3</v>
      </c>
      <c r="K5" t="s">
        <v>89</v>
      </c>
      <c r="L5">
        <f>VLOOKUP(Sheet1!L5,LOOKUPS!$A$26:$B$27,2,FALSE)</f>
        <v>1</v>
      </c>
      <c r="M5">
        <v>2</v>
      </c>
      <c r="N5">
        <v>2</v>
      </c>
      <c r="O5">
        <v>2</v>
      </c>
      <c r="P5">
        <v>2</v>
      </c>
      <c r="Q5">
        <v>2</v>
      </c>
      <c r="R5">
        <f>VLOOKUP(Sheet1!R5,LOOKUPS!$A$39:$B$43,2,FALSE)</f>
        <v>2</v>
      </c>
      <c r="S5">
        <v>4</v>
      </c>
      <c r="T5">
        <f>VLOOKUP(Sheet1!T5,LOOKUPS!$A$31:$E$35,2,FALSE)</f>
        <v>3</v>
      </c>
      <c r="U5">
        <v>3</v>
      </c>
      <c r="V5">
        <v>2</v>
      </c>
      <c r="W5" t="s">
        <v>110</v>
      </c>
      <c r="X5">
        <v>70</v>
      </c>
      <c r="Y5" t="s">
        <v>122</v>
      </c>
    </row>
    <row r="6" spans="1:25" x14ac:dyDescent="0.3">
      <c r="A6" t="s">
        <v>26</v>
      </c>
      <c r="B6" t="s">
        <v>32</v>
      </c>
      <c r="C6" t="s">
        <v>35</v>
      </c>
      <c r="D6" t="s">
        <v>39</v>
      </c>
      <c r="E6" t="s">
        <v>45</v>
      </c>
      <c r="F6" t="s">
        <v>50</v>
      </c>
      <c r="G6">
        <f>VLOOKUP(Sheet1!G6,LOOKUPS!$A$3:$B$9,2,FALSE)</f>
        <v>5</v>
      </c>
      <c r="H6">
        <f>VLOOKUP(Sheet1!H6,LOOKUPS!$A$13:$B$14,2,FALSE)</f>
        <v>0</v>
      </c>
      <c r="J6">
        <f>VLOOKUP(Sheet1!J6,LOOKUPS!$A$18:$B$22,2,FALSE)</f>
        <v>1</v>
      </c>
      <c r="K6" t="s">
        <v>87</v>
      </c>
      <c r="L6">
        <f>VLOOKUP(Sheet1!L6,LOOKUPS!$A$26:$B$27,2,FALSE)</f>
        <v>1</v>
      </c>
      <c r="M6">
        <v>4</v>
      </c>
      <c r="N6">
        <v>4</v>
      </c>
      <c r="O6">
        <v>4</v>
      </c>
      <c r="P6">
        <v>4</v>
      </c>
      <c r="Q6">
        <v>4</v>
      </c>
      <c r="R6">
        <f>VLOOKUP(Sheet1!R6,LOOKUPS!$A$39:$B$43,2,FALSE)</f>
        <v>4</v>
      </c>
      <c r="S6">
        <v>3</v>
      </c>
      <c r="T6">
        <f>VLOOKUP(Sheet1!T6,LOOKUPS!$A$31:$E$35,2,FALSE)</f>
        <v>2</v>
      </c>
      <c r="U6">
        <v>4</v>
      </c>
      <c r="V6">
        <v>4</v>
      </c>
      <c r="W6" t="s">
        <v>114</v>
      </c>
      <c r="X6">
        <v>91</v>
      </c>
      <c r="Y6" t="s">
        <v>123</v>
      </c>
    </row>
    <row r="7" spans="1:25" x14ac:dyDescent="0.3">
      <c r="A7" t="s">
        <v>26</v>
      </c>
      <c r="B7" t="s">
        <v>32</v>
      </c>
      <c r="C7" t="s">
        <v>35</v>
      </c>
      <c r="D7" t="s">
        <v>38</v>
      </c>
      <c r="E7" t="s">
        <v>43</v>
      </c>
      <c r="F7" t="s">
        <v>51</v>
      </c>
      <c r="G7">
        <f>VLOOKUP(Sheet1!G7,LOOKUPS!$A$3:$B$9,2,FALSE)</f>
        <v>5</v>
      </c>
      <c r="H7">
        <f>VLOOKUP(Sheet1!H7,LOOKUPS!$A$13:$B$14,2,FALSE)</f>
        <v>1</v>
      </c>
      <c r="I7" t="s">
        <v>51</v>
      </c>
      <c r="J7">
        <f>VLOOKUP(Sheet1!J7,LOOKUPS!$A$18:$B$22,2,FALSE)</f>
        <v>1</v>
      </c>
      <c r="K7" t="s">
        <v>90</v>
      </c>
      <c r="L7">
        <f>VLOOKUP(Sheet1!L7,LOOKUPS!$A$26:$B$27,2,FALSE)</f>
        <v>1</v>
      </c>
      <c r="M7">
        <v>4</v>
      </c>
      <c r="N7">
        <v>3</v>
      </c>
      <c r="O7">
        <v>4</v>
      </c>
      <c r="P7">
        <v>3</v>
      </c>
      <c r="Q7">
        <v>3</v>
      </c>
      <c r="R7">
        <f>VLOOKUP(Sheet1!R7,LOOKUPS!$A$39:$B$43,2,FALSE)</f>
        <v>5</v>
      </c>
      <c r="S7">
        <v>2</v>
      </c>
      <c r="T7">
        <f>VLOOKUP(Sheet1!T7,LOOKUPS!$A$31:$E$35,2,FALSE)</f>
        <v>3</v>
      </c>
      <c r="U7">
        <v>4</v>
      </c>
      <c r="V7">
        <v>4</v>
      </c>
      <c r="W7" t="s">
        <v>110</v>
      </c>
      <c r="X7">
        <v>19</v>
      </c>
      <c r="Y7" t="s">
        <v>124</v>
      </c>
    </row>
    <row r="8" spans="1:25" x14ac:dyDescent="0.3">
      <c r="A8" t="s">
        <v>25</v>
      </c>
      <c r="B8" t="s">
        <v>30</v>
      </c>
      <c r="C8" t="s">
        <v>36</v>
      </c>
      <c r="D8" t="s">
        <v>39</v>
      </c>
      <c r="E8" t="s">
        <v>43</v>
      </c>
      <c r="F8" t="s">
        <v>52</v>
      </c>
      <c r="G8">
        <f>VLOOKUP(Sheet1!G8,LOOKUPS!$A$3:$B$9,2,FALSE)</f>
        <v>6</v>
      </c>
      <c r="H8">
        <f>VLOOKUP(Sheet1!H8,LOOKUPS!$A$13:$B$14,2,FALSE)</f>
        <v>0</v>
      </c>
      <c r="J8">
        <f>VLOOKUP(Sheet1!J8,LOOKUPS!$A$18:$B$22,2,FALSE)</f>
        <v>1</v>
      </c>
      <c r="K8" t="s">
        <v>87</v>
      </c>
      <c r="L8">
        <f>VLOOKUP(Sheet1!L8,LOOKUPS!$A$26:$B$27,2,FALSE)</f>
        <v>0</v>
      </c>
      <c r="M8">
        <v>3</v>
      </c>
      <c r="N8">
        <v>3</v>
      </c>
      <c r="O8">
        <v>4</v>
      </c>
      <c r="P8">
        <v>4</v>
      </c>
      <c r="Q8">
        <v>3</v>
      </c>
      <c r="R8">
        <f>VLOOKUP(Sheet1!R8,LOOKUPS!$A$39:$B$43,2,FALSE)</f>
        <v>2</v>
      </c>
      <c r="S8">
        <v>3</v>
      </c>
      <c r="T8">
        <f>VLOOKUP(Sheet1!T8,LOOKUPS!$A$31:$E$35,2,FALSE)</f>
        <v>4</v>
      </c>
      <c r="U8">
        <v>4</v>
      </c>
      <c r="V8">
        <v>3</v>
      </c>
      <c r="W8" t="s">
        <v>114</v>
      </c>
      <c r="X8">
        <v>114</v>
      </c>
      <c r="Y8" t="s">
        <v>120</v>
      </c>
    </row>
    <row r="9" spans="1:25" x14ac:dyDescent="0.3">
      <c r="A9" t="s">
        <v>26</v>
      </c>
      <c r="B9" t="s">
        <v>32</v>
      </c>
      <c r="C9" t="s">
        <v>35</v>
      </c>
      <c r="D9" t="s">
        <v>38</v>
      </c>
      <c r="E9" t="s">
        <v>45</v>
      </c>
      <c r="F9" t="s">
        <v>53</v>
      </c>
      <c r="G9">
        <f>VLOOKUP(Sheet1!G9,LOOKUPS!$A$3:$B$9,2,FALSE)</f>
        <v>6</v>
      </c>
      <c r="H9">
        <f>VLOOKUP(Sheet1!H9,LOOKUPS!$A$13:$B$14,2,FALSE)</f>
        <v>1</v>
      </c>
      <c r="I9" t="s">
        <v>51</v>
      </c>
      <c r="J9">
        <f>VLOOKUP(Sheet1!J9,LOOKUPS!$A$18:$B$22,2,FALSE)</f>
        <v>3</v>
      </c>
      <c r="K9" t="s">
        <v>87</v>
      </c>
      <c r="L9">
        <f>VLOOKUP(Sheet1!L9,LOOKUPS!$A$26:$B$27,2,FALSE)</f>
        <v>1</v>
      </c>
      <c r="M9">
        <v>3</v>
      </c>
      <c r="N9">
        <v>3</v>
      </c>
      <c r="O9">
        <v>4</v>
      </c>
      <c r="P9">
        <v>3</v>
      </c>
      <c r="Q9">
        <v>3</v>
      </c>
      <c r="R9">
        <f>VLOOKUP(Sheet1!R9,LOOKUPS!$A$39:$B$43,2,FALSE)</f>
        <v>5</v>
      </c>
      <c r="S9">
        <v>3</v>
      </c>
      <c r="T9">
        <f>VLOOKUP(Sheet1!T9,LOOKUPS!$A$31:$E$35,2,FALSE)</f>
        <v>2</v>
      </c>
      <c r="U9">
        <v>3</v>
      </c>
      <c r="V9">
        <v>3</v>
      </c>
      <c r="W9" t="s">
        <v>113</v>
      </c>
      <c r="X9">
        <v>71</v>
      </c>
      <c r="Y9" t="s">
        <v>120</v>
      </c>
    </row>
    <row r="10" spans="1:25" x14ac:dyDescent="0.3">
      <c r="A10" t="s">
        <v>26</v>
      </c>
      <c r="B10" t="s">
        <v>30</v>
      </c>
      <c r="C10" t="s">
        <v>34</v>
      </c>
      <c r="D10" t="s">
        <v>38</v>
      </c>
      <c r="E10" t="s">
        <v>43</v>
      </c>
      <c r="F10" t="s">
        <v>54</v>
      </c>
      <c r="G10">
        <f>VLOOKUP(Sheet1!G10,LOOKUPS!$A$3:$B$9,2,FALSE)</f>
        <v>6</v>
      </c>
      <c r="H10">
        <f>VLOOKUP(Sheet1!H10,LOOKUPS!$A$13:$B$14,2,FALSE)</f>
        <v>0</v>
      </c>
      <c r="J10">
        <f>VLOOKUP(Sheet1!J10,LOOKUPS!$A$18:$B$22,2,FALSE)</f>
        <v>1</v>
      </c>
      <c r="K10" t="s">
        <v>87</v>
      </c>
      <c r="L10">
        <f>VLOOKUP(Sheet1!L10,LOOKUPS!$A$26:$B$27,2,FALSE)</f>
        <v>1</v>
      </c>
      <c r="M10">
        <v>4</v>
      </c>
      <c r="N10">
        <v>3</v>
      </c>
      <c r="O10">
        <v>4</v>
      </c>
      <c r="P10">
        <v>4</v>
      </c>
      <c r="Q10">
        <v>4</v>
      </c>
      <c r="R10">
        <f>VLOOKUP(Sheet1!R10,LOOKUPS!$A$39:$B$43,2,FALSE)</f>
        <v>4</v>
      </c>
      <c r="S10">
        <v>3</v>
      </c>
      <c r="T10">
        <f>VLOOKUP(Sheet1!T10,LOOKUPS!$A$31:$E$35,2,FALSE)</f>
        <v>3</v>
      </c>
      <c r="U10">
        <v>4</v>
      </c>
      <c r="V10">
        <v>4</v>
      </c>
      <c r="W10" t="s">
        <v>112</v>
      </c>
      <c r="X10">
        <v>197</v>
      </c>
      <c r="Y10" t="s">
        <v>121</v>
      </c>
    </row>
    <row r="11" spans="1:25" x14ac:dyDescent="0.3">
      <c r="A11" t="s">
        <v>25</v>
      </c>
      <c r="B11" t="s">
        <v>30</v>
      </c>
      <c r="C11" t="s">
        <v>35</v>
      </c>
      <c r="D11" t="s">
        <v>37</v>
      </c>
      <c r="E11" t="s">
        <v>46</v>
      </c>
      <c r="F11" t="s">
        <v>51</v>
      </c>
      <c r="G11">
        <f>VLOOKUP(Sheet1!G11,LOOKUPS!$A$3:$B$9,2,FALSE)</f>
        <v>6</v>
      </c>
      <c r="H11">
        <f>VLOOKUP(Sheet1!H11,LOOKUPS!$A$13:$B$14,2,FALSE)</f>
        <v>1</v>
      </c>
      <c r="I11" t="s">
        <v>51</v>
      </c>
      <c r="J11">
        <f>VLOOKUP(Sheet1!J11,LOOKUPS!$A$18:$B$22,2,FALSE)</f>
        <v>3</v>
      </c>
      <c r="K11" t="s">
        <v>91</v>
      </c>
      <c r="L11">
        <f>VLOOKUP(Sheet1!L11,LOOKUPS!$A$26:$B$27,2,FALSE)</f>
        <v>0</v>
      </c>
      <c r="M11">
        <v>3</v>
      </c>
      <c r="N11">
        <v>3</v>
      </c>
      <c r="O11">
        <v>2</v>
      </c>
      <c r="P11">
        <v>2</v>
      </c>
      <c r="Q11">
        <v>2</v>
      </c>
      <c r="R11">
        <f>VLOOKUP(Sheet1!R11,LOOKUPS!$A$39:$B$43,2,FALSE)</f>
        <v>2</v>
      </c>
      <c r="S11">
        <v>4</v>
      </c>
      <c r="T11">
        <f>VLOOKUP(Sheet1!T11,LOOKUPS!$A$31:$E$35,2,FALSE)</f>
        <v>4</v>
      </c>
      <c r="U11">
        <v>3</v>
      </c>
      <c r="V11">
        <v>3</v>
      </c>
      <c r="W11" t="s">
        <v>111</v>
      </c>
      <c r="X11">
        <v>143</v>
      </c>
      <c r="Y11" t="s">
        <v>124</v>
      </c>
    </row>
    <row r="12" spans="1:25" x14ac:dyDescent="0.3">
      <c r="A12" t="s">
        <v>26</v>
      </c>
      <c r="B12" t="s">
        <v>30</v>
      </c>
      <c r="C12" t="s">
        <v>35</v>
      </c>
      <c r="D12" t="s">
        <v>38</v>
      </c>
      <c r="E12" t="s">
        <v>44</v>
      </c>
      <c r="F12" t="s">
        <v>55</v>
      </c>
      <c r="G12">
        <f>VLOOKUP(Sheet1!G12,LOOKUPS!$A$3:$B$9,2,FALSE)</f>
        <v>2</v>
      </c>
      <c r="H12">
        <f>VLOOKUP(Sheet1!H12,LOOKUPS!$A$13:$B$14,2,FALSE)</f>
        <v>0</v>
      </c>
      <c r="J12">
        <f>VLOOKUP(Sheet1!J12,LOOKUPS!$A$18:$B$22,2,FALSE)</f>
        <v>1</v>
      </c>
      <c r="K12" t="s">
        <v>87</v>
      </c>
      <c r="L12">
        <f>VLOOKUP(Sheet1!L12,LOOKUPS!$A$26:$B$27,2,FALSE)</f>
        <v>1</v>
      </c>
      <c r="M12">
        <v>4</v>
      </c>
      <c r="N12">
        <v>4</v>
      </c>
      <c r="O12">
        <v>4</v>
      </c>
      <c r="P12">
        <v>3</v>
      </c>
      <c r="Q12">
        <v>3</v>
      </c>
      <c r="R12">
        <f>VLOOKUP(Sheet1!R12,LOOKUPS!$A$39:$B$43,2,FALSE)</f>
        <v>3</v>
      </c>
      <c r="S12">
        <v>3</v>
      </c>
      <c r="T12">
        <f>VLOOKUP(Sheet1!T12,LOOKUPS!$A$31:$E$35,2,FALSE)</f>
        <v>2</v>
      </c>
      <c r="U12">
        <v>3</v>
      </c>
      <c r="V12">
        <v>4</v>
      </c>
      <c r="W12" t="s">
        <v>110</v>
      </c>
      <c r="X12">
        <v>21</v>
      </c>
      <c r="Y12" t="s">
        <v>121</v>
      </c>
    </row>
    <row r="13" spans="1:25" x14ac:dyDescent="0.3">
      <c r="A13" t="s">
        <v>25</v>
      </c>
      <c r="B13" t="s">
        <v>32</v>
      </c>
      <c r="C13" t="s">
        <v>36</v>
      </c>
      <c r="D13" t="s">
        <v>38</v>
      </c>
      <c r="E13" t="s">
        <v>44</v>
      </c>
      <c r="F13" t="s">
        <v>47</v>
      </c>
      <c r="G13">
        <f>VLOOKUP(Sheet1!G13,LOOKUPS!$A$3:$B$9,2,FALSE)</f>
        <v>5</v>
      </c>
      <c r="H13">
        <f>VLOOKUP(Sheet1!H13,LOOKUPS!$A$13:$B$14,2,FALSE)</f>
        <v>1</v>
      </c>
      <c r="I13" t="s">
        <v>51</v>
      </c>
      <c r="J13">
        <f>VLOOKUP(Sheet1!J13,LOOKUPS!$A$18:$B$22,2,FALSE)</f>
        <v>1</v>
      </c>
      <c r="K13" t="s">
        <v>88</v>
      </c>
      <c r="L13">
        <f>VLOOKUP(Sheet1!L13,LOOKUPS!$A$26:$B$27,2,FALSE)</f>
        <v>0</v>
      </c>
      <c r="M13">
        <v>2</v>
      </c>
      <c r="N13">
        <v>2</v>
      </c>
      <c r="O13">
        <v>2</v>
      </c>
      <c r="P13">
        <v>2</v>
      </c>
      <c r="Q13">
        <v>2</v>
      </c>
      <c r="R13">
        <f>VLOOKUP(Sheet1!R13,LOOKUPS!$A$39:$B$43,2,FALSE)</f>
        <v>1</v>
      </c>
      <c r="S13">
        <v>4</v>
      </c>
      <c r="T13">
        <f>VLOOKUP(Sheet1!T13,LOOKUPS!$A$31:$E$35,2,FALSE)</f>
        <v>3</v>
      </c>
      <c r="U13">
        <v>3</v>
      </c>
      <c r="V13">
        <v>3</v>
      </c>
      <c r="W13" t="s">
        <v>113</v>
      </c>
      <c r="X13">
        <v>59</v>
      </c>
      <c r="Y13" t="s">
        <v>121</v>
      </c>
    </row>
    <row r="14" spans="1:25" x14ac:dyDescent="0.3">
      <c r="A14" t="s">
        <v>26</v>
      </c>
      <c r="B14" t="s">
        <v>32</v>
      </c>
      <c r="C14" t="s">
        <v>35</v>
      </c>
      <c r="D14" t="s">
        <v>37</v>
      </c>
      <c r="E14" t="s">
        <v>42</v>
      </c>
      <c r="F14" t="s">
        <v>56</v>
      </c>
      <c r="G14">
        <f>VLOOKUP(Sheet1!G14,LOOKUPS!$A$3:$B$9,2,FALSE)</f>
        <v>5</v>
      </c>
      <c r="H14">
        <f>VLOOKUP(Sheet1!H14,LOOKUPS!$A$13:$B$14,2,FALSE)</f>
        <v>1</v>
      </c>
      <c r="I14" t="s">
        <v>59</v>
      </c>
      <c r="J14">
        <f>VLOOKUP(Sheet1!J14,LOOKUPS!$A$18:$B$22,2,FALSE)</f>
        <v>3</v>
      </c>
      <c r="K14" t="s">
        <v>92</v>
      </c>
      <c r="L14">
        <f>VLOOKUP(Sheet1!L14,LOOKUPS!$A$26:$B$27,2,FALSE)</f>
        <v>1</v>
      </c>
      <c r="M14">
        <v>2</v>
      </c>
      <c r="N14">
        <v>3</v>
      </c>
      <c r="O14">
        <v>3</v>
      </c>
      <c r="P14">
        <v>2</v>
      </c>
      <c r="Q14">
        <v>2</v>
      </c>
      <c r="R14">
        <f>VLOOKUP(Sheet1!R14,LOOKUPS!$A$39:$B$43,2,FALSE)</f>
        <v>4</v>
      </c>
      <c r="S14">
        <v>4</v>
      </c>
      <c r="T14">
        <f>VLOOKUP(Sheet1!T14,LOOKUPS!$A$31:$E$35,2,FALSE)</f>
        <v>5</v>
      </c>
      <c r="U14">
        <v>3</v>
      </c>
      <c r="V14">
        <v>3</v>
      </c>
      <c r="W14" t="s">
        <v>114</v>
      </c>
      <c r="X14">
        <v>18</v>
      </c>
      <c r="Y14" t="s">
        <v>120</v>
      </c>
    </row>
    <row r="15" spans="1:25" x14ac:dyDescent="0.3">
      <c r="A15" t="s">
        <v>25</v>
      </c>
      <c r="B15" t="s">
        <v>32</v>
      </c>
      <c r="C15" t="s">
        <v>35</v>
      </c>
      <c r="D15" t="s">
        <v>37</v>
      </c>
      <c r="E15" t="s">
        <v>33</v>
      </c>
      <c r="F15" t="s">
        <v>57</v>
      </c>
      <c r="G15">
        <f>VLOOKUP(Sheet1!G15,LOOKUPS!$A$3:$B$9,2,FALSE)</f>
        <v>5</v>
      </c>
      <c r="H15">
        <f>VLOOKUP(Sheet1!H15,LOOKUPS!$A$13:$B$14,2,FALSE)</f>
        <v>0</v>
      </c>
      <c r="J15">
        <f>VLOOKUP(Sheet1!J15,LOOKUPS!$A$18:$B$22,2,FALSE)</f>
        <v>1</v>
      </c>
      <c r="K15" t="s">
        <v>87</v>
      </c>
      <c r="L15">
        <f>VLOOKUP(Sheet1!L15,LOOKUPS!$A$26:$B$27,2,FALSE)</f>
        <v>1</v>
      </c>
      <c r="M15">
        <v>4</v>
      </c>
      <c r="N15">
        <v>4</v>
      </c>
      <c r="O15">
        <v>4</v>
      </c>
      <c r="P15">
        <v>4</v>
      </c>
      <c r="Q15">
        <v>4</v>
      </c>
      <c r="R15">
        <f>VLOOKUP(Sheet1!R15,LOOKUPS!$A$39:$B$43,2,FALSE)</f>
        <v>5</v>
      </c>
      <c r="S15">
        <v>3</v>
      </c>
      <c r="T15">
        <f>VLOOKUP(Sheet1!T15,LOOKUPS!$A$31:$E$35,2,FALSE)</f>
        <v>5</v>
      </c>
      <c r="U15">
        <v>5</v>
      </c>
      <c r="V15">
        <v>4</v>
      </c>
      <c r="W15" t="s">
        <v>111</v>
      </c>
      <c r="X15">
        <v>208</v>
      </c>
      <c r="Y15" t="s">
        <v>120</v>
      </c>
    </row>
    <row r="16" spans="1:25" x14ac:dyDescent="0.3">
      <c r="A16" t="s">
        <v>27</v>
      </c>
      <c r="B16" t="s">
        <v>32</v>
      </c>
      <c r="C16" t="s">
        <v>35</v>
      </c>
      <c r="D16" t="s">
        <v>38</v>
      </c>
      <c r="E16" t="s">
        <v>33</v>
      </c>
      <c r="F16" t="s">
        <v>53</v>
      </c>
      <c r="G16">
        <f>VLOOKUP(Sheet1!G16,LOOKUPS!$A$3:$B$9,2,FALSE)</f>
        <v>5</v>
      </c>
      <c r="H16">
        <f>VLOOKUP(Sheet1!H16,LOOKUPS!$A$13:$B$14,2,FALSE)</f>
        <v>1</v>
      </c>
      <c r="I16" t="s">
        <v>66</v>
      </c>
      <c r="J16">
        <f>VLOOKUP(Sheet1!J16,LOOKUPS!$A$18:$B$22,2,FALSE)</f>
        <v>2</v>
      </c>
      <c r="K16" t="s">
        <v>93</v>
      </c>
      <c r="L16">
        <f>VLOOKUP(Sheet1!L16,LOOKUPS!$A$26:$B$27,2,FALSE)</f>
        <v>1</v>
      </c>
      <c r="M16">
        <v>3</v>
      </c>
      <c r="N16">
        <v>2</v>
      </c>
      <c r="O16">
        <v>3</v>
      </c>
      <c r="P16">
        <v>2</v>
      </c>
      <c r="Q16">
        <v>3</v>
      </c>
      <c r="R16">
        <f>VLOOKUP(Sheet1!R16,LOOKUPS!$A$39:$B$43,2,FALSE)</f>
        <v>4</v>
      </c>
      <c r="S16">
        <v>3</v>
      </c>
      <c r="T16">
        <f>VLOOKUP(Sheet1!T16,LOOKUPS!$A$31:$E$35,2,FALSE)</f>
        <v>2</v>
      </c>
      <c r="U16">
        <v>3</v>
      </c>
      <c r="V16">
        <v>3</v>
      </c>
      <c r="W16" t="s">
        <v>110</v>
      </c>
      <c r="X16">
        <v>37</v>
      </c>
      <c r="Y16" t="s">
        <v>121</v>
      </c>
    </row>
    <row r="17" spans="1:25" x14ac:dyDescent="0.3">
      <c r="A17" t="s">
        <v>26</v>
      </c>
      <c r="B17" t="s">
        <v>33</v>
      </c>
      <c r="C17" t="s">
        <v>36</v>
      </c>
      <c r="D17" t="s">
        <v>37</v>
      </c>
      <c r="E17" t="s">
        <v>42</v>
      </c>
      <c r="F17" t="s">
        <v>49</v>
      </c>
      <c r="G17">
        <f>VLOOKUP(Sheet1!G17,LOOKUPS!$A$3:$B$9,2,FALSE)</f>
        <v>3</v>
      </c>
      <c r="H17">
        <f>VLOOKUP(Sheet1!H17,LOOKUPS!$A$13:$B$14,2,FALSE)</f>
        <v>1</v>
      </c>
      <c r="I17" t="s">
        <v>59</v>
      </c>
      <c r="J17">
        <f>VLOOKUP(Sheet1!J17,LOOKUPS!$A$18:$B$22,2,FALSE)</f>
        <v>4</v>
      </c>
      <c r="K17" t="s">
        <v>93</v>
      </c>
      <c r="L17">
        <f>VLOOKUP(Sheet1!L17,LOOKUPS!$A$26:$B$27,2,FALSE)</f>
        <v>1</v>
      </c>
      <c r="M17">
        <v>2</v>
      </c>
      <c r="N17">
        <v>3</v>
      </c>
      <c r="O17">
        <v>2</v>
      </c>
      <c r="P17">
        <v>2</v>
      </c>
      <c r="Q17">
        <v>2</v>
      </c>
      <c r="R17">
        <f>VLOOKUP(Sheet1!R17,LOOKUPS!$A$39:$B$43,2,FALSE)</f>
        <v>2</v>
      </c>
      <c r="S17">
        <v>4</v>
      </c>
      <c r="T17">
        <f>VLOOKUP(Sheet1!T17,LOOKUPS!$A$31:$E$35,2,FALSE)</f>
        <v>1</v>
      </c>
      <c r="U17">
        <v>3</v>
      </c>
      <c r="V17">
        <v>3</v>
      </c>
      <c r="W17" t="s">
        <v>113</v>
      </c>
      <c r="X17">
        <v>82</v>
      </c>
      <c r="Y17" t="s">
        <v>124</v>
      </c>
    </row>
    <row r="18" spans="1:25" x14ac:dyDescent="0.3">
      <c r="A18" t="s">
        <v>26</v>
      </c>
      <c r="B18" t="s">
        <v>30</v>
      </c>
      <c r="C18" t="s">
        <v>35</v>
      </c>
      <c r="D18" t="s">
        <v>37</v>
      </c>
      <c r="E18" t="s">
        <v>44</v>
      </c>
      <c r="F18" t="s">
        <v>58</v>
      </c>
      <c r="G18">
        <f>VLOOKUP(Sheet1!G18,LOOKUPS!$A$3:$B$9,2,FALSE)</f>
        <v>6</v>
      </c>
      <c r="H18">
        <f>VLOOKUP(Sheet1!H18,LOOKUPS!$A$13:$B$14,2,FALSE)</f>
        <v>1</v>
      </c>
      <c r="I18" t="s">
        <v>59</v>
      </c>
      <c r="J18">
        <f>VLOOKUP(Sheet1!J18,LOOKUPS!$A$18:$B$22,2,FALSE)</f>
        <v>3</v>
      </c>
      <c r="K18" t="s">
        <v>94</v>
      </c>
      <c r="L18">
        <f>VLOOKUP(Sheet1!L18,LOOKUPS!$A$26:$B$27,2,FALSE)</f>
        <v>1</v>
      </c>
      <c r="M18">
        <v>3</v>
      </c>
      <c r="N18">
        <v>3</v>
      </c>
      <c r="O18">
        <v>3</v>
      </c>
      <c r="P18">
        <v>2</v>
      </c>
      <c r="Q18">
        <v>3</v>
      </c>
      <c r="R18">
        <f>VLOOKUP(Sheet1!R18,LOOKUPS!$A$39:$B$43,2,FALSE)</f>
        <v>5</v>
      </c>
      <c r="S18">
        <v>3</v>
      </c>
      <c r="T18">
        <f>VLOOKUP(Sheet1!T18,LOOKUPS!$A$31:$E$35,2,FALSE)</f>
        <v>1</v>
      </c>
      <c r="U18">
        <v>3</v>
      </c>
      <c r="V18">
        <v>4</v>
      </c>
      <c r="W18" t="s">
        <v>114</v>
      </c>
      <c r="X18">
        <v>110</v>
      </c>
      <c r="Y18" t="s">
        <v>124</v>
      </c>
    </row>
    <row r="19" spans="1:25" x14ac:dyDescent="0.3">
      <c r="A19" t="s">
        <v>27</v>
      </c>
      <c r="B19" t="s">
        <v>30</v>
      </c>
      <c r="C19" t="s">
        <v>35</v>
      </c>
      <c r="D19" t="s">
        <v>37</v>
      </c>
      <c r="E19" t="s">
        <v>44</v>
      </c>
      <c r="F19" t="s">
        <v>59</v>
      </c>
      <c r="G19">
        <f>VLOOKUP(Sheet1!G19,LOOKUPS!$A$3:$B$9,2,FALSE)</f>
        <v>5</v>
      </c>
      <c r="H19">
        <f>VLOOKUP(Sheet1!H19,LOOKUPS!$A$13:$B$14,2,FALSE)</f>
        <v>1</v>
      </c>
      <c r="I19" t="s">
        <v>59</v>
      </c>
      <c r="J19">
        <f>VLOOKUP(Sheet1!J19,LOOKUPS!$A$18:$B$22,2,FALSE)</f>
        <v>2</v>
      </c>
      <c r="K19" t="s">
        <v>95</v>
      </c>
      <c r="L19">
        <f>VLOOKUP(Sheet1!L19,LOOKUPS!$A$26:$B$27,2,FALSE)</f>
        <v>1</v>
      </c>
      <c r="M19">
        <v>3</v>
      </c>
      <c r="N19">
        <v>3</v>
      </c>
      <c r="O19">
        <v>3</v>
      </c>
      <c r="P19">
        <v>3</v>
      </c>
      <c r="Q19">
        <v>3</v>
      </c>
      <c r="R19">
        <f>VLOOKUP(Sheet1!R19,LOOKUPS!$A$39:$B$43,2,FALSE)</f>
        <v>4</v>
      </c>
      <c r="S19">
        <v>3</v>
      </c>
      <c r="T19">
        <f>VLOOKUP(Sheet1!T19,LOOKUPS!$A$31:$E$35,2,FALSE)</f>
        <v>4</v>
      </c>
      <c r="U19">
        <v>3</v>
      </c>
      <c r="V19">
        <v>3</v>
      </c>
      <c r="W19" t="s">
        <v>112</v>
      </c>
      <c r="X19">
        <v>137</v>
      </c>
      <c r="Y19" t="s">
        <v>122</v>
      </c>
    </row>
    <row r="20" spans="1:25" x14ac:dyDescent="0.3">
      <c r="A20" t="s">
        <v>26</v>
      </c>
      <c r="B20" t="s">
        <v>32</v>
      </c>
      <c r="C20" t="s">
        <v>35</v>
      </c>
      <c r="D20" t="s">
        <v>37</v>
      </c>
      <c r="E20" t="s">
        <v>44</v>
      </c>
      <c r="F20" t="s">
        <v>50</v>
      </c>
      <c r="G20">
        <f>VLOOKUP(Sheet1!G20,LOOKUPS!$A$3:$B$9,2,FALSE)</f>
        <v>5</v>
      </c>
      <c r="H20">
        <f>VLOOKUP(Sheet1!H20,LOOKUPS!$A$13:$B$14,2,FALSE)</f>
        <v>1</v>
      </c>
      <c r="I20" t="s">
        <v>66</v>
      </c>
      <c r="J20">
        <f>VLOOKUP(Sheet1!J20,LOOKUPS!$A$18:$B$22,2,FALSE)</f>
        <v>3</v>
      </c>
      <c r="K20" t="s">
        <v>89</v>
      </c>
      <c r="L20">
        <f>VLOOKUP(Sheet1!L20,LOOKUPS!$A$26:$B$27,2,FALSE)</f>
        <v>0</v>
      </c>
      <c r="M20">
        <v>3</v>
      </c>
      <c r="N20">
        <v>3</v>
      </c>
      <c r="O20">
        <v>3</v>
      </c>
      <c r="P20">
        <v>3</v>
      </c>
      <c r="Q20">
        <v>3</v>
      </c>
      <c r="R20">
        <f>VLOOKUP(Sheet1!R20,LOOKUPS!$A$39:$B$43,2,FALSE)</f>
        <v>2</v>
      </c>
      <c r="S20">
        <v>3</v>
      </c>
      <c r="T20">
        <f>VLOOKUP(Sheet1!T20,LOOKUPS!$A$31:$E$35,2,FALSE)</f>
        <v>1</v>
      </c>
      <c r="U20">
        <v>4</v>
      </c>
      <c r="V20">
        <v>3</v>
      </c>
      <c r="W20" t="s">
        <v>111</v>
      </c>
      <c r="X20">
        <v>136</v>
      </c>
      <c r="Y20" t="s">
        <v>122</v>
      </c>
    </row>
    <row r="21" spans="1:25" x14ac:dyDescent="0.3">
      <c r="A21" t="s">
        <v>25</v>
      </c>
      <c r="B21" t="s">
        <v>30</v>
      </c>
      <c r="C21" t="s">
        <v>36</v>
      </c>
      <c r="D21" t="s">
        <v>39</v>
      </c>
      <c r="E21" t="s">
        <v>43</v>
      </c>
      <c r="F21" t="s">
        <v>60</v>
      </c>
      <c r="G21">
        <f>VLOOKUP(Sheet1!G21,LOOKUPS!$A$3:$B$9,2,FALSE)</f>
        <v>7</v>
      </c>
      <c r="H21">
        <f>VLOOKUP(Sheet1!H21,LOOKUPS!$A$13:$B$14,2,FALSE)</f>
        <v>1</v>
      </c>
      <c r="I21" t="s">
        <v>66</v>
      </c>
      <c r="J21">
        <f>VLOOKUP(Sheet1!J21,LOOKUPS!$A$18:$B$22,2,FALSE)</f>
        <v>5</v>
      </c>
      <c r="K21" t="s">
        <v>87</v>
      </c>
      <c r="L21">
        <f>VLOOKUP(Sheet1!L21,LOOKUPS!$A$26:$B$27,2,FALSE)</f>
        <v>0</v>
      </c>
      <c r="M21">
        <v>2</v>
      </c>
      <c r="N21">
        <v>2</v>
      </c>
      <c r="O21">
        <v>2</v>
      </c>
      <c r="P21">
        <v>2</v>
      </c>
      <c r="Q21">
        <v>2</v>
      </c>
      <c r="R21">
        <f>VLOOKUP(Sheet1!R21,LOOKUPS!$A$39:$B$43,2,FALSE)</f>
        <v>4</v>
      </c>
      <c r="S21">
        <v>4</v>
      </c>
      <c r="T21">
        <f>VLOOKUP(Sheet1!T21,LOOKUPS!$A$31:$E$35,2,FALSE)</f>
        <v>4</v>
      </c>
      <c r="U21">
        <v>2</v>
      </c>
      <c r="V21">
        <v>3</v>
      </c>
      <c r="W21" t="s">
        <v>110</v>
      </c>
      <c r="X21">
        <v>24</v>
      </c>
      <c r="Y21" t="s">
        <v>121</v>
      </c>
    </row>
    <row r="22" spans="1:25" x14ac:dyDescent="0.3">
      <c r="A22" t="s">
        <v>28</v>
      </c>
      <c r="B22" t="s">
        <v>30</v>
      </c>
      <c r="C22" t="s">
        <v>35</v>
      </c>
      <c r="D22" t="s">
        <v>38</v>
      </c>
      <c r="E22" t="s">
        <v>42</v>
      </c>
      <c r="F22" t="s">
        <v>51</v>
      </c>
      <c r="G22">
        <f>VLOOKUP(Sheet1!G22,LOOKUPS!$A$3:$B$9,2,FALSE)</f>
        <v>5</v>
      </c>
      <c r="H22">
        <f>VLOOKUP(Sheet1!H22,LOOKUPS!$A$13:$B$14,2,FALSE)</f>
        <v>1</v>
      </c>
      <c r="I22" t="s">
        <v>51</v>
      </c>
      <c r="J22">
        <f>VLOOKUP(Sheet1!J22,LOOKUPS!$A$18:$B$22,2,FALSE)</f>
        <v>1</v>
      </c>
      <c r="K22" t="s">
        <v>87</v>
      </c>
      <c r="L22">
        <f>VLOOKUP(Sheet1!L22,LOOKUPS!$A$26:$B$27,2,FALSE)</f>
        <v>1</v>
      </c>
      <c r="M22">
        <v>2</v>
      </c>
      <c r="N22">
        <v>2</v>
      </c>
      <c r="O22">
        <v>3</v>
      </c>
      <c r="P22">
        <v>1</v>
      </c>
      <c r="Q22">
        <v>2</v>
      </c>
      <c r="R22">
        <f>VLOOKUP(Sheet1!R22,LOOKUPS!$A$39:$B$43,2,FALSE)</f>
        <v>4</v>
      </c>
      <c r="S22">
        <v>4</v>
      </c>
      <c r="T22">
        <f>VLOOKUP(Sheet1!T22,LOOKUPS!$A$31:$E$35,2,FALSE)</f>
        <v>2</v>
      </c>
      <c r="U22">
        <v>2</v>
      </c>
      <c r="V22">
        <v>2</v>
      </c>
      <c r="W22" t="s">
        <v>113</v>
      </c>
      <c r="X22">
        <v>54</v>
      </c>
      <c r="Y22" t="s">
        <v>122</v>
      </c>
    </row>
    <row r="23" spans="1:25" x14ac:dyDescent="0.3">
      <c r="A23" t="s">
        <v>26</v>
      </c>
      <c r="B23" t="s">
        <v>30</v>
      </c>
      <c r="C23" t="s">
        <v>36</v>
      </c>
      <c r="D23" t="s">
        <v>38</v>
      </c>
      <c r="E23" t="s">
        <v>45</v>
      </c>
      <c r="F23" t="s">
        <v>61</v>
      </c>
      <c r="G23">
        <f>VLOOKUP(Sheet1!G23,LOOKUPS!$A$3:$B$9,2,FALSE)</f>
        <v>5</v>
      </c>
      <c r="H23">
        <f>VLOOKUP(Sheet1!H23,LOOKUPS!$A$13:$B$14,2,FALSE)</f>
        <v>0</v>
      </c>
      <c r="J23">
        <f>VLOOKUP(Sheet1!J23,LOOKUPS!$A$18:$B$22,2,FALSE)</f>
        <v>1</v>
      </c>
      <c r="K23" t="s">
        <v>87</v>
      </c>
      <c r="L23">
        <f>VLOOKUP(Sheet1!L23,LOOKUPS!$A$26:$B$27,2,FALSE)</f>
        <v>0</v>
      </c>
      <c r="M23">
        <v>3</v>
      </c>
      <c r="N23">
        <v>3</v>
      </c>
      <c r="O23">
        <v>3</v>
      </c>
      <c r="P23">
        <v>3</v>
      </c>
      <c r="Q23">
        <v>3</v>
      </c>
      <c r="R23">
        <f>VLOOKUP(Sheet1!R23,LOOKUPS!$A$39:$B$43,2,FALSE)</f>
        <v>4</v>
      </c>
      <c r="S23">
        <v>4</v>
      </c>
      <c r="T23">
        <f>VLOOKUP(Sheet1!T23,LOOKUPS!$A$31:$E$35,2,FALSE)</f>
        <v>1</v>
      </c>
      <c r="U23">
        <v>4</v>
      </c>
      <c r="V23">
        <v>3</v>
      </c>
      <c r="W23" t="s">
        <v>114</v>
      </c>
      <c r="X23">
        <v>96</v>
      </c>
      <c r="Y23" t="s">
        <v>122</v>
      </c>
    </row>
    <row r="24" spans="1:25" x14ac:dyDescent="0.3">
      <c r="A24" t="s">
        <v>25</v>
      </c>
      <c r="B24" t="s">
        <v>32</v>
      </c>
      <c r="C24" t="s">
        <v>34</v>
      </c>
      <c r="D24" t="s">
        <v>37</v>
      </c>
      <c r="E24" t="s">
        <v>43</v>
      </c>
      <c r="F24" t="s">
        <v>62</v>
      </c>
      <c r="G24">
        <f>VLOOKUP(Sheet1!G24,LOOKUPS!$A$3:$B$9,2,FALSE)</f>
        <v>1</v>
      </c>
      <c r="H24">
        <f>VLOOKUP(Sheet1!H24,LOOKUPS!$A$13:$B$14,2,FALSE)</f>
        <v>0</v>
      </c>
      <c r="J24">
        <f>VLOOKUP(Sheet1!J24,LOOKUPS!$A$18:$B$22,2,FALSE)</f>
        <v>1</v>
      </c>
      <c r="K24" t="s">
        <v>87</v>
      </c>
      <c r="L24">
        <f>VLOOKUP(Sheet1!L24,LOOKUPS!$A$26:$B$27,2,FALSE)</f>
        <v>0</v>
      </c>
      <c r="M24">
        <v>4</v>
      </c>
      <c r="N24">
        <v>3</v>
      </c>
      <c r="O24">
        <v>4</v>
      </c>
      <c r="P24">
        <v>4</v>
      </c>
      <c r="Q24">
        <v>4</v>
      </c>
      <c r="R24">
        <f>VLOOKUP(Sheet1!R24,LOOKUPS!$A$39:$B$43,2,FALSE)</f>
        <v>1</v>
      </c>
      <c r="S24">
        <v>2</v>
      </c>
      <c r="T24">
        <f>VLOOKUP(Sheet1!T24,LOOKUPS!$A$31:$E$35,2,FALSE)</f>
        <v>4</v>
      </c>
      <c r="U24">
        <v>4</v>
      </c>
      <c r="V24">
        <v>4</v>
      </c>
      <c r="W24" t="s">
        <v>113</v>
      </c>
      <c r="X24">
        <v>35</v>
      </c>
      <c r="Y24" t="s">
        <v>123</v>
      </c>
    </row>
    <row r="25" spans="1:25" x14ac:dyDescent="0.3">
      <c r="A25" t="s">
        <v>26</v>
      </c>
      <c r="B25" t="s">
        <v>31</v>
      </c>
      <c r="C25" t="s">
        <v>35</v>
      </c>
      <c r="D25" t="s">
        <v>37</v>
      </c>
      <c r="E25" t="s">
        <v>42</v>
      </c>
      <c r="F25" t="s">
        <v>52</v>
      </c>
      <c r="G25">
        <f>VLOOKUP(Sheet1!G25,LOOKUPS!$A$3:$B$9,2,FALSE)</f>
        <v>3</v>
      </c>
      <c r="H25">
        <f>VLOOKUP(Sheet1!H25,LOOKUPS!$A$13:$B$14,2,FALSE)</f>
        <v>1</v>
      </c>
      <c r="I25" t="s">
        <v>66</v>
      </c>
      <c r="J25">
        <f>VLOOKUP(Sheet1!J25,LOOKUPS!$A$18:$B$22,2,FALSE)</f>
        <v>2</v>
      </c>
      <c r="K25" t="s">
        <v>96</v>
      </c>
      <c r="L25">
        <f>VLOOKUP(Sheet1!L25,LOOKUPS!$A$26:$B$27,2,FALSE)</f>
        <v>0</v>
      </c>
      <c r="M25">
        <v>3</v>
      </c>
      <c r="N25">
        <v>3</v>
      </c>
      <c r="O25">
        <v>4</v>
      </c>
      <c r="P25">
        <v>3</v>
      </c>
      <c r="Q25">
        <v>3</v>
      </c>
      <c r="R25">
        <f>VLOOKUP(Sheet1!R25,LOOKUPS!$A$39:$B$43,2,FALSE)</f>
        <v>4</v>
      </c>
      <c r="S25">
        <v>3</v>
      </c>
      <c r="T25">
        <f>VLOOKUP(Sheet1!T25,LOOKUPS!$A$31:$E$35,2,FALSE)</f>
        <v>5</v>
      </c>
      <c r="U25">
        <v>4</v>
      </c>
      <c r="V25">
        <v>3</v>
      </c>
      <c r="W25" t="s">
        <v>112</v>
      </c>
      <c r="X25">
        <v>127</v>
      </c>
      <c r="Y25" t="s">
        <v>121</v>
      </c>
    </row>
    <row r="26" spans="1:25" x14ac:dyDescent="0.3">
      <c r="A26" t="s">
        <v>25</v>
      </c>
      <c r="B26" t="s">
        <v>30</v>
      </c>
      <c r="C26" t="s">
        <v>34</v>
      </c>
      <c r="D26" t="s">
        <v>38</v>
      </c>
      <c r="E26" t="s">
        <v>46</v>
      </c>
      <c r="F26" t="s">
        <v>55</v>
      </c>
      <c r="G26">
        <f>VLOOKUP(Sheet1!G26,LOOKUPS!$A$3:$B$9,2,FALSE)</f>
        <v>2</v>
      </c>
      <c r="H26">
        <f>VLOOKUP(Sheet1!H26,LOOKUPS!$A$13:$B$14,2,FALSE)</f>
        <v>1</v>
      </c>
      <c r="I26" t="s">
        <v>66</v>
      </c>
      <c r="J26">
        <f>VLOOKUP(Sheet1!J26,LOOKUPS!$A$18:$B$22,2,FALSE)</f>
        <v>1</v>
      </c>
      <c r="K26" t="s">
        <v>86</v>
      </c>
      <c r="L26">
        <f>VLOOKUP(Sheet1!L26,LOOKUPS!$A$26:$B$27,2,FALSE)</f>
        <v>0</v>
      </c>
      <c r="M26">
        <v>3</v>
      </c>
      <c r="N26">
        <v>3</v>
      </c>
      <c r="O26">
        <v>4</v>
      </c>
      <c r="P26">
        <v>2</v>
      </c>
      <c r="Q26">
        <v>3</v>
      </c>
      <c r="R26">
        <f>VLOOKUP(Sheet1!R26,LOOKUPS!$A$39:$B$43,2,FALSE)</f>
        <v>1</v>
      </c>
      <c r="S26">
        <v>3</v>
      </c>
      <c r="T26">
        <f>VLOOKUP(Sheet1!T26,LOOKUPS!$A$31:$E$35,2,FALSE)</f>
        <v>4</v>
      </c>
      <c r="U26">
        <v>4</v>
      </c>
      <c r="V26">
        <v>3</v>
      </c>
      <c r="W26" t="s">
        <v>111</v>
      </c>
      <c r="X26">
        <v>161</v>
      </c>
      <c r="Y26" t="s">
        <v>122</v>
      </c>
    </row>
    <row r="27" spans="1:25" x14ac:dyDescent="0.3">
      <c r="A27" t="s">
        <v>25</v>
      </c>
      <c r="B27" t="s">
        <v>30</v>
      </c>
      <c r="C27" t="s">
        <v>35</v>
      </c>
      <c r="D27" t="s">
        <v>40</v>
      </c>
      <c r="E27" t="s">
        <v>45</v>
      </c>
      <c r="F27" t="s">
        <v>63</v>
      </c>
      <c r="G27">
        <f>VLOOKUP(Sheet1!G27,LOOKUPS!$A$3:$B$9,2,FALSE)</f>
        <v>6</v>
      </c>
      <c r="H27">
        <f>VLOOKUP(Sheet1!H27,LOOKUPS!$A$13:$B$14,2,FALSE)</f>
        <v>0</v>
      </c>
      <c r="J27">
        <f>VLOOKUP(Sheet1!J27,LOOKUPS!$A$18:$B$22,2,FALSE)</f>
        <v>1</v>
      </c>
      <c r="K27" t="s">
        <v>87</v>
      </c>
      <c r="L27">
        <f>VLOOKUP(Sheet1!L27,LOOKUPS!$A$26:$B$27,2,FALSE)</f>
        <v>1</v>
      </c>
      <c r="M27">
        <v>2</v>
      </c>
      <c r="N27">
        <v>3</v>
      </c>
      <c r="O27">
        <v>4</v>
      </c>
      <c r="P27">
        <v>3</v>
      </c>
      <c r="Q27">
        <v>3</v>
      </c>
      <c r="R27">
        <f>VLOOKUP(Sheet1!R27,LOOKUPS!$A$39:$B$43,2,FALSE)</f>
        <v>5</v>
      </c>
      <c r="S27">
        <v>3</v>
      </c>
      <c r="T27">
        <f>VLOOKUP(Sheet1!T27,LOOKUPS!$A$31:$E$35,2,FALSE)</f>
        <v>2</v>
      </c>
      <c r="U27">
        <v>4</v>
      </c>
      <c r="V27">
        <v>4</v>
      </c>
      <c r="W27" t="s">
        <v>113</v>
      </c>
      <c r="X27">
        <v>44</v>
      </c>
      <c r="Y27" t="s">
        <v>122</v>
      </c>
    </row>
    <row r="28" spans="1:25" x14ac:dyDescent="0.3">
      <c r="A28" t="s">
        <v>26</v>
      </c>
      <c r="B28" t="s">
        <v>33</v>
      </c>
      <c r="C28" t="s">
        <v>36</v>
      </c>
      <c r="D28" t="s">
        <v>39</v>
      </c>
      <c r="E28" t="s">
        <v>33</v>
      </c>
      <c r="F28" t="s">
        <v>58</v>
      </c>
      <c r="G28">
        <f>VLOOKUP(Sheet1!G28,LOOKUPS!$A$3:$B$9,2,FALSE)</f>
        <v>7</v>
      </c>
      <c r="H28">
        <f>VLOOKUP(Sheet1!H28,LOOKUPS!$A$13:$B$14,2,FALSE)</f>
        <v>0</v>
      </c>
      <c r="J28">
        <f>VLOOKUP(Sheet1!J28,LOOKUPS!$A$18:$B$22,2,FALSE)</f>
        <v>1</v>
      </c>
      <c r="K28" t="s">
        <v>87</v>
      </c>
      <c r="L28">
        <f>VLOOKUP(Sheet1!L28,LOOKUPS!$A$26:$B$27,2,FALSE)</f>
        <v>1</v>
      </c>
      <c r="M28">
        <v>3</v>
      </c>
      <c r="N28">
        <v>3</v>
      </c>
      <c r="O28">
        <v>4</v>
      </c>
      <c r="P28">
        <v>2</v>
      </c>
      <c r="Q28">
        <v>3</v>
      </c>
      <c r="R28">
        <f>VLOOKUP(Sheet1!R28,LOOKUPS!$A$39:$B$43,2,FALSE)</f>
        <v>5</v>
      </c>
      <c r="S28">
        <v>4</v>
      </c>
      <c r="T28">
        <f>VLOOKUP(Sheet1!T28,LOOKUPS!$A$31:$E$35,2,FALSE)</f>
        <v>5</v>
      </c>
      <c r="U28">
        <v>3</v>
      </c>
      <c r="V28">
        <v>4</v>
      </c>
      <c r="W28" t="s">
        <v>111</v>
      </c>
      <c r="X28">
        <v>139</v>
      </c>
      <c r="Y28" t="s">
        <v>124</v>
      </c>
    </row>
    <row r="29" spans="1:25" x14ac:dyDescent="0.3">
      <c r="A29" t="s">
        <v>26</v>
      </c>
      <c r="B29" t="s">
        <v>30</v>
      </c>
      <c r="C29" t="s">
        <v>36</v>
      </c>
      <c r="D29" t="s">
        <v>38</v>
      </c>
      <c r="E29" t="s">
        <v>43</v>
      </c>
      <c r="F29" t="s">
        <v>51</v>
      </c>
      <c r="G29">
        <f>VLOOKUP(Sheet1!G29,LOOKUPS!$A$3:$B$9,2,FALSE)</f>
        <v>7</v>
      </c>
      <c r="H29">
        <f>VLOOKUP(Sheet1!H29,LOOKUPS!$A$13:$B$14,2,FALSE)</f>
        <v>1</v>
      </c>
      <c r="I29" t="s">
        <v>51</v>
      </c>
      <c r="J29">
        <f>VLOOKUP(Sheet1!J29,LOOKUPS!$A$18:$B$22,2,FALSE)</f>
        <v>4</v>
      </c>
      <c r="K29" t="s">
        <v>95</v>
      </c>
      <c r="L29">
        <f>VLOOKUP(Sheet1!L29,LOOKUPS!$A$26:$B$27,2,FALSE)</f>
        <v>0</v>
      </c>
      <c r="M29">
        <v>1</v>
      </c>
      <c r="N29">
        <v>2</v>
      </c>
      <c r="O29">
        <v>2</v>
      </c>
      <c r="P29">
        <v>1</v>
      </c>
      <c r="Q29">
        <v>2</v>
      </c>
      <c r="R29">
        <f>VLOOKUP(Sheet1!R29,LOOKUPS!$A$39:$B$43,2,FALSE)</f>
        <v>4</v>
      </c>
      <c r="S29">
        <v>5</v>
      </c>
      <c r="T29">
        <f>VLOOKUP(Sheet1!T29,LOOKUPS!$A$31:$E$35,2,FALSE)</f>
        <v>3</v>
      </c>
      <c r="U29">
        <v>2</v>
      </c>
      <c r="V29">
        <v>3</v>
      </c>
      <c r="W29" t="s">
        <v>111</v>
      </c>
      <c r="X29">
        <v>179</v>
      </c>
      <c r="Y29" t="s">
        <v>124</v>
      </c>
    </row>
    <row r="30" spans="1:25" x14ac:dyDescent="0.3">
      <c r="A30" t="s">
        <v>26</v>
      </c>
      <c r="B30" t="s">
        <v>32</v>
      </c>
      <c r="C30" t="s">
        <v>35</v>
      </c>
      <c r="D30" t="s">
        <v>38</v>
      </c>
      <c r="E30" t="s">
        <v>42</v>
      </c>
      <c r="F30" t="s">
        <v>59</v>
      </c>
      <c r="G30">
        <f>VLOOKUP(Sheet1!G30,LOOKUPS!$A$3:$B$9,2,FALSE)</f>
        <v>6</v>
      </c>
      <c r="H30">
        <f>VLOOKUP(Sheet1!H30,LOOKUPS!$A$13:$B$14,2,FALSE)</f>
        <v>1</v>
      </c>
      <c r="I30" t="s">
        <v>59</v>
      </c>
      <c r="J30">
        <f>VLOOKUP(Sheet1!J30,LOOKUPS!$A$18:$B$22,2,FALSE)</f>
        <v>1</v>
      </c>
      <c r="K30" t="s">
        <v>86</v>
      </c>
      <c r="L30">
        <f>VLOOKUP(Sheet1!L30,LOOKUPS!$A$26:$B$27,2,FALSE)</f>
        <v>1</v>
      </c>
      <c r="M30">
        <v>2</v>
      </c>
      <c r="N30">
        <v>2</v>
      </c>
      <c r="O30">
        <v>3</v>
      </c>
      <c r="P30">
        <v>3</v>
      </c>
      <c r="Q30">
        <v>2</v>
      </c>
      <c r="R30">
        <f>VLOOKUP(Sheet1!R30,LOOKUPS!$A$39:$B$43,2,FALSE)</f>
        <v>2</v>
      </c>
      <c r="S30">
        <v>4</v>
      </c>
      <c r="T30">
        <f>VLOOKUP(Sheet1!T30,LOOKUPS!$A$31:$E$35,2,FALSE)</f>
        <v>4</v>
      </c>
      <c r="U30">
        <v>3</v>
      </c>
      <c r="V30">
        <v>2</v>
      </c>
      <c r="W30" t="s">
        <v>114</v>
      </c>
      <c r="X30">
        <v>161</v>
      </c>
      <c r="Y30" t="s">
        <v>122</v>
      </c>
    </row>
    <row r="31" spans="1:25" x14ac:dyDescent="0.3">
      <c r="A31" t="s">
        <v>29</v>
      </c>
      <c r="B31" t="s">
        <v>30</v>
      </c>
      <c r="C31" t="s">
        <v>36</v>
      </c>
      <c r="D31" t="s">
        <v>37</v>
      </c>
      <c r="E31" t="s">
        <v>42</v>
      </c>
      <c r="F31" t="s">
        <v>50</v>
      </c>
      <c r="G31">
        <f>VLOOKUP(Sheet1!G31,LOOKUPS!$A$3:$B$9,2,FALSE)</f>
        <v>7</v>
      </c>
      <c r="H31">
        <f>VLOOKUP(Sheet1!H31,LOOKUPS!$A$13:$B$14,2,FALSE)</f>
        <v>1</v>
      </c>
      <c r="I31" t="s">
        <v>66</v>
      </c>
      <c r="J31">
        <f>VLOOKUP(Sheet1!J31,LOOKUPS!$A$18:$B$22,2,FALSE)</f>
        <v>1</v>
      </c>
      <c r="K31" t="s">
        <v>97</v>
      </c>
      <c r="L31">
        <f>VLOOKUP(Sheet1!L31,LOOKUPS!$A$26:$B$27,2,FALSE)</f>
        <v>0</v>
      </c>
      <c r="M31">
        <v>3</v>
      </c>
      <c r="N31">
        <v>4</v>
      </c>
      <c r="O31">
        <v>4</v>
      </c>
      <c r="P31">
        <v>4</v>
      </c>
      <c r="Q31">
        <v>3</v>
      </c>
      <c r="R31">
        <f>VLOOKUP(Sheet1!R31,LOOKUPS!$A$39:$B$43,2,FALSE)</f>
        <v>5</v>
      </c>
      <c r="S31">
        <v>2</v>
      </c>
      <c r="T31">
        <f>VLOOKUP(Sheet1!T31,LOOKUPS!$A$31:$E$35,2,FALSE)</f>
        <v>1</v>
      </c>
      <c r="U31">
        <v>4</v>
      </c>
      <c r="V31">
        <v>4</v>
      </c>
      <c r="W31" t="s">
        <v>110</v>
      </c>
      <c r="X31">
        <v>71</v>
      </c>
      <c r="Y31" t="s">
        <v>124</v>
      </c>
    </row>
    <row r="32" spans="1:25" x14ac:dyDescent="0.3">
      <c r="A32" t="s">
        <v>29</v>
      </c>
      <c r="B32" t="s">
        <v>32</v>
      </c>
      <c r="C32" t="s">
        <v>35</v>
      </c>
      <c r="D32" t="s">
        <v>37</v>
      </c>
      <c r="E32" t="s">
        <v>43</v>
      </c>
      <c r="F32" t="s">
        <v>64</v>
      </c>
      <c r="G32">
        <f>VLOOKUP(Sheet1!G32,LOOKUPS!$A$3:$B$9,2,FALSE)</f>
        <v>4</v>
      </c>
      <c r="H32">
        <f>VLOOKUP(Sheet1!H32,LOOKUPS!$A$13:$B$14,2,FALSE)</f>
        <v>0</v>
      </c>
      <c r="J32">
        <f>VLOOKUP(Sheet1!J32,LOOKUPS!$A$18:$B$22,2,FALSE)</f>
        <v>1</v>
      </c>
      <c r="K32" t="s">
        <v>87</v>
      </c>
      <c r="L32">
        <f>VLOOKUP(Sheet1!L32,LOOKUPS!$A$26:$B$27,2,FALSE)</f>
        <v>1</v>
      </c>
      <c r="M32">
        <v>4</v>
      </c>
      <c r="N32">
        <v>4</v>
      </c>
      <c r="O32">
        <v>4</v>
      </c>
      <c r="P32">
        <v>3</v>
      </c>
      <c r="Q32">
        <v>3</v>
      </c>
      <c r="R32">
        <f>VLOOKUP(Sheet1!R32,LOOKUPS!$A$39:$B$43,2,FALSE)</f>
        <v>4</v>
      </c>
      <c r="S32">
        <v>3</v>
      </c>
      <c r="T32">
        <f>VLOOKUP(Sheet1!T32,LOOKUPS!$A$31:$E$35,2,FALSE)</f>
        <v>3</v>
      </c>
      <c r="U32">
        <v>4</v>
      </c>
      <c r="V32">
        <v>4</v>
      </c>
      <c r="W32" t="s">
        <v>113</v>
      </c>
      <c r="X32">
        <v>17</v>
      </c>
      <c r="Y32" t="s">
        <v>122</v>
      </c>
    </row>
    <row r="33" spans="1:25" x14ac:dyDescent="0.3">
      <c r="A33" t="s">
        <v>26</v>
      </c>
      <c r="B33" t="s">
        <v>30</v>
      </c>
      <c r="C33" t="s">
        <v>36</v>
      </c>
      <c r="D33" t="s">
        <v>38</v>
      </c>
      <c r="E33" t="s">
        <v>43</v>
      </c>
      <c r="F33" t="s">
        <v>65</v>
      </c>
      <c r="G33">
        <f>VLOOKUP(Sheet1!G33,LOOKUPS!$A$3:$B$9,2,FALSE)</f>
        <v>7</v>
      </c>
      <c r="H33">
        <f>VLOOKUP(Sheet1!H33,LOOKUPS!$A$13:$B$14,2,FALSE)</f>
        <v>0</v>
      </c>
      <c r="J33">
        <f>VLOOKUP(Sheet1!J33,LOOKUPS!$A$18:$B$22,2,FALSE)</f>
        <v>1</v>
      </c>
      <c r="K33" t="s">
        <v>87</v>
      </c>
      <c r="L33">
        <f>VLOOKUP(Sheet1!L33,LOOKUPS!$A$26:$B$27,2,FALSE)</f>
        <v>0</v>
      </c>
      <c r="M33">
        <v>4</v>
      </c>
      <c r="N33">
        <v>4</v>
      </c>
      <c r="O33">
        <v>4</v>
      </c>
      <c r="P33">
        <v>4</v>
      </c>
      <c r="Q33">
        <v>4</v>
      </c>
      <c r="R33">
        <f>VLOOKUP(Sheet1!R33,LOOKUPS!$A$39:$B$43,2,FALSE)</f>
        <v>4</v>
      </c>
      <c r="S33">
        <v>2</v>
      </c>
      <c r="T33">
        <f>VLOOKUP(Sheet1!T33,LOOKUPS!$A$31:$E$35,2,FALSE)</f>
        <v>4</v>
      </c>
      <c r="U33">
        <v>5</v>
      </c>
      <c r="V33">
        <v>5</v>
      </c>
      <c r="W33" t="s">
        <v>112</v>
      </c>
      <c r="X33">
        <v>133</v>
      </c>
      <c r="Y33" t="s">
        <v>121</v>
      </c>
    </row>
    <row r="34" spans="1:25" x14ac:dyDescent="0.3">
      <c r="A34" t="s">
        <v>25</v>
      </c>
      <c r="B34" t="s">
        <v>30</v>
      </c>
      <c r="C34" t="s">
        <v>35</v>
      </c>
      <c r="D34" t="s">
        <v>37</v>
      </c>
      <c r="E34" t="s">
        <v>42</v>
      </c>
      <c r="F34" t="s">
        <v>55</v>
      </c>
      <c r="G34">
        <f>VLOOKUP(Sheet1!G34,LOOKUPS!$A$3:$B$9,2,FALSE)</f>
        <v>6</v>
      </c>
      <c r="H34">
        <f>VLOOKUP(Sheet1!H34,LOOKUPS!$A$13:$B$14,2,FALSE)</f>
        <v>1</v>
      </c>
      <c r="I34" t="s">
        <v>66</v>
      </c>
      <c r="J34">
        <f>VLOOKUP(Sheet1!J34,LOOKUPS!$A$18:$B$22,2,FALSE)</f>
        <v>3</v>
      </c>
      <c r="K34" t="s">
        <v>98</v>
      </c>
      <c r="L34">
        <f>VLOOKUP(Sheet1!L34,LOOKUPS!$A$26:$B$27,2,FALSE)</f>
        <v>0</v>
      </c>
      <c r="M34">
        <v>2</v>
      </c>
      <c r="N34">
        <v>3</v>
      </c>
      <c r="O34">
        <v>3</v>
      </c>
      <c r="P34">
        <v>3</v>
      </c>
      <c r="Q34">
        <v>3</v>
      </c>
      <c r="R34">
        <f>VLOOKUP(Sheet1!R34,LOOKUPS!$A$39:$B$43,2,FALSE)</f>
        <v>4</v>
      </c>
      <c r="S34">
        <v>3</v>
      </c>
      <c r="T34">
        <f>VLOOKUP(Sheet1!T34,LOOKUPS!$A$31:$E$35,2,FALSE)</f>
        <v>3</v>
      </c>
      <c r="U34">
        <v>3</v>
      </c>
      <c r="V34">
        <v>3</v>
      </c>
      <c r="W34" t="s">
        <v>112</v>
      </c>
      <c r="X34">
        <v>146</v>
      </c>
      <c r="Y34" t="s">
        <v>121</v>
      </c>
    </row>
    <row r="35" spans="1:25" x14ac:dyDescent="0.3">
      <c r="A35" t="s">
        <v>26</v>
      </c>
      <c r="B35" t="s">
        <v>30</v>
      </c>
      <c r="C35" t="s">
        <v>35</v>
      </c>
      <c r="D35" t="s">
        <v>38</v>
      </c>
      <c r="E35" t="s">
        <v>43</v>
      </c>
      <c r="F35" t="s">
        <v>59</v>
      </c>
      <c r="G35">
        <f>VLOOKUP(Sheet1!G35,LOOKUPS!$A$3:$B$9,2,FALSE)</f>
        <v>5</v>
      </c>
      <c r="H35">
        <f>VLOOKUP(Sheet1!H35,LOOKUPS!$A$13:$B$14,2,FALSE)</f>
        <v>0</v>
      </c>
      <c r="J35">
        <f>VLOOKUP(Sheet1!J35,LOOKUPS!$A$18:$B$22,2,FALSE)</f>
        <v>1</v>
      </c>
      <c r="K35" t="s">
        <v>87</v>
      </c>
      <c r="L35">
        <f>VLOOKUP(Sheet1!L35,LOOKUPS!$A$26:$B$27,2,FALSE)</f>
        <v>1</v>
      </c>
      <c r="M35">
        <v>3</v>
      </c>
      <c r="N35">
        <v>3</v>
      </c>
      <c r="O35">
        <v>4</v>
      </c>
      <c r="P35">
        <v>3</v>
      </c>
      <c r="Q35">
        <v>3</v>
      </c>
      <c r="R35">
        <f>VLOOKUP(Sheet1!R35,LOOKUPS!$A$39:$B$43,2,FALSE)</f>
        <v>2</v>
      </c>
      <c r="S35">
        <v>3</v>
      </c>
      <c r="T35">
        <f>VLOOKUP(Sheet1!T35,LOOKUPS!$A$31:$E$35,2,FALSE)</f>
        <v>1</v>
      </c>
      <c r="U35">
        <v>4</v>
      </c>
      <c r="V35">
        <v>4</v>
      </c>
      <c r="W35" t="s">
        <v>112</v>
      </c>
      <c r="X35">
        <v>160</v>
      </c>
      <c r="Y35" t="s">
        <v>122</v>
      </c>
    </row>
    <row r="36" spans="1:25" x14ac:dyDescent="0.3">
      <c r="A36" t="s">
        <v>25</v>
      </c>
      <c r="B36" t="s">
        <v>30</v>
      </c>
      <c r="C36" t="s">
        <v>36</v>
      </c>
      <c r="D36" t="s">
        <v>37</v>
      </c>
      <c r="E36" t="s">
        <v>44</v>
      </c>
      <c r="F36" t="s">
        <v>66</v>
      </c>
      <c r="G36">
        <f>VLOOKUP(Sheet1!G36,LOOKUPS!$A$3:$B$9,2,FALSE)</f>
        <v>6</v>
      </c>
      <c r="H36">
        <f>VLOOKUP(Sheet1!H36,LOOKUPS!$A$13:$B$14,2,FALSE)</f>
        <v>0</v>
      </c>
      <c r="J36">
        <f>VLOOKUP(Sheet1!J36,LOOKUPS!$A$18:$B$22,2,FALSE)</f>
        <v>1</v>
      </c>
      <c r="K36" t="s">
        <v>87</v>
      </c>
      <c r="L36">
        <f>VLOOKUP(Sheet1!L36,LOOKUPS!$A$26:$B$27,2,FALSE)</f>
        <v>0</v>
      </c>
      <c r="M36">
        <v>3</v>
      </c>
      <c r="N36">
        <v>2</v>
      </c>
      <c r="O36">
        <v>3</v>
      </c>
      <c r="P36">
        <v>3</v>
      </c>
      <c r="Q36">
        <v>3</v>
      </c>
      <c r="R36">
        <f>VLOOKUP(Sheet1!R36,LOOKUPS!$A$39:$B$43,2,FALSE)</f>
        <v>4</v>
      </c>
      <c r="S36">
        <v>4</v>
      </c>
      <c r="T36">
        <f>VLOOKUP(Sheet1!T36,LOOKUPS!$A$31:$E$35,2,FALSE)</f>
        <v>4</v>
      </c>
      <c r="U36">
        <v>3</v>
      </c>
      <c r="V36">
        <v>3</v>
      </c>
      <c r="W36" t="s">
        <v>111</v>
      </c>
      <c r="X36">
        <v>105</v>
      </c>
      <c r="Y36" t="s">
        <v>122</v>
      </c>
    </row>
    <row r="37" spans="1:25" x14ac:dyDescent="0.3">
      <c r="A37" t="s">
        <v>26</v>
      </c>
      <c r="B37" t="s">
        <v>30</v>
      </c>
      <c r="C37" t="s">
        <v>35</v>
      </c>
      <c r="D37" t="s">
        <v>37</v>
      </c>
      <c r="E37" t="s">
        <v>46</v>
      </c>
      <c r="F37" t="s">
        <v>67</v>
      </c>
      <c r="G37">
        <f>VLOOKUP(Sheet1!G37,LOOKUPS!$A$3:$B$9,2,FALSE)</f>
        <v>6</v>
      </c>
      <c r="H37">
        <f>VLOOKUP(Sheet1!H37,LOOKUPS!$A$13:$B$14,2,FALSE)</f>
        <v>1</v>
      </c>
      <c r="I37" t="s">
        <v>66</v>
      </c>
      <c r="J37">
        <f>VLOOKUP(Sheet1!J37,LOOKUPS!$A$18:$B$22,2,FALSE)</f>
        <v>5</v>
      </c>
      <c r="K37" t="s">
        <v>87</v>
      </c>
      <c r="L37">
        <f>VLOOKUP(Sheet1!L37,LOOKUPS!$A$26:$B$27,2,FALSE)</f>
        <v>0</v>
      </c>
      <c r="M37">
        <v>3</v>
      </c>
      <c r="N37">
        <v>2</v>
      </c>
      <c r="O37">
        <v>3</v>
      </c>
      <c r="P37">
        <v>2</v>
      </c>
      <c r="Q37">
        <v>2</v>
      </c>
      <c r="R37">
        <f>VLOOKUP(Sheet1!R37,LOOKUPS!$A$39:$B$43,2,FALSE)</f>
        <v>5</v>
      </c>
      <c r="S37">
        <v>4</v>
      </c>
      <c r="T37">
        <f>VLOOKUP(Sheet1!T37,LOOKUPS!$A$31:$E$35,2,FALSE)</f>
        <v>3</v>
      </c>
      <c r="U37">
        <v>3</v>
      </c>
      <c r="V37">
        <v>3</v>
      </c>
      <c r="W37" t="s">
        <v>114</v>
      </c>
      <c r="X37">
        <v>58</v>
      </c>
      <c r="Y37" t="s">
        <v>122</v>
      </c>
    </row>
    <row r="38" spans="1:25" x14ac:dyDescent="0.3">
      <c r="A38" t="s">
        <v>26</v>
      </c>
      <c r="B38" t="s">
        <v>30</v>
      </c>
      <c r="C38" t="s">
        <v>34</v>
      </c>
      <c r="D38" t="s">
        <v>38</v>
      </c>
      <c r="E38" t="s">
        <v>44</v>
      </c>
      <c r="F38" t="s">
        <v>67</v>
      </c>
      <c r="G38">
        <f>VLOOKUP(Sheet1!G38,LOOKUPS!$A$3:$B$9,2,FALSE)</f>
        <v>1</v>
      </c>
      <c r="H38">
        <f>VLOOKUP(Sheet1!H38,LOOKUPS!$A$13:$B$14,2,FALSE)</f>
        <v>0</v>
      </c>
      <c r="J38">
        <f>VLOOKUP(Sheet1!J38,LOOKUPS!$A$18:$B$22,2,FALSE)</f>
        <v>1</v>
      </c>
      <c r="K38" t="s">
        <v>87</v>
      </c>
      <c r="L38">
        <f>VLOOKUP(Sheet1!L38,LOOKUPS!$A$26:$B$27,2,FALSE)</f>
        <v>0</v>
      </c>
      <c r="M38">
        <v>2</v>
      </c>
      <c r="N38">
        <v>3</v>
      </c>
      <c r="O38">
        <v>2</v>
      </c>
      <c r="P38">
        <v>2</v>
      </c>
      <c r="Q38">
        <v>3</v>
      </c>
      <c r="R38">
        <f>VLOOKUP(Sheet1!R38,LOOKUPS!$A$39:$B$43,2,FALSE)</f>
        <v>2</v>
      </c>
      <c r="S38">
        <v>3</v>
      </c>
      <c r="T38">
        <f>VLOOKUP(Sheet1!T38,LOOKUPS!$A$31:$E$35,2,FALSE)</f>
        <v>2</v>
      </c>
      <c r="U38">
        <v>3</v>
      </c>
      <c r="V38">
        <v>3</v>
      </c>
      <c r="W38" t="s">
        <v>110</v>
      </c>
      <c r="X38">
        <v>23</v>
      </c>
      <c r="Y38" t="s">
        <v>120</v>
      </c>
    </row>
    <row r="39" spans="1:25" x14ac:dyDescent="0.3">
      <c r="A39" t="s">
        <v>26</v>
      </c>
      <c r="B39" t="s">
        <v>33</v>
      </c>
      <c r="C39" t="s">
        <v>35</v>
      </c>
      <c r="D39" t="s">
        <v>38</v>
      </c>
      <c r="E39" t="s">
        <v>43</v>
      </c>
      <c r="F39" t="s">
        <v>48</v>
      </c>
      <c r="G39">
        <f>VLOOKUP(Sheet1!G39,LOOKUPS!$A$3:$B$9,2,FALSE)</f>
        <v>6</v>
      </c>
      <c r="H39">
        <f>VLOOKUP(Sheet1!H39,LOOKUPS!$A$13:$B$14,2,FALSE)</f>
        <v>0</v>
      </c>
      <c r="J39">
        <f>VLOOKUP(Sheet1!J39,LOOKUPS!$A$18:$B$22,2,FALSE)</f>
        <v>1</v>
      </c>
      <c r="K39" t="s">
        <v>87</v>
      </c>
      <c r="L39">
        <f>VLOOKUP(Sheet1!L39,LOOKUPS!$A$26:$B$27,2,FALSE)</f>
        <v>1</v>
      </c>
      <c r="M39">
        <v>3</v>
      </c>
      <c r="N39">
        <v>3</v>
      </c>
      <c r="O39">
        <v>3</v>
      </c>
      <c r="P39">
        <v>2</v>
      </c>
      <c r="Q39">
        <v>3</v>
      </c>
      <c r="R39">
        <f>VLOOKUP(Sheet1!R39,LOOKUPS!$A$39:$B$43,2,FALSE)</f>
        <v>1</v>
      </c>
      <c r="S39">
        <v>4</v>
      </c>
      <c r="T39">
        <f>VLOOKUP(Sheet1!T39,LOOKUPS!$A$31:$E$35,2,FALSE)</f>
        <v>4</v>
      </c>
      <c r="U39">
        <v>4</v>
      </c>
      <c r="V39">
        <v>3</v>
      </c>
      <c r="W39" t="s">
        <v>112</v>
      </c>
      <c r="X39">
        <v>92</v>
      </c>
      <c r="Y39" t="s">
        <v>121</v>
      </c>
    </row>
    <row r="40" spans="1:25" x14ac:dyDescent="0.3">
      <c r="A40" t="s">
        <v>25</v>
      </c>
      <c r="B40" t="s">
        <v>33</v>
      </c>
      <c r="C40" t="s">
        <v>35</v>
      </c>
      <c r="D40" t="s">
        <v>37</v>
      </c>
      <c r="E40" t="s">
        <v>43</v>
      </c>
      <c r="F40" t="s">
        <v>65</v>
      </c>
      <c r="G40">
        <f>VLOOKUP(Sheet1!G40,LOOKUPS!$A$3:$B$9,2,FALSE)</f>
        <v>5</v>
      </c>
      <c r="H40">
        <f>VLOOKUP(Sheet1!H40,LOOKUPS!$A$13:$B$14,2,FALSE)</f>
        <v>0</v>
      </c>
      <c r="J40">
        <f>VLOOKUP(Sheet1!J40,LOOKUPS!$A$18:$B$22,2,FALSE)</f>
        <v>1</v>
      </c>
      <c r="K40" t="s">
        <v>87</v>
      </c>
      <c r="L40">
        <f>VLOOKUP(Sheet1!L40,LOOKUPS!$A$26:$B$27,2,FALSE)</f>
        <v>0</v>
      </c>
      <c r="M40">
        <v>4</v>
      </c>
      <c r="N40">
        <v>3</v>
      </c>
      <c r="O40">
        <v>4</v>
      </c>
      <c r="P40">
        <v>3</v>
      </c>
      <c r="Q40">
        <v>4</v>
      </c>
      <c r="R40">
        <f>VLOOKUP(Sheet1!R40,LOOKUPS!$A$39:$B$43,2,FALSE)</f>
        <v>5</v>
      </c>
      <c r="S40">
        <v>3</v>
      </c>
      <c r="T40">
        <f>VLOOKUP(Sheet1!T40,LOOKUPS!$A$31:$E$35,2,FALSE)</f>
        <v>3</v>
      </c>
      <c r="U40">
        <v>4</v>
      </c>
      <c r="V40">
        <v>4</v>
      </c>
      <c r="W40" t="s">
        <v>112</v>
      </c>
      <c r="X40">
        <v>99</v>
      </c>
      <c r="Y40" t="s">
        <v>122</v>
      </c>
    </row>
    <row r="41" spans="1:25" x14ac:dyDescent="0.3">
      <c r="A41" t="s">
        <v>25</v>
      </c>
      <c r="B41" t="s">
        <v>32</v>
      </c>
      <c r="C41" t="s">
        <v>35</v>
      </c>
      <c r="D41" t="s">
        <v>37</v>
      </c>
      <c r="E41" t="s">
        <v>42</v>
      </c>
      <c r="F41" t="s">
        <v>63</v>
      </c>
      <c r="G41">
        <f>VLOOKUP(Sheet1!G41,LOOKUPS!$A$3:$B$9,2,FALSE)</f>
        <v>2</v>
      </c>
      <c r="H41">
        <f>VLOOKUP(Sheet1!H41,LOOKUPS!$A$13:$B$14,2,FALSE)</f>
        <v>1</v>
      </c>
      <c r="I41" t="s">
        <v>66</v>
      </c>
      <c r="J41">
        <f>VLOOKUP(Sheet1!J41,LOOKUPS!$A$18:$B$22,2,FALSE)</f>
        <v>2</v>
      </c>
      <c r="K41" t="s">
        <v>99</v>
      </c>
      <c r="L41">
        <f>VLOOKUP(Sheet1!L41,LOOKUPS!$A$26:$B$27,2,FALSE)</f>
        <v>1</v>
      </c>
      <c r="M41">
        <v>2</v>
      </c>
      <c r="N41">
        <v>1</v>
      </c>
      <c r="O41">
        <v>2</v>
      </c>
      <c r="P41">
        <v>2</v>
      </c>
      <c r="Q41">
        <v>1</v>
      </c>
      <c r="R41">
        <f>VLOOKUP(Sheet1!R41,LOOKUPS!$A$39:$B$43,2,FALSE)</f>
        <v>2</v>
      </c>
      <c r="S41">
        <v>4</v>
      </c>
      <c r="T41">
        <f>VLOOKUP(Sheet1!T41,LOOKUPS!$A$31:$E$35,2,FALSE)</f>
        <v>3</v>
      </c>
      <c r="U41">
        <v>2</v>
      </c>
      <c r="V41">
        <v>2</v>
      </c>
      <c r="W41" t="s">
        <v>114</v>
      </c>
      <c r="X41">
        <v>127</v>
      </c>
      <c r="Y41" t="s">
        <v>121</v>
      </c>
    </row>
    <row r="42" spans="1:25" x14ac:dyDescent="0.3">
      <c r="A42" t="s">
        <v>26</v>
      </c>
      <c r="B42" t="s">
        <v>32</v>
      </c>
      <c r="C42" t="s">
        <v>35</v>
      </c>
      <c r="D42" t="s">
        <v>37</v>
      </c>
      <c r="E42" t="s">
        <v>43</v>
      </c>
      <c r="F42" t="s">
        <v>56</v>
      </c>
      <c r="G42">
        <f>VLOOKUP(Sheet1!G42,LOOKUPS!$A$3:$B$9,2,FALSE)</f>
        <v>3</v>
      </c>
      <c r="H42">
        <f>VLOOKUP(Sheet1!H42,LOOKUPS!$A$13:$B$14,2,FALSE)</f>
        <v>0</v>
      </c>
      <c r="J42">
        <f>VLOOKUP(Sheet1!J42,LOOKUPS!$A$18:$B$22,2,FALSE)</f>
        <v>1</v>
      </c>
      <c r="K42" t="s">
        <v>87</v>
      </c>
      <c r="L42">
        <f>VLOOKUP(Sheet1!L42,LOOKUPS!$A$26:$B$27,2,FALSE)</f>
        <v>0</v>
      </c>
      <c r="M42">
        <v>3</v>
      </c>
      <c r="N42">
        <v>4</v>
      </c>
      <c r="O42">
        <v>3</v>
      </c>
      <c r="P42">
        <v>4</v>
      </c>
      <c r="Q42">
        <v>3</v>
      </c>
      <c r="R42">
        <f>VLOOKUP(Sheet1!R42,LOOKUPS!$A$39:$B$43,2,FALSE)</f>
        <v>5</v>
      </c>
      <c r="S42">
        <v>3</v>
      </c>
      <c r="T42">
        <f>VLOOKUP(Sheet1!T42,LOOKUPS!$A$31:$E$35,2,FALSE)</f>
        <v>4</v>
      </c>
      <c r="U42">
        <v>4</v>
      </c>
      <c r="V42">
        <v>4</v>
      </c>
      <c r="W42" t="s">
        <v>113</v>
      </c>
      <c r="X42">
        <v>77</v>
      </c>
      <c r="Y42" t="s">
        <v>122</v>
      </c>
    </row>
    <row r="43" spans="1:25" x14ac:dyDescent="0.3">
      <c r="A43" t="s">
        <v>26</v>
      </c>
      <c r="B43" t="s">
        <v>30</v>
      </c>
      <c r="C43" t="s">
        <v>36</v>
      </c>
      <c r="D43" t="s">
        <v>39</v>
      </c>
      <c r="E43" t="s">
        <v>42</v>
      </c>
      <c r="F43" t="s">
        <v>58</v>
      </c>
      <c r="G43">
        <f>VLOOKUP(Sheet1!G43,LOOKUPS!$A$3:$B$9,2,FALSE)</f>
        <v>1</v>
      </c>
      <c r="H43">
        <f>VLOOKUP(Sheet1!H43,LOOKUPS!$A$13:$B$14,2,FALSE)</f>
        <v>1</v>
      </c>
      <c r="I43" t="s">
        <v>59</v>
      </c>
      <c r="J43">
        <f>VLOOKUP(Sheet1!J43,LOOKUPS!$A$18:$B$22,2,FALSE)</f>
        <v>1</v>
      </c>
      <c r="K43" t="s">
        <v>100</v>
      </c>
      <c r="L43">
        <f>VLOOKUP(Sheet1!L43,LOOKUPS!$A$26:$B$27,2,FALSE)</f>
        <v>1</v>
      </c>
      <c r="M43">
        <v>4</v>
      </c>
      <c r="N43">
        <v>5</v>
      </c>
      <c r="O43">
        <v>5</v>
      </c>
      <c r="P43">
        <v>4</v>
      </c>
      <c r="Q43">
        <v>5</v>
      </c>
      <c r="R43">
        <f>VLOOKUP(Sheet1!R43,LOOKUPS!$A$39:$B$43,2,FALSE)</f>
        <v>5</v>
      </c>
      <c r="S43">
        <v>1</v>
      </c>
      <c r="T43">
        <f>VLOOKUP(Sheet1!T43,LOOKUPS!$A$31:$E$35,2,FALSE)</f>
        <v>4</v>
      </c>
      <c r="U43">
        <v>5</v>
      </c>
      <c r="V43">
        <v>4</v>
      </c>
      <c r="W43" t="s">
        <v>111</v>
      </c>
      <c r="X43">
        <v>137</v>
      </c>
      <c r="Y43" t="s">
        <v>120</v>
      </c>
    </row>
    <row r="44" spans="1:25" x14ac:dyDescent="0.3">
      <c r="A44" t="s">
        <v>26</v>
      </c>
      <c r="B44" t="s">
        <v>32</v>
      </c>
      <c r="C44" t="s">
        <v>36</v>
      </c>
      <c r="D44" t="s">
        <v>40</v>
      </c>
      <c r="E44" t="s">
        <v>33</v>
      </c>
      <c r="F44" t="s">
        <v>59</v>
      </c>
      <c r="G44">
        <f>VLOOKUP(Sheet1!G44,LOOKUPS!$A$3:$B$9,2,FALSE)</f>
        <v>4</v>
      </c>
      <c r="H44">
        <f>VLOOKUP(Sheet1!H44,LOOKUPS!$A$13:$B$14,2,FALSE)</f>
        <v>0</v>
      </c>
      <c r="J44">
        <f>VLOOKUP(Sheet1!J44,LOOKUPS!$A$18:$B$22,2,FALSE)</f>
        <v>1</v>
      </c>
      <c r="K44" t="s">
        <v>87</v>
      </c>
      <c r="L44">
        <f>VLOOKUP(Sheet1!L44,LOOKUPS!$A$26:$B$27,2,FALSE)</f>
        <v>1</v>
      </c>
      <c r="M44">
        <v>5</v>
      </c>
      <c r="N44">
        <v>4</v>
      </c>
      <c r="O44">
        <v>5</v>
      </c>
      <c r="P44">
        <v>4</v>
      </c>
      <c r="Q44">
        <v>4</v>
      </c>
      <c r="R44">
        <f>VLOOKUP(Sheet1!R44,LOOKUPS!$A$39:$B$43,2,FALSE)</f>
        <v>4</v>
      </c>
      <c r="S44">
        <v>3</v>
      </c>
      <c r="T44">
        <f>VLOOKUP(Sheet1!T44,LOOKUPS!$A$31:$E$35,2,FALSE)</f>
        <v>3</v>
      </c>
      <c r="U44">
        <v>5</v>
      </c>
      <c r="V44">
        <v>5</v>
      </c>
      <c r="W44" t="s">
        <v>114</v>
      </c>
      <c r="X44">
        <v>89</v>
      </c>
      <c r="Y44" t="s">
        <v>122</v>
      </c>
    </row>
    <row r="45" spans="1:25" x14ac:dyDescent="0.3">
      <c r="A45" t="s">
        <v>29</v>
      </c>
      <c r="B45" t="s">
        <v>30</v>
      </c>
      <c r="C45" t="s">
        <v>34</v>
      </c>
      <c r="D45" t="s">
        <v>38</v>
      </c>
      <c r="E45" t="s">
        <v>42</v>
      </c>
      <c r="F45" t="s">
        <v>59</v>
      </c>
      <c r="G45">
        <f>VLOOKUP(Sheet1!G45,LOOKUPS!$A$3:$B$9,2,FALSE)</f>
        <v>7</v>
      </c>
      <c r="H45">
        <f>VLOOKUP(Sheet1!H45,LOOKUPS!$A$13:$B$14,2,FALSE)</f>
        <v>1</v>
      </c>
      <c r="I45" t="s">
        <v>59</v>
      </c>
      <c r="J45">
        <f>VLOOKUP(Sheet1!J45,LOOKUPS!$A$18:$B$22,2,FALSE)</f>
        <v>2</v>
      </c>
      <c r="K45" t="s">
        <v>101</v>
      </c>
      <c r="L45">
        <f>VLOOKUP(Sheet1!L45,LOOKUPS!$A$26:$B$27,2,FALSE)</f>
        <v>1</v>
      </c>
      <c r="M45">
        <v>4</v>
      </c>
      <c r="N45">
        <v>4</v>
      </c>
      <c r="O45">
        <v>4</v>
      </c>
      <c r="P45">
        <v>4</v>
      </c>
      <c r="Q45">
        <v>4</v>
      </c>
      <c r="R45">
        <f>VLOOKUP(Sheet1!R45,LOOKUPS!$A$39:$B$43,2,FALSE)</f>
        <v>3</v>
      </c>
      <c r="S45">
        <v>2</v>
      </c>
      <c r="T45">
        <f>VLOOKUP(Sheet1!T45,LOOKUPS!$A$31:$E$35,2,FALSE)</f>
        <v>5</v>
      </c>
      <c r="U45">
        <v>5</v>
      </c>
      <c r="V45">
        <v>4</v>
      </c>
      <c r="W45" t="s">
        <v>113</v>
      </c>
      <c r="X45">
        <v>46</v>
      </c>
      <c r="Y45" t="s">
        <v>121</v>
      </c>
    </row>
    <row r="46" spans="1:25" x14ac:dyDescent="0.3">
      <c r="A46" t="s">
        <v>26</v>
      </c>
      <c r="B46" t="s">
        <v>30</v>
      </c>
      <c r="C46" t="s">
        <v>35</v>
      </c>
      <c r="D46" t="s">
        <v>38</v>
      </c>
      <c r="E46" t="s">
        <v>45</v>
      </c>
      <c r="F46" t="s">
        <v>63</v>
      </c>
      <c r="G46">
        <f>VLOOKUP(Sheet1!G46,LOOKUPS!$A$3:$B$9,2,FALSE)</f>
        <v>3</v>
      </c>
      <c r="H46">
        <f>VLOOKUP(Sheet1!H46,LOOKUPS!$A$13:$B$14,2,FALSE)</f>
        <v>1</v>
      </c>
      <c r="I46" t="s">
        <v>59</v>
      </c>
      <c r="J46">
        <f>VLOOKUP(Sheet1!J46,LOOKUPS!$A$18:$B$22,2,FALSE)</f>
        <v>5</v>
      </c>
      <c r="K46" t="s">
        <v>102</v>
      </c>
      <c r="L46">
        <f>VLOOKUP(Sheet1!L46,LOOKUPS!$A$26:$B$27,2,FALSE)</f>
        <v>1</v>
      </c>
      <c r="M46">
        <v>3</v>
      </c>
      <c r="N46">
        <v>3</v>
      </c>
      <c r="O46">
        <v>2</v>
      </c>
      <c r="P46">
        <v>2</v>
      </c>
      <c r="Q46">
        <v>2</v>
      </c>
      <c r="R46">
        <f>VLOOKUP(Sheet1!R46,LOOKUPS!$A$39:$B$43,2,FALSE)</f>
        <v>2</v>
      </c>
      <c r="S46">
        <v>4</v>
      </c>
      <c r="T46">
        <f>VLOOKUP(Sheet1!T46,LOOKUPS!$A$31:$E$35,2,FALSE)</f>
        <v>2</v>
      </c>
      <c r="U46">
        <v>3</v>
      </c>
      <c r="V46">
        <v>3</v>
      </c>
      <c r="W46" t="s">
        <v>113</v>
      </c>
      <c r="X46">
        <v>94</v>
      </c>
      <c r="Y46" t="s">
        <v>124</v>
      </c>
    </row>
    <row r="47" spans="1:25" x14ac:dyDescent="0.3">
      <c r="A47" t="s">
        <v>26</v>
      </c>
      <c r="B47" t="s">
        <v>32</v>
      </c>
      <c r="C47" t="s">
        <v>35</v>
      </c>
      <c r="D47" t="s">
        <v>38</v>
      </c>
      <c r="E47" t="s">
        <v>43</v>
      </c>
      <c r="F47" t="s">
        <v>68</v>
      </c>
      <c r="G47">
        <f>VLOOKUP(Sheet1!G47,LOOKUPS!$A$3:$B$9,2,FALSE)</f>
        <v>5</v>
      </c>
      <c r="H47">
        <f>VLOOKUP(Sheet1!H47,LOOKUPS!$A$13:$B$14,2,FALSE)</f>
        <v>1</v>
      </c>
      <c r="I47" t="s">
        <v>59</v>
      </c>
      <c r="J47">
        <f>VLOOKUP(Sheet1!J47,LOOKUPS!$A$18:$B$22,2,FALSE)</f>
        <v>1</v>
      </c>
      <c r="K47" t="s">
        <v>100</v>
      </c>
      <c r="L47">
        <f>VLOOKUP(Sheet1!L47,LOOKUPS!$A$26:$B$27,2,FALSE)</f>
        <v>0</v>
      </c>
      <c r="M47">
        <v>3</v>
      </c>
      <c r="N47">
        <v>4</v>
      </c>
      <c r="O47">
        <v>4</v>
      </c>
      <c r="P47">
        <v>3</v>
      </c>
      <c r="Q47">
        <v>3</v>
      </c>
      <c r="R47">
        <f>VLOOKUP(Sheet1!R47,LOOKUPS!$A$39:$B$43,2,FALSE)</f>
        <v>4</v>
      </c>
      <c r="S47">
        <v>2</v>
      </c>
      <c r="T47">
        <f>VLOOKUP(Sheet1!T47,LOOKUPS!$A$31:$E$35,2,FALSE)</f>
        <v>2</v>
      </c>
      <c r="U47">
        <v>4</v>
      </c>
      <c r="V47">
        <v>4</v>
      </c>
      <c r="W47" t="s">
        <v>110</v>
      </c>
      <c r="X47">
        <v>67</v>
      </c>
      <c r="Y47" t="s">
        <v>122</v>
      </c>
    </row>
    <row r="48" spans="1:25" x14ac:dyDescent="0.3">
      <c r="A48" t="s">
        <v>25</v>
      </c>
      <c r="B48" t="s">
        <v>30</v>
      </c>
      <c r="C48" t="s">
        <v>36</v>
      </c>
      <c r="D48" t="s">
        <v>38</v>
      </c>
      <c r="E48" t="s">
        <v>42</v>
      </c>
      <c r="F48" t="s">
        <v>51</v>
      </c>
      <c r="G48">
        <f>VLOOKUP(Sheet1!G48,LOOKUPS!$A$3:$B$9,2,FALSE)</f>
        <v>6</v>
      </c>
      <c r="H48">
        <f>VLOOKUP(Sheet1!H48,LOOKUPS!$A$13:$B$14,2,FALSE)</f>
        <v>1</v>
      </c>
      <c r="I48" t="s">
        <v>51</v>
      </c>
      <c r="J48">
        <f>VLOOKUP(Sheet1!J48,LOOKUPS!$A$18:$B$22,2,FALSE)</f>
        <v>4</v>
      </c>
      <c r="K48" t="s">
        <v>103</v>
      </c>
      <c r="L48">
        <f>VLOOKUP(Sheet1!L48,LOOKUPS!$A$26:$B$27,2,FALSE)</f>
        <v>0</v>
      </c>
      <c r="M48">
        <v>2</v>
      </c>
      <c r="N48">
        <v>2</v>
      </c>
      <c r="O48">
        <v>3</v>
      </c>
      <c r="P48">
        <v>2</v>
      </c>
      <c r="Q48">
        <v>2</v>
      </c>
      <c r="R48">
        <f>VLOOKUP(Sheet1!R48,LOOKUPS!$A$39:$B$43,2,FALSE)</f>
        <v>1</v>
      </c>
      <c r="S48">
        <v>5</v>
      </c>
      <c r="T48">
        <f>VLOOKUP(Sheet1!T48,LOOKUPS!$A$31:$E$35,2,FALSE)</f>
        <v>4</v>
      </c>
      <c r="U48">
        <v>2</v>
      </c>
      <c r="V48">
        <v>2</v>
      </c>
      <c r="W48" t="s">
        <v>111</v>
      </c>
      <c r="X48">
        <v>201</v>
      </c>
      <c r="Y48" t="s">
        <v>121</v>
      </c>
    </row>
    <row r="49" spans="1:25" x14ac:dyDescent="0.3">
      <c r="A49" t="s">
        <v>29</v>
      </c>
      <c r="B49" t="s">
        <v>32</v>
      </c>
      <c r="C49" t="s">
        <v>34</v>
      </c>
      <c r="D49" t="s">
        <v>38</v>
      </c>
      <c r="E49" t="s">
        <v>43</v>
      </c>
      <c r="F49" t="s">
        <v>48</v>
      </c>
      <c r="G49">
        <f>VLOOKUP(Sheet1!G49,LOOKUPS!$A$3:$B$9,2,FALSE)</f>
        <v>3</v>
      </c>
      <c r="H49">
        <f>VLOOKUP(Sheet1!H49,LOOKUPS!$A$13:$B$14,2,FALSE)</f>
        <v>1</v>
      </c>
      <c r="I49" t="s">
        <v>59</v>
      </c>
      <c r="J49">
        <f>VLOOKUP(Sheet1!J49,LOOKUPS!$A$18:$B$22,2,FALSE)</f>
        <v>5</v>
      </c>
      <c r="K49" t="s">
        <v>100</v>
      </c>
      <c r="L49">
        <f>VLOOKUP(Sheet1!L49,LOOKUPS!$A$26:$B$27,2,FALSE)</f>
        <v>1</v>
      </c>
      <c r="M49">
        <v>3</v>
      </c>
      <c r="N49">
        <v>2</v>
      </c>
      <c r="O49">
        <v>3</v>
      </c>
      <c r="P49">
        <v>3</v>
      </c>
      <c r="Q49">
        <v>3</v>
      </c>
      <c r="R49">
        <f>VLOOKUP(Sheet1!R49,LOOKUPS!$A$39:$B$43,2,FALSE)</f>
        <v>5</v>
      </c>
      <c r="S49">
        <v>3</v>
      </c>
      <c r="T49">
        <f>VLOOKUP(Sheet1!T49,LOOKUPS!$A$31:$E$35,2,FALSE)</f>
        <v>2</v>
      </c>
      <c r="U49">
        <v>4</v>
      </c>
      <c r="V49">
        <v>3</v>
      </c>
      <c r="W49" t="s">
        <v>114</v>
      </c>
      <c r="X49">
        <v>101</v>
      </c>
      <c r="Y49" t="s">
        <v>121</v>
      </c>
    </row>
    <row r="50" spans="1:25" x14ac:dyDescent="0.3">
      <c r="A50" t="s">
        <v>27</v>
      </c>
      <c r="B50" t="s">
        <v>30</v>
      </c>
      <c r="C50" t="s">
        <v>35</v>
      </c>
      <c r="D50" t="s">
        <v>38</v>
      </c>
      <c r="E50" t="s">
        <v>44</v>
      </c>
      <c r="F50" t="s">
        <v>60</v>
      </c>
      <c r="G50">
        <f>VLOOKUP(Sheet1!G50,LOOKUPS!$A$3:$B$9,2,FALSE)</f>
        <v>5</v>
      </c>
      <c r="H50">
        <f>VLOOKUP(Sheet1!H50,LOOKUPS!$A$13:$B$14,2,FALSE)</f>
        <v>1</v>
      </c>
      <c r="I50" t="s">
        <v>59</v>
      </c>
      <c r="J50">
        <f>VLOOKUP(Sheet1!J50,LOOKUPS!$A$18:$B$22,2,FALSE)</f>
        <v>1</v>
      </c>
      <c r="K50" t="s">
        <v>103</v>
      </c>
      <c r="L50">
        <f>VLOOKUP(Sheet1!L50,LOOKUPS!$A$26:$B$27,2,FALSE)</f>
        <v>1</v>
      </c>
      <c r="M50">
        <v>3</v>
      </c>
      <c r="N50">
        <v>3</v>
      </c>
      <c r="O50">
        <v>3</v>
      </c>
      <c r="P50">
        <v>2</v>
      </c>
      <c r="Q50">
        <v>2</v>
      </c>
      <c r="R50">
        <f>VLOOKUP(Sheet1!R50,LOOKUPS!$A$39:$B$43,2,FALSE)</f>
        <v>4</v>
      </c>
      <c r="S50">
        <v>4</v>
      </c>
      <c r="T50">
        <f>VLOOKUP(Sheet1!T50,LOOKUPS!$A$31:$E$35,2,FALSE)</f>
        <v>1</v>
      </c>
      <c r="U50">
        <v>3</v>
      </c>
      <c r="V50">
        <v>3</v>
      </c>
      <c r="W50" t="s">
        <v>112</v>
      </c>
      <c r="X50">
        <v>206</v>
      </c>
      <c r="Y50" t="s">
        <v>122</v>
      </c>
    </row>
    <row r="51" spans="1:25" x14ac:dyDescent="0.3">
      <c r="A51" t="s">
        <v>27</v>
      </c>
      <c r="B51" t="s">
        <v>32</v>
      </c>
      <c r="C51" t="s">
        <v>35</v>
      </c>
      <c r="D51" t="s">
        <v>38</v>
      </c>
      <c r="E51" t="s">
        <v>44</v>
      </c>
      <c r="F51" t="s">
        <v>59</v>
      </c>
      <c r="G51">
        <f>VLOOKUP(Sheet1!G51,LOOKUPS!$A$3:$B$9,2,FALSE)</f>
        <v>4</v>
      </c>
      <c r="H51">
        <f>VLOOKUP(Sheet1!H51,LOOKUPS!$A$13:$B$14,2,FALSE)</f>
        <v>0</v>
      </c>
      <c r="J51">
        <f>VLOOKUP(Sheet1!J51,LOOKUPS!$A$18:$B$22,2,FALSE)</f>
        <v>1</v>
      </c>
      <c r="K51" t="s">
        <v>87</v>
      </c>
      <c r="L51">
        <f>VLOOKUP(Sheet1!L51,LOOKUPS!$A$26:$B$27,2,FALSE)</f>
        <v>1</v>
      </c>
      <c r="M51">
        <v>3</v>
      </c>
      <c r="N51">
        <v>2</v>
      </c>
      <c r="O51">
        <v>3</v>
      </c>
      <c r="P51">
        <v>2</v>
      </c>
      <c r="Q51">
        <v>2</v>
      </c>
      <c r="R51">
        <f>VLOOKUP(Sheet1!R51,LOOKUPS!$A$39:$B$43,2,FALSE)</f>
        <v>4</v>
      </c>
      <c r="S51">
        <v>4</v>
      </c>
      <c r="T51">
        <f>VLOOKUP(Sheet1!T51,LOOKUPS!$A$31:$E$35,2,FALSE)</f>
        <v>4</v>
      </c>
      <c r="U51">
        <v>3</v>
      </c>
      <c r="V51">
        <v>3</v>
      </c>
      <c r="W51" t="s">
        <v>114</v>
      </c>
      <c r="X51">
        <v>108</v>
      </c>
      <c r="Y51" t="s">
        <v>123</v>
      </c>
    </row>
    <row r="52" spans="1:25" x14ac:dyDescent="0.3">
      <c r="A52" t="s">
        <v>28</v>
      </c>
      <c r="B52" t="s">
        <v>32</v>
      </c>
      <c r="C52" t="s">
        <v>35</v>
      </c>
      <c r="D52" t="s">
        <v>37</v>
      </c>
      <c r="E52" t="s">
        <v>46</v>
      </c>
      <c r="F52" t="s">
        <v>59</v>
      </c>
      <c r="G52">
        <f>VLOOKUP(Sheet1!G52,LOOKUPS!$A$3:$B$9,2,FALSE)</f>
        <v>3</v>
      </c>
      <c r="H52">
        <f>VLOOKUP(Sheet1!H52,LOOKUPS!$A$13:$B$14,2,FALSE)</f>
        <v>1</v>
      </c>
      <c r="I52" t="s">
        <v>59</v>
      </c>
      <c r="J52">
        <f>VLOOKUP(Sheet1!J52,LOOKUPS!$A$18:$B$22,2,FALSE)</f>
        <v>2</v>
      </c>
      <c r="K52" t="s">
        <v>94</v>
      </c>
      <c r="L52">
        <f>VLOOKUP(Sheet1!L52,LOOKUPS!$A$26:$B$27,2,FALSE)</f>
        <v>1</v>
      </c>
      <c r="M52">
        <v>3</v>
      </c>
      <c r="N52">
        <v>3</v>
      </c>
      <c r="O52">
        <v>4</v>
      </c>
      <c r="P52">
        <v>4</v>
      </c>
      <c r="Q52">
        <v>3</v>
      </c>
      <c r="R52">
        <f>VLOOKUP(Sheet1!R52,LOOKUPS!$A$39:$B$43,2,FALSE)</f>
        <v>5</v>
      </c>
      <c r="S52">
        <v>2</v>
      </c>
      <c r="T52">
        <f>VLOOKUP(Sheet1!T52,LOOKUPS!$A$31:$E$35,2,FALSE)</f>
        <v>2</v>
      </c>
      <c r="U52">
        <v>4</v>
      </c>
      <c r="V52">
        <v>4</v>
      </c>
      <c r="W52" t="s">
        <v>114</v>
      </c>
      <c r="X52">
        <v>140</v>
      </c>
      <c r="Y52" t="s">
        <v>122</v>
      </c>
    </row>
    <row r="53" spans="1:25" x14ac:dyDescent="0.3">
      <c r="A53" t="s">
        <v>25</v>
      </c>
      <c r="B53" t="s">
        <v>30</v>
      </c>
      <c r="C53" t="s">
        <v>36</v>
      </c>
      <c r="D53" t="s">
        <v>38</v>
      </c>
      <c r="E53" t="s">
        <v>43</v>
      </c>
      <c r="F53" t="s">
        <v>63</v>
      </c>
      <c r="G53">
        <f>VLOOKUP(Sheet1!G53,LOOKUPS!$A$3:$B$9,2,FALSE)</f>
        <v>6</v>
      </c>
      <c r="H53">
        <f>VLOOKUP(Sheet1!H53,LOOKUPS!$A$13:$B$14,2,FALSE)</f>
        <v>1</v>
      </c>
      <c r="I53" t="s">
        <v>66</v>
      </c>
      <c r="J53">
        <f>VLOOKUP(Sheet1!J53,LOOKUPS!$A$18:$B$22,2,FALSE)</f>
        <v>5</v>
      </c>
      <c r="K53" t="s">
        <v>100</v>
      </c>
      <c r="L53">
        <f>VLOOKUP(Sheet1!L53,LOOKUPS!$A$26:$B$27,2,FALSE)</f>
        <v>1</v>
      </c>
      <c r="M53">
        <v>3</v>
      </c>
      <c r="N53">
        <v>3</v>
      </c>
      <c r="O53">
        <v>3</v>
      </c>
      <c r="P53">
        <v>4</v>
      </c>
      <c r="Q53">
        <v>2</v>
      </c>
      <c r="R53">
        <f>VLOOKUP(Sheet1!R53,LOOKUPS!$A$39:$B$43,2,FALSE)</f>
        <v>4</v>
      </c>
      <c r="S53">
        <v>3</v>
      </c>
      <c r="T53">
        <f>VLOOKUP(Sheet1!T53,LOOKUPS!$A$31:$E$35,2,FALSE)</f>
        <v>5</v>
      </c>
      <c r="U53">
        <v>3</v>
      </c>
      <c r="V53">
        <v>3</v>
      </c>
      <c r="W53" t="s">
        <v>110</v>
      </c>
      <c r="X53">
        <v>57</v>
      </c>
      <c r="Y53" t="s">
        <v>120</v>
      </c>
    </row>
    <row r="54" spans="1:25" x14ac:dyDescent="0.3">
      <c r="A54" t="s">
        <v>26</v>
      </c>
      <c r="B54" t="s">
        <v>32</v>
      </c>
      <c r="C54" t="s">
        <v>35</v>
      </c>
      <c r="D54" t="s">
        <v>41</v>
      </c>
      <c r="E54" t="s">
        <v>45</v>
      </c>
      <c r="F54" t="s">
        <v>59</v>
      </c>
      <c r="G54">
        <f>VLOOKUP(Sheet1!G54,LOOKUPS!$A$3:$B$9,2,FALSE)</f>
        <v>3</v>
      </c>
      <c r="H54">
        <f>VLOOKUP(Sheet1!H54,LOOKUPS!$A$13:$B$14,2,FALSE)</f>
        <v>1</v>
      </c>
      <c r="I54" t="s">
        <v>59</v>
      </c>
      <c r="J54">
        <f>VLOOKUP(Sheet1!J54,LOOKUPS!$A$18:$B$22,2,FALSE)</f>
        <v>2</v>
      </c>
      <c r="K54" t="s">
        <v>87</v>
      </c>
      <c r="L54">
        <f>VLOOKUP(Sheet1!L54,LOOKUPS!$A$26:$B$27,2,FALSE)</f>
        <v>1</v>
      </c>
      <c r="M54">
        <v>3</v>
      </c>
      <c r="N54">
        <v>2</v>
      </c>
      <c r="O54">
        <v>3</v>
      </c>
      <c r="P54">
        <v>2</v>
      </c>
      <c r="Q54">
        <v>3</v>
      </c>
      <c r="R54">
        <f>VLOOKUP(Sheet1!R54,LOOKUPS!$A$39:$B$43,2,FALSE)</f>
        <v>4</v>
      </c>
      <c r="S54">
        <v>3</v>
      </c>
      <c r="T54">
        <f>VLOOKUP(Sheet1!T54,LOOKUPS!$A$31:$E$35,2,FALSE)</f>
        <v>1</v>
      </c>
      <c r="U54">
        <v>4</v>
      </c>
      <c r="V54">
        <v>3</v>
      </c>
      <c r="W54" t="s">
        <v>113</v>
      </c>
      <c r="X54">
        <v>11</v>
      </c>
      <c r="Y54" t="s">
        <v>123</v>
      </c>
    </row>
    <row r="55" spans="1:25" x14ac:dyDescent="0.3">
      <c r="A55" t="s">
        <v>29</v>
      </c>
      <c r="B55" t="s">
        <v>32</v>
      </c>
      <c r="C55" t="s">
        <v>35</v>
      </c>
      <c r="D55" t="s">
        <v>37</v>
      </c>
      <c r="E55" t="s">
        <v>44</v>
      </c>
      <c r="F55" t="s">
        <v>57</v>
      </c>
      <c r="G55">
        <f>VLOOKUP(Sheet1!G55,LOOKUPS!$A$3:$B$9,2,FALSE)</f>
        <v>5</v>
      </c>
      <c r="H55">
        <f>VLOOKUP(Sheet1!H55,LOOKUPS!$A$13:$B$14,2,FALSE)</f>
        <v>1</v>
      </c>
      <c r="I55" t="s">
        <v>59</v>
      </c>
      <c r="J55">
        <f>VLOOKUP(Sheet1!J55,LOOKUPS!$A$18:$B$22,2,FALSE)</f>
        <v>2</v>
      </c>
      <c r="K55" t="s">
        <v>103</v>
      </c>
      <c r="L55">
        <f>VLOOKUP(Sheet1!L55,LOOKUPS!$A$26:$B$27,2,FALSE)</f>
        <v>1</v>
      </c>
      <c r="M55">
        <v>3</v>
      </c>
      <c r="N55">
        <v>3</v>
      </c>
      <c r="O55">
        <v>3</v>
      </c>
      <c r="P55">
        <v>3</v>
      </c>
      <c r="Q55">
        <v>3</v>
      </c>
      <c r="R55">
        <f>VLOOKUP(Sheet1!R55,LOOKUPS!$A$39:$B$43,2,FALSE)</f>
        <v>3</v>
      </c>
      <c r="S55">
        <v>3</v>
      </c>
      <c r="T55">
        <f>VLOOKUP(Sheet1!T55,LOOKUPS!$A$31:$E$35,2,FALSE)</f>
        <v>4</v>
      </c>
      <c r="U55">
        <v>3</v>
      </c>
      <c r="V55">
        <v>4</v>
      </c>
      <c r="W55" t="s">
        <v>111</v>
      </c>
      <c r="X55">
        <v>141</v>
      </c>
      <c r="Y55" t="s">
        <v>123</v>
      </c>
    </row>
    <row r="56" spans="1:25" x14ac:dyDescent="0.3">
      <c r="A56" t="s">
        <v>28</v>
      </c>
      <c r="B56" t="s">
        <v>30</v>
      </c>
      <c r="C56" t="s">
        <v>35</v>
      </c>
      <c r="D56" t="s">
        <v>38</v>
      </c>
      <c r="E56" t="s">
        <v>42</v>
      </c>
      <c r="F56" t="s">
        <v>51</v>
      </c>
      <c r="G56">
        <f>VLOOKUP(Sheet1!G56,LOOKUPS!$A$3:$B$9,2,FALSE)</f>
        <v>2</v>
      </c>
      <c r="H56">
        <f>VLOOKUP(Sheet1!H56,LOOKUPS!$A$13:$B$14,2,FALSE)</f>
        <v>1</v>
      </c>
      <c r="I56" t="s">
        <v>51</v>
      </c>
      <c r="J56">
        <f>VLOOKUP(Sheet1!J56,LOOKUPS!$A$18:$B$22,2,FALSE)</f>
        <v>3</v>
      </c>
      <c r="K56" t="s">
        <v>101</v>
      </c>
      <c r="L56">
        <f>VLOOKUP(Sheet1!L56,LOOKUPS!$A$26:$B$27,2,FALSE)</f>
        <v>0</v>
      </c>
      <c r="M56">
        <v>4</v>
      </c>
      <c r="N56">
        <v>3</v>
      </c>
      <c r="O56">
        <v>5</v>
      </c>
      <c r="P56">
        <v>4</v>
      </c>
      <c r="Q56">
        <v>4</v>
      </c>
      <c r="R56">
        <f>VLOOKUP(Sheet1!R56,LOOKUPS!$A$39:$B$43,2,FALSE)</f>
        <v>4</v>
      </c>
      <c r="S56">
        <v>3</v>
      </c>
      <c r="T56">
        <f>VLOOKUP(Sheet1!T56,LOOKUPS!$A$31:$E$35,2,FALSE)</f>
        <v>4</v>
      </c>
      <c r="U56">
        <v>4</v>
      </c>
      <c r="V56">
        <v>4</v>
      </c>
      <c r="W56" t="s">
        <v>113</v>
      </c>
      <c r="X56">
        <v>26</v>
      </c>
      <c r="Y56" t="s">
        <v>122</v>
      </c>
    </row>
    <row r="57" spans="1:25" x14ac:dyDescent="0.3">
      <c r="A57" t="s">
        <v>26</v>
      </c>
      <c r="B57" t="s">
        <v>32</v>
      </c>
      <c r="C57" t="s">
        <v>35</v>
      </c>
      <c r="D57" t="s">
        <v>41</v>
      </c>
      <c r="E57" t="s">
        <v>42</v>
      </c>
      <c r="F57" t="s">
        <v>54</v>
      </c>
      <c r="G57">
        <f>VLOOKUP(Sheet1!G57,LOOKUPS!$A$3:$B$9,2,FALSE)</f>
        <v>5</v>
      </c>
      <c r="H57">
        <f>VLOOKUP(Sheet1!H57,LOOKUPS!$A$13:$B$14,2,FALSE)</f>
        <v>1</v>
      </c>
      <c r="I57" t="s">
        <v>51</v>
      </c>
      <c r="J57">
        <f>VLOOKUP(Sheet1!J57,LOOKUPS!$A$18:$B$22,2,FALSE)</f>
        <v>5</v>
      </c>
      <c r="K57" t="s">
        <v>100</v>
      </c>
      <c r="L57">
        <f>VLOOKUP(Sheet1!L57,LOOKUPS!$A$26:$B$27,2,FALSE)</f>
        <v>0</v>
      </c>
      <c r="M57">
        <v>2</v>
      </c>
      <c r="N57">
        <v>2</v>
      </c>
      <c r="O57">
        <v>3</v>
      </c>
      <c r="P57">
        <v>2</v>
      </c>
      <c r="Q57">
        <v>2</v>
      </c>
      <c r="R57">
        <f>VLOOKUP(Sheet1!R57,LOOKUPS!$A$39:$B$43,2,FALSE)</f>
        <v>1</v>
      </c>
      <c r="S57">
        <v>4</v>
      </c>
      <c r="T57">
        <f>VLOOKUP(Sheet1!T57,LOOKUPS!$A$31:$E$35,2,FALSE)</f>
        <v>1</v>
      </c>
      <c r="U57">
        <v>2</v>
      </c>
      <c r="V57">
        <v>2</v>
      </c>
      <c r="W57" t="s">
        <v>113</v>
      </c>
      <c r="X57">
        <v>46</v>
      </c>
      <c r="Y57" t="s">
        <v>121</v>
      </c>
    </row>
    <row r="58" spans="1:25" x14ac:dyDescent="0.3">
      <c r="A58" t="s">
        <v>26</v>
      </c>
      <c r="B58" t="s">
        <v>32</v>
      </c>
      <c r="C58" t="s">
        <v>34</v>
      </c>
      <c r="D58" t="s">
        <v>37</v>
      </c>
      <c r="E58" t="s">
        <v>43</v>
      </c>
      <c r="F58" t="s">
        <v>47</v>
      </c>
      <c r="G58">
        <f>VLOOKUP(Sheet1!G58,LOOKUPS!$A$3:$B$9,2,FALSE)</f>
        <v>5</v>
      </c>
      <c r="H58">
        <f>VLOOKUP(Sheet1!H58,LOOKUPS!$A$13:$B$14,2,FALSE)</f>
        <v>0</v>
      </c>
      <c r="J58">
        <f>VLOOKUP(Sheet1!J58,LOOKUPS!$A$18:$B$22,2,FALSE)</f>
        <v>1</v>
      </c>
      <c r="K58" t="s">
        <v>87</v>
      </c>
      <c r="L58">
        <f>VLOOKUP(Sheet1!L58,LOOKUPS!$A$26:$B$27,2,FALSE)</f>
        <v>0</v>
      </c>
      <c r="M58">
        <v>2</v>
      </c>
      <c r="N58">
        <v>2</v>
      </c>
      <c r="O58">
        <v>2</v>
      </c>
      <c r="P58">
        <v>3</v>
      </c>
      <c r="Q58">
        <v>3</v>
      </c>
      <c r="R58">
        <f>VLOOKUP(Sheet1!R58,LOOKUPS!$A$39:$B$43,2,FALSE)</f>
        <v>3</v>
      </c>
      <c r="S58">
        <v>4</v>
      </c>
      <c r="T58">
        <f>VLOOKUP(Sheet1!T58,LOOKUPS!$A$31:$E$35,2,FALSE)</f>
        <v>1</v>
      </c>
      <c r="U58">
        <v>3</v>
      </c>
      <c r="V58">
        <v>4</v>
      </c>
      <c r="W58" t="s">
        <v>110</v>
      </c>
      <c r="X58">
        <v>39</v>
      </c>
      <c r="Y58" t="s">
        <v>122</v>
      </c>
    </row>
    <row r="59" spans="1:25" x14ac:dyDescent="0.3">
      <c r="A59" t="s">
        <v>26</v>
      </c>
      <c r="B59" t="s">
        <v>32</v>
      </c>
      <c r="C59" t="s">
        <v>34</v>
      </c>
      <c r="D59" t="s">
        <v>37</v>
      </c>
      <c r="E59" t="s">
        <v>45</v>
      </c>
      <c r="F59" t="s">
        <v>65</v>
      </c>
      <c r="G59">
        <f>VLOOKUP(Sheet1!G59,LOOKUPS!$A$3:$B$9,2,FALSE)</f>
        <v>6</v>
      </c>
      <c r="H59">
        <f>VLOOKUP(Sheet1!H59,LOOKUPS!$A$13:$B$14,2,FALSE)</f>
        <v>1</v>
      </c>
      <c r="I59" t="s">
        <v>51</v>
      </c>
      <c r="J59">
        <f>VLOOKUP(Sheet1!J59,LOOKUPS!$A$18:$B$22,2,FALSE)</f>
        <v>1</v>
      </c>
      <c r="K59" t="s">
        <v>86</v>
      </c>
      <c r="L59">
        <f>VLOOKUP(Sheet1!L59,LOOKUPS!$A$26:$B$27,2,FALSE)</f>
        <v>0</v>
      </c>
      <c r="M59">
        <v>2</v>
      </c>
      <c r="N59">
        <v>3</v>
      </c>
      <c r="O59">
        <v>3</v>
      </c>
      <c r="P59">
        <v>3</v>
      </c>
      <c r="Q59">
        <v>3</v>
      </c>
      <c r="R59">
        <f>VLOOKUP(Sheet1!R59,LOOKUPS!$A$39:$B$43,2,FALSE)</f>
        <v>4</v>
      </c>
      <c r="S59">
        <v>3</v>
      </c>
      <c r="T59">
        <f>VLOOKUP(Sheet1!T59,LOOKUPS!$A$31:$E$35,2,FALSE)</f>
        <v>3</v>
      </c>
      <c r="U59">
        <v>4</v>
      </c>
      <c r="V59">
        <v>3</v>
      </c>
      <c r="W59" t="s">
        <v>113</v>
      </c>
      <c r="X59">
        <v>98</v>
      </c>
      <c r="Y59" t="s">
        <v>122</v>
      </c>
    </row>
    <row r="60" spans="1:25" x14ac:dyDescent="0.3">
      <c r="A60" t="s">
        <v>26</v>
      </c>
      <c r="B60" t="s">
        <v>30</v>
      </c>
      <c r="C60" t="s">
        <v>35</v>
      </c>
      <c r="D60" t="s">
        <v>38</v>
      </c>
      <c r="E60" t="s">
        <v>42</v>
      </c>
      <c r="F60" t="s">
        <v>68</v>
      </c>
      <c r="G60">
        <f>VLOOKUP(Sheet1!G60,LOOKUPS!$A$3:$B$9,2,FALSE)</f>
        <v>5</v>
      </c>
      <c r="H60">
        <f>VLOOKUP(Sheet1!H60,LOOKUPS!$A$13:$B$14,2,FALSE)</f>
        <v>0</v>
      </c>
      <c r="J60">
        <f>VLOOKUP(Sheet1!J60,LOOKUPS!$A$18:$B$22,2,FALSE)</f>
        <v>1</v>
      </c>
      <c r="K60" t="s">
        <v>87</v>
      </c>
      <c r="L60">
        <f>VLOOKUP(Sheet1!L60,LOOKUPS!$A$26:$B$27,2,FALSE)</f>
        <v>0</v>
      </c>
      <c r="M60">
        <v>2</v>
      </c>
      <c r="N60">
        <v>3</v>
      </c>
      <c r="O60">
        <v>3</v>
      </c>
      <c r="P60">
        <v>3</v>
      </c>
      <c r="Q60">
        <v>3</v>
      </c>
      <c r="R60">
        <f>VLOOKUP(Sheet1!R60,LOOKUPS!$A$39:$B$43,2,FALSE)</f>
        <v>5</v>
      </c>
      <c r="S60">
        <v>4</v>
      </c>
      <c r="T60">
        <f>VLOOKUP(Sheet1!T60,LOOKUPS!$A$31:$E$35,2,FALSE)</f>
        <v>3</v>
      </c>
      <c r="U60">
        <v>3</v>
      </c>
      <c r="V60">
        <v>3</v>
      </c>
      <c r="W60" t="s">
        <v>114</v>
      </c>
      <c r="X60">
        <v>133</v>
      </c>
      <c r="Y60" t="s">
        <v>121</v>
      </c>
    </row>
    <row r="61" spans="1:25" x14ac:dyDescent="0.3">
      <c r="A61" t="s">
        <v>26</v>
      </c>
      <c r="B61" t="s">
        <v>30</v>
      </c>
      <c r="C61" t="s">
        <v>36</v>
      </c>
      <c r="D61" t="s">
        <v>39</v>
      </c>
      <c r="E61" t="s">
        <v>33</v>
      </c>
      <c r="F61" t="s">
        <v>68</v>
      </c>
      <c r="G61">
        <f>VLOOKUP(Sheet1!G61,LOOKUPS!$A$3:$B$9,2,FALSE)</f>
        <v>6</v>
      </c>
      <c r="H61">
        <f>VLOOKUP(Sheet1!H61,LOOKUPS!$A$13:$B$14,2,FALSE)</f>
        <v>1</v>
      </c>
      <c r="I61" t="s">
        <v>66</v>
      </c>
      <c r="J61">
        <f>VLOOKUP(Sheet1!J61,LOOKUPS!$A$18:$B$22,2,FALSE)</f>
        <v>1</v>
      </c>
      <c r="K61" t="s">
        <v>91</v>
      </c>
      <c r="L61">
        <f>VLOOKUP(Sheet1!L61,LOOKUPS!$A$26:$B$27,2,FALSE)</f>
        <v>0</v>
      </c>
      <c r="M61">
        <v>3</v>
      </c>
      <c r="N61">
        <v>3</v>
      </c>
      <c r="O61">
        <v>3</v>
      </c>
      <c r="P61">
        <v>3</v>
      </c>
      <c r="Q61">
        <v>3</v>
      </c>
      <c r="R61">
        <f>VLOOKUP(Sheet1!R61,LOOKUPS!$A$39:$B$43,2,FALSE)</f>
        <v>3</v>
      </c>
      <c r="S61">
        <v>3</v>
      </c>
      <c r="T61">
        <f>VLOOKUP(Sheet1!T61,LOOKUPS!$A$31:$E$35,2,FALSE)</f>
        <v>5</v>
      </c>
      <c r="U61">
        <v>4</v>
      </c>
      <c r="V61">
        <v>4</v>
      </c>
      <c r="W61" t="s">
        <v>111</v>
      </c>
      <c r="X61">
        <v>133</v>
      </c>
      <c r="Y61" t="s">
        <v>124</v>
      </c>
    </row>
    <row r="62" spans="1:25" x14ac:dyDescent="0.3">
      <c r="A62" t="s">
        <v>25</v>
      </c>
      <c r="B62" t="s">
        <v>32</v>
      </c>
      <c r="C62" t="s">
        <v>35</v>
      </c>
      <c r="D62" t="s">
        <v>38</v>
      </c>
      <c r="E62" t="s">
        <v>33</v>
      </c>
      <c r="F62" t="s">
        <v>51</v>
      </c>
      <c r="G62">
        <f>VLOOKUP(Sheet1!G62,LOOKUPS!$A$3:$B$9,2,FALSE)</f>
        <v>5</v>
      </c>
      <c r="H62">
        <f>VLOOKUP(Sheet1!H62,LOOKUPS!$A$13:$B$14,2,FALSE)</f>
        <v>1</v>
      </c>
      <c r="I62" t="s">
        <v>51</v>
      </c>
      <c r="J62">
        <f>VLOOKUP(Sheet1!J62,LOOKUPS!$A$18:$B$22,2,FALSE)</f>
        <v>3</v>
      </c>
      <c r="K62" t="s">
        <v>99</v>
      </c>
      <c r="L62">
        <f>VLOOKUP(Sheet1!L62,LOOKUPS!$A$26:$B$27,2,FALSE)</f>
        <v>0</v>
      </c>
      <c r="M62">
        <v>2</v>
      </c>
      <c r="N62">
        <v>2</v>
      </c>
      <c r="O62">
        <v>2</v>
      </c>
      <c r="P62">
        <v>2</v>
      </c>
      <c r="Q62">
        <v>2</v>
      </c>
      <c r="R62">
        <f>VLOOKUP(Sheet1!R62,LOOKUPS!$A$39:$B$43,2,FALSE)</f>
        <v>3</v>
      </c>
      <c r="S62">
        <v>4</v>
      </c>
      <c r="T62">
        <f>VLOOKUP(Sheet1!T62,LOOKUPS!$A$31:$E$35,2,FALSE)</f>
        <v>5</v>
      </c>
      <c r="U62">
        <v>3</v>
      </c>
      <c r="V62">
        <v>2</v>
      </c>
      <c r="W62" t="s">
        <v>114</v>
      </c>
      <c r="X62">
        <v>131</v>
      </c>
      <c r="Y62" t="s">
        <v>122</v>
      </c>
    </row>
    <row r="63" spans="1:25" x14ac:dyDescent="0.3">
      <c r="A63" t="s">
        <v>26</v>
      </c>
      <c r="B63" t="s">
        <v>30</v>
      </c>
      <c r="C63" t="s">
        <v>34</v>
      </c>
      <c r="D63" t="s">
        <v>37</v>
      </c>
      <c r="E63" t="s">
        <v>44</v>
      </c>
      <c r="F63" t="s">
        <v>51</v>
      </c>
      <c r="G63">
        <f>VLOOKUP(Sheet1!G63,LOOKUPS!$A$3:$B$9,2,FALSE)</f>
        <v>5</v>
      </c>
      <c r="H63">
        <f>VLOOKUP(Sheet1!H63,LOOKUPS!$A$13:$B$14,2,FALSE)</f>
        <v>0</v>
      </c>
      <c r="J63">
        <f>VLOOKUP(Sheet1!J63,LOOKUPS!$A$18:$B$22,2,FALSE)</f>
        <v>1</v>
      </c>
      <c r="K63" t="s">
        <v>87</v>
      </c>
      <c r="L63">
        <f>VLOOKUP(Sheet1!L63,LOOKUPS!$A$26:$B$27,2,FALSE)</f>
        <v>0</v>
      </c>
      <c r="M63">
        <v>3</v>
      </c>
      <c r="N63">
        <v>3</v>
      </c>
      <c r="O63">
        <v>4</v>
      </c>
      <c r="P63">
        <v>2</v>
      </c>
      <c r="Q63">
        <v>3</v>
      </c>
      <c r="R63">
        <f>VLOOKUP(Sheet1!R63,LOOKUPS!$A$39:$B$43,2,FALSE)</f>
        <v>3</v>
      </c>
      <c r="S63">
        <v>3</v>
      </c>
      <c r="T63">
        <f>VLOOKUP(Sheet1!T63,LOOKUPS!$A$31:$E$35,2,FALSE)</f>
        <v>2</v>
      </c>
      <c r="U63">
        <v>3</v>
      </c>
      <c r="V63">
        <v>3</v>
      </c>
      <c r="W63" t="s">
        <v>111</v>
      </c>
      <c r="X63">
        <v>138</v>
      </c>
      <c r="Y63" t="s">
        <v>122</v>
      </c>
    </row>
    <row r="64" spans="1:25" x14ac:dyDescent="0.3">
      <c r="A64" t="s">
        <v>26</v>
      </c>
      <c r="B64" t="s">
        <v>32</v>
      </c>
      <c r="C64" t="s">
        <v>35</v>
      </c>
      <c r="D64" t="s">
        <v>38</v>
      </c>
      <c r="E64" t="s">
        <v>45</v>
      </c>
      <c r="F64" t="s">
        <v>59</v>
      </c>
      <c r="G64">
        <f>VLOOKUP(Sheet1!G64,LOOKUPS!$A$3:$B$9,2,FALSE)</f>
        <v>6</v>
      </c>
      <c r="H64">
        <f>VLOOKUP(Sheet1!H64,LOOKUPS!$A$13:$B$14,2,FALSE)</f>
        <v>0</v>
      </c>
      <c r="J64">
        <f>VLOOKUP(Sheet1!J64,LOOKUPS!$A$18:$B$22,2,FALSE)</f>
        <v>1</v>
      </c>
      <c r="K64" t="s">
        <v>87</v>
      </c>
      <c r="L64">
        <f>VLOOKUP(Sheet1!L64,LOOKUPS!$A$26:$B$27,2,FALSE)</f>
        <v>1</v>
      </c>
      <c r="M64">
        <v>4</v>
      </c>
      <c r="N64">
        <v>4</v>
      </c>
      <c r="O64">
        <v>5</v>
      </c>
      <c r="P64">
        <v>3</v>
      </c>
      <c r="Q64">
        <v>4</v>
      </c>
      <c r="R64">
        <f>VLOOKUP(Sheet1!R64,LOOKUPS!$A$39:$B$43,2,FALSE)</f>
        <v>5</v>
      </c>
      <c r="S64">
        <v>2</v>
      </c>
      <c r="T64">
        <f>VLOOKUP(Sheet1!T64,LOOKUPS!$A$31:$E$35,2,FALSE)</f>
        <v>5</v>
      </c>
      <c r="U64">
        <v>4</v>
      </c>
      <c r="V64">
        <v>4</v>
      </c>
      <c r="W64" t="s">
        <v>112</v>
      </c>
      <c r="X64">
        <v>160</v>
      </c>
      <c r="Y64" t="s">
        <v>123</v>
      </c>
    </row>
    <row r="65" spans="1:25" x14ac:dyDescent="0.3">
      <c r="A65" t="s">
        <v>25</v>
      </c>
      <c r="B65" t="s">
        <v>30</v>
      </c>
      <c r="C65" t="s">
        <v>34</v>
      </c>
      <c r="D65" t="s">
        <v>38</v>
      </c>
      <c r="E65" t="s">
        <v>45</v>
      </c>
      <c r="F65" t="s">
        <v>60</v>
      </c>
      <c r="G65">
        <f>VLOOKUP(Sheet1!G65,LOOKUPS!$A$3:$B$9,2,FALSE)</f>
        <v>6</v>
      </c>
      <c r="H65">
        <f>VLOOKUP(Sheet1!H65,LOOKUPS!$A$13:$B$14,2,FALSE)</f>
        <v>1</v>
      </c>
      <c r="I65" t="s">
        <v>66</v>
      </c>
      <c r="J65">
        <f>VLOOKUP(Sheet1!J65,LOOKUPS!$A$18:$B$22,2,FALSE)</f>
        <v>1</v>
      </c>
      <c r="K65" t="s">
        <v>100</v>
      </c>
      <c r="L65">
        <f>VLOOKUP(Sheet1!L65,LOOKUPS!$A$26:$B$27,2,FALSE)</f>
        <v>0</v>
      </c>
      <c r="M65">
        <v>3</v>
      </c>
      <c r="N65">
        <v>3</v>
      </c>
      <c r="O65">
        <v>4</v>
      </c>
      <c r="P65">
        <v>4</v>
      </c>
      <c r="Q65">
        <v>4</v>
      </c>
      <c r="R65">
        <f>VLOOKUP(Sheet1!R65,LOOKUPS!$A$39:$B$43,2,FALSE)</f>
        <v>4</v>
      </c>
      <c r="S65">
        <v>3</v>
      </c>
      <c r="T65">
        <f>VLOOKUP(Sheet1!T65,LOOKUPS!$A$31:$E$35,2,FALSE)</f>
        <v>5</v>
      </c>
      <c r="U65">
        <v>4</v>
      </c>
      <c r="V65">
        <v>3</v>
      </c>
      <c r="W65" t="s">
        <v>113</v>
      </c>
      <c r="X65">
        <v>52</v>
      </c>
      <c r="Y65" t="s">
        <v>123</v>
      </c>
    </row>
    <row r="66" spans="1:25" x14ac:dyDescent="0.3">
      <c r="A66" t="s">
        <v>26</v>
      </c>
      <c r="B66" t="s">
        <v>32</v>
      </c>
      <c r="C66" t="s">
        <v>35</v>
      </c>
      <c r="D66" t="s">
        <v>40</v>
      </c>
      <c r="E66" t="s">
        <v>42</v>
      </c>
      <c r="F66" t="s">
        <v>48</v>
      </c>
      <c r="G66">
        <f>VLOOKUP(Sheet1!G66,LOOKUPS!$A$3:$B$9,2,FALSE)</f>
        <v>3</v>
      </c>
      <c r="H66">
        <f>VLOOKUP(Sheet1!H66,LOOKUPS!$A$13:$B$14,2,FALSE)</f>
        <v>1</v>
      </c>
      <c r="I66" t="s">
        <v>59</v>
      </c>
      <c r="J66">
        <f>VLOOKUP(Sheet1!J66,LOOKUPS!$A$18:$B$22,2,FALSE)</f>
        <v>5</v>
      </c>
      <c r="K66" t="s">
        <v>94</v>
      </c>
      <c r="L66">
        <f>VLOOKUP(Sheet1!L66,LOOKUPS!$A$26:$B$27,2,FALSE)</f>
        <v>1</v>
      </c>
      <c r="M66">
        <v>2</v>
      </c>
      <c r="N66">
        <v>3</v>
      </c>
      <c r="O66">
        <v>3</v>
      </c>
      <c r="P66">
        <v>2</v>
      </c>
      <c r="Q66">
        <v>2</v>
      </c>
      <c r="R66">
        <f>VLOOKUP(Sheet1!R66,LOOKUPS!$A$39:$B$43,2,FALSE)</f>
        <v>4</v>
      </c>
      <c r="S66">
        <v>4</v>
      </c>
      <c r="T66">
        <f>VLOOKUP(Sheet1!T66,LOOKUPS!$A$31:$E$35,2,FALSE)</f>
        <v>2</v>
      </c>
      <c r="U66">
        <v>3</v>
      </c>
      <c r="V66">
        <v>3</v>
      </c>
      <c r="W66" t="s">
        <v>111</v>
      </c>
      <c r="X66">
        <v>127</v>
      </c>
      <c r="Y66" t="s">
        <v>124</v>
      </c>
    </row>
    <row r="67" spans="1:25" x14ac:dyDescent="0.3">
      <c r="A67" t="s">
        <v>26</v>
      </c>
      <c r="B67" t="s">
        <v>32</v>
      </c>
      <c r="C67" t="s">
        <v>35</v>
      </c>
      <c r="D67" t="s">
        <v>37</v>
      </c>
      <c r="E67" t="s">
        <v>43</v>
      </c>
      <c r="F67" t="s">
        <v>60</v>
      </c>
      <c r="G67">
        <f>VLOOKUP(Sheet1!G67,LOOKUPS!$A$3:$B$9,2,FALSE)</f>
        <v>2</v>
      </c>
      <c r="H67">
        <f>VLOOKUP(Sheet1!H67,LOOKUPS!$A$13:$B$14,2,FALSE)</f>
        <v>1</v>
      </c>
      <c r="I67" t="s">
        <v>51</v>
      </c>
      <c r="J67">
        <f>VLOOKUP(Sheet1!J67,LOOKUPS!$A$18:$B$22,2,FALSE)</f>
        <v>2</v>
      </c>
      <c r="K67" t="s">
        <v>94</v>
      </c>
      <c r="L67">
        <f>VLOOKUP(Sheet1!L67,LOOKUPS!$A$26:$B$27,2,FALSE)</f>
        <v>0</v>
      </c>
      <c r="M67">
        <v>2</v>
      </c>
      <c r="N67">
        <v>3</v>
      </c>
      <c r="O67">
        <v>3</v>
      </c>
      <c r="P67">
        <v>2</v>
      </c>
      <c r="Q67">
        <v>3</v>
      </c>
      <c r="R67">
        <f>VLOOKUP(Sheet1!R67,LOOKUPS!$A$39:$B$43,2,FALSE)</f>
        <v>3</v>
      </c>
      <c r="S67">
        <v>3</v>
      </c>
      <c r="T67">
        <f>VLOOKUP(Sheet1!T67,LOOKUPS!$A$31:$E$35,2,FALSE)</f>
        <v>2</v>
      </c>
      <c r="U67">
        <v>4</v>
      </c>
      <c r="V67">
        <v>3</v>
      </c>
      <c r="W67" t="s">
        <v>113</v>
      </c>
      <c r="X67">
        <v>0</v>
      </c>
      <c r="Y67" t="s">
        <v>120</v>
      </c>
    </row>
    <row r="68" spans="1:25" x14ac:dyDescent="0.3">
      <c r="A68" t="s">
        <v>26</v>
      </c>
      <c r="B68" t="s">
        <v>31</v>
      </c>
      <c r="C68" t="s">
        <v>34</v>
      </c>
      <c r="D68" t="s">
        <v>41</v>
      </c>
      <c r="E68" t="s">
        <v>43</v>
      </c>
      <c r="F68" t="s">
        <v>66</v>
      </c>
      <c r="G68">
        <f>VLOOKUP(Sheet1!G68,LOOKUPS!$A$3:$B$9,2,FALSE)</f>
        <v>7</v>
      </c>
      <c r="H68">
        <f>VLOOKUP(Sheet1!H68,LOOKUPS!$A$13:$B$14,2,FALSE)</f>
        <v>1</v>
      </c>
      <c r="I68" t="s">
        <v>66</v>
      </c>
      <c r="J68">
        <f>VLOOKUP(Sheet1!J68,LOOKUPS!$A$18:$B$22,2,FALSE)</f>
        <v>1</v>
      </c>
      <c r="K68" t="s">
        <v>87</v>
      </c>
      <c r="L68">
        <f>VLOOKUP(Sheet1!L68,LOOKUPS!$A$26:$B$27,2,FALSE)</f>
        <v>1</v>
      </c>
      <c r="M68">
        <v>3</v>
      </c>
      <c r="N68">
        <v>3</v>
      </c>
      <c r="O68">
        <v>3</v>
      </c>
      <c r="P68">
        <v>3</v>
      </c>
      <c r="Q68">
        <v>3</v>
      </c>
      <c r="R68">
        <f>VLOOKUP(Sheet1!R68,LOOKUPS!$A$39:$B$43,2,FALSE)</f>
        <v>3</v>
      </c>
      <c r="S68">
        <v>3</v>
      </c>
      <c r="T68">
        <f>VLOOKUP(Sheet1!T68,LOOKUPS!$A$31:$E$35,2,FALSE)</f>
        <v>2</v>
      </c>
      <c r="U68">
        <v>3</v>
      </c>
      <c r="V68">
        <v>4</v>
      </c>
      <c r="W68" t="s">
        <v>114</v>
      </c>
      <c r="X68">
        <v>92</v>
      </c>
      <c r="Y68" t="s">
        <v>121</v>
      </c>
    </row>
    <row r="69" spans="1:25" x14ac:dyDescent="0.3">
      <c r="A69" t="s">
        <v>26</v>
      </c>
      <c r="B69" t="s">
        <v>30</v>
      </c>
      <c r="C69" t="s">
        <v>35</v>
      </c>
      <c r="D69" t="s">
        <v>39</v>
      </c>
      <c r="E69" t="s">
        <v>43</v>
      </c>
      <c r="F69" t="s">
        <v>56</v>
      </c>
      <c r="G69">
        <f>VLOOKUP(Sheet1!G69,LOOKUPS!$A$3:$B$9,2,FALSE)</f>
        <v>4</v>
      </c>
      <c r="H69">
        <f>VLOOKUP(Sheet1!H69,LOOKUPS!$A$13:$B$14,2,FALSE)</f>
        <v>1</v>
      </c>
      <c r="I69" t="s">
        <v>66</v>
      </c>
      <c r="J69">
        <f>VLOOKUP(Sheet1!J69,LOOKUPS!$A$18:$B$22,2,FALSE)</f>
        <v>1</v>
      </c>
      <c r="K69" t="s">
        <v>99</v>
      </c>
      <c r="L69">
        <f>VLOOKUP(Sheet1!L69,LOOKUPS!$A$26:$B$27,2,FALSE)</f>
        <v>0</v>
      </c>
      <c r="M69">
        <v>3</v>
      </c>
      <c r="N69">
        <v>3</v>
      </c>
      <c r="O69">
        <v>3</v>
      </c>
      <c r="P69">
        <v>3</v>
      </c>
      <c r="Q69">
        <v>2</v>
      </c>
      <c r="R69">
        <f>VLOOKUP(Sheet1!R69,LOOKUPS!$A$39:$B$43,2,FALSE)</f>
        <v>5</v>
      </c>
      <c r="S69">
        <v>4</v>
      </c>
      <c r="T69">
        <f>VLOOKUP(Sheet1!T69,LOOKUPS!$A$31:$E$35,2,FALSE)</f>
        <v>2</v>
      </c>
      <c r="U69">
        <v>3</v>
      </c>
      <c r="V69">
        <v>3</v>
      </c>
      <c r="W69" t="s">
        <v>114</v>
      </c>
      <c r="X69">
        <v>93</v>
      </c>
      <c r="Y69" t="s">
        <v>124</v>
      </c>
    </row>
    <row r="70" spans="1:25" x14ac:dyDescent="0.3">
      <c r="A70" t="s">
        <v>26</v>
      </c>
      <c r="B70" t="s">
        <v>30</v>
      </c>
      <c r="C70" t="s">
        <v>36</v>
      </c>
      <c r="D70" t="s">
        <v>38</v>
      </c>
      <c r="E70" t="s">
        <v>45</v>
      </c>
      <c r="F70" t="s">
        <v>60</v>
      </c>
      <c r="G70">
        <f>VLOOKUP(Sheet1!G70,LOOKUPS!$A$3:$B$9,2,FALSE)</f>
        <v>5</v>
      </c>
      <c r="H70">
        <f>VLOOKUP(Sheet1!H70,LOOKUPS!$A$13:$B$14,2,FALSE)</f>
        <v>1</v>
      </c>
      <c r="I70" t="s">
        <v>66</v>
      </c>
      <c r="J70">
        <f>VLOOKUP(Sheet1!J70,LOOKUPS!$A$18:$B$22,2,FALSE)</f>
        <v>3</v>
      </c>
      <c r="K70" t="s">
        <v>104</v>
      </c>
      <c r="L70">
        <f>VLOOKUP(Sheet1!L70,LOOKUPS!$A$26:$B$27,2,FALSE)</f>
        <v>0</v>
      </c>
      <c r="M70">
        <v>4</v>
      </c>
      <c r="N70">
        <v>4</v>
      </c>
      <c r="O70">
        <v>3</v>
      </c>
      <c r="P70">
        <v>3</v>
      </c>
      <c r="Q70">
        <v>4</v>
      </c>
      <c r="R70">
        <f>VLOOKUP(Sheet1!R70,LOOKUPS!$A$39:$B$43,2,FALSE)</f>
        <v>4</v>
      </c>
      <c r="S70">
        <v>2</v>
      </c>
      <c r="T70">
        <f>VLOOKUP(Sheet1!T70,LOOKUPS!$A$31:$E$35,2,FALSE)</f>
        <v>4</v>
      </c>
      <c r="U70">
        <v>4</v>
      </c>
      <c r="V70">
        <v>4</v>
      </c>
      <c r="W70" t="s">
        <v>112</v>
      </c>
      <c r="X70">
        <v>148</v>
      </c>
      <c r="Y70" t="s">
        <v>122</v>
      </c>
    </row>
    <row r="71" spans="1:25" x14ac:dyDescent="0.3">
      <c r="A71" t="s">
        <v>25</v>
      </c>
      <c r="B71" t="s">
        <v>32</v>
      </c>
      <c r="C71" t="s">
        <v>35</v>
      </c>
      <c r="D71" t="s">
        <v>37</v>
      </c>
      <c r="E71" t="s">
        <v>42</v>
      </c>
      <c r="F71" t="s">
        <v>49</v>
      </c>
      <c r="G71">
        <f>VLOOKUP(Sheet1!G71,LOOKUPS!$A$3:$B$9,2,FALSE)</f>
        <v>5</v>
      </c>
      <c r="H71">
        <f>VLOOKUP(Sheet1!H71,LOOKUPS!$A$13:$B$14,2,FALSE)</f>
        <v>1</v>
      </c>
      <c r="I71" t="s">
        <v>59</v>
      </c>
      <c r="J71">
        <f>VLOOKUP(Sheet1!J71,LOOKUPS!$A$18:$B$22,2,FALSE)</f>
        <v>3</v>
      </c>
      <c r="K71" t="s">
        <v>103</v>
      </c>
      <c r="L71">
        <f>VLOOKUP(Sheet1!L71,LOOKUPS!$A$26:$B$27,2,FALSE)</f>
        <v>1</v>
      </c>
      <c r="M71">
        <v>3</v>
      </c>
      <c r="N71">
        <v>3</v>
      </c>
      <c r="O71">
        <v>4</v>
      </c>
      <c r="P71">
        <v>2</v>
      </c>
      <c r="Q71">
        <v>2</v>
      </c>
      <c r="R71">
        <f>VLOOKUP(Sheet1!R71,LOOKUPS!$A$39:$B$43,2,FALSE)</f>
        <v>5</v>
      </c>
      <c r="S71">
        <v>3</v>
      </c>
      <c r="T71">
        <f>VLOOKUP(Sheet1!T71,LOOKUPS!$A$31:$E$35,2,FALSE)</f>
        <v>5</v>
      </c>
      <c r="U71">
        <v>4</v>
      </c>
      <c r="V71">
        <v>4</v>
      </c>
      <c r="W71" t="s">
        <v>110</v>
      </c>
      <c r="X71">
        <v>61</v>
      </c>
      <c r="Y71" t="s">
        <v>120</v>
      </c>
    </row>
    <row r="72" spans="1:25" x14ac:dyDescent="0.3">
      <c r="A72" t="s">
        <v>29</v>
      </c>
      <c r="B72" t="s">
        <v>32</v>
      </c>
      <c r="C72" t="s">
        <v>35</v>
      </c>
      <c r="D72" t="s">
        <v>38</v>
      </c>
      <c r="E72" t="s">
        <v>45</v>
      </c>
      <c r="F72" t="s">
        <v>63</v>
      </c>
      <c r="G72">
        <f>VLOOKUP(Sheet1!G72,LOOKUPS!$A$3:$B$9,2,FALSE)</f>
        <v>2</v>
      </c>
      <c r="H72">
        <f>VLOOKUP(Sheet1!H72,LOOKUPS!$A$13:$B$14,2,FALSE)</f>
        <v>0</v>
      </c>
      <c r="J72">
        <f>VLOOKUP(Sheet1!J72,LOOKUPS!$A$18:$B$22,2,FALSE)</f>
        <v>1</v>
      </c>
      <c r="K72" t="s">
        <v>87</v>
      </c>
      <c r="L72">
        <f>VLOOKUP(Sheet1!L72,LOOKUPS!$A$26:$B$27,2,FALSE)</f>
        <v>1</v>
      </c>
      <c r="M72">
        <v>3</v>
      </c>
      <c r="N72">
        <v>4</v>
      </c>
      <c r="O72">
        <v>4</v>
      </c>
      <c r="P72">
        <v>3</v>
      </c>
      <c r="Q72">
        <v>3</v>
      </c>
      <c r="R72">
        <f>VLOOKUP(Sheet1!R72,LOOKUPS!$A$39:$B$43,2,FALSE)</f>
        <v>4</v>
      </c>
      <c r="S72">
        <v>2</v>
      </c>
      <c r="T72">
        <f>VLOOKUP(Sheet1!T72,LOOKUPS!$A$31:$E$35,2,FALSE)</f>
        <v>4</v>
      </c>
      <c r="U72">
        <v>4</v>
      </c>
      <c r="V72">
        <v>4</v>
      </c>
      <c r="W72" t="s">
        <v>111</v>
      </c>
      <c r="X72">
        <v>89</v>
      </c>
      <c r="Y72" t="s">
        <v>122</v>
      </c>
    </row>
    <row r="73" spans="1:25" x14ac:dyDescent="0.3">
      <c r="A73" t="s">
        <v>26</v>
      </c>
      <c r="B73" t="s">
        <v>32</v>
      </c>
      <c r="C73" t="s">
        <v>35</v>
      </c>
      <c r="D73" t="s">
        <v>38</v>
      </c>
      <c r="E73" t="s">
        <v>43</v>
      </c>
      <c r="F73" t="s">
        <v>60</v>
      </c>
      <c r="G73">
        <f>VLOOKUP(Sheet1!G73,LOOKUPS!$A$3:$B$9,2,FALSE)</f>
        <v>6</v>
      </c>
      <c r="H73">
        <f>VLOOKUP(Sheet1!H73,LOOKUPS!$A$13:$B$14,2,FALSE)</f>
        <v>1</v>
      </c>
      <c r="I73" t="s">
        <v>59</v>
      </c>
      <c r="J73">
        <f>VLOOKUP(Sheet1!J73,LOOKUPS!$A$18:$B$22,2,FALSE)</f>
        <v>1</v>
      </c>
      <c r="K73" t="s">
        <v>105</v>
      </c>
      <c r="L73">
        <f>VLOOKUP(Sheet1!L73,LOOKUPS!$A$26:$B$27,2,FALSE)</f>
        <v>0</v>
      </c>
      <c r="M73">
        <v>2</v>
      </c>
      <c r="N73">
        <v>2</v>
      </c>
      <c r="O73">
        <v>3</v>
      </c>
      <c r="P73">
        <v>2</v>
      </c>
      <c r="Q73">
        <v>2</v>
      </c>
      <c r="R73">
        <f>VLOOKUP(Sheet1!R73,LOOKUPS!$A$39:$B$43,2,FALSE)</f>
        <v>5</v>
      </c>
      <c r="S73">
        <v>4</v>
      </c>
      <c r="T73">
        <f>VLOOKUP(Sheet1!T73,LOOKUPS!$A$31:$E$35,2,FALSE)</f>
        <v>1</v>
      </c>
      <c r="U73">
        <v>2</v>
      </c>
      <c r="V73">
        <v>3</v>
      </c>
      <c r="W73" t="s">
        <v>111</v>
      </c>
      <c r="X73">
        <v>126</v>
      </c>
      <c r="Y73" t="s">
        <v>120</v>
      </c>
    </row>
    <row r="74" spans="1:25" x14ac:dyDescent="0.3">
      <c r="A74" t="s">
        <v>25</v>
      </c>
      <c r="B74" t="s">
        <v>32</v>
      </c>
      <c r="C74" t="s">
        <v>35</v>
      </c>
      <c r="D74" t="s">
        <v>38</v>
      </c>
      <c r="E74" t="s">
        <v>43</v>
      </c>
      <c r="F74" t="s">
        <v>57</v>
      </c>
      <c r="G74">
        <f>VLOOKUP(Sheet1!G74,LOOKUPS!$A$3:$B$9,2,FALSE)</f>
        <v>4</v>
      </c>
      <c r="H74">
        <f>VLOOKUP(Sheet1!H74,LOOKUPS!$A$13:$B$14,2,FALSE)</f>
        <v>1</v>
      </c>
      <c r="I74" t="s">
        <v>59</v>
      </c>
      <c r="J74">
        <f>VLOOKUP(Sheet1!J74,LOOKUPS!$A$18:$B$22,2,FALSE)</f>
        <v>2</v>
      </c>
      <c r="K74" t="s">
        <v>98</v>
      </c>
      <c r="L74">
        <f>VLOOKUP(Sheet1!L74,LOOKUPS!$A$26:$B$27,2,FALSE)</f>
        <v>1</v>
      </c>
      <c r="M74">
        <v>3</v>
      </c>
      <c r="N74">
        <v>3</v>
      </c>
      <c r="O74">
        <v>4</v>
      </c>
      <c r="P74">
        <v>3</v>
      </c>
      <c r="Q74">
        <v>2</v>
      </c>
      <c r="R74">
        <f>VLOOKUP(Sheet1!R74,LOOKUPS!$A$39:$B$43,2,FALSE)</f>
        <v>4</v>
      </c>
      <c r="S74">
        <v>3</v>
      </c>
      <c r="T74">
        <f>VLOOKUP(Sheet1!T74,LOOKUPS!$A$31:$E$35,2,FALSE)</f>
        <v>4</v>
      </c>
      <c r="U74">
        <v>3</v>
      </c>
      <c r="V74">
        <v>4</v>
      </c>
      <c r="W74" t="s">
        <v>111</v>
      </c>
      <c r="X74">
        <v>105</v>
      </c>
      <c r="Y74" t="s">
        <v>121</v>
      </c>
    </row>
    <row r="75" spans="1:25" x14ac:dyDescent="0.3">
      <c r="A75" t="s">
        <v>26</v>
      </c>
      <c r="B75" t="s">
        <v>32</v>
      </c>
      <c r="C75" t="s">
        <v>35</v>
      </c>
      <c r="D75" t="s">
        <v>41</v>
      </c>
      <c r="E75" t="s">
        <v>33</v>
      </c>
      <c r="F75" t="s">
        <v>68</v>
      </c>
      <c r="G75">
        <f>VLOOKUP(Sheet1!G75,LOOKUPS!$A$3:$B$9,2,FALSE)</f>
        <v>4</v>
      </c>
      <c r="H75">
        <f>VLOOKUP(Sheet1!H75,LOOKUPS!$A$13:$B$14,2,FALSE)</f>
        <v>0</v>
      </c>
      <c r="J75">
        <f>VLOOKUP(Sheet1!J75,LOOKUPS!$A$18:$B$22,2,FALSE)</f>
        <v>1</v>
      </c>
      <c r="K75" t="s">
        <v>87</v>
      </c>
      <c r="L75">
        <f>VLOOKUP(Sheet1!L75,LOOKUPS!$A$26:$B$27,2,FALSE)</f>
        <v>0</v>
      </c>
      <c r="M75">
        <v>3</v>
      </c>
      <c r="N75">
        <v>3</v>
      </c>
      <c r="O75">
        <v>2</v>
      </c>
      <c r="P75">
        <v>3</v>
      </c>
      <c r="Q75">
        <v>2</v>
      </c>
      <c r="R75">
        <f>VLOOKUP(Sheet1!R75,LOOKUPS!$A$39:$B$43,2,FALSE)</f>
        <v>4</v>
      </c>
      <c r="S75">
        <v>3</v>
      </c>
      <c r="T75">
        <f>VLOOKUP(Sheet1!T75,LOOKUPS!$A$31:$E$35,2,FALSE)</f>
        <v>4</v>
      </c>
      <c r="U75">
        <v>3</v>
      </c>
      <c r="V75">
        <v>3</v>
      </c>
      <c r="W75" t="s">
        <v>113</v>
      </c>
      <c r="X75">
        <v>0</v>
      </c>
      <c r="Y75" t="s">
        <v>122</v>
      </c>
    </row>
    <row r="76" spans="1:25" x14ac:dyDescent="0.3">
      <c r="A76" t="s">
        <v>26</v>
      </c>
      <c r="B76" t="s">
        <v>30</v>
      </c>
      <c r="C76" t="s">
        <v>34</v>
      </c>
      <c r="D76" t="s">
        <v>37</v>
      </c>
      <c r="E76" t="s">
        <v>43</v>
      </c>
      <c r="F76" t="s">
        <v>48</v>
      </c>
      <c r="G76">
        <f>VLOOKUP(Sheet1!G76,LOOKUPS!$A$3:$B$9,2,FALSE)</f>
        <v>2</v>
      </c>
      <c r="H76">
        <f>VLOOKUP(Sheet1!H76,LOOKUPS!$A$13:$B$14,2,FALSE)</f>
        <v>0</v>
      </c>
      <c r="J76">
        <f>VLOOKUP(Sheet1!J76,LOOKUPS!$A$18:$B$22,2,FALSE)</f>
        <v>1</v>
      </c>
      <c r="K76" t="s">
        <v>87</v>
      </c>
      <c r="L76">
        <f>VLOOKUP(Sheet1!L76,LOOKUPS!$A$26:$B$27,2,FALSE)</f>
        <v>1</v>
      </c>
      <c r="M76">
        <v>3</v>
      </c>
      <c r="N76">
        <v>3</v>
      </c>
      <c r="O76">
        <v>3</v>
      </c>
      <c r="P76">
        <v>2</v>
      </c>
      <c r="Q76">
        <v>2</v>
      </c>
      <c r="R76">
        <f>VLOOKUP(Sheet1!R76,LOOKUPS!$A$39:$B$43,2,FALSE)</f>
        <v>1</v>
      </c>
      <c r="S76">
        <v>4</v>
      </c>
      <c r="T76">
        <f>VLOOKUP(Sheet1!T76,LOOKUPS!$A$31:$E$35,2,FALSE)</f>
        <v>2</v>
      </c>
      <c r="U76">
        <v>2</v>
      </c>
      <c r="V76">
        <v>3</v>
      </c>
      <c r="W76" t="s">
        <v>112</v>
      </c>
      <c r="X76">
        <v>118</v>
      </c>
      <c r="Y76" t="s">
        <v>122</v>
      </c>
    </row>
    <row r="77" spans="1:25" x14ac:dyDescent="0.3">
      <c r="A77" t="s">
        <v>26</v>
      </c>
      <c r="B77" t="s">
        <v>30</v>
      </c>
      <c r="C77" t="s">
        <v>36</v>
      </c>
      <c r="D77" t="s">
        <v>38</v>
      </c>
      <c r="E77" t="s">
        <v>43</v>
      </c>
      <c r="F77" t="s">
        <v>55</v>
      </c>
      <c r="G77">
        <f>VLOOKUP(Sheet1!G77,LOOKUPS!$A$3:$B$9,2,FALSE)</f>
        <v>1</v>
      </c>
      <c r="H77">
        <f>VLOOKUP(Sheet1!H77,LOOKUPS!$A$13:$B$14,2,FALSE)</f>
        <v>0</v>
      </c>
      <c r="J77">
        <f>VLOOKUP(Sheet1!J77,LOOKUPS!$A$18:$B$22,2,FALSE)</f>
        <v>1</v>
      </c>
      <c r="K77" t="s">
        <v>87</v>
      </c>
      <c r="L77">
        <f>VLOOKUP(Sheet1!L77,LOOKUPS!$A$26:$B$27,2,FALSE)</f>
        <v>1</v>
      </c>
      <c r="M77">
        <v>3</v>
      </c>
      <c r="N77">
        <v>3</v>
      </c>
      <c r="O77">
        <v>4</v>
      </c>
      <c r="P77">
        <v>3</v>
      </c>
      <c r="Q77">
        <v>4</v>
      </c>
      <c r="R77">
        <f>VLOOKUP(Sheet1!R77,LOOKUPS!$A$39:$B$43,2,FALSE)</f>
        <v>5</v>
      </c>
      <c r="S77">
        <v>3</v>
      </c>
      <c r="T77">
        <f>VLOOKUP(Sheet1!T77,LOOKUPS!$A$31:$E$35,2,FALSE)</f>
        <v>4</v>
      </c>
      <c r="U77">
        <v>4</v>
      </c>
      <c r="V77">
        <v>4</v>
      </c>
      <c r="W77" t="s">
        <v>111</v>
      </c>
      <c r="X77">
        <v>153</v>
      </c>
      <c r="Y77" t="s">
        <v>120</v>
      </c>
    </row>
    <row r="78" spans="1:25" x14ac:dyDescent="0.3">
      <c r="A78" t="s">
        <v>26</v>
      </c>
      <c r="B78" t="s">
        <v>32</v>
      </c>
      <c r="C78" t="s">
        <v>35</v>
      </c>
      <c r="D78" t="s">
        <v>38</v>
      </c>
      <c r="E78" t="s">
        <v>42</v>
      </c>
      <c r="F78" t="s">
        <v>66</v>
      </c>
      <c r="G78">
        <f>VLOOKUP(Sheet1!G78,LOOKUPS!$A$3:$B$9,2,FALSE)</f>
        <v>3</v>
      </c>
      <c r="H78">
        <f>VLOOKUP(Sheet1!H78,LOOKUPS!$A$13:$B$14,2,FALSE)</f>
        <v>1</v>
      </c>
      <c r="I78" t="s">
        <v>66</v>
      </c>
      <c r="J78">
        <f>VLOOKUP(Sheet1!J78,LOOKUPS!$A$18:$B$22,2,FALSE)</f>
        <v>2</v>
      </c>
      <c r="K78" t="s">
        <v>100</v>
      </c>
      <c r="L78">
        <f>VLOOKUP(Sheet1!L78,LOOKUPS!$A$26:$B$27,2,FALSE)</f>
        <v>1</v>
      </c>
      <c r="M78">
        <v>3</v>
      </c>
      <c r="N78">
        <v>3</v>
      </c>
      <c r="O78">
        <v>3</v>
      </c>
      <c r="P78">
        <v>3</v>
      </c>
      <c r="Q78">
        <v>3</v>
      </c>
      <c r="R78">
        <f>VLOOKUP(Sheet1!R78,LOOKUPS!$A$39:$B$43,2,FALSE)</f>
        <v>5</v>
      </c>
      <c r="S78">
        <v>3</v>
      </c>
      <c r="T78">
        <f>VLOOKUP(Sheet1!T78,LOOKUPS!$A$31:$E$35,2,FALSE)</f>
        <v>2</v>
      </c>
      <c r="U78">
        <v>4</v>
      </c>
      <c r="V78">
        <v>3</v>
      </c>
      <c r="W78" t="s">
        <v>114</v>
      </c>
      <c r="X78">
        <v>80</v>
      </c>
      <c r="Y78" t="s">
        <v>123</v>
      </c>
    </row>
    <row r="79" spans="1:25" x14ac:dyDescent="0.3">
      <c r="A79" t="s">
        <v>26</v>
      </c>
      <c r="B79" t="s">
        <v>30</v>
      </c>
      <c r="C79" t="s">
        <v>35</v>
      </c>
      <c r="D79" t="s">
        <v>38</v>
      </c>
      <c r="E79" t="s">
        <v>43</v>
      </c>
      <c r="F79" t="s">
        <v>59</v>
      </c>
      <c r="G79">
        <f>VLOOKUP(Sheet1!G79,LOOKUPS!$A$3:$B$9,2,FALSE)</f>
        <v>5</v>
      </c>
      <c r="H79">
        <f>VLOOKUP(Sheet1!H79,LOOKUPS!$A$13:$B$14,2,FALSE)</f>
        <v>0</v>
      </c>
      <c r="J79">
        <f>VLOOKUP(Sheet1!J79,LOOKUPS!$A$18:$B$22,2,FALSE)</f>
        <v>1</v>
      </c>
      <c r="K79" t="s">
        <v>87</v>
      </c>
      <c r="L79">
        <f>VLOOKUP(Sheet1!L79,LOOKUPS!$A$26:$B$27,2,FALSE)</f>
        <v>1</v>
      </c>
      <c r="M79">
        <v>4</v>
      </c>
      <c r="N79">
        <v>4</v>
      </c>
      <c r="O79">
        <v>4</v>
      </c>
      <c r="P79">
        <v>4</v>
      </c>
      <c r="Q79">
        <v>4</v>
      </c>
      <c r="R79">
        <f>VLOOKUP(Sheet1!R79,LOOKUPS!$A$39:$B$43,2,FALSE)</f>
        <v>5</v>
      </c>
      <c r="S79">
        <v>3</v>
      </c>
      <c r="T79">
        <f>VLOOKUP(Sheet1!T79,LOOKUPS!$A$31:$E$35,2,FALSE)</f>
        <v>5</v>
      </c>
      <c r="U79">
        <v>5</v>
      </c>
      <c r="V79">
        <v>4</v>
      </c>
      <c r="W79" t="s">
        <v>114</v>
      </c>
      <c r="X79">
        <v>71</v>
      </c>
      <c r="Y79" t="s">
        <v>122</v>
      </c>
    </row>
    <row r="80" spans="1:25" x14ac:dyDescent="0.3">
      <c r="A80" t="s">
        <v>26</v>
      </c>
      <c r="B80" t="s">
        <v>32</v>
      </c>
      <c r="C80" t="s">
        <v>35</v>
      </c>
      <c r="D80" t="s">
        <v>38</v>
      </c>
      <c r="E80" t="s">
        <v>46</v>
      </c>
      <c r="F80" t="s">
        <v>51</v>
      </c>
      <c r="G80">
        <f>VLOOKUP(Sheet1!G80,LOOKUPS!$A$3:$B$9,2,FALSE)</f>
        <v>1</v>
      </c>
      <c r="H80">
        <f>VLOOKUP(Sheet1!H80,LOOKUPS!$A$13:$B$14,2,FALSE)</f>
        <v>1</v>
      </c>
      <c r="I80" t="s">
        <v>51</v>
      </c>
      <c r="J80">
        <f>VLOOKUP(Sheet1!J80,LOOKUPS!$A$18:$B$22,2,FALSE)</f>
        <v>1</v>
      </c>
      <c r="K80" t="s">
        <v>95</v>
      </c>
      <c r="L80">
        <f>VLOOKUP(Sheet1!L80,LOOKUPS!$A$26:$B$27,2,FALSE)</f>
        <v>0</v>
      </c>
      <c r="M80">
        <v>3</v>
      </c>
      <c r="N80">
        <v>4</v>
      </c>
      <c r="O80">
        <v>3</v>
      </c>
      <c r="P80">
        <v>3</v>
      </c>
      <c r="Q80">
        <v>3</v>
      </c>
      <c r="R80">
        <f>VLOOKUP(Sheet1!R80,LOOKUPS!$A$39:$B$43,2,FALSE)</f>
        <v>5</v>
      </c>
      <c r="S80">
        <v>2</v>
      </c>
      <c r="T80">
        <f>VLOOKUP(Sheet1!T80,LOOKUPS!$A$31:$E$35,2,FALSE)</f>
        <v>4</v>
      </c>
      <c r="U80">
        <v>3</v>
      </c>
      <c r="V80">
        <v>3</v>
      </c>
      <c r="W80" t="s">
        <v>114</v>
      </c>
      <c r="X80">
        <v>116</v>
      </c>
      <c r="Y80" t="s">
        <v>121</v>
      </c>
    </row>
    <row r="81" spans="1:25" x14ac:dyDescent="0.3">
      <c r="A81" t="s">
        <v>26</v>
      </c>
      <c r="B81" t="s">
        <v>30</v>
      </c>
      <c r="C81" t="s">
        <v>35</v>
      </c>
      <c r="D81" t="s">
        <v>38</v>
      </c>
      <c r="E81" t="s">
        <v>42</v>
      </c>
      <c r="F81" t="s">
        <v>69</v>
      </c>
      <c r="G81">
        <f>VLOOKUP(Sheet1!G81,LOOKUPS!$A$3:$B$9,2,FALSE)</f>
        <v>2</v>
      </c>
      <c r="H81">
        <f>VLOOKUP(Sheet1!H81,LOOKUPS!$A$13:$B$14,2,FALSE)</f>
        <v>0</v>
      </c>
      <c r="J81">
        <f>VLOOKUP(Sheet1!J81,LOOKUPS!$A$18:$B$22,2,FALSE)</f>
        <v>1</v>
      </c>
      <c r="K81" t="s">
        <v>87</v>
      </c>
      <c r="L81">
        <f>VLOOKUP(Sheet1!L81,LOOKUPS!$A$26:$B$27,2,FALSE)</f>
        <v>1</v>
      </c>
      <c r="M81">
        <v>3</v>
      </c>
      <c r="N81">
        <v>3</v>
      </c>
      <c r="O81">
        <v>4</v>
      </c>
      <c r="P81">
        <v>3</v>
      </c>
      <c r="Q81">
        <v>3</v>
      </c>
      <c r="R81">
        <f>VLOOKUP(Sheet1!R81,LOOKUPS!$A$39:$B$43,2,FALSE)</f>
        <v>4</v>
      </c>
      <c r="S81">
        <v>3</v>
      </c>
      <c r="T81">
        <f>VLOOKUP(Sheet1!T81,LOOKUPS!$A$31:$E$35,2,FALSE)</f>
        <v>4</v>
      </c>
      <c r="U81">
        <v>4</v>
      </c>
      <c r="V81">
        <v>4</v>
      </c>
      <c r="W81" t="s">
        <v>111</v>
      </c>
      <c r="X81">
        <v>135</v>
      </c>
      <c r="Y81" t="s">
        <v>124</v>
      </c>
    </row>
    <row r="82" spans="1:25" x14ac:dyDescent="0.3">
      <c r="A82" t="s">
        <v>26</v>
      </c>
      <c r="B82" t="s">
        <v>30</v>
      </c>
      <c r="C82" t="s">
        <v>35</v>
      </c>
      <c r="D82" t="s">
        <v>38</v>
      </c>
      <c r="E82" t="s">
        <v>42</v>
      </c>
      <c r="F82" t="s">
        <v>50</v>
      </c>
      <c r="G82">
        <f>VLOOKUP(Sheet1!G82,LOOKUPS!$A$3:$B$9,2,FALSE)</f>
        <v>6</v>
      </c>
      <c r="H82">
        <f>VLOOKUP(Sheet1!H82,LOOKUPS!$A$13:$B$14,2,FALSE)</f>
        <v>1</v>
      </c>
      <c r="I82" t="s">
        <v>66</v>
      </c>
      <c r="J82">
        <f>VLOOKUP(Sheet1!J82,LOOKUPS!$A$18:$B$22,2,FALSE)</f>
        <v>1</v>
      </c>
      <c r="K82" t="s">
        <v>103</v>
      </c>
      <c r="L82">
        <f>VLOOKUP(Sheet1!L82,LOOKUPS!$A$26:$B$27,2,FALSE)</f>
        <v>0</v>
      </c>
      <c r="M82">
        <v>3</v>
      </c>
      <c r="N82">
        <v>3</v>
      </c>
      <c r="O82">
        <v>4</v>
      </c>
      <c r="P82">
        <v>3</v>
      </c>
      <c r="Q82">
        <v>3</v>
      </c>
      <c r="R82">
        <f>VLOOKUP(Sheet1!R82,LOOKUPS!$A$39:$B$43,2,FALSE)</f>
        <v>3</v>
      </c>
      <c r="S82">
        <v>2</v>
      </c>
      <c r="T82">
        <f>VLOOKUP(Sheet1!T82,LOOKUPS!$A$31:$E$35,2,FALSE)</f>
        <v>2</v>
      </c>
      <c r="U82">
        <v>4</v>
      </c>
      <c r="V82">
        <v>4</v>
      </c>
      <c r="W82" t="s">
        <v>113</v>
      </c>
      <c r="X82">
        <v>70</v>
      </c>
      <c r="Y82" t="s">
        <v>121</v>
      </c>
    </row>
    <row r="83" spans="1:25" x14ac:dyDescent="0.3">
      <c r="A83" t="s">
        <v>26</v>
      </c>
      <c r="B83" t="s">
        <v>33</v>
      </c>
      <c r="C83" t="s">
        <v>36</v>
      </c>
      <c r="D83" t="s">
        <v>38</v>
      </c>
      <c r="E83" t="s">
        <v>44</v>
      </c>
      <c r="F83" t="s">
        <v>68</v>
      </c>
      <c r="G83">
        <f>VLOOKUP(Sheet1!G83,LOOKUPS!$A$3:$B$9,2,FALSE)</f>
        <v>3</v>
      </c>
      <c r="H83">
        <f>VLOOKUP(Sheet1!H83,LOOKUPS!$A$13:$B$14,2,FALSE)</f>
        <v>0</v>
      </c>
      <c r="J83">
        <f>VLOOKUP(Sheet1!J83,LOOKUPS!$A$18:$B$22,2,FALSE)</f>
        <v>1</v>
      </c>
      <c r="K83" t="s">
        <v>87</v>
      </c>
      <c r="L83">
        <f>VLOOKUP(Sheet1!L83,LOOKUPS!$A$26:$B$27,2,FALSE)</f>
        <v>0</v>
      </c>
      <c r="M83">
        <v>2</v>
      </c>
      <c r="N83">
        <v>3</v>
      </c>
      <c r="O83">
        <v>3</v>
      </c>
      <c r="P83">
        <v>3</v>
      </c>
      <c r="Q83">
        <v>3</v>
      </c>
      <c r="R83">
        <f>VLOOKUP(Sheet1!R83,LOOKUPS!$A$39:$B$43,2,FALSE)</f>
        <v>4</v>
      </c>
      <c r="S83">
        <v>3</v>
      </c>
      <c r="T83">
        <f>VLOOKUP(Sheet1!T83,LOOKUPS!$A$31:$E$35,2,FALSE)</f>
        <v>3</v>
      </c>
      <c r="U83">
        <v>3</v>
      </c>
      <c r="V83">
        <v>3</v>
      </c>
      <c r="W83" t="s">
        <v>110</v>
      </c>
      <c r="X83">
        <v>68</v>
      </c>
      <c r="Y83" t="s">
        <v>122</v>
      </c>
    </row>
    <row r="84" spans="1:25" x14ac:dyDescent="0.3">
      <c r="A84" t="s">
        <v>26</v>
      </c>
      <c r="B84" t="s">
        <v>30</v>
      </c>
      <c r="C84" t="s">
        <v>35</v>
      </c>
      <c r="D84" t="s">
        <v>38</v>
      </c>
      <c r="E84" t="s">
        <v>42</v>
      </c>
      <c r="F84" t="s">
        <v>61</v>
      </c>
      <c r="G84">
        <f>VLOOKUP(Sheet1!G84,LOOKUPS!$A$3:$B$9,2,FALSE)</f>
        <v>3</v>
      </c>
      <c r="H84">
        <f>VLOOKUP(Sheet1!H84,LOOKUPS!$A$13:$B$14,2,FALSE)</f>
        <v>1</v>
      </c>
      <c r="I84" t="s">
        <v>51</v>
      </c>
      <c r="J84">
        <f>VLOOKUP(Sheet1!J84,LOOKUPS!$A$18:$B$22,2,FALSE)</f>
        <v>5</v>
      </c>
      <c r="K84" t="s">
        <v>93</v>
      </c>
      <c r="L84">
        <f>VLOOKUP(Sheet1!L84,LOOKUPS!$A$26:$B$27,2,FALSE)</f>
        <v>0</v>
      </c>
      <c r="M84">
        <v>2</v>
      </c>
      <c r="N84">
        <v>2</v>
      </c>
      <c r="O84">
        <v>3</v>
      </c>
      <c r="P84">
        <v>2</v>
      </c>
      <c r="Q84">
        <v>2</v>
      </c>
      <c r="R84">
        <f>VLOOKUP(Sheet1!R84,LOOKUPS!$A$39:$B$43,2,FALSE)</f>
        <v>4</v>
      </c>
      <c r="S84">
        <v>4</v>
      </c>
      <c r="T84">
        <f>VLOOKUP(Sheet1!T84,LOOKUPS!$A$31:$E$35,2,FALSE)</f>
        <v>4</v>
      </c>
      <c r="U84">
        <v>3</v>
      </c>
      <c r="V84">
        <v>2</v>
      </c>
      <c r="W84" t="s">
        <v>112</v>
      </c>
      <c r="X84">
        <v>111</v>
      </c>
      <c r="Y84" t="s">
        <v>121</v>
      </c>
    </row>
    <row r="85" spans="1:25" x14ac:dyDescent="0.3">
      <c r="A85" t="s">
        <v>26</v>
      </c>
      <c r="B85" t="s">
        <v>32</v>
      </c>
      <c r="C85" t="s">
        <v>35</v>
      </c>
      <c r="D85" t="s">
        <v>37</v>
      </c>
      <c r="E85" t="s">
        <v>42</v>
      </c>
      <c r="F85" t="s">
        <v>68</v>
      </c>
      <c r="G85">
        <f>VLOOKUP(Sheet1!G85,LOOKUPS!$A$3:$B$9,2,FALSE)</f>
        <v>6</v>
      </c>
      <c r="H85">
        <f>VLOOKUP(Sheet1!H85,LOOKUPS!$A$13:$B$14,2,FALSE)</f>
        <v>1</v>
      </c>
      <c r="I85" t="s">
        <v>51</v>
      </c>
      <c r="J85">
        <f>VLOOKUP(Sheet1!J85,LOOKUPS!$A$18:$B$22,2,FALSE)</f>
        <v>2</v>
      </c>
      <c r="K85" t="s">
        <v>90</v>
      </c>
      <c r="L85">
        <f>VLOOKUP(Sheet1!L85,LOOKUPS!$A$26:$B$27,2,FALSE)</f>
        <v>0</v>
      </c>
      <c r="M85">
        <v>2</v>
      </c>
      <c r="N85">
        <v>2</v>
      </c>
      <c r="O85">
        <v>3</v>
      </c>
      <c r="P85">
        <v>3</v>
      </c>
      <c r="Q85">
        <v>3</v>
      </c>
      <c r="R85">
        <f>VLOOKUP(Sheet1!R85,LOOKUPS!$A$39:$B$43,2,FALSE)</f>
        <v>1</v>
      </c>
      <c r="S85">
        <v>4</v>
      </c>
      <c r="T85">
        <f>VLOOKUP(Sheet1!T85,LOOKUPS!$A$31:$E$35,2,FALSE)</f>
        <v>3</v>
      </c>
      <c r="U85">
        <v>3</v>
      </c>
      <c r="V85">
        <v>2</v>
      </c>
      <c r="W85" t="s">
        <v>114</v>
      </c>
      <c r="X85">
        <v>56</v>
      </c>
      <c r="Y85" t="s">
        <v>121</v>
      </c>
    </row>
    <row r="86" spans="1:25" x14ac:dyDescent="0.3">
      <c r="A86" t="s">
        <v>26</v>
      </c>
      <c r="B86" t="s">
        <v>32</v>
      </c>
      <c r="C86" t="s">
        <v>35</v>
      </c>
      <c r="D86" t="s">
        <v>38</v>
      </c>
      <c r="E86" t="s">
        <v>44</v>
      </c>
      <c r="F86" t="s">
        <v>61</v>
      </c>
      <c r="G86">
        <f>VLOOKUP(Sheet1!G86,LOOKUPS!$A$3:$B$9,2,FALSE)</f>
        <v>2</v>
      </c>
      <c r="H86">
        <f>VLOOKUP(Sheet1!H86,LOOKUPS!$A$13:$B$14,2,FALSE)</f>
        <v>0</v>
      </c>
      <c r="J86">
        <f>VLOOKUP(Sheet1!J86,LOOKUPS!$A$18:$B$22,2,FALSE)</f>
        <v>1</v>
      </c>
      <c r="K86" t="s">
        <v>87</v>
      </c>
      <c r="L86">
        <f>VLOOKUP(Sheet1!L86,LOOKUPS!$A$26:$B$27,2,FALSE)</f>
        <v>0</v>
      </c>
      <c r="M86">
        <v>3</v>
      </c>
      <c r="N86">
        <v>4</v>
      </c>
      <c r="O86">
        <v>4</v>
      </c>
      <c r="P86">
        <v>4</v>
      </c>
      <c r="Q86">
        <v>3</v>
      </c>
      <c r="R86">
        <f>VLOOKUP(Sheet1!R86,LOOKUPS!$A$39:$B$43,2,FALSE)</f>
        <v>4</v>
      </c>
      <c r="S86">
        <v>3</v>
      </c>
      <c r="T86">
        <f>VLOOKUP(Sheet1!T86,LOOKUPS!$A$31:$E$35,2,FALSE)</f>
        <v>4</v>
      </c>
      <c r="U86">
        <v>3</v>
      </c>
      <c r="V86">
        <v>4</v>
      </c>
      <c r="W86" t="s">
        <v>114</v>
      </c>
      <c r="X86">
        <v>91</v>
      </c>
      <c r="Y86" t="s">
        <v>122</v>
      </c>
    </row>
    <row r="87" spans="1:25" x14ac:dyDescent="0.3">
      <c r="A87" t="s">
        <v>26</v>
      </c>
      <c r="B87" t="s">
        <v>32</v>
      </c>
      <c r="C87" t="s">
        <v>35</v>
      </c>
      <c r="D87" t="s">
        <v>37</v>
      </c>
      <c r="E87" t="s">
        <v>33</v>
      </c>
      <c r="F87" t="s">
        <v>68</v>
      </c>
      <c r="G87">
        <f>VLOOKUP(Sheet1!G87,LOOKUPS!$A$3:$B$9,2,FALSE)</f>
        <v>3</v>
      </c>
      <c r="H87">
        <f>VLOOKUP(Sheet1!H87,LOOKUPS!$A$13:$B$14,2,FALSE)</f>
        <v>1</v>
      </c>
      <c r="I87" t="s">
        <v>51</v>
      </c>
      <c r="J87">
        <f>VLOOKUP(Sheet1!J87,LOOKUPS!$A$18:$B$22,2,FALSE)</f>
        <v>2</v>
      </c>
      <c r="K87" t="s">
        <v>104</v>
      </c>
      <c r="L87">
        <f>VLOOKUP(Sheet1!L87,LOOKUPS!$A$26:$B$27,2,FALSE)</f>
        <v>1</v>
      </c>
      <c r="M87">
        <v>2</v>
      </c>
      <c r="N87">
        <v>2</v>
      </c>
      <c r="O87">
        <v>3</v>
      </c>
      <c r="P87">
        <v>2</v>
      </c>
      <c r="Q87">
        <v>2</v>
      </c>
      <c r="R87">
        <f>VLOOKUP(Sheet1!R87,LOOKUPS!$A$39:$B$43,2,FALSE)</f>
        <v>3</v>
      </c>
      <c r="S87">
        <v>4</v>
      </c>
      <c r="T87">
        <f>VLOOKUP(Sheet1!T87,LOOKUPS!$A$31:$E$35,2,FALSE)</f>
        <v>2</v>
      </c>
      <c r="U87">
        <v>3</v>
      </c>
      <c r="V87">
        <v>2</v>
      </c>
      <c r="W87" t="s">
        <v>112</v>
      </c>
      <c r="X87">
        <v>155</v>
      </c>
      <c r="Y87" t="s">
        <v>122</v>
      </c>
    </row>
    <row r="88" spans="1:25" x14ac:dyDescent="0.3">
      <c r="A88" t="s">
        <v>29</v>
      </c>
      <c r="B88" t="s">
        <v>32</v>
      </c>
      <c r="C88" t="s">
        <v>35</v>
      </c>
      <c r="D88" t="s">
        <v>38</v>
      </c>
      <c r="E88" t="s">
        <v>43</v>
      </c>
      <c r="F88" t="s">
        <v>66</v>
      </c>
      <c r="G88">
        <f>VLOOKUP(Sheet1!G88,LOOKUPS!$A$3:$B$9,2,FALSE)</f>
        <v>7</v>
      </c>
      <c r="H88">
        <f>VLOOKUP(Sheet1!H88,LOOKUPS!$A$13:$B$14,2,FALSE)</f>
        <v>0</v>
      </c>
      <c r="J88">
        <f>VLOOKUP(Sheet1!J88,LOOKUPS!$A$18:$B$22,2,FALSE)</f>
        <v>1</v>
      </c>
      <c r="K88" t="s">
        <v>87</v>
      </c>
      <c r="L88">
        <f>VLOOKUP(Sheet1!L88,LOOKUPS!$A$26:$B$27,2,FALSE)</f>
        <v>0</v>
      </c>
      <c r="M88">
        <v>3</v>
      </c>
      <c r="N88">
        <v>3</v>
      </c>
      <c r="O88">
        <v>3</v>
      </c>
      <c r="P88">
        <v>2</v>
      </c>
      <c r="Q88">
        <v>3</v>
      </c>
      <c r="R88">
        <f>VLOOKUP(Sheet1!R88,LOOKUPS!$A$39:$B$43,2,FALSE)</f>
        <v>4</v>
      </c>
      <c r="S88">
        <v>4</v>
      </c>
      <c r="T88">
        <f>VLOOKUP(Sheet1!T88,LOOKUPS!$A$31:$E$35,2,FALSE)</f>
        <v>2</v>
      </c>
      <c r="U88">
        <v>3</v>
      </c>
      <c r="V88">
        <v>3</v>
      </c>
      <c r="W88" t="s">
        <v>113</v>
      </c>
      <c r="X88">
        <v>23</v>
      </c>
      <c r="Y88" t="s">
        <v>121</v>
      </c>
    </row>
    <row r="89" spans="1:25" x14ac:dyDescent="0.3">
      <c r="A89" t="s">
        <v>26</v>
      </c>
      <c r="B89" t="s">
        <v>32</v>
      </c>
      <c r="C89" t="s">
        <v>35</v>
      </c>
      <c r="D89" t="s">
        <v>38</v>
      </c>
      <c r="E89" t="s">
        <v>44</v>
      </c>
      <c r="F89" t="s">
        <v>51</v>
      </c>
      <c r="G89">
        <f>VLOOKUP(Sheet1!G89,LOOKUPS!$A$3:$B$9,2,FALSE)</f>
        <v>2</v>
      </c>
      <c r="H89">
        <f>VLOOKUP(Sheet1!H89,LOOKUPS!$A$13:$B$14,2,FALSE)</f>
        <v>0</v>
      </c>
      <c r="J89">
        <f>VLOOKUP(Sheet1!J89,LOOKUPS!$A$18:$B$22,2,FALSE)</f>
        <v>1</v>
      </c>
      <c r="K89" t="s">
        <v>87</v>
      </c>
      <c r="L89">
        <f>VLOOKUP(Sheet1!L89,LOOKUPS!$A$26:$B$27,2,FALSE)</f>
        <v>1</v>
      </c>
      <c r="M89">
        <v>4</v>
      </c>
      <c r="N89">
        <v>4</v>
      </c>
      <c r="O89">
        <v>4</v>
      </c>
      <c r="P89">
        <v>4</v>
      </c>
      <c r="Q89">
        <v>3</v>
      </c>
      <c r="R89">
        <f>VLOOKUP(Sheet1!R89,LOOKUPS!$A$39:$B$43,2,FALSE)</f>
        <v>4</v>
      </c>
      <c r="S89">
        <v>3</v>
      </c>
      <c r="T89">
        <f>VLOOKUP(Sheet1!T89,LOOKUPS!$A$31:$E$35,2,FALSE)</f>
        <v>5</v>
      </c>
      <c r="U89">
        <v>4</v>
      </c>
      <c r="V89">
        <v>4</v>
      </c>
      <c r="W89" t="s">
        <v>112</v>
      </c>
      <c r="X89">
        <v>154</v>
      </c>
      <c r="Y89" t="s">
        <v>123</v>
      </c>
    </row>
    <row r="90" spans="1:25" x14ac:dyDescent="0.3">
      <c r="A90" t="s">
        <v>26</v>
      </c>
      <c r="B90" t="s">
        <v>30</v>
      </c>
      <c r="C90" t="s">
        <v>35</v>
      </c>
      <c r="D90" t="s">
        <v>38</v>
      </c>
      <c r="E90" t="s">
        <v>44</v>
      </c>
      <c r="F90" t="s">
        <v>68</v>
      </c>
      <c r="G90">
        <f>VLOOKUP(Sheet1!G90,LOOKUPS!$A$3:$B$9,2,FALSE)</f>
        <v>7</v>
      </c>
      <c r="H90">
        <f>VLOOKUP(Sheet1!H90,LOOKUPS!$A$13:$B$14,2,FALSE)</f>
        <v>1</v>
      </c>
      <c r="I90" t="s">
        <v>59</v>
      </c>
      <c r="J90">
        <f>VLOOKUP(Sheet1!J90,LOOKUPS!$A$18:$B$22,2,FALSE)</f>
        <v>3</v>
      </c>
      <c r="K90" t="s">
        <v>87</v>
      </c>
      <c r="L90">
        <f>VLOOKUP(Sheet1!L90,LOOKUPS!$A$26:$B$27,2,FALSE)</f>
        <v>0</v>
      </c>
      <c r="M90">
        <v>3</v>
      </c>
      <c r="N90">
        <v>4</v>
      </c>
      <c r="O90">
        <v>4</v>
      </c>
      <c r="P90">
        <v>4</v>
      </c>
      <c r="Q90">
        <v>3</v>
      </c>
      <c r="R90">
        <f>VLOOKUP(Sheet1!R90,LOOKUPS!$A$39:$B$43,2,FALSE)</f>
        <v>3</v>
      </c>
      <c r="S90">
        <v>2</v>
      </c>
      <c r="T90">
        <f>VLOOKUP(Sheet1!T90,LOOKUPS!$A$31:$E$35,2,FALSE)</f>
        <v>2</v>
      </c>
      <c r="U90">
        <v>4</v>
      </c>
      <c r="V90">
        <v>4</v>
      </c>
      <c r="W90" t="s">
        <v>112</v>
      </c>
      <c r="X90">
        <v>129</v>
      </c>
      <c r="Y90" t="s">
        <v>121</v>
      </c>
    </row>
    <row r="91" spans="1:25" x14ac:dyDescent="0.3">
      <c r="A91" t="s">
        <v>26</v>
      </c>
      <c r="B91" t="s">
        <v>32</v>
      </c>
      <c r="C91" t="s">
        <v>35</v>
      </c>
      <c r="D91" t="s">
        <v>37</v>
      </c>
      <c r="E91" t="s">
        <v>43</v>
      </c>
      <c r="F91" t="s">
        <v>53</v>
      </c>
      <c r="G91">
        <f>VLOOKUP(Sheet1!G91,LOOKUPS!$A$3:$B$9,2,FALSE)</f>
        <v>7</v>
      </c>
      <c r="H91">
        <f>VLOOKUP(Sheet1!H91,LOOKUPS!$A$13:$B$14,2,FALSE)</f>
        <v>1</v>
      </c>
      <c r="I91" t="s">
        <v>51</v>
      </c>
      <c r="J91">
        <f>VLOOKUP(Sheet1!J91,LOOKUPS!$A$18:$B$22,2,FALSE)</f>
        <v>4</v>
      </c>
      <c r="K91" t="s">
        <v>93</v>
      </c>
      <c r="L91">
        <f>VLOOKUP(Sheet1!L91,LOOKUPS!$A$26:$B$27,2,FALSE)</f>
        <v>1</v>
      </c>
      <c r="M91">
        <v>3</v>
      </c>
      <c r="N91">
        <v>3</v>
      </c>
      <c r="O91">
        <v>4</v>
      </c>
      <c r="P91">
        <v>3</v>
      </c>
      <c r="Q91">
        <v>3</v>
      </c>
      <c r="R91">
        <f>VLOOKUP(Sheet1!R91,LOOKUPS!$A$39:$B$43,2,FALSE)</f>
        <v>4</v>
      </c>
      <c r="S91">
        <v>3</v>
      </c>
      <c r="T91">
        <f>VLOOKUP(Sheet1!T91,LOOKUPS!$A$31:$E$35,2,FALSE)</f>
        <v>4</v>
      </c>
      <c r="U91">
        <v>2</v>
      </c>
      <c r="V91">
        <v>3</v>
      </c>
      <c r="W91" t="s">
        <v>110</v>
      </c>
      <c r="X91">
        <v>85</v>
      </c>
      <c r="Y91" t="s">
        <v>124</v>
      </c>
    </row>
    <row r="92" spans="1:25" x14ac:dyDescent="0.3">
      <c r="A92" t="s">
        <v>25</v>
      </c>
      <c r="B92" t="s">
        <v>32</v>
      </c>
      <c r="C92" t="s">
        <v>35</v>
      </c>
      <c r="D92" t="s">
        <v>38</v>
      </c>
      <c r="E92" t="s">
        <v>42</v>
      </c>
      <c r="F92" t="s">
        <v>68</v>
      </c>
      <c r="G92">
        <f>VLOOKUP(Sheet1!G92,LOOKUPS!$A$3:$B$9,2,FALSE)</f>
        <v>4</v>
      </c>
      <c r="H92">
        <f>VLOOKUP(Sheet1!H92,LOOKUPS!$A$13:$B$14,2,FALSE)</f>
        <v>0</v>
      </c>
      <c r="J92">
        <f>VLOOKUP(Sheet1!J92,LOOKUPS!$A$18:$B$22,2,FALSE)</f>
        <v>1</v>
      </c>
      <c r="K92" t="s">
        <v>87</v>
      </c>
      <c r="L92">
        <f>VLOOKUP(Sheet1!L92,LOOKUPS!$A$26:$B$27,2,FALSE)</f>
        <v>1</v>
      </c>
      <c r="M92">
        <v>4</v>
      </c>
      <c r="N92">
        <v>5</v>
      </c>
      <c r="O92">
        <v>4</v>
      </c>
      <c r="P92">
        <v>3</v>
      </c>
      <c r="Q92">
        <v>4</v>
      </c>
      <c r="R92">
        <f>VLOOKUP(Sheet1!R92,LOOKUPS!$A$39:$B$43,2,FALSE)</f>
        <v>4</v>
      </c>
      <c r="S92">
        <v>3</v>
      </c>
      <c r="T92">
        <f>VLOOKUP(Sheet1!T92,LOOKUPS!$A$31:$E$35,2,FALSE)</f>
        <v>5</v>
      </c>
      <c r="U92">
        <v>4</v>
      </c>
      <c r="V92">
        <v>5</v>
      </c>
      <c r="W92" t="s">
        <v>114</v>
      </c>
      <c r="X92">
        <v>121</v>
      </c>
      <c r="Y92" t="s">
        <v>121</v>
      </c>
    </row>
    <row r="93" spans="1:25" x14ac:dyDescent="0.3">
      <c r="A93" t="s">
        <v>25</v>
      </c>
      <c r="B93" t="s">
        <v>32</v>
      </c>
      <c r="C93" t="s">
        <v>36</v>
      </c>
      <c r="D93" t="s">
        <v>38</v>
      </c>
      <c r="E93" t="s">
        <v>44</v>
      </c>
      <c r="F93" t="s">
        <v>57</v>
      </c>
      <c r="G93">
        <f>VLOOKUP(Sheet1!G93,LOOKUPS!$A$3:$B$9,2,FALSE)</f>
        <v>1</v>
      </c>
      <c r="H93">
        <f>VLOOKUP(Sheet1!H93,LOOKUPS!$A$13:$B$14,2,FALSE)</f>
        <v>1</v>
      </c>
      <c r="I93" t="s">
        <v>59</v>
      </c>
      <c r="J93">
        <f>VLOOKUP(Sheet1!J93,LOOKUPS!$A$18:$B$22,2,FALSE)</f>
        <v>2</v>
      </c>
      <c r="K93" t="s">
        <v>105</v>
      </c>
      <c r="L93">
        <f>VLOOKUP(Sheet1!L93,LOOKUPS!$A$26:$B$27,2,FALSE)</f>
        <v>1</v>
      </c>
      <c r="M93">
        <v>2</v>
      </c>
      <c r="N93">
        <v>3</v>
      </c>
      <c r="O93">
        <v>3</v>
      </c>
      <c r="P93">
        <v>2</v>
      </c>
      <c r="Q93">
        <v>2</v>
      </c>
      <c r="R93">
        <f>VLOOKUP(Sheet1!R93,LOOKUPS!$A$39:$B$43,2,FALSE)</f>
        <v>5</v>
      </c>
      <c r="S93">
        <v>4</v>
      </c>
      <c r="T93">
        <f>VLOOKUP(Sheet1!T93,LOOKUPS!$A$31:$E$35,2,FALSE)</f>
        <v>2</v>
      </c>
      <c r="U93">
        <v>3</v>
      </c>
      <c r="V93">
        <v>3</v>
      </c>
      <c r="W93" t="s">
        <v>114</v>
      </c>
      <c r="X93">
        <v>95</v>
      </c>
      <c r="Y93" t="s">
        <v>121</v>
      </c>
    </row>
    <row r="94" spans="1:25" x14ac:dyDescent="0.3">
      <c r="A94" t="s">
        <v>25</v>
      </c>
      <c r="B94" t="s">
        <v>32</v>
      </c>
      <c r="C94" t="s">
        <v>35</v>
      </c>
      <c r="D94" t="s">
        <v>37</v>
      </c>
      <c r="E94" t="s">
        <v>33</v>
      </c>
      <c r="F94" t="s">
        <v>60</v>
      </c>
      <c r="G94">
        <f>VLOOKUP(Sheet1!G94,LOOKUPS!$A$3:$B$9,2,FALSE)</f>
        <v>5</v>
      </c>
      <c r="H94">
        <f>VLOOKUP(Sheet1!H94,LOOKUPS!$A$13:$B$14,2,FALSE)</f>
        <v>0</v>
      </c>
      <c r="J94">
        <f>VLOOKUP(Sheet1!J94,LOOKUPS!$A$18:$B$22,2,FALSE)</f>
        <v>1</v>
      </c>
      <c r="K94" t="s">
        <v>87</v>
      </c>
      <c r="L94">
        <f>VLOOKUP(Sheet1!L94,LOOKUPS!$A$26:$B$27,2,FALSE)</f>
        <v>0</v>
      </c>
      <c r="M94">
        <v>3</v>
      </c>
      <c r="N94">
        <v>4</v>
      </c>
      <c r="O94">
        <v>4</v>
      </c>
      <c r="P94">
        <v>3</v>
      </c>
      <c r="Q94">
        <v>4</v>
      </c>
      <c r="R94">
        <f>VLOOKUP(Sheet1!R94,LOOKUPS!$A$39:$B$43,2,FALSE)</f>
        <v>5</v>
      </c>
      <c r="S94">
        <v>3</v>
      </c>
      <c r="T94">
        <f>VLOOKUP(Sheet1!T94,LOOKUPS!$A$31:$E$35,2,FALSE)</f>
        <v>4</v>
      </c>
      <c r="U94">
        <v>4</v>
      </c>
      <c r="V94">
        <v>5</v>
      </c>
      <c r="W94" t="s">
        <v>114</v>
      </c>
      <c r="X94">
        <v>74</v>
      </c>
      <c r="Y94" t="s">
        <v>120</v>
      </c>
    </row>
    <row r="95" spans="1:25" x14ac:dyDescent="0.3">
      <c r="A95" t="s">
        <v>26</v>
      </c>
      <c r="B95" t="s">
        <v>32</v>
      </c>
      <c r="C95" t="s">
        <v>35</v>
      </c>
      <c r="D95" t="s">
        <v>38</v>
      </c>
      <c r="E95" t="s">
        <v>44</v>
      </c>
      <c r="F95" t="s">
        <v>54</v>
      </c>
      <c r="G95">
        <f>VLOOKUP(Sheet1!G95,LOOKUPS!$A$3:$B$9,2,FALSE)</f>
        <v>5</v>
      </c>
      <c r="H95">
        <f>VLOOKUP(Sheet1!H95,LOOKUPS!$A$13:$B$14,2,FALSE)</f>
        <v>1</v>
      </c>
      <c r="I95" t="s">
        <v>51</v>
      </c>
      <c r="J95">
        <f>VLOOKUP(Sheet1!J95,LOOKUPS!$A$18:$B$22,2,FALSE)</f>
        <v>3</v>
      </c>
      <c r="K95" t="s">
        <v>91</v>
      </c>
      <c r="L95">
        <f>VLOOKUP(Sheet1!L95,LOOKUPS!$A$26:$B$27,2,FALSE)</f>
        <v>0</v>
      </c>
      <c r="M95">
        <v>2</v>
      </c>
      <c r="N95">
        <v>3</v>
      </c>
      <c r="O95">
        <v>3</v>
      </c>
      <c r="P95">
        <v>4</v>
      </c>
      <c r="Q95">
        <v>3</v>
      </c>
      <c r="R95">
        <f>VLOOKUP(Sheet1!R95,LOOKUPS!$A$39:$B$43,2,FALSE)</f>
        <v>5</v>
      </c>
      <c r="S95">
        <v>2</v>
      </c>
      <c r="T95">
        <f>VLOOKUP(Sheet1!T95,LOOKUPS!$A$31:$E$35,2,FALSE)</f>
        <v>4</v>
      </c>
      <c r="U95">
        <v>4</v>
      </c>
      <c r="V95">
        <v>4</v>
      </c>
      <c r="W95" t="s">
        <v>111</v>
      </c>
      <c r="X95">
        <v>88</v>
      </c>
      <c r="Y95" t="s">
        <v>122</v>
      </c>
    </row>
    <row r="96" spans="1:25" x14ac:dyDescent="0.3">
      <c r="A96" t="s">
        <v>29</v>
      </c>
      <c r="B96" t="s">
        <v>30</v>
      </c>
      <c r="C96" t="s">
        <v>36</v>
      </c>
      <c r="D96" t="s">
        <v>39</v>
      </c>
      <c r="E96" t="s">
        <v>42</v>
      </c>
      <c r="F96" t="s">
        <v>57</v>
      </c>
      <c r="G96">
        <f>VLOOKUP(Sheet1!G96,LOOKUPS!$A$3:$B$9,2,FALSE)</f>
        <v>2</v>
      </c>
      <c r="H96">
        <f>VLOOKUP(Sheet1!H96,LOOKUPS!$A$13:$B$14,2,FALSE)</f>
        <v>0</v>
      </c>
      <c r="J96">
        <f>VLOOKUP(Sheet1!J96,LOOKUPS!$A$18:$B$22,2,FALSE)</f>
        <v>1</v>
      </c>
      <c r="K96" t="s">
        <v>87</v>
      </c>
      <c r="L96">
        <f>VLOOKUP(Sheet1!L96,LOOKUPS!$A$26:$B$27,2,FALSE)</f>
        <v>1</v>
      </c>
      <c r="M96">
        <v>4</v>
      </c>
      <c r="N96">
        <v>4</v>
      </c>
      <c r="O96">
        <v>4</v>
      </c>
      <c r="P96">
        <v>5</v>
      </c>
      <c r="Q96">
        <v>4</v>
      </c>
      <c r="R96">
        <f>VLOOKUP(Sheet1!R96,LOOKUPS!$A$39:$B$43,2,FALSE)</f>
        <v>4</v>
      </c>
      <c r="S96">
        <v>2</v>
      </c>
      <c r="T96">
        <f>VLOOKUP(Sheet1!T96,LOOKUPS!$A$31:$E$35,2,FALSE)</f>
        <v>3</v>
      </c>
      <c r="U96">
        <v>4</v>
      </c>
      <c r="V96">
        <v>4</v>
      </c>
      <c r="W96" t="s">
        <v>110</v>
      </c>
      <c r="X96">
        <v>28</v>
      </c>
      <c r="Y96" t="s">
        <v>120</v>
      </c>
    </row>
    <row r="97" spans="1:25" x14ac:dyDescent="0.3">
      <c r="A97" t="s">
        <v>25</v>
      </c>
      <c r="B97" t="s">
        <v>30</v>
      </c>
      <c r="C97" t="s">
        <v>35</v>
      </c>
      <c r="D97" t="s">
        <v>38</v>
      </c>
      <c r="E97" t="s">
        <v>42</v>
      </c>
      <c r="F97" t="s">
        <v>68</v>
      </c>
      <c r="G97">
        <f>VLOOKUP(Sheet1!G97,LOOKUPS!$A$3:$B$9,2,FALSE)</f>
        <v>7</v>
      </c>
      <c r="H97">
        <f>VLOOKUP(Sheet1!H97,LOOKUPS!$A$13:$B$14,2,FALSE)</f>
        <v>1</v>
      </c>
      <c r="I97" t="s">
        <v>51</v>
      </c>
      <c r="J97">
        <f>VLOOKUP(Sheet1!J97,LOOKUPS!$A$18:$B$22,2,FALSE)</f>
        <v>2</v>
      </c>
      <c r="K97" t="s">
        <v>96</v>
      </c>
      <c r="L97">
        <f>VLOOKUP(Sheet1!L97,LOOKUPS!$A$26:$B$27,2,FALSE)</f>
        <v>0</v>
      </c>
      <c r="M97">
        <v>2</v>
      </c>
      <c r="N97">
        <v>3</v>
      </c>
      <c r="O97">
        <v>3</v>
      </c>
      <c r="P97">
        <v>3</v>
      </c>
      <c r="Q97">
        <v>2</v>
      </c>
      <c r="R97">
        <f>VLOOKUP(Sheet1!R97,LOOKUPS!$A$39:$B$43,2,FALSE)</f>
        <v>3</v>
      </c>
      <c r="S97">
        <v>4</v>
      </c>
      <c r="T97">
        <f>VLOOKUP(Sheet1!T97,LOOKUPS!$A$31:$E$35,2,FALSE)</f>
        <v>2</v>
      </c>
      <c r="U97">
        <v>4</v>
      </c>
      <c r="V97">
        <v>3</v>
      </c>
      <c r="W97" t="s">
        <v>110</v>
      </c>
      <c r="X97">
        <v>26</v>
      </c>
      <c r="Y97" t="s">
        <v>121</v>
      </c>
    </row>
    <row r="98" spans="1:25" x14ac:dyDescent="0.3">
      <c r="A98" t="s">
        <v>26</v>
      </c>
      <c r="B98" t="s">
        <v>30</v>
      </c>
      <c r="C98" t="s">
        <v>35</v>
      </c>
      <c r="D98" t="s">
        <v>38</v>
      </c>
      <c r="E98" t="s">
        <v>43</v>
      </c>
      <c r="F98" t="s">
        <v>70</v>
      </c>
      <c r="G98">
        <f>VLOOKUP(Sheet1!G98,LOOKUPS!$A$3:$B$9,2,FALSE)</f>
        <v>1</v>
      </c>
      <c r="H98">
        <f>VLOOKUP(Sheet1!H98,LOOKUPS!$A$13:$B$14,2,FALSE)</f>
        <v>1</v>
      </c>
      <c r="I98" t="s">
        <v>51</v>
      </c>
      <c r="J98">
        <f>VLOOKUP(Sheet1!J98,LOOKUPS!$A$18:$B$22,2,FALSE)</f>
        <v>1</v>
      </c>
      <c r="K98" t="s">
        <v>101</v>
      </c>
      <c r="L98">
        <f>VLOOKUP(Sheet1!L98,LOOKUPS!$A$26:$B$27,2,FALSE)</f>
        <v>1</v>
      </c>
      <c r="M98">
        <v>2</v>
      </c>
      <c r="N98">
        <v>3</v>
      </c>
      <c r="O98">
        <v>4</v>
      </c>
      <c r="P98">
        <v>3</v>
      </c>
      <c r="Q98">
        <v>3</v>
      </c>
      <c r="R98">
        <f>VLOOKUP(Sheet1!R98,LOOKUPS!$A$39:$B$43,2,FALSE)</f>
        <v>3</v>
      </c>
      <c r="S98">
        <v>3</v>
      </c>
      <c r="T98">
        <f>VLOOKUP(Sheet1!T98,LOOKUPS!$A$31:$E$35,2,FALSE)</f>
        <v>2</v>
      </c>
      <c r="U98">
        <v>4</v>
      </c>
      <c r="V98">
        <v>4</v>
      </c>
      <c r="W98" t="s">
        <v>114</v>
      </c>
      <c r="X98">
        <v>130</v>
      </c>
      <c r="Y98" t="s">
        <v>122</v>
      </c>
    </row>
    <row r="99" spans="1:25" x14ac:dyDescent="0.3">
      <c r="A99" t="s">
        <v>26</v>
      </c>
      <c r="B99" t="s">
        <v>30</v>
      </c>
      <c r="C99" t="s">
        <v>36</v>
      </c>
      <c r="D99" t="s">
        <v>40</v>
      </c>
      <c r="E99" t="s">
        <v>42</v>
      </c>
      <c r="F99" t="s">
        <v>62</v>
      </c>
      <c r="G99">
        <f>VLOOKUP(Sheet1!G99,LOOKUPS!$A$3:$B$9,2,FALSE)</f>
        <v>5</v>
      </c>
      <c r="H99">
        <f>VLOOKUP(Sheet1!H99,LOOKUPS!$A$13:$B$14,2,FALSE)</f>
        <v>0</v>
      </c>
      <c r="J99">
        <f>VLOOKUP(Sheet1!J99,LOOKUPS!$A$18:$B$22,2,FALSE)</f>
        <v>1</v>
      </c>
      <c r="K99" t="s">
        <v>87</v>
      </c>
      <c r="L99">
        <f>VLOOKUP(Sheet1!L99,LOOKUPS!$A$26:$B$27,2,FALSE)</f>
        <v>0</v>
      </c>
      <c r="M99">
        <v>4</v>
      </c>
      <c r="N99">
        <v>4</v>
      </c>
      <c r="O99">
        <v>5</v>
      </c>
      <c r="P99">
        <v>5</v>
      </c>
      <c r="Q99">
        <v>4</v>
      </c>
      <c r="R99">
        <f>VLOOKUP(Sheet1!R99,LOOKUPS!$A$39:$B$43,2,FALSE)</f>
        <v>5</v>
      </c>
      <c r="S99">
        <v>2</v>
      </c>
      <c r="T99">
        <f>VLOOKUP(Sheet1!T99,LOOKUPS!$A$31:$E$35,2,FALSE)</f>
        <v>5</v>
      </c>
      <c r="U99">
        <v>5</v>
      </c>
      <c r="V99">
        <v>5</v>
      </c>
      <c r="W99" t="s">
        <v>113</v>
      </c>
      <c r="X99">
        <v>52</v>
      </c>
      <c r="Y99" t="s">
        <v>120</v>
      </c>
    </row>
    <row r="100" spans="1:25" x14ac:dyDescent="0.3">
      <c r="A100" t="s">
        <v>26</v>
      </c>
      <c r="B100" t="s">
        <v>30</v>
      </c>
      <c r="C100" t="s">
        <v>34</v>
      </c>
      <c r="D100" t="s">
        <v>38</v>
      </c>
      <c r="E100" t="s">
        <v>43</v>
      </c>
      <c r="F100" t="s">
        <v>62</v>
      </c>
      <c r="G100">
        <f>VLOOKUP(Sheet1!G100,LOOKUPS!$A$3:$B$9,2,FALSE)</f>
        <v>4</v>
      </c>
      <c r="H100">
        <f>VLOOKUP(Sheet1!H100,LOOKUPS!$A$13:$B$14,2,FALSE)</f>
        <v>1</v>
      </c>
      <c r="I100" t="s">
        <v>51</v>
      </c>
      <c r="J100">
        <f>VLOOKUP(Sheet1!J100,LOOKUPS!$A$18:$B$22,2,FALSE)</f>
        <v>3</v>
      </c>
      <c r="K100" t="s">
        <v>106</v>
      </c>
      <c r="L100">
        <f>VLOOKUP(Sheet1!L100,LOOKUPS!$A$26:$B$27,2,FALSE)</f>
        <v>0</v>
      </c>
      <c r="M100">
        <v>2</v>
      </c>
      <c r="N100">
        <v>1</v>
      </c>
      <c r="O100">
        <v>2</v>
      </c>
      <c r="P100">
        <v>2</v>
      </c>
      <c r="Q100">
        <v>1</v>
      </c>
      <c r="R100">
        <f>VLOOKUP(Sheet1!R100,LOOKUPS!$A$39:$B$43,2,FALSE)</f>
        <v>2</v>
      </c>
      <c r="S100">
        <v>4</v>
      </c>
      <c r="T100">
        <f>VLOOKUP(Sheet1!T100,LOOKUPS!$A$31:$E$35,2,FALSE)</f>
        <v>3</v>
      </c>
      <c r="U100">
        <v>3</v>
      </c>
      <c r="V100">
        <v>3</v>
      </c>
      <c r="W100" t="s">
        <v>113</v>
      </c>
      <c r="X100">
        <v>57</v>
      </c>
      <c r="Y100" t="s">
        <v>121</v>
      </c>
    </row>
    <row r="101" spans="1:25" x14ac:dyDescent="0.3">
      <c r="A101" t="s">
        <v>27</v>
      </c>
      <c r="B101" t="s">
        <v>30</v>
      </c>
      <c r="C101" t="s">
        <v>34</v>
      </c>
      <c r="D101" t="s">
        <v>37</v>
      </c>
      <c r="E101" t="s">
        <v>43</v>
      </c>
      <c r="F101" t="s">
        <v>69</v>
      </c>
      <c r="G101">
        <f>VLOOKUP(Sheet1!G101,LOOKUPS!$A$3:$B$9,2,FALSE)</f>
        <v>6</v>
      </c>
      <c r="H101">
        <f>VLOOKUP(Sheet1!H101,LOOKUPS!$A$13:$B$14,2,FALSE)</f>
        <v>1</v>
      </c>
      <c r="I101" t="s">
        <v>59</v>
      </c>
      <c r="J101">
        <f>VLOOKUP(Sheet1!J101,LOOKUPS!$A$18:$B$22,2,FALSE)</f>
        <v>2</v>
      </c>
      <c r="K101" t="s">
        <v>104</v>
      </c>
      <c r="L101">
        <f>VLOOKUP(Sheet1!L101,LOOKUPS!$A$26:$B$27,2,FALSE)</f>
        <v>1</v>
      </c>
      <c r="M101">
        <v>2</v>
      </c>
      <c r="N101">
        <v>3</v>
      </c>
      <c r="O101">
        <v>3</v>
      </c>
      <c r="P101">
        <v>2</v>
      </c>
      <c r="Q101">
        <v>3</v>
      </c>
      <c r="R101">
        <f>VLOOKUP(Sheet1!R101,LOOKUPS!$A$39:$B$43,2,FALSE)</f>
        <v>2</v>
      </c>
      <c r="S101">
        <v>4</v>
      </c>
      <c r="T101">
        <f>VLOOKUP(Sheet1!T101,LOOKUPS!$A$31:$E$35,2,FALSE)</f>
        <v>1</v>
      </c>
      <c r="U101">
        <v>3</v>
      </c>
      <c r="V101">
        <v>3</v>
      </c>
      <c r="W101" t="s">
        <v>113</v>
      </c>
      <c r="X101">
        <v>56</v>
      </c>
      <c r="Y101" t="s">
        <v>120</v>
      </c>
    </row>
    <row r="102" spans="1:25" x14ac:dyDescent="0.3">
      <c r="A102" t="s">
        <v>29</v>
      </c>
      <c r="B102" t="s">
        <v>33</v>
      </c>
      <c r="C102" t="s">
        <v>35</v>
      </c>
      <c r="D102" t="s">
        <v>39</v>
      </c>
      <c r="E102" t="s">
        <v>45</v>
      </c>
      <c r="F102" t="s">
        <v>53</v>
      </c>
      <c r="G102">
        <f>VLOOKUP(Sheet1!G102,LOOKUPS!$A$3:$B$9,2,FALSE)</f>
        <v>7</v>
      </c>
      <c r="H102">
        <f>VLOOKUP(Sheet1!H102,LOOKUPS!$A$13:$B$14,2,FALSE)</f>
        <v>1</v>
      </c>
      <c r="I102" t="s">
        <v>66</v>
      </c>
      <c r="J102">
        <f>VLOOKUP(Sheet1!J102,LOOKUPS!$A$18:$B$22,2,FALSE)</f>
        <v>4</v>
      </c>
      <c r="K102" t="s">
        <v>86</v>
      </c>
      <c r="L102">
        <f>VLOOKUP(Sheet1!L102,LOOKUPS!$A$26:$B$27,2,FALSE)</f>
        <v>1</v>
      </c>
      <c r="M102">
        <v>2</v>
      </c>
      <c r="N102">
        <v>2</v>
      </c>
      <c r="O102">
        <v>3</v>
      </c>
      <c r="P102">
        <v>1</v>
      </c>
      <c r="Q102">
        <v>1</v>
      </c>
      <c r="R102">
        <f>VLOOKUP(Sheet1!R102,LOOKUPS!$A$39:$B$43,2,FALSE)</f>
        <v>3</v>
      </c>
      <c r="S102">
        <v>4</v>
      </c>
      <c r="T102">
        <f>VLOOKUP(Sheet1!T102,LOOKUPS!$A$31:$E$35,2,FALSE)</f>
        <v>3</v>
      </c>
      <c r="U102">
        <v>2</v>
      </c>
      <c r="V102">
        <v>2</v>
      </c>
      <c r="W102" t="s">
        <v>114</v>
      </c>
      <c r="X102">
        <v>131</v>
      </c>
      <c r="Y102" t="s">
        <v>121</v>
      </c>
    </row>
    <row r="103" spans="1:25" x14ac:dyDescent="0.3">
      <c r="A103" t="s">
        <v>25</v>
      </c>
      <c r="B103" t="s">
        <v>30</v>
      </c>
      <c r="C103" t="s">
        <v>36</v>
      </c>
      <c r="D103" t="s">
        <v>39</v>
      </c>
      <c r="E103" t="s">
        <v>42</v>
      </c>
      <c r="F103" t="s">
        <v>52</v>
      </c>
      <c r="G103">
        <f>VLOOKUP(Sheet1!G103,LOOKUPS!$A$3:$B$9,2,FALSE)</f>
        <v>6</v>
      </c>
      <c r="H103">
        <f>VLOOKUP(Sheet1!H103,LOOKUPS!$A$13:$B$14,2,FALSE)</f>
        <v>0</v>
      </c>
      <c r="J103">
        <f>VLOOKUP(Sheet1!J103,LOOKUPS!$A$18:$B$22,2,FALSE)</f>
        <v>1</v>
      </c>
      <c r="K103" t="s">
        <v>87</v>
      </c>
      <c r="L103">
        <f>VLOOKUP(Sheet1!L103,LOOKUPS!$A$26:$B$27,2,FALSE)</f>
        <v>0</v>
      </c>
      <c r="M103">
        <v>3</v>
      </c>
      <c r="N103">
        <v>3</v>
      </c>
      <c r="O103">
        <v>4</v>
      </c>
      <c r="P103">
        <v>4</v>
      </c>
      <c r="Q103">
        <v>4</v>
      </c>
      <c r="R103">
        <f>VLOOKUP(Sheet1!R103,LOOKUPS!$A$39:$B$43,2,FALSE)</f>
        <v>5</v>
      </c>
      <c r="S103">
        <v>3</v>
      </c>
      <c r="T103">
        <f>VLOOKUP(Sheet1!T103,LOOKUPS!$A$31:$E$35,2,FALSE)</f>
        <v>2</v>
      </c>
      <c r="U103">
        <v>4</v>
      </c>
      <c r="V103">
        <v>4</v>
      </c>
      <c r="W103" t="s">
        <v>114</v>
      </c>
      <c r="X103">
        <v>65</v>
      </c>
      <c r="Y103" t="s">
        <v>120</v>
      </c>
    </row>
    <row r="104" spans="1:25" x14ac:dyDescent="0.3">
      <c r="A104" t="s">
        <v>26</v>
      </c>
      <c r="B104" t="s">
        <v>32</v>
      </c>
      <c r="C104" t="s">
        <v>35</v>
      </c>
      <c r="D104" t="s">
        <v>38</v>
      </c>
      <c r="E104" t="s">
        <v>44</v>
      </c>
      <c r="F104" t="s">
        <v>66</v>
      </c>
      <c r="G104">
        <f>VLOOKUP(Sheet1!G104,LOOKUPS!$A$3:$B$9,2,FALSE)</f>
        <v>6</v>
      </c>
      <c r="H104">
        <f>VLOOKUP(Sheet1!H104,LOOKUPS!$A$13:$B$14,2,FALSE)</f>
        <v>1</v>
      </c>
      <c r="I104" t="s">
        <v>66</v>
      </c>
      <c r="J104">
        <f>VLOOKUP(Sheet1!J104,LOOKUPS!$A$18:$B$22,2,FALSE)</f>
        <v>4</v>
      </c>
      <c r="K104" t="s">
        <v>107</v>
      </c>
      <c r="L104">
        <f>VLOOKUP(Sheet1!L104,LOOKUPS!$A$26:$B$27,2,FALSE)</f>
        <v>1</v>
      </c>
      <c r="M104">
        <v>2</v>
      </c>
      <c r="N104">
        <v>2</v>
      </c>
      <c r="O104">
        <v>2</v>
      </c>
      <c r="P104">
        <v>2</v>
      </c>
      <c r="Q104">
        <v>2</v>
      </c>
      <c r="R104">
        <f>VLOOKUP(Sheet1!R104,LOOKUPS!$A$39:$B$43,2,FALSE)</f>
        <v>2</v>
      </c>
      <c r="S104">
        <v>4</v>
      </c>
      <c r="T104">
        <f>VLOOKUP(Sheet1!T104,LOOKUPS!$A$31:$E$35,2,FALSE)</f>
        <v>4</v>
      </c>
      <c r="U104">
        <v>2</v>
      </c>
      <c r="V104">
        <v>2</v>
      </c>
      <c r="W104" t="s">
        <v>112</v>
      </c>
      <c r="X104">
        <v>122</v>
      </c>
      <c r="Y104" t="s">
        <v>120</v>
      </c>
    </row>
    <row r="105" spans="1:25" x14ac:dyDescent="0.3">
      <c r="A105" t="s">
        <v>26</v>
      </c>
      <c r="B105" t="s">
        <v>30</v>
      </c>
      <c r="C105" t="s">
        <v>35</v>
      </c>
      <c r="D105" t="s">
        <v>38</v>
      </c>
      <c r="E105" t="s">
        <v>44</v>
      </c>
      <c r="F105" t="s">
        <v>51</v>
      </c>
      <c r="G105">
        <f>VLOOKUP(Sheet1!G105,LOOKUPS!$A$3:$B$9,2,FALSE)</f>
        <v>7</v>
      </c>
      <c r="H105">
        <f>VLOOKUP(Sheet1!H105,LOOKUPS!$A$13:$B$14,2,FALSE)</f>
        <v>0</v>
      </c>
      <c r="J105">
        <f>VLOOKUP(Sheet1!J105,LOOKUPS!$A$18:$B$22,2,FALSE)</f>
        <v>1</v>
      </c>
      <c r="K105" t="s">
        <v>87</v>
      </c>
      <c r="L105">
        <f>VLOOKUP(Sheet1!L105,LOOKUPS!$A$26:$B$27,2,FALSE)</f>
        <v>0</v>
      </c>
      <c r="M105">
        <v>3</v>
      </c>
      <c r="N105">
        <v>3</v>
      </c>
      <c r="O105">
        <v>3</v>
      </c>
      <c r="P105">
        <v>3</v>
      </c>
      <c r="Q105">
        <v>3</v>
      </c>
      <c r="R105">
        <f>VLOOKUP(Sheet1!R105,LOOKUPS!$A$39:$B$43,2,FALSE)</f>
        <v>5</v>
      </c>
      <c r="S105">
        <v>3</v>
      </c>
      <c r="T105">
        <f>VLOOKUP(Sheet1!T105,LOOKUPS!$A$31:$E$35,2,FALSE)</f>
        <v>3</v>
      </c>
      <c r="U105">
        <v>3</v>
      </c>
      <c r="V105">
        <v>3</v>
      </c>
      <c r="W105" t="s">
        <v>110</v>
      </c>
      <c r="X105">
        <v>39</v>
      </c>
      <c r="Y105" t="s">
        <v>121</v>
      </c>
    </row>
    <row r="106" spans="1:25" x14ac:dyDescent="0.3">
      <c r="A106" t="s">
        <v>25</v>
      </c>
      <c r="B106" t="s">
        <v>32</v>
      </c>
      <c r="C106" t="s">
        <v>35</v>
      </c>
      <c r="D106" t="s">
        <v>37</v>
      </c>
      <c r="E106" t="s">
        <v>33</v>
      </c>
      <c r="F106" t="s">
        <v>69</v>
      </c>
      <c r="G106">
        <f>VLOOKUP(Sheet1!G106,LOOKUPS!$A$3:$B$9,2,FALSE)</f>
        <v>2</v>
      </c>
      <c r="H106">
        <f>VLOOKUP(Sheet1!H106,LOOKUPS!$A$13:$B$14,2,FALSE)</f>
        <v>1</v>
      </c>
      <c r="I106" t="s">
        <v>66</v>
      </c>
      <c r="J106">
        <f>VLOOKUP(Sheet1!J106,LOOKUPS!$A$18:$B$22,2,FALSE)</f>
        <v>3</v>
      </c>
      <c r="K106" t="s">
        <v>87</v>
      </c>
      <c r="L106">
        <f>VLOOKUP(Sheet1!L106,LOOKUPS!$A$26:$B$27,2,FALSE)</f>
        <v>1</v>
      </c>
      <c r="M106">
        <v>1</v>
      </c>
      <c r="N106">
        <v>1</v>
      </c>
      <c r="O106">
        <v>2</v>
      </c>
      <c r="P106">
        <v>1</v>
      </c>
      <c r="Q106">
        <v>1</v>
      </c>
      <c r="R106">
        <f>VLOOKUP(Sheet1!R106,LOOKUPS!$A$39:$B$43,2,FALSE)</f>
        <v>4</v>
      </c>
      <c r="S106">
        <v>5</v>
      </c>
      <c r="T106">
        <f>VLOOKUP(Sheet1!T106,LOOKUPS!$A$31:$E$35,2,FALSE)</f>
        <v>3</v>
      </c>
      <c r="U106">
        <v>2</v>
      </c>
      <c r="V106">
        <v>2</v>
      </c>
      <c r="W106" t="s">
        <v>111</v>
      </c>
      <c r="X106">
        <v>105</v>
      </c>
      <c r="Y106" t="s">
        <v>120</v>
      </c>
    </row>
    <row r="107" spans="1:25" x14ac:dyDescent="0.3">
      <c r="A107" t="s">
        <v>26</v>
      </c>
      <c r="B107" t="s">
        <v>30</v>
      </c>
      <c r="C107" t="s">
        <v>36</v>
      </c>
      <c r="D107" t="s">
        <v>37</v>
      </c>
      <c r="E107" t="s">
        <v>44</v>
      </c>
      <c r="F107" t="s">
        <v>54</v>
      </c>
      <c r="G107">
        <f>VLOOKUP(Sheet1!G107,LOOKUPS!$A$3:$B$9,2,FALSE)</f>
        <v>7</v>
      </c>
      <c r="H107">
        <f>VLOOKUP(Sheet1!H107,LOOKUPS!$A$13:$B$14,2,FALSE)</f>
        <v>0</v>
      </c>
      <c r="J107">
        <f>VLOOKUP(Sheet1!J107,LOOKUPS!$A$18:$B$22,2,FALSE)</f>
        <v>1</v>
      </c>
      <c r="K107" t="s">
        <v>87</v>
      </c>
      <c r="L107">
        <f>VLOOKUP(Sheet1!L107,LOOKUPS!$A$26:$B$27,2,FALSE)</f>
        <v>0</v>
      </c>
      <c r="M107">
        <v>4</v>
      </c>
      <c r="N107">
        <v>4</v>
      </c>
      <c r="O107">
        <v>5</v>
      </c>
      <c r="P107">
        <v>4</v>
      </c>
      <c r="Q107">
        <v>4</v>
      </c>
      <c r="R107">
        <f>VLOOKUP(Sheet1!R107,LOOKUPS!$A$39:$B$43,2,FALSE)</f>
        <v>1</v>
      </c>
      <c r="S107">
        <v>2</v>
      </c>
      <c r="T107">
        <f>VLOOKUP(Sheet1!T107,LOOKUPS!$A$31:$E$35,2,FALSE)</f>
        <v>5</v>
      </c>
      <c r="U107">
        <v>5</v>
      </c>
      <c r="V107">
        <v>5</v>
      </c>
      <c r="W107" t="s">
        <v>111</v>
      </c>
      <c r="X107">
        <v>189</v>
      </c>
      <c r="Y107" t="s">
        <v>120</v>
      </c>
    </row>
    <row r="108" spans="1:25" x14ac:dyDescent="0.3">
      <c r="A108" t="s">
        <v>26</v>
      </c>
      <c r="B108" t="s">
        <v>30</v>
      </c>
      <c r="C108" t="s">
        <v>35</v>
      </c>
      <c r="D108" t="s">
        <v>39</v>
      </c>
      <c r="E108" t="s">
        <v>44</v>
      </c>
      <c r="F108" t="s">
        <v>68</v>
      </c>
      <c r="G108">
        <f>VLOOKUP(Sheet1!G108,LOOKUPS!$A$3:$B$9,2,FALSE)</f>
        <v>7</v>
      </c>
      <c r="H108">
        <f>VLOOKUP(Sheet1!H108,LOOKUPS!$A$13:$B$14,2,FALSE)</f>
        <v>1</v>
      </c>
      <c r="I108" t="s">
        <v>59</v>
      </c>
      <c r="J108">
        <f>VLOOKUP(Sheet1!J108,LOOKUPS!$A$18:$B$22,2,FALSE)</f>
        <v>1</v>
      </c>
      <c r="K108" t="s">
        <v>108</v>
      </c>
      <c r="L108">
        <f>VLOOKUP(Sheet1!L108,LOOKUPS!$A$26:$B$27,2,FALSE)</f>
        <v>0</v>
      </c>
      <c r="M108">
        <v>3</v>
      </c>
      <c r="N108">
        <v>3</v>
      </c>
      <c r="O108">
        <v>3</v>
      </c>
      <c r="P108">
        <v>3</v>
      </c>
      <c r="Q108">
        <v>3</v>
      </c>
      <c r="R108">
        <f>VLOOKUP(Sheet1!R108,LOOKUPS!$A$39:$B$43,2,FALSE)</f>
        <v>5</v>
      </c>
      <c r="S108">
        <v>3</v>
      </c>
      <c r="T108">
        <f>VLOOKUP(Sheet1!T108,LOOKUPS!$A$31:$E$35,2,FALSE)</f>
        <v>3</v>
      </c>
      <c r="U108">
        <v>4</v>
      </c>
      <c r="V108">
        <v>4</v>
      </c>
      <c r="W108" t="s">
        <v>114</v>
      </c>
      <c r="X108">
        <v>132</v>
      </c>
      <c r="Y108" t="s">
        <v>120</v>
      </c>
    </row>
    <row r="109" spans="1:25" x14ac:dyDescent="0.3">
      <c r="A109" t="s">
        <v>25</v>
      </c>
      <c r="B109" t="s">
        <v>32</v>
      </c>
      <c r="C109" t="s">
        <v>35</v>
      </c>
      <c r="D109" t="s">
        <v>38</v>
      </c>
      <c r="E109" t="s">
        <v>42</v>
      </c>
      <c r="F109" t="s">
        <v>54</v>
      </c>
      <c r="G109">
        <f>VLOOKUP(Sheet1!G109,LOOKUPS!$A$3:$B$9,2,FALSE)</f>
        <v>6</v>
      </c>
      <c r="H109">
        <f>VLOOKUP(Sheet1!H109,LOOKUPS!$A$13:$B$14,2,FALSE)</f>
        <v>1</v>
      </c>
      <c r="I109" t="s">
        <v>66</v>
      </c>
      <c r="J109">
        <f>VLOOKUP(Sheet1!J109,LOOKUPS!$A$18:$B$22,2,FALSE)</f>
        <v>2</v>
      </c>
      <c r="K109" t="s">
        <v>101</v>
      </c>
      <c r="L109">
        <f>VLOOKUP(Sheet1!L109,LOOKUPS!$A$26:$B$27,2,FALSE)</f>
        <v>0</v>
      </c>
      <c r="M109">
        <v>2</v>
      </c>
      <c r="N109">
        <v>3</v>
      </c>
      <c r="O109">
        <v>4</v>
      </c>
      <c r="P109">
        <v>3</v>
      </c>
      <c r="Q109">
        <v>2</v>
      </c>
      <c r="R109">
        <f>VLOOKUP(Sheet1!R109,LOOKUPS!$A$39:$B$43,2,FALSE)</f>
        <v>2</v>
      </c>
      <c r="S109">
        <v>3</v>
      </c>
      <c r="T109">
        <f>VLOOKUP(Sheet1!T109,LOOKUPS!$A$31:$E$35,2,FALSE)</f>
        <v>2</v>
      </c>
      <c r="U109">
        <v>3</v>
      </c>
      <c r="V109">
        <v>3</v>
      </c>
      <c r="W109" t="s">
        <v>114</v>
      </c>
      <c r="X109">
        <v>119</v>
      </c>
      <c r="Y109" t="s">
        <v>124</v>
      </c>
    </row>
    <row r="110" spans="1:25" x14ac:dyDescent="0.3">
      <c r="A110" t="s">
        <v>26</v>
      </c>
      <c r="B110" t="s">
        <v>30</v>
      </c>
      <c r="C110" t="s">
        <v>35</v>
      </c>
      <c r="D110" t="s">
        <v>37</v>
      </c>
      <c r="E110" t="s">
        <v>33</v>
      </c>
      <c r="F110" t="s">
        <v>68</v>
      </c>
      <c r="G110">
        <f>VLOOKUP(Sheet1!G110,LOOKUPS!$A$3:$B$9,2,FALSE)</f>
        <v>5</v>
      </c>
      <c r="H110">
        <f>VLOOKUP(Sheet1!H110,LOOKUPS!$A$13:$B$14,2,FALSE)</f>
        <v>1</v>
      </c>
      <c r="I110" t="s">
        <v>51</v>
      </c>
      <c r="J110">
        <f>VLOOKUP(Sheet1!J110,LOOKUPS!$A$18:$B$22,2,FALSE)</f>
        <v>1</v>
      </c>
      <c r="K110" t="s">
        <v>106</v>
      </c>
      <c r="L110">
        <f>VLOOKUP(Sheet1!L110,LOOKUPS!$A$26:$B$27,2,FALSE)</f>
        <v>0</v>
      </c>
      <c r="M110">
        <v>2</v>
      </c>
      <c r="N110">
        <v>2</v>
      </c>
      <c r="O110">
        <v>3</v>
      </c>
      <c r="P110">
        <v>2</v>
      </c>
      <c r="Q110">
        <v>2</v>
      </c>
      <c r="R110">
        <f>VLOOKUP(Sheet1!R110,LOOKUPS!$A$39:$B$43,2,FALSE)</f>
        <v>3</v>
      </c>
      <c r="S110">
        <v>3</v>
      </c>
      <c r="T110">
        <f>VLOOKUP(Sheet1!T110,LOOKUPS!$A$31:$E$35,2,FALSE)</f>
        <v>3</v>
      </c>
      <c r="U110">
        <v>3</v>
      </c>
      <c r="V110">
        <v>3</v>
      </c>
      <c r="W110" t="s">
        <v>110</v>
      </c>
      <c r="X110">
        <v>23</v>
      </c>
      <c r="Y110" t="s">
        <v>124</v>
      </c>
    </row>
    <row r="111" spans="1:25" x14ac:dyDescent="0.3">
      <c r="A111" t="s">
        <v>26</v>
      </c>
      <c r="B111" t="s">
        <v>33</v>
      </c>
      <c r="C111" t="s">
        <v>36</v>
      </c>
      <c r="D111" t="s">
        <v>37</v>
      </c>
      <c r="E111" t="s">
        <v>33</v>
      </c>
      <c r="F111" t="s">
        <v>62</v>
      </c>
      <c r="G111">
        <f>VLOOKUP(Sheet1!G111,LOOKUPS!$A$3:$B$9,2,FALSE)</f>
        <v>5</v>
      </c>
      <c r="H111">
        <f>VLOOKUP(Sheet1!H111,LOOKUPS!$A$13:$B$14,2,FALSE)</f>
        <v>1</v>
      </c>
      <c r="I111" t="s">
        <v>51</v>
      </c>
      <c r="J111">
        <f>VLOOKUP(Sheet1!J111,LOOKUPS!$A$18:$B$22,2,FALSE)</f>
        <v>2</v>
      </c>
      <c r="K111" t="s">
        <v>109</v>
      </c>
      <c r="L111">
        <f>VLOOKUP(Sheet1!L111,LOOKUPS!$A$26:$B$27,2,FALSE)</f>
        <v>0</v>
      </c>
      <c r="M111">
        <v>3</v>
      </c>
      <c r="N111">
        <v>3</v>
      </c>
      <c r="O111">
        <v>3</v>
      </c>
      <c r="P111">
        <v>3</v>
      </c>
      <c r="Q111">
        <v>3</v>
      </c>
      <c r="R111">
        <f>VLOOKUP(Sheet1!R111,LOOKUPS!$A$39:$B$43,2,FALSE)</f>
        <v>2</v>
      </c>
      <c r="S111">
        <v>3</v>
      </c>
      <c r="T111">
        <f>VLOOKUP(Sheet1!T111,LOOKUPS!$A$31:$E$35,2,FALSE)</f>
        <v>3</v>
      </c>
      <c r="U111">
        <v>4</v>
      </c>
      <c r="V111">
        <v>4</v>
      </c>
      <c r="W111" t="s">
        <v>111</v>
      </c>
      <c r="X111">
        <v>206</v>
      </c>
      <c r="Y111" t="s">
        <v>121</v>
      </c>
    </row>
    <row r="112" spans="1:25" x14ac:dyDescent="0.3">
      <c r="A112" t="s">
        <v>26</v>
      </c>
      <c r="B112" t="s">
        <v>32</v>
      </c>
      <c r="C112" t="s">
        <v>34</v>
      </c>
      <c r="D112" t="s">
        <v>38</v>
      </c>
      <c r="E112" t="s">
        <v>42</v>
      </c>
      <c r="F112" t="s">
        <v>58</v>
      </c>
      <c r="G112">
        <f>VLOOKUP(Sheet1!G112,LOOKUPS!$A$3:$B$9,2,FALSE)</f>
        <v>4</v>
      </c>
      <c r="H112">
        <f>VLOOKUP(Sheet1!H112,LOOKUPS!$A$13:$B$14,2,FALSE)</f>
        <v>0</v>
      </c>
      <c r="J112">
        <f>VLOOKUP(Sheet1!J112,LOOKUPS!$A$18:$B$22,2,FALSE)</f>
        <v>1</v>
      </c>
      <c r="K112" t="s">
        <v>87</v>
      </c>
      <c r="L112">
        <f>VLOOKUP(Sheet1!L112,LOOKUPS!$A$26:$B$27,2,FALSE)</f>
        <v>1</v>
      </c>
      <c r="M112">
        <v>5</v>
      </c>
      <c r="N112">
        <v>4</v>
      </c>
      <c r="O112">
        <v>5</v>
      </c>
      <c r="P112">
        <v>5</v>
      </c>
      <c r="Q112">
        <v>5</v>
      </c>
      <c r="R112">
        <f>VLOOKUP(Sheet1!R112,LOOKUPS!$A$39:$B$43,2,FALSE)</f>
        <v>4</v>
      </c>
      <c r="S112">
        <v>2</v>
      </c>
      <c r="T112">
        <f>VLOOKUP(Sheet1!T112,LOOKUPS!$A$31:$E$35,2,FALSE)</f>
        <v>5</v>
      </c>
      <c r="U112">
        <v>5</v>
      </c>
      <c r="V112">
        <v>5</v>
      </c>
      <c r="W112" t="s">
        <v>112</v>
      </c>
      <c r="X112">
        <v>59</v>
      </c>
      <c r="Y112" t="s">
        <v>122</v>
      </c>
    </row>
    <row r="113" spans="1:25" x14ac:dyDescent="0.3">
      <c r="A113" t="s">
        <v>29</v>
      </c>
      <c r="B113" t="s">
        <v>30</v>
      </c>
      <c r="C113" t="s">
        <v>35</v>
      </c>
      <c r="D113" t="s">
        <v>38</v>
      </c>
      <c r="E113" t="s">
        <v>43</v>
      </c>
      <c r="F113" t="s">
        <v>68</v>
      </c>
      <c r="G113">
        <f>VLOOKUP(Sheet1!G113,LOOKUPS!$A$3:$B$9,2,FALSE)</f>
        <v>2</v>
      </c>
      <c r="H113">
        <f>VLOOKUP(Sheet1!H113,LOOKUPS!$A$13:$B$14,2,FALSE)</f>
        <v>1</v>
      </c>
      <c r="I113" t="s">
        <v>51</v>
      </c>
      <c r="J113">
        <f>VLOOKUP(Sheet1!J113,LOOKUPS!$A$18:$B$22,2,FALSE)</f>
        <v>3</v>
      </c>
      <c r="K113" t="s">
        <v>95</v>
      </c>
      <c r="L113">
        <f>VLOOKUP(Sheet1!L113,LOOKUPS!$A$26:$B$27,2,FALSE)</f>
        <v>0</v>
      </c>
      <c r="M113">
        <v>2</v>
      </c>
      <c r="N113">
        <v>3</v>
      </c>
      <c r="O113">
        <v>3</v>
      </c>
      <c r="P113">
        <v>2</v>
      </c>
      <c r="Q113">
        <v>2</v>
      </c>
      <c r="R113">
        <f>VLOOKUP(Sheet1!R113,LOOKUPS!$A$39:$B$43,2,FALSE)</f>
        <v>5</v>
      </c>
      <c r="S113">
        <v>3</v>
      </c>
      <c r="T113">
        <f>VLOOKUP(Sheet1!T113,LOOKUPS!$A$31:$E$35,2,FALSE)</f>
        <v>4</v>
      </c>
      <c r="U113">
        <v>3</v>
      </c>
      <c r="V113">
        <v>3</v>
      </c>
      <c r="W113" t="s">
        <v>111</v>
      </c>
      <c r="X113">
        <v>92</v>
      </c>
      <c r="Y113" t="s">
        <v>122</v>
      </c>
    </row>
    <row r="114" spans="1:25" x14ac:dyDescent="0.3">
      <c r="A114" t="s">
        <v>26</v>
      </c>
      <c r="B114" t="s">
        <v>32</v>
      </c>
      <c r="C114" t="s">
        <v>35</v>
      </c>
      <c r="D114" t="s">
        <v>41</v>
      </c>
      <c r="E114" t="s">
        <v>44</v>
      </c>
      <c r="F114" t="s">
        <v>60</v>
      </c>
      <c r="G114">
        <f>VLOOKUP(Sheet1!G114,LOOKUPS!$A$3:$B$9,2,FALSE)</f>
        <v>4</v>
      </c>
      <c r="H114">
        <f>VLOOKUP(Sheet1!H114,LOOKUPS!$A$13:$B$14,2,FALSE)</f>
        <v>0</v>
      </c>
      <c r="J114">
        <f>VLOOKUP(Sheet1!J114,LOOKUPS!$A$18:$B$22,2,FALSE)</f>
        <v>1</v>
      </c>
      <c r="K114" t="s">
        <v>87</v>
      </c>
      <c r="L114">
        <f>VLOOKUP(Sheet1!L114,LOOKUPS!$A$26:$B$27,2,FALSE)</f>
        <v>0</v>
      </c>
      <c r="M114">
        <v>2</v>
      </c>
      <c r="N114">
        <v>3</v>
      </c>
      <c r="O114">
        <v>3</v>
      </c>
      <c r="P114">
        <v>3</v>
      </c>
      <c r="Q114">
        <v>2</v>
      </c>
      <c r="R114">
        <f>VLOOKUP(Sheet1!R114,LOOKUPS!$A$39:$B$43,2,FALSE)</f>
        <v>5</v>
      </c>
      <c r="S114">
        <v>5</v>
      </c>
      <c r="T114">
        <f>VLOOKUP(Sheet1!T114,LOOKUPS!$A$31:$E$35,2,FALSE)</f>
        <v>4</v>
      </c>
      <c r="U114">
        <v>2</v>
      </c>
      <c r="V114">
        <v>2</v>
      </c>
      <c r="W114" t="s">
        <v>113</v>
      </c>
      <c r="X114">
        <v>71</v>
      </c>
      <c r="Y114" t="s">
        <v>120</v>
      </c>
    </row>
    <row r="115" spans="1:25" x14ac:dyDescent="0.3">
      <c r="A115" t="s">
        <v>25</v>
      </c>
      <c r="B115" t="s">
        <v>30</v>
      </c>
      <c r="C115" t="s">
        <v>36</v>
      </c>
      <c r="D115" t="s">
        <v>38</v>
      </c>
      <c r="E115" t="s">
        <v>33</v>
      </c>
      <c r="F115" t="s">
        <v>56</v>
      </c>
      <c r="G115">
        <f>VLOOKUP(Sheet1!G115,LOOKUPS!$A$3:$B$9,2,FALSE)</f>
        <v>6</v>
      </c>
      <c r="H115">
        <f>VLOOKUP(Sheet1!H115,LOOKUPS!$A$13:$B$14,2,FALSE)</f>
        <v>0</v>
      </c>
      <c r="J115">
        <f>VLOOKUP(Sheet1!J115,LOOKUPS!$A$18:$B$22,2,FALSE)</f>
        <v>1</v>
      </c>
      <c r="K115" t="s">
        <v>87</v>
      </c>
      <c r="L115">
        <f>VLOOKUP(Sheet1!L115,LOOKUPS!$A$26:$B$27,2,FALSE)</f>
        <v>1</v>
      </c>
      <c r="M115">
        <v>3</v>
      </c>
      <c r="N115">
        <v>4</v>
      </c>
      <c r="O115">
        <v>4</v>
      </c>
      <c r="P115">
        <v>3</v>
      </c>
      <c r="Q115">
        <v>3</v>
      </c>
      <c r="R115">
        <f>VLOOKUP(Sheet1!R115,LOOKUPS!$A$39:$B$43,2,FALSE)</f>
        <v>2</v>
      </c>
      <c r="S115">
        <v>3</v>
      </c>
      <c r="T115">
        <f>VLOOKUP(Sheet1!T115,LOOKUPS!$A$31:$E$35,2,FALSE)</f>
        <v>3</v>
      </c>
      <c r="U115">
        <v>4</v>
      </c>
      <c r="V115">
        <v>4</v>
      </c>
      <c r="W115" t="s">
        <v>110</v>
      </c>
      <c r="X115">
        <v>19</v>
      </c>
      <c r="Y115" t="s">
        <v>122</v>
      </c>
    </row>
    <row r="116" spans="1:25" x14ac:dyDescent="0.3">
      <c r="A116" t="s">
        <v>26</v>
      </c>
      <c r="B116" t="s">
        <v>30</v>
      </c>
      <c r="C116" t="s">
        <v>36</v>
      </c>
      <c r="D116" t="s">
        <v>38</v>
      </c>
      <c r="E116" t="s">
        <v>44</v>
      </c>
      <c r="F116" t="s">
        <v>69</v>
      </c>
      <c r="G116">
        <f>VLOOKUP(Sheet1!G116,LOOKUPS!$A$3:$B$9,2,FALSE)</f>
        <v>3</v>
      </c>
      <c r="H116">
        <f>VLOOKUP(Sheet1!H116,LOOKUPS!$A$13:$B$14,2,FALSE)</f>
        <v>0</v>
      </c>
      <c r="J116">
        <f>VLOOKUP(Sheet1!J116,LOOKUPS!$A$18:$B$22,2,FALSE)</f>
        <v>1</v>
      </c>
      <c r="K116" t="s">
        <v>87</v>
      </c>
      <c r="L116">
        <f>VLOOKUP(Sheet1!L116,LOOKUPS!$A$26:$B$27,2,FALSE)</f>
        <v>1</v>
      </c>
      <c r="M116">
        <v>4</v>
      </c>
      <c r="N116">
        <v>3</v>
      </c>
      <c r="O116">
        <v>4</v>
      </c>
      <c r="P116">
        <v>3</v>
      </c>
      <c r="Q116">
        <v>4</v>
      </c>
      <c r="R116">
        <f>VLOOKUP(Sheet1!R116,LOOKUPS!$A$39:$B$43,2,FALSE)</f>
        <v>3</v>
      </c>
      <c r="S116">
        <v>2</v>
      </c>
      <c r="T116">
        <f>VLOOKUP(Sheet1!T116,LOOKUPS!$A$31:$E$35,2,FALSE)</f>
        <v>5</v>
      </c>
      <c r="U116">
        <v>4</v>
      </c>
      <c r="V116">
        <v>4</v>
      </c>
      <c r="W116" t="s">
        <v>114</v>
      </c>
      <c r="X116">
        <v>78</v>
      </c>
      <c r="Y116" t="s">
        <v>121</v>
      </c>
    </row>
    <row r="117" spans="1:25" x14ac:dyDescent="0.3">
      <c r="A117" t="s">
        <v>26</v>
      </c>
      <c r="B117" t="s">
        <v>32</v>
      </c>
      <c r="C117" t="s">
        <v>34</v>
      </c>
      <c r="D117" t="s">
        <v>38</v>
      </c>
      <c r="E117" t="s">
        <v>44</v>
      </c>
      <c r="F117" t="s">
        <v>71</v>
      </c>
      <c r="G117">
        <f>VLOOKUP(Sheet1!G117,LOOKUPS!$A$3:$B$9,2,FALSE)</f>
        <v>5</v>
      </c>
      <c r="H117">
        <f>VLOOKUP(Sheet1!H117,LOOKUPS!$A$13:$B$14,2,FALSE)</f>
        <v>0</v>
      </c>
      <c r="J117">
        <f>VLOOKUP(Sheet1!J117,LOOKUPS!$A$18:$B$22,2,FALSE)</f>
        <v>1</v>
      </c>
      <c r="K117" t="s">
        <v>87</v>
      </c>
      <c r="L117">
        <f>VLOOKUP(Sheet1!L117,LOOKUPS!$A$26:$B$27,2,FALSE)</f>
        <v>1</v>
      </c>
      <c r="M117">
        <v>3</v>
      </c>
      <c r="N117">
        <v>3</v>
      </c>
      <c r="O117">
        <v>4</v>
      </c>
      <c r="P117">
        <v>3</v>
      </c>
      <c r="Q117">
        <v>3</v>
      </c>
      <c r="R117">
        <f>VLOOKUP(Sheet1!R117,LOOKUPS!$A$39:$B$43,2,FALSE)</f>
        <v>4</v>
      </c>
      <c r="S117">
        <v>3</v>
      </c>
      <c r="T117">
        <f>VLOOKUP(Sheet1!T117,LOOKUPS!$A$31:$E$35,2,FALSE)</f>
        <v>1</v>
      </c>
      <c r="U117">
        <v>4</v>
      </c>
      <c r="V117">
        <v>3</v>
      </c>
      <c r="W117" t="s">
        <v>114</v>
      </c>
      <c r="X117">
        <v>56</v>
      </c>
      <c r="Y117" t="s">
        <v>120</v>
      </c>
    </row>
    <row r="118" spans="1:25" x14ac:dyDescent="0.3">
      <c r="A118" t="s">
        <v>26</v>
      </c>
      <c r="B118" t="s">
        <v>30</v>
      </c>
      <c r="C118" t="s">
        <v>34</v>
      </c>
      <c r="D118" t="s">
        <v>39</v>
      </c>
      <c r="E118" t="s">
        <v>45</v>
      </c>
      <c r="F118" t="s">
        <v>68</v>
      </c>
      <c r="G118">
        <f>VLOOKUP(Sheet1!G118,LOOKUPS!$A$3:$B$9,2,FALSE)</f>
        <v>6</v>
      </c>
      <c r="H118">
        <f>VLOOKUP(Sheet1!H118,LOOKUPS!$A$13:$B$14,2,FALSE)</f>
        <v>0</v>
      </c>
      <c r="J118">
        <f>VLOOKUP(Sheet1!J118,LOOKUPS!$A$18:$B$22,2,FALSE)</f>
        <v>1</v>
      </c>
      <c r="K118" t="s">
        <v>87</v>
      </c>
      <c r="L118">
        <f>VLOOKUP(Sheet1!L118,LOOKUPS!$A$26:$B$27,2,FALSE)</f>
        <v>0</v>
      </c>
      <c r="M118">
        <v>3</v>
      </c>
      <c r="N118">
        <v>4</v>
      </c>
      <c r="O118">
        <v>4</v>
      </c>
      <c r="P118">
        <v>3</v>
      </c>
      <c r="Q118">
        <v>3</v>
      </c>
      <c r="R118">
        <f>VLOOKUP(Sheet1!R118,LOOKUPS!$A$39:$B$43,2,FALSE)</f>
        <v>5</v>
      </c>
      <c r="S118">
        <v>3</v>
      </c>
      <c r="T118">
        <f>VLOOKUP(Sheet1!T118,LOOKUPS!$A$31:$E$35,2,FALSE)</f>
        <v>4</v>
      </c>
      <c r="U118">
        <v>4</v>
      </c>
      <c r="V118">
        <v>4</v>
      </c>
      <c r="W118" t="s">
        <v>110</v>
      </c>
      <c r="X118">
        <v>35</v>
      </c>
      <c r="Y118" t="s">
        <v>121</v>
      </c>
    </row>
    <row r="119" spans="1:25" x14ac:dyDescent="0.3">
      <c r="A119" t="s">
        <v>28</v>
      </c>
      <c r="B119" t="s">
        <v>30</v>
      </c>
      <c r="C119" t="s">
        <v>35</v>
      </c>
      <c r="D119" t="s">
        <v>38</v>
      </c>
      <c r="E119" t="s">
        <v>43</v>
      </c>
      <c r="F119" t="s">
        <v>59</v>
      </c>
      <c r="G119">
        <f>VLOOKUP(Sheet1!G119,LOOKUPS!$A$3:$B$9,2,FALSE)</f>
        <v>1</v>
      </c>
      <c r="H119">
        <f>VLOOKUP(Sheet1!H119,LOOKUPS!$A$13:$B$14,2,FALSE)</f>
        <v>1</v>
      </c>
      <c r="I119" t="s">
        <v>59</v>
      </c>
      <c r="J119">
        <f>VLOOKUP(Sheet1!J119,LOOKUPS!$A$18:$B$22,2,FALSE)</f>
        <v>5</v>
      </c>
      <c r="K119" t="s">
        <v>108</v>
      </c>
      <c r="L119">
        <f>VLOOKUP(Sheet1!L119,LOOKUPS!$A$26:$B$27,2,FALSE)</f>
        <v>1</v>
      </c>
      <c r="M119">
        <v>2</v>
      </c>
      <c r="N119">
        <v>2</v>
      </c>
      <c r="O119">
        <v>2</v>
      </c>
      <c r="P119">
        <v>2</v>
      </c>
      <c r="Q119">
        <v>2</v>
      </c>
      <c r="R119">
        <f>VLOOKUP(Sheet1!R119,LOOKUPS!$A$39:$B$43,2,FALSE)</f>
        <v>2</v>
      </c>
      <c r="S119">
        <v>4</v>
      </c>
      <c r="T119">
        <f>VLOOKUP(Sheet1!T119,LOOKUPS!$A$31:$E$35,2,FALSE)</f>
        <v>3</v>
      </c>
      <c r="U119">
        <v>2</v>
      </c>
      <c r="V119">
        <v>2</v>
      </c>
      <c r="W119" t="s">
        <v>113</v>
      </c>
      <c r="X119">
        <v>54</v>
      </c>
      <c r="Y119" t="s">
        <v>122</v>
      </c>
    </row>
    <row r="120" spans="1:25" x14ac:dyDescent="0.3">
      <c r="A120" t="s">
        <v>26</v>
      </c>
      <c r="B120" t="s">
        <v>30</v>
      </c>
      <c r="C120" t="s">
        <v>35</v>
      </c>
      <c r="D120" t="s">
        <v>38</v>
      </c>
      <c r="E120" t="s">
        <v>42</v>
      </c>
      <c r="F120" t="s">
        <v>51</v>
      </c>
      <c r="G120">
        <f>VLOOKUP(Sheet1!G120,LOOKUPS!$A$3:$B$9,2,FALSE)</f>
        <v>7</v>
      </c>
      <c r="H120">
        <f>VLOOKUP(Sheet1!H120,LOOKUPS!$A$13:$B$14,2,FALSE)</f>
        <v>0</v>
      </c>
      <c r="J120">
        <f>VLOOKUP(Sheet1!J120,LOOKUPS!$A$18:$B$22,2,FALSE)</f>
        <v>1</v>
      </c>
      <c r="K120" t="s">
        <v>87</v>
      </c>
      <c r="L120">
        <f>VLOOKUP(Sheet1!L120,LOOKUPS!$A$26:$B$27,2,FALSE)</f>
        <v>0</v>
      </c>
      <c r="M120">
        <v>3</v>
      </c>
      <c r="N120">
        <v>3</v>
      </c>
      <c r="O120">
        <v>3</v>
      </c>
      <c r="P120">
        <v>4</v>
      </c>
      <c r="Q120">
        <v>3</v>
      </c>
      <c r="R120">
        <f>VLOOKUP(Sheet1!R120,LOOKUPS!$A$39:$B$43,2,FALSE)</f>
        <v>3</v>
      </c>
      <c r="S120">
        <v>3</v>
      </c>
      <c r="T120">
        <f>VLOOKUP(Sheet1!T120,LOOKUPS!$A$31:$E$35,2,FALSE)</f>
        <v>3</v>
      </c>
      <c r="U120">
        <v>4</v>
      </c>
      <c r="V120">
        <v>4</v>
      </c>
      <c r="W120" t="s">
        <v>111</v>
      </c>
      <c r="X120">
        <v>232</v>
      </c>
      <c r="Y120" t="s">
        <v>124</v>
      </c>
    </row>
    <row r="121" spans="1:25" x14ac:dyDescent="0.3">
      <c r="A121" t="s">
        <v>29</v>
      </c>
      <c r="B121" t="s">
        <v>32</v>
      </c>
      <c r="C121" t="s">
        <v>36</v>
      </c>
      <c r="D121" t="s">
        <v>37</v>
      </c>
      <c r="E121" t="s">
        <v>46</v>
      </c>
      <c r="F121" t="s">
        <v>58</v>
      </c>
      <c r="G121">
        <f>VLOOKUP(Sheet1!G121,LOOKUPS!$A$3:$B$9,2,FALSE)</f>
        <v>6</v>
      </c>
      <c r="H121">
        <f>VLOOKUP(Sheet1!H121,LOOKUPS!$A$13:$B$14,2,FALSE)</f>
        <v>1</v>
      </c>
      <c r="I121" t="s">
        <v>59</v>
      </c>
      <c r="J121">
        <f>VLOOKUP(Sheet1!J121,LOOKUPS!$A$18:$B$22,2,FALSE)</f>
        <v>1</v>
      </c>
      <c r="K121" t="s">
        <v>88</v>
      </c>
      <c r="L121">
        <f>VLOOKUP(Sheet1!L121,LOOKUPS!$A$26:$B$27,2,FALSE)</f>
        <v>1</v>
      </c>
      <c r="M121">
        <v>3</v>
      </c>
      <c r="N121">
        <v>3</v>
      </c>
      <c r="O121">
        <v>3</v>
      </c>
      <c r="P121">
        <v>2</v>
      </c>
      <c r="Q121">
        <v>2</v>
      </c>
      <c r="R121">
        <f>VLOOKUP(Sheet1!R121,LOOKUPS!$A$39:$B$43,2,FALSE)</f>
        <v>2</v>
      </c>
      <c r="S121">
        <v>3</v>
      </c>
      <c r="T121">
        <f>VLOOKUP(Sheet1!T121,LOOKUPS!$A$31:$E$35,2,FALSE)</f>
        <v>2</v>
      </c>
      <c r="U121">
        <v>3</v>
      </c>
      <c r="V121">
        <v>3</v>
      </c>
      <c r="W121" t="s">
        <v>112</v>
      </c>
      <c r="X121">
        <v>103</v>
      </c>
      <c r="Y121" t="s">
        <v>123</v>
      </c>
    </row>
    <row r="122" spans="1:25" x14ac:dyDescent="0.3">
      <c r="A122" t="s">
        <v>25</v>
      </c>
      <c r="B122" t="s">
        <v>32</v>
      </c>
      <c r="C122" t="s">
        <v>34</v>
      </c>
      <c r="D122" t="s">
        <v>37</v>
      </c>
      <c r="E122" t="s">
        <v>42</v>
      </c>
      <c r="F122" t="s">
        <v>53</v>
      </c>
      <c r="G122">
        <f>VLOOKUP(Sheet1!G122,LOOKUPS!$A$3:$B$9,2,FALSE)</f>
        <v>2</v>
      </c>
      <c r="H122">
        <f>VLOOKUP(Sheet1!H122,LOOKUPS!$A$13:$B$14,2,FALSE)</f>
        <v>1</v>
      </c>
      <c r="I122" t="s">
        <v>59</v>
      </c>
      <c r="J122">
        <f>VLOOKUP(Sheet1!J122,LOOKUPS!$A$18:$B$22,2,FALSE)</f>
        <v>2</v>
      </c>
      <c r="K122" t="s">
        <v>102</v>
      </c>
      <c r="L122">
        <f>VLOOKUP(Sheet1!L122,LOOKUPS!$A$26:$B$27,2,FALSE)</f>
        <v>1</v>
      </c>
      <c r="M122">
        <v>4</v>
      </c>
      <c r="N122">
        <v>4</v>
      </c>
      <c r="O122">
        <v>4</v>
      </c>
      <c r="P122">
        <v>4</v>
      </c>
      <c r="Q122">
        <v>4</v>
      </c>
      <c r="R122">
        <f>VLOOKUP(Sheet1!R122,LOOKUPS!$A$39:$B$43,2,FALSE)</f>
        <v>4</v>
      </c>
      <c r="S122">
        <v>3</v>
      </c>
      <c r="T122">
        <f>VLOOKUP(Sheet1!T122,LOOKUPS!$A$31:$E$35,2,FALSE)</f>
        <v>4</v>
      </c>
      <c r="U122">
        <v>4</v>
      </c>
      <c r="V122">
        <v>4</v>
      </c>
      <c r="W122" t="s">
        <v>112</v>
      </c>
      <c r="X122">
        <v>158</v>
      </c>
      <c r="Y122" t="s">
        <v>123</v>
      </c>
    </row>
    <row r="123" spans="1:25" x14ac:dyDescent="0.3">
      <c r="A123" t="s">
        <v>25</v>
      </c>
      <c r="B123" t="s">
        <v>32</v>
      </c>
      <c r="C123" t="s">
        <v>34</v>
      </c>
      <c r="D123" t="s">
        <v>37</v>
      </c>
      <c r="E123" t="s">
        <v>33</v>
      </c>
      <c r="F123" t="s">
        <v>59</v>
      </c>
      <c r="G123">
        <f>VLOOKUP(Sheet1!G123,LOOKUPS!$A$3:$B$9,2,FALSE)</f>
        <v>7</v>
      </c>
      <c r="H123">
        <f>VLOOKUP(Sheet1!H123,LOOKUPS!$A$13:$B$14,2,FALSE)</f>
        <v>1</v>
      </c>
      <c r="I123" t="s">
        <v>59</v>
      </c>
      <c r="J123">
        <f>VLOOKUP(Sheet1!J123,LOOKUPS!$A$18:$B$22,2,FALSE)</f>
        <v>1</v>
      </c>
      <c r="K123" t="s">
        <v>88</v>
      </c>
      <c r="L123">
        <f>VLOOKUP(Sheet1!L123,LOOKUPS!$A$26:$B$27,2,FALSE)</f>
        <v>1</v>
      </c>
      <c r="M123">
        <v>4</v>
      </c>
      <c r="N123">
        <v>3</v>
      </c>
      <c r="O123">
        <v>4</v>
      </c>
      <c r="P123">
        <v>3</v>
      </c>
      <c r="Q123">
        <v>3</v>
      </c>
      <c r="R123">
        <f>VLOOKUP(Sheet1!R123,LOOKUPS!$A$39:$B$43,2,FALSE)</f>
        <v>5</v>
      </c>
      <c r="S123">
        <v>3</v>
      </c>
      <c r="T123">
        <f>VLOOKUP(Sheet1!T123,LOOKUPS!$A$31:$E$35,2,FALSE)</f>
        <v>3</v>
      </c>
      <c r="U123">
        <v>4</v>
      </c>
      <c r="V123">
        <v>4</v>
      </c>
      <c r="W123" t="s">
        <v>111</v>
      </c>
      <c r="X123">
        <v>159</v>
      </c>
      <c r="Y123" t="s">
        <v>120</v>
      </c>
    </row>
    <row r="124" spans="1:25" x14ac:dyDescent="0.3">
      <c r="A124" t="s">
        <v>26</v>
      </c>
      <c r="B124" t="s">
        <v>32</v>
      </c>
      <c r="C124" t="s">
        <v>35</v>
      </c>
      <c r="D124" t="s">
        <v>38</v>
      </c>
      <c r="E124" t="s">
        <v>42</v>
      </c>
      <c r="F124" t="s">
        <v>64</v>
      </c>
      <c r="G124">
        <f>VLOOKUP(Sheet1!G124,LOOKUPS!$A$3:$B$9,2,FALSE)</f>
        <v>7</v>
      </c>
      <c r="H124">
        <f>VLOOKUP(Sheet1!H124,LOOKUPS!$A$13:$B$14,2,FALSE)</f>
        <v>0</v>
      </c>
      <c r="J124">
        <f>VLOOKUP(Sheet1!J124,LOOKUPS!$A$18:$B$22,2,FALSE)</f>
        <v>1</v>
      </c>
      <c r="K124" t="s">
        <v>87</v>
      </c>
      <c r="L124">
        <f>VLOOKUP(Sheet1!L124,LOOKUPS!$A$26:$B$27,2,FALSE)</f>
        <v>1</v>
      </c>
      <c r="M124">
        <v>4</v>
      </c>
      <c r="N124">
        <v>4</v>
      </c>
      <c r="O124">
        <v>4</v>
      </c>
      <c r="P124">
        <v>3</v>
      </c>
      <c r="Q124">
        <v>3</v>
      </c>
      <c r="R124">
        <f>VLOOKUP(Sheet1!R124,LOOKUPS!$A$39:$B$43,2,FALSE)</f>
        <v>5</v>
      </c>
      <c r="S124">
        <v>3</v>
      </c>
      <c r="T124">
        <f>VLOOKUP(Sheet1!T124,LOOKUPS!$A$31:$E$35,2,FALSE)</f>
        <v>4</v>
      </c>
      <c r="U124">
        <v>5</v>
      </c>
      <c r="V124">
        <v>5</v>
      </c>
      <c r="W124" t="s">
        <v>113</v>
      </c>
      <c r="X124">
        <v>68</v>
      </c>
      <c r="Y124" t="s">
        <v>123</v>
      </c>
    </row>
    <row r="125" spans="1:25" x14ac:dyDescent="0.3">
      <c r="A125" t="s">
        <v>25</v>
      </c>
      <c r="B125" t="s">
        <v>30</v>
      </c>
      <c r="C125" t="s">
        <v>35</v>
      </c>
      <c r="D125" t="s">
        <v>38</v>
      </c>
      <c r="E125" t="s">
        <v>45</v>
      </c>
      <c r="F125" t="s">
        <v>53</v>
      </c>
      <c r="G125">
        <f>VLOOKUP(Sheet1!G125,LOOKUPS!$A$3:$B$9,2,FALSE)</f>
        <v>7</v>
      </c>
      <c r="H125">
        <f>VLOOKUP(Sheet1!H125,LOOKUPS!$A$13:$B$14,2,FALSE)</f>
        <v>0</v>
      </c>
      <c r="J125">
        <f>VLOOKUP(Sheet1!J125,LOOKUPS!$A$18:$B$22,2,FALSE)</f>
        <v>1</v>
      </c>
      <c r="K125" t="s">
        <v>87</v>
      </c>
      <c r="L125">
        <f>VLOOKUP(Sheet1!L125,LOOKUPS!$A$26:$B$27,2,FALSE)</f>
        <v>1</v>
      </c>
      <c r="M125">
        <v>3</v>
      </c>
      <c r="N125">
        <v>3</v>
      </c>
      <c r="O125">
        <v>3</v>
      </c>
      <c r="P125">
        <v>3</v>
      </c>
      <c r="Q125">
        <v>3</v>
      </c>
      <c r="R125">
        <f>VLOOKUP(Sheet1!R125,LOOKUPS!$A$39:$B$43,2,FALSE)</f>
        <v>1</v>
      </c>
      <c r="S125">
        <v>3</v>
      </c>
      <c r="T125">
        <f>VLOOKUP(Sheet1!T125,LOOKUPS!$A$31:$E$35,2,FALSE)</f>
        <v>1</v>
      </c>
      <c r="U125">
        <v>3</v>
      </c>
      <c r="V125">
        <v>3</v>
      </c>
      <c r="W125" t="s">
        <v>113</v>
      </c>
      <c r="X125">
        <v>38</v>
      </c>
      <c r="Y125" t="s">
        <v>121</v>
      </c>
    </row>
    <row r="126" spans="1:25" x14ac:dyDescent="0.3">
      <c r="A126" t="s">
        <v>26</v>
      </c>
      <c r="B126" t="s">
        <v>32</v>
      </c>
      <c r="C126" t="s">
        <v>35</v>
      </c>
      <c r="D126" t="s">
        <v>38</v>
      </c>
      <c r="E126" t="s">
        <v>44</v>
      </c>
      <c r="F126" t="s">
        <v>68</v>
      </c>
      <c r="G126">
        <f>VLOOKUP(Sheet1!G126,LOOKUPS!$A$3:$B$9,2,FALSE)</f>
        <v>6</v>
      </c>
      <c r="H126">
        <f>VLOOKUP(Sheet1!H126,LOOKUPS!$A$13:$B$14,2,FALSE)</f>
        <v>1</v>
      </c>
      <c r="I126" t="s">
        <v>59</v>
      </c>
      <c r="J126">
        <f>VLOOKUP(Sheet1!J126,LOOKUPS!$A$18:$B$22,2,FALSE)</f>
        <v>1</v>
      </c>
      <c r="K126" t="s">
        <v>105</v>
      </c>
      <c r="L126">
        <f>VLOOKUP(Sheet1!L126,LOOKUPS!$A$26:$B$27,2,FALSE)</f>
        <v>1</v>
      </c>
      <c r="M126">
        <v>4</v>
      </c>
      <c r="N126">
        <v>3</v>
      </c>
      <c r="O126">
        <v>4</v>
      </c>
      <c r="P126">
        <v>4</v>
      </c>
      <c r="Q126">
        <v>4</v>
      </c>
      <c r="R126">
        <f>VLOOKUP(Sheet1!R126,LOOKUPS!$A$39:$B$43,2,FALSE)</f>
        <v>1</v>
      </c>
      <c r="S126">
        <v>3</v>
      </c>
      <c r="T126">
        <f>VLOOKUP(Sheet1!T126,LOOKUPS!$A$31:$E$35,2,FALSE)</f>
        <v>4</v>
      </c>
      <c r="U126">
        <v>3</v>
      </c>
      <c r="V126">
        <v>4</v>
      </c>
      <c r="W126" t="s">
        <v>110</v>
      </c>
      <c r="X126">
        <v>26</v>
      </c>
      <c r="Y126" t="s">
        <v>122</v>
      </c>
    </row>
    <row r="127" spans="1:25" x14ac:dyDescent="0.3">
      <c r="A127" t="s">
        <v>28</v>
      </c>
      <c r="B127" t="s">
        <v>32</v>
      </c>
      <c r="C127" t="s">
        <v>35</v>
      </c>
      <c r="D127" t="s">
        <v>38</v>
      </c>
      <c r="E127" t="s">
        <v>42</v>
      </c>
      <c r="F127" t="s">
        <v>59</v>
      </c>
      <c r="G127">
        <f>VLOOKUP(Sheet1!G127,LOOKUPS!$A$3:$B$9,2,FALSE)</f>
        <v>2</v>
      </c>
      <c r="H127">
        <f>VLOOKUP(Sheet1!H127,LOOKUPS!$A$13:$B$14,2,FALSE)</f>
        <v>0</v>
      </c>
      <c r="J127">
        <f>VLOOKUP(Sheet1!J127,LOOKUPS!$A$18:$B$22,2,FALSE)</f>
        <v>1</v>
      </c>
      <c r="K127" t="s">
        <v>87</v>
      </c>
      <c r="L127">
        <f>VLOOKUP(Sheet1!L127,LOOKUPS!$A$26:$B$27,2,FALSE)</f>
        <v>1</v>
      </c>
      <c r="M127">
        <v>4</v>
      </c>
      <c r="N127">
        <v>4</v>
      </c>
      <c r="O127">
        <v>4</v>
      </c>
      <c r="P127">
        <v>3</v>
      </c>
      <c r="Q127">
        <v>4</v>
      </c>
      <c r="R127">
        <f>VLOOKUP(Sheet1!R127,LOOKUPS!$A$39:$B$43,2,FALSE)</f>
        <v>5</v>
      </c>
      <c r="S127">
        <v>3</v>
      </c>
      <c r="T127">
        <f>VLOOKUP(Sheet1!T127,LOOKUPS!$A$31:$E$35,2,FALSE)</f>
        <v>5</v>
      </c>
      <c r="U127">
        <v>4</v>
      </c>
      <c r="V127">
        <v>4</v>
      </c>
      <c r="W127" t="s">
        <v>113</v>
      </c>
      <c r="X127">
        <v>15</v>
      </c>
      <c r="Y127" t="s">
        <v>121</v>
      </c>
    </row>
    <row r="128" spans="1:25" x14ac:dyDescent="0.3">
      <c r="A128" t="s">
        <v>26</v>
      </c>
      <c r="B128" t="s">
        <v>32</v>
      </c>
      <c r="C128" t="s">
        <v>35</v>
      </c>
      <c r="D128" t="s">
        <v>38</v>
      </c>
      <c r="E128" t="s">
        <v>33</v>
      </c>
      <c r="F128" t="s">
        <v>49</v>
      </c>
      <c r="G128">
        <f>VLOOKUP(Sheet1!G128,LOOKUPS!$A$3:$B$9,2,FALSE)</f>
        <v>6</v>
      </c>
      <c r="H128">
        <f>VLOOKUP(Sheet1!H128,LOOKUPS!$A$13:$B$14,2,FALSE)</f>
        <v>1</v>
      </c>
      <c r="I128" t="s">
        <v>66</v>
      </c>
      <c r="J128">
        <f>VLOOKUP(Sheet1!J128,LOOKUPS!$A$18:$B$22,2,FALSE)</f>
        <v>4</v>
      </c>
      <c r="K128" t="s">
        <v>97</v>
      </c>
      <c r="L128">
        <f>VLOOKUP(Sheet1!L128,LOOKUPS!$A$26:$B$27,2,FALSE)</f>
        <v>1</v>
      </c>
      <c r="M128">
        <v>2</v>
      </c>
      <c r="N128">
        <v>1</v>
      </c>
      <c r="O128">
        <v>2</v>
      </c>
      <c r="P128">
        <v>2</v>
      </c>
      <c r="Q128">
        <v>2</v>
      </c>
      <c r="R128">
        <f>VLOOKUP(Sheet1!R128,LOOKUPS!$A$39:$B$43,2,FALSE)</f>
        <v>3</v>
      </c>
      <c r="S128">
        <v>4</v>
      </c>
      <c r="T128">
        <f>VLOOKUP(Sheet1!T128,LOOKUPS!$A$31:$E$35,2,FALSE)</f>
        <v>3</v>
      </c>
      <c r="U128">
        <v>3</v>
      </c>
      <c r="V128">
        <v>2</v>
      </c>
      <c r="W128" t="s">
        <v>112</v>
      </c>
      <c r="X128">
        <v>187</v>
      </c>
      <c r="Y128" t="s">
        <v>122</v>
      </c>
    </row>
    <row r="129" spans="1:25" x14ac:dyDescent="0.3">
      <c r="A129" t="s">
        <v>26</v>
      </c>
      <c r="B129" t="s">
        <v>32</v>
      </c>
      <c r="C129" t="s">
        <v>35</v>
      </c>
      <c r="D129" t="s">
        <v>37</v>
      </c>
      <c r="E129" t="s">
        <v>44</v>
      </c>
      <c r="F129" t="s">
        <v>66</v>
      </c>
      <c r="G129">
        <f>VLOOKUP(Sheet1!G129,LOOKUPS!$A$3:$B$9,2,FALSE)</f>
        <v>5</v>
      </c>
      <c r="H129">
        <f>VLOOKUP(Sheet1!H129,LOOKUPS!$A$13:$B$14,2,FALSE)</f>
        <v>0</v>
      </c>
      <c r="J129">
        <f>VLOOKUP(Sheet1!J129,LOOKUPS!$A$18:$B$22,2,FALSE)</f>
        <v>1</v>
      </c>
      <c r="K129" t="s">
        <v>87</v>
      </c>
      <c r="L129">
        <f>VLOOKUP(Sheet1!L129,LOOKUPS!$A$26:$B$27,2,FALSE)</f>
        <v>0</v>
      </c>
      <c r="M129">
        <v>3</v>
      </c>
      <c r="N129">
        <v>3</v>
      </c>
      <c r="O129">
        <v>4</v>
      </c>
      <c r="P129">
        <v>3</v>
      </c>
      <c r="Q129">
        <v>3</v>
      </c>
      <c r="R129">
        <f>VLOOKUP(Sheet1!R129,LOOKUPS!$A$39:$B$43,2,FALSE)</f>
        <v>5</v>
      </c>
      <c r="S129">
        <v>3</v>
      </c>
      <c r="T129">
        <f>VLOOKUP(Sheet1!T129,LOOKUPS!$A$31:$E$35,2,FALSE)</f>
        <v>5</v>
      </c>
      <c r="U129">
        <v>4</v>
      </c>
      <c r="V129">
        <v>3</v>
      </c>
      <c r="W129" t="s">
        <v>112</v>
      </c>
      <c r="X129">
        <v>171</v>
      </c>
      <c r="Y129" t="s">
        <v>122</v>
      </c>
    </row>
    <row r="130" spans="1:25" x14ac:dyDescent="0.3">
      <c r="A130" t="s">
        <v>27</v>
      </c>
      <c r="B130" t="s">
        <v>30</v>
      </c>
      <c r="C130" t="s">
        <v>34</v>
      </c>
      <c r="D130" t="s">
        <v>41</v>
      </c>
      <c r="E130" t="s">
        <v>44</v>
      </c>
      <c r="F130" t="s">
        <v>61</v>
      </c>
      <c r="G130">
        <f>VLOOKUP(Sheet1!G130,LOOKUPS!$A$3:$B$9,2,FALSE)</f>
        <v>2</v>
      </c>
      <c r="H130">
        <f>VLOOKUP(Sheet1!H130,LOOKUPS!$A$13:$B$14,2,FALSE)</f>
        <v>1</v>
      </c>
      <c r="I130" t="s">
        <v>51</v>
      </c>
      <c r="J130">
        <f>VLOOKUP(Sheet1!J130,LOOKUPS!$A$18:$B$22,2,FALSE)</f>
        <v>1</v>
      </c>
      <c r="K130" t="s">
        <v>105</v>
      </c>
      <c r="L130">
        <f>VLOOKUP(Sheet1!L130,LOOKUPS!$A$26:$B$27,2,FALSE)</f>
        <v>1</v>
      </c>
      <c r="M130">
        <v>3</v>
      </c>
      <c r="N130">
        <v>3</v>
      </c>
      <c r="O130">
        <v>2</v>
      </c>
      <c r="P130">
        <v>2</v>
      </c>
      <c r="Q130">
        <v>2</v>
      </c>
      <c r="R130">
        <f>VLOOKUP(Sheet1!R130,LOOKUPS!$A$39:$B$43,2,FALSE)</f>
        <v>5</v>
      </c>
      <c r="S130">
        <v>3</v>
      </c>
      <c r="T130">
        <f>VLOOKUP(Sheet1!T130,LOOKUPS!$A$31:$E$35,2,FALSE)</f>
        <v>3</v>
      </c>
      <c r="U130">
        <v>3</v>
      </c>
      <c r="V130">
        <v>3</v>
      </c>
      <c r="W130" t="s">
        <v>113</v>
      </c>
      <c r="X130">
        <v>42</v>
      </c>
      <c r="Y130" t="s">
        <v>122</v>
      </c>
    </row>
    <row r="131" spans="1:25" x14ac:dyDescent="0.3">
      <c r="A131" t="s">
        <v>26</v>
      </c>
      <c r="B131" t="s">
        <v>30</v>
      </c>
      <c r="C131" t="s">
        <v>36</v>
      </c>
      <c r="D131" t="s">
        <v>38</v>
      </c>
      <c r="E131" t="s">
        <v>44</v>
      </c>
      <c r="F131" t="s">
        <v>52</v>
      </c>
      <c r="G131">
        <f>VLOOKUP(Sheet1!G131,LOOKUPS!$A$3:$B$9,2,FALSE)</f>
        <v>5</v>
      </c>
      <c r="H131">
        <f>VLOOKUP(Sheet1!H131,LOOKUPS!$A$13:$B$14,2,FALSE)</f>
        <v>0</v>
      </c>
      <c r="J131">
        <f>VLOOKUP(Sheet1!J131,LOOKUPS!$A$18:$B$22,2,FALSE)</f>
        <v>1</v>
      </c>
      <c r="K131" t="s">
        <v>87</v>
      </c>
      <c r="L131">
        <f>VLOOKUP(Sheet1!L131,LOOKUPS!$A$26:$B$27,2,FALSE)</f>
        <v>1</v>
      </c>
      <c r="M131">
        <v>5</v>
      </c>
      <c r="N131">
        <v>4</v>
      </c>
      <c r="O131">
        <v>5</v>
      </c>
      <c r="P131">
        <v>4</v>
      </c>
      <c r="Q131">
        <v>4</v>
      </c>
      <c r="R131">
        <f>VLOOKUP(Sheet1!R131,LOOKUPS!$A$39:$B$43,2,FALSE)</f>
        <v>4</v>
      </c>
      <c r="S131">
        <v>2</v>
      </c>
      <c r="T131">
        <f>VLOOKUP(Sheet1!T131,LOOKUPS!$A$31:$E$35,2,FALSE)</f>
        <v>3</v>
      </c>
      <c r="U131">
        <v>5</v>
      </c>
      <c r="V131">
        <v>5</v>
      </c>
      <c r="W131" t="s">
        <v>114</v>
      </c>
      <c r="X131">
        <v>86</v>
      </c>
      <c r="Y131" t="s">
        <v>123</v>
      </c>
    </row>
    <row r="132" spans="1:25" x14ac:dyDescent="0.3">
      <c r="A132" t="s">
        <v>26</v>
      </c>
      <c r="B132" t="s">
        <v>30</v>
      </c>
      <c r="C132" t="s">
        <v>35</v>
      </c>
      <c r="D132" t="s">
        <v>38</v>
      </c>
      <c r="E132" t="s">
        <v>43</v>
      </c>
      <c r="F132" t="s">
        <v>68</v>
      </c>
      <c r="G132">
        <f>VLOOKUP(Sheet1!G132,LOOKUPS!$A$3:$B$9,2,FALSE)</f>
        <v>5</v>
      </c>
      <c r="H132">
        <f>VLOOKUP(Sheet1!H132,LOOKUPS!$A$13:$B$14,2,FALSE)</f>
        <v>1</v>
      </c>
      <c r="I132" t="s">
        <v>66</v>
      </c>
      <c r="J132">
        <f>VLOOKUP(Sheet1!J132,LOOKUPS!$A$18:$B$22,2,FALSE)</f>
        <v>1</v>
      </c>
      <c r="K132" t="s">
        <v>95</v>
      </c>
      <c r="L132">
        <f>VLOOKUP(Sheet1!L132,LOOKUPS!$A$26:$B$27,2,FALSE)</f>
        <v>0</v>
      </c>
      <c r="M132">
        <v>3</v>
      </c>
      <c r="N132">
        <v>3</v>
      </c>
      <c r="O132">
        <v>3</v>
      </c>
      <c r="P132">
        <v>3</v>
      </c>
      <c r="Q132">
        <v>2</v>
      </c>
      <c r="R132">
        <f>VLOOKUP(Sheet1!R132,LOOKUPS!$A$39:$B$43,2,FALSE)</f>
        <v>2</v>
      </c>
      <c r="S132">
        <v>3</v>
      </c>
      <c r="T132">
        <f>VLOOKUP(Sheet1!T132,LOOKUPS!$A$31:$E$35,2,FALSE)</f>
        <v>5</v>
      </c>
      <c r="U132">
        <v>3</v>
      </c>
      <c r="V132">
        <v>3</v>
      </c>
      <c r="W132" t="s">
        <v>113</v>
      </c>
      <c r="X132">
        <v>24</v>
      </c>
      <c r="Y132" t="s">
        <v>121</v>
      </c>
    </row>
    <row r="133" spans="1:25" x14ac:dyDescent="0.3">
      <c r="A133" t="s">
        <v>26</v>
      </c>
      <c r="B133" t="s">
        <v>32</v>
      </c>
      <c r="C133" t="s">
        <v>35</v>
      </c>
      <c r="D133" t="s">
        <v>37</v>
      </c>
      <c r="E133" t="s">
        <v>42</v>
      </c>
      <c r="F133" t="s">
        <v>70</v>
      </c>
      <c r="G133">
        <f>VLOOKUP(Sheet1!G133,LOOKUPS!$A$3:$B$9,2,FALSE)</f>
        <v>6</v>
      </c>
      <c r="H133">
        <f>VLOOKUP(Sheet1!H133,LOOKUPS!$A$13:$B$14,2,FALSE)</f>
        <v>1</v>
      </c>
      <c r="I133" t="s">
        <v>59</v>
      </c>
      <c r="J133">
        <f>VLOOKUP(Sheet1!J133,LOOKUPS!$A$18:$B$22,2,FALSE)</f>
        <v>5</v>
      </c>
      <c r="K133" t="s">
        <v>91</v>
      </c>
      <c r="L133">
        <f>VLOOKUP(Sheet1!L133,LOOKUPS!$A$26:$B$27,2,FALSE)</f>
        <v>1</v>
      </c>
      <c r="M133">
        <v>3</v>
      </c>
      <c r="N133">
        <v>3</v>
      </c>
      <c r="O133">
        <v>3</v>
      </c>
      <c r="P133">
        <v>3</v>
      </c>
      <c r="Q133">
        <v>3</v>
      </c>
      <c r="R133">
        <f>VLOOKUP(Sheet1!R133,LOOKUPS!$A$39:$B$43,2,FALSE)</f>
        <v>3</v>
      </c>
      <c r="S133">
        <v>3</v>
      </c>
      <c r="T133">
        <f>VLOOKUP(Sheet1!T133,LOOKUPS!$A$31:$E$35,2,FALSE)</f>
        <v>2</v>
      </c>
      <c r="U133">
        <v>3</v>
      </c>
      <c r="V133">
        <v>3</v>
      </c>
      <c r="W133" t="s">
        <v>113</v>
      </c>
      <c r="X133">
        <v>90</v>
      </c>
      <c r="Y133" t="s">
        <v>122</v>
      </c>
    </row>
    <row r="134" spans="1:25" x14ac:dyDescent="0.3">
      <c r="A134" t="s">
        <v>26</v>
      </c>
      <c r="B134" t="s">
        <v>32</v>
      </c>
      <c r="C134" t="s">
        <v>35</v>
      </c>
      <c r="D134" t="s">
        <v>39</v>
      </c>
      <c r="E134" t="s">
        <v>44</v>
      </c>
      <c r="F134" t="s">
        <v>52</v>
      </c>
      <c r="G134">
        <f>VLOOKUP(Sheet1!G134,LOOKUPS!$A$3:$B$9,2,FALSE)</f>
        <v>4</v>
      </c>
      <c r="H134">
        <f>VLOOKUP(Sheet1!H134,LOOKUPS!$A$13:$B$14,2,FALSE)</f>
        <v>1</v>
      </c>
      <c r="I134" t="s">
        <v>66</v>
      </c>
      <c r="J134">
        <f>VLOOKUP(Sheet1!J134,LOOKUPS!$A$18:$B$22,2,FALSE)</f>
        <v>4</v>
      </c>
      <c r="K134" t="s">
        <v>108</v>
      </c>
      <c r="L134">
        <f>VLOOKUP(Sheet1!L134,LOOKUPS!$A$26:$B$27,2,FALSE)</f>
        <v>0</v>
      </c>
      <c r="M134">
        <v>3</v>
      </c>
      <c r="N134">
        <v>4</v>
      </c>
      <c r="O134">
        <v>4</v>
      </c>
      <c r="P134">
        <v>3</v>
      </c>
      <c r="Q134">
        <v>3</v>
      </c>
      <c r="R134">
        <f>VLOOKUP(Sheet1!R134,LOOKUPS!$A$39:$B$43,2,FALSE)</f>
        <v>1</v>
      </c>
      <c r="S134">
        <v>3</v>
      </c>
      <c r="T134">
        <f>VLOOKUP(Sheet1!T134,LOOKUPS!$A$31:$E$35,2,FALSE)</f>
        <v>1</v>
      </c>
      <c r="U134">
        <v>4</v>
      </c>
      <c r="V134">
        <v>3</v>
      </c>
      <c r="W134" t="s">
        <v>113</v>
      </c>
      <c r="X134">
        <v>17</v>
      </c>
      <c r="Y134" t="s">
        <v>122</v>
      </c>
    </row>
    <row r="135" spans="1:25" x14ac:dyDescent="0.3">
      <c r="A135" t="s">
        <v>26</v>
      </c>
      <c r="B135" t="s">
        <v>32</v>
      </c>
      <c r="C135" t="s">
        <v>35</v>
      </c>
      <c r="D135" t="s">
        <v>39</v>
      </c>
      <c r="E135" t="s">
        <v>42</v>
      </c>
      <c r="F135" t="s">
        <v>65</v>
      </c>
      <c r="G135">
        <f>VLOOKUP(Sheet1!G135,LOOKUPS!$A$3:$B$9,2,FALSE)</f>
        <v>6</v>
      </c>
      <c r="H135">
        <f>VLOOKUP(Sheet1!H135,LOOKUPS!$A$13:$B$14,2,FALSE)</f>
        <v>0</v>
      </c>
      <c r="J135">
        <f>VLOOKUP(Sheet1!J135,LOOKUPS!$A$18:$B$22,2,FALSE)</f>
        <v>1</v>
      </c>
      <c r="K135" t="s">
        <v>87</v>
      </c>
      <c r="L135">
        <f>VLOOKUP(Sheet1!L135,LOOKUPS!$A$26:$B$27,2,FALSE)</f>
        <v>0</v>
      </c>
      <c r="M135">
        <v>3</v>
      </c>
      <c r="N135">
        <v>3</v>
      </c>
      <c r="O135">
        <v>4</v>
      </c>
      <c r="P135">
        <v>4</v>
      </c>
      <c r="Q135">
        <v>3</v>
      </c>
      <c r="R135">
        <f>VLOOKUP(Sheet1!R135,LOOKUPS!$A$39:$B$43,2,FALSE)</f>
        <v>5</v>
      </c>
      <c r="S135">
        <v>4</v>
      </c>
      <c r="T135">
        <f>VLOOKUP(Sheet1!T135,LOOKUPS!$A$31:$E$35,2,FALSE)</f>
        <v>5</v>
      </c>
      <c r="U135">
        <v>3</v>
      </c>
      <c r="V135">
        <v>3</v>
      </c>
      <c r="W135" t="s">
        <v>114</v>
      </c>
      <c r="X135">
        <v>102</v>
      </c>
      <c r="Y135" t="s">
        <v>122</v>
      </c>
    </row>
    <row r="136" spans="1:25" x14ac:dyDescent="0.3">
      <c r="A136" t="s">
        <v>26</v>
      </c>
      <c r="B136" t="s">
        <v>30</v>
      </c>
      <c r="C136" t="s">
        <v>35</v>
      </c>
      <c r="D136" t="s">
        <v>40</v>
      </c>
      <c r="E136" t="s">
        <v>42</v>
      </c>
      <c r="F136" t="s">
        <v>56</v>
      </c>
      <c r="G136">
        <f>VLOOKUP(Sheet1!G136,LOOKUPS!$A$3:$B$9,2,FALSE)</f>
        <v>6</v>
      </c>
      <c r="H136">
        <f>VLOOKUP(Sheet1!H136,LOOKUPS!$A$13:$B$14,2,FALSE)</f>
        <v>1</v>
      </c>
      <c r="I136" t="s">
        <v>66</v>
      </c>
      <c r="J136">
        <f>VLOOKUP(Sheet1!J136,LOOKUPS!$A$18:$B$22,2,FALSE)</f>
        <v>1</v>
      </c>
      <c r="K136" t="s">
        <v>93</v>
      </c>
      <c r="L136">
        <f>VLOOKUP(Sheet1!L136,LOOKUPS!$A$26:$B$27,2,FALSE)</f>
        <v>0</v>
      </c>
      <c r="M136">
        <v>2</v>
      </c>
      <c r="N136">
        <v>3</v>
      </c>
      <c r="O136">
        <v>4</v>
      </c>
      <c r="P136">
        <v>3</v>
      </c>
      <c r="Q136">
        <v>3</v>
      </c>
      <c r="R136">
        <f>VLOOKUP(Sheet1!R136,LOOKUPS!$A$39:$B$43,2,FALSE)</f>
        <v>5</v>
      </c>
      <c r="S136">
        <v>3</v>
      </c>
      <c r="T136">
        <f>VLOOKUP(Sheet1!T136,LOOKUPS!$A$31:$E$35,2,FALSE)</f>
        <v>3</v>
      </c>
      <c r="U136">
        <v>4</v>
      </c>
      <c r="V136">
        <v>4</v>
      </c>
      <c r="W136" t="s">
        <v>113</v>
      </c>
      <c r="X136">
        <v>55</v>
      </c>
      <c r="Y136" t="s">
        <v>121</v>
      </c>
    </row>
    <row r="137" spans="1:25" x14ac:dyDescent="0.3">
      <c r="A137" t="s">
        <v>26</v>
      </c>
      <c r="B137" t="s">
        <v>30</v>
      </c>
      <c r="C137" t="s">
        <v>35</v>
      </c>
      <c r="D137" t="s">
        <v>38</v>
      </c>
      <c r="E137" t="s">
        <v>43</v>
      </c>
      <c r="F137" t="s">
        <v>52</v>
      </c>
      <c r="G137">
        <f>VLOOKUP(Sheet1!G137,LOOKUPS!$A$3:$B$9,2,FALSE)</f>
        <v>7</v>
      </c>
      <c r="H137">
        <f>VLOOKUP(Sheet1!H137,LOOKUPS!$A$13:$B$14,2,FALSE)</f>
        <v>0</v>
      </c>
      <c r="J137">
        <f>VLOOKUP(Sheet1!J137,LOOKUPS!$A$18:$B$22,2,FALSE)</f>
        <v>1</v>
      </c>
      <c r="K137" t="s">
        <v>87</v>
      </c>
      <c r="L137">
        <f>VLOOKUP(Sheet1!L137,LOOKUPS!$A$26:$B$27,2,FALSE)</f>
        <v>0</v>
      </c>
      <c r="M137">
        <v>3</v>
      </c>
      <c r="N137">
        <v>3</v>
      </c>
      <c r="O137">
        <v>3</v>
      </c>
      <c r="P137">
        <v>3</v>
      </c>
      <c r="Q137">
        <v>4</v>
      </c>
      <c r="R137">
        <f>VLOOKUP(Sheet1!R137,LOOKUPS!$A$39:$B$43,2,FALSE)</f>
        <v>3</v>
      </c>
      <c r="S137">
        <v>3</v>
      </c>
      <c r="T137">
        <f>VLOOKUP(Sheet1!T137,LOOKUPS!$A$31:$E$35,2,FALSE)</f>
        <v>3</v>
      </c>
      <c r="U137">
        <v>4</v>
      </c>
      <c r="V137">
        <v>4</v>
      </c>
      <c r="W137" t="s">
        <v>112</v>
      </c>
      <c r="X137">
        <v>123</v>
      </c>
      <c r="Y137" t="s">
        <v>123</v>
      </c>
    </row>
    <row r="138" spans="1:25" x14ac:dyDescent="0.3">
      <c r="A138" t="s">
        <v>29</v>
      </c>
      <c r="B138" t="s">
        <v>32</v>
      </c>
      <c r="C138" t="s">
        <v>34</v>
      </c>
      <c r="D138" t="s">
        <v>38</v>
      </c>
      <c r="E138" t="s">
        <v>43</v>
      </c>
      <c r="F138" t="s">
        <v>51</v>
      </c>
      <c r="G138">
        <f>VLOOKUP(Sheet1!G138,LOOKUPS!$A$3:$B$9,2,FALSE)</f>
        <v>6</v>
      </c>
      <c r="H138">
        <f>VLOOKUP(Sheet1!H138,LOOKUPS!$A$13:$B$14,2,FALSE)</f>
        <v>0</v>
      </c>
      <c r="J138">
        <f>VLOOKUP(Sheet1!J138,LOOKUPS!$A$18:$B$22,2,FALSE)</f>
        <v>1</v>
      </c>
      <c r="K138" t="s">
        <v>87</v>
      </c>
      <c r="L138">
        <f>VLOOKUP(Sheet1!L138,LOOKUPS!$A$26:$B$27,2,FALSE)</f>
        <v>1</v>
      </c>
      <c r="M138">
        <v>3</v>
      </c>
      <c r="N138">
        <v>3</v>
      </c>
      <c r="O138">
        <v>4</v>
      </c>
      <c r="P138">
        <v>3</v>
      </c>
      <c r="Q138">
        <v>3</v>
      </c>
      <c r="R138">
        <f>VLOOKUP(Sheet1!R138,LOOKUPS!$A$39:$B$43,2,FALSE)</f>
        <v>4</v>
      </c>
      <c r="S138">
        <v>3</v>
      </c>
      <c r="T138">
        <f>VLOOKUP(Sheet1!T138,LOOKUPS!$A$31:$E$35,2,FALSE)</f>
        <v>4</v>
      </c>
      <c r="U138">
        <v>4</v>
      </c>
      <c r="V138">
        <v>4</v>
      </c>
      <c r="W138" t="s">
        <v>111</v>
      </c>
      <c r="X138">
        <v>167</v>
      </c>
      <c r="Y138" t="s">
        <v>123</v>
      </c>
    </row>
    <row r="139" spans="1:25" x14ac:dyDescent="0.3">
      <c r="A139" t="s">
        <v>25</v>
      </c>
      <c r="B139" t="s">
        <v>30</v>
      </c>
      <c r="C139" t="s">
        <v>35</v>
      </c>
      <c r="D139" t="s">
        <v>39</v>
      </c>
      <c r="E139" t="s">
        <v>44</v>
      </c>
      <c r="F139" t="s">
        <v>70</v>
      </c>
      <c r="G139">
        <f>VLOOKUP(Sheet1!G139,LOOKUPS!$A$3:$B$9,2,FALSE)</f>
        <v>6</v>
      </c>
      <c r="H139">
        <f>VLOOKUP(Sheet1!H139,LOOKUPS!$A$13:$B$14,2,FALSE)</f>
        <v>1</v>
      </c>
      <c r="I139" t="s">
        <v>51</v>
      </c>
      <c r="J139">
        <f>VLOOKUP(Sheet1!J139,LOOKUPS!$A$18:$B$22,2,FALSE)</f>
        <v>5</v>
      </c>
      <c r="K139" t="s">
        <v>99</v>
      </c>
      <c r="L139">
        <f>VLOOKUP(Sheet1!L139,LOOKUPS!$A$26:$B$27,2,FALSE)</f>
        <v>1</v>
      </c>
      <c r="M139">
        <v>2</v>
      </c>
      <c r="N139">
        <v>2</v>
      </c>
      <c r="O139">
        <v>2</v>
      </c>
      <c r="P139">
        <v>2</v>
      </c>
      <c r="Q139">
        <v>2</v>
      </c>
      <c r="R139">
        <f>VLOOKUP(Sheet1!R139,LOOKUPS!$A$39:$B$43,2,FALSE)</f>
        <v>4</v>
      </c>
      <c r="S139">
        <v>4</v>
      </c>
      <c r="T139">
        <f>VLOOKUP(Sheet1!T139,LOOKUPS!$A$31:$E$35,2,FALSE)</f>
        <v>1</v>
      </c>
      <c r="U139">
        <v>2</v>
      </c>
      <c r="V139">
        <v>3</v>
      </c>
      <c r="W139" t="s">
        <v>113</v>
      </c>
      <c r="X139">
        <v>17</v>
      </c>
      <c r="Y139" t="s">
        <v>122</v>
      </c>
    </row>
    <row r="140" spans="1:25" x14ac:dyDescent="0.3">
      <c r="A140" t="s">
        <v>26</v>
      </c>
      <c r="B140" t="s">
        <v>32</v>
      </c>
      <c r="C140" t="s">
        <v>35</v>
      </c>
      <c r="D140" t="s">
        <v>38</v>
      </c>
      <c r="E140" t="s">
        <v>43</v>
      </c>
      <c r="F140" t="s">
        <v>71</v>
      </c>
      <c r="G140">
        <f>VLOOKUP(Sheet1!G140,LOOKUPS!$A$3:$B$9,2,FALSE)</f>
        <v>5</v>
      </c>
      <c r="H140">
        <f>VLOOKUP(Sheet1!H140,LOOKUPS!$A$13:$B$14,2,FALSE)</f>
        <v>0</v>
      </c>
      <c r="J140">
        <f>VLOOKUP(Sheet1!J140,LOOKUPS!$A$18:$B$22,2,FALSE)</f>
        <v>1</v>
      </c>
      <c r="K140" t="s">
        <v>87</v>
      </c>
      <c r="L140">
        <f>VLOOKUP(Sheet1!L140,LOOKUPS!$A$26:$B$27,2,FALSE)</f>
        <v>1</v>
      </c>
      <c r="M140">
        <v>3</v>
      </c>
      <c r="N140">
        <v>3</v>
      </c>
      <c r="O140">
        <v>3</v>
      </c>
      <c r="P140">
        <v>3</v>
      </c>
      <c r="Q140">
        <v>3</v>
      </c>
      <c r="R140">
        <f>VLOOKUP(Sheet1!R140,LOOKUPS!$A$39:$B$43,2,FALSE)</f>
        <v>4</v>
      </c>
      <c r="S140">
        <v>3</v>
      </c>
      <c r="T140">
        <f>VLOOKUP(Sheet1!T140,LOOKUPS!$A$31:$E$35,2,FALSE)</f>
        <v>5</v>
      </c>
      <c r="U140">
        <v>4</v>
      </c>
      <c r="V140">
        <v>4</v>
      </c>
      <c r="W140" t="s">
        <v>114</v>
      </c>
      <c r="X140">
        <v>63</v>
      </c>
      <c r="Y140" t="s">
        <v>122</v>
      </c>
    </row>
    <row r="141" spans="1:25" x14ac:dyDescent="0.3">
      <c r="A141" t="s">
        <v>26</v>
      </c>
      <c r="B141" t="s">
        <v>32</v>
      </c>
      <c r="C141" t="s">
        <v>34</v>
      </c>
      <c r="D141" t="s">
        <v>38</v>
      </c>
      <c r="E141" t="s">
        <v>44</v>
      </c>
      <c r="F141" t="s">
        <v>71</v>
      </c>
      <c r="G141">
        <f>VLOOKUP(Sheet1!G141,LOOKUPS!$A$3:$B$9,2,FALSE)</f>
        <v>5</v>
      </c>
      <c r="H141">
        <f>VLOOKUP(Sheet1!H141,LOOKUPS!$A$13:$B$14,2,FALSE)</f>
        <v>1</v>
      </c>
      <c r="I141" t="s">
        <v>59</v>
      </c>
      <c r="J141">
        <f>VLOOKUP(Sheet1!J141,LOOKUPS!$A$18:$B$22,2,FALSE)</f>
        <v>1</v>
      </c>
      <c r="K141" t="s">
        <v>107</v>
      </c>
      <c r="L141">
        <f>VLOOKUP(Sheet1!L141,LOOKUPS!$A$26:$B$27,2,FALSE)</f>
        <v>1</v>
      </c>
      <c r="M141">
        <v>4</v>
      </c>
      <c r="N141">
        <v>4</v>
      </c>
      <c r="O141">
        <v>4</v>
      </c>
      <c r="P141">
        <v>4</v>
      </c>
      <c r="Q141">
        <v>4</v>
      </c>
      <c r="R141">
        <f>VLOOKUP(Sheet1!R141,LOOKUPS!$A$39:$B$43,2,FALSE)</f>
        <v>3</v>
      </c>
      <c r="S141">
        <v>2</v>
      </c>
      <c r="T141">
        <f>VLOOKUP(Sheet1!T141,LOOKUPS!$A$31:$E$35,2,FALSE)</f>
        <v>5</v>
      </c>
      <c r="U141">
        <v>4</v>
      </c>
      <c r="V141">
        <v>4</v>
      </c>
      <c r="W141" t="s">
        <v>111</v>
      </c>
      <c r="X141">
        <v>154</v>
      </c>
      <c r="Y141" t="s">
        <v>122</v>
      </c>
    </row>
    <row r="142" spans="1:25" x14ac:dyDescent="0.3">
      <c r="A142" t="s">
        <v>25</v>
      </c>
      <c r="B142" t="s">
        <v>32</v>
      </c>
      <c r="C142" t="s">
        <v>35</v>
      </c>
      <c r="D142" t="s">
        <v>38</v>
      </c>
      <c r="E142" t="s">
        <v>43</v>
      </c>
      <c r="F142" t="s">
        <v>55</v>
      </c>
      <c r="G142">
        <f>VLOOKUP(Sheet1!G142,LOOKUPS!$A$3:$B$9,2,FALSE)</f>
        <v>4</v>
      </c>
      <c r="H142">
        <f>VLOOKUP(Sheet1!H142,LOOKUPS!$A$13:$B$14,2,FALSE)</f>
        <v>0</v>
      </c>
      <c r="J142">
        <f>VLOOKUP(Sheet1!J142,LOOKUPS!$A$18:$B$22,2,FALSE)</f>
        <v>1</v>
      </c>
      <c r="K142" t="s">
        <v>87</v>
      </c>
      <c r="L142">
        <f>VLOOKUP(Sheet1!L142,LOOKUPS!$A$26:$B$27,2,FALSE)</f>
        <v>0</v>
      </c>
      <c r="M142">
        <v>3</v>
      </c>
      <c r="N142">
        <v>3</v>
      </c>
      <c r="O142">
        <v>3</v>
      </c>
      <c r="P142">
        <v>3</v>
      </c>
      <c r="Q142">
        <v>3</v>
      </c>
      <c r="R142">
        <f>VLOOKUP(Sheet1!R142,LOOKUPS!$A$39:$B$43,2,FALSE)</f>
        <v>3</v>
      </c>
      <c r="S142">
        <v>4</v>
      </c>
      <c r="T142">
        <f>VLOOKUP(Sheet1!T142,LOOKUPS!$A$31:$E$35,2,FALSE)</f>
        <v>1</v>
      </c>
      <c r="U142">
        <v>3</v>
      </c>
      <c r="V142">
        <v>4</v>
      </c>
      <c r="W142" t="s">
        <v>113</v>
      </c>
      <c r="X142">
        <v>15</v>
      </c>
      <c r="Y142" t="s">
        <v>122</v>
      </c>
    </row>
    <row r="143" spans="1:25" x14ac:dyDescent="0.3">
      <c r="A143" t="s">
        <v>25</v>
      </c>
      <c r="B143" t="s">
        <v>32</v>
      </c>
      <c r="C143" t="s">
        <v>34</v>
      </c>
      <c r="D143" t="s">
        <v>41</v>
      </c>
      <c r="E143" t="s">
        <v>44</v>
      </c>
      <c r="F143" t="s">
        <v>57</v>
      </c>
      <c r="G143">
        <f>VLOOKUP(Sheet1!G143,LOOKUPS!$A$3:$B$9,2,FALSE)</f>
        <v>4</v>
      </c>
      <c r="H143">
        <f>VLOOKUP(Sheet1!H143,LOOKUPS!$A$13:$B$14,2,FALSE)</f>
        <v>0</v>
      </c>
      <c r="J143">
        <f>VLOOKUP(Sheet1!J143,LOOKUPS!$A$18:$B$22,2,FALSE)</f>
        <v>1</v>
      </c>
      <c r="K143" t="s">
        <v>87</v>
      </c>
      <c r="L143">
        <f>VLOOKUP(Sheet1!L143,LOOKUPS!$A$26:$B$27,2,FALSE)</f>
        <v>1</v>
      </c>
      <c r="M143">
        <v>4</v>
      </c>
      <c r="N143">
        <v>4</v>
      </c>
      <c r="O143">
        <v>4</v>
      </c>
      <c r="P143">
        <v>4</v>
      </c>
      <c r="Q143">
        <v>4</v>
      </c>
      <c r="R143">
        <f>VLOOKUP(Sheet1!R143,LOOKUPS!$A$39:$B$43,2,FALSE)</f>
        <v>4</v>
      </c>
      <c r="S143">
        <v>2</v>
      </c>
      <c r="T143">
        <f>VLOOKUP(Sheet1!T143,LOOKUPS!$A$31:$E$35,2,FALSE)</f>
        <v>3</v>
      </c>
      <c r="U143">
        <v>5</v>
      </c>
      <c r="V143">
        <v>4</v>
      </c>
      <c r="W143" t="s">
        <v>112</v>
      </c>
      <c r="X143">
        <v>142</v>
      </c>
      <c r="Y143" t="s">
        <v>122</v>
      </c>
    </row>
    <row r="144" spans="1:25" x14ac:dyDescent="0.3">
      <c r="A144" t="s">
        <v>25</v>
      </c>
      <c r="B144" t="s">
        <v>30</v>
      </c>
      <c r="C144" t="s">
        <v>35</v>
      </c>
      <c r="D144" t="s">
        <v>38</v>
      </c>
      <c r="E144" t="s">
        <v>43</v>
      </c>
      <c r="F144" t="s">
        <v>59</v>
      </c>
      <c r="G144">
        <f>VLOOKUP(Sheet1!G144,LOOKUPS!$A$3:$B$9,2,FALSE)</f>
        <v>1</v>
      </c>
      <c r="H144">
        <f>VLOOKUP(Sheet1!H144,LOOKUPS!$A$13:$B$14,2,FALSE)</f>
        <v>1</v>
      </c>
      <c r="I144" t="s">
        <v>59</v>
      </c>
      <c r="J144">
        <f>VLOOKUP(Sheet1!J144,LOOKUPS!$A$18:$B$22,2,FALSE)</f>
        <v>1</v>
      </c>
      <c r="K144" t="s">
        <v>103</v>
      </c>
      <c r="L144">
        <f>VLOOKUP(Sheet1!L144,LOOKUPS!$A$26:$B$27,2,FALSE)</f>
        <v>1</v>
      </c>
      <c r="M144">
        <v>3</v>
      </c>
      <c r="N144">
        <v>3</v>
      </c>
      <c r="O144">
        <v>3</v>
      </c>
      <c r="P144">
        <v>3</v>
      </c>
      <c r="Q144">
        <v>3</v>
      </c>
      <c r="R144">
        <f>VLOOKUP(Sheet1!R144,LOOKUPS!$A$39:$B$43,2,FALSE)</f>
        <v>2</v>
      </c>
      <c r="S144">
        <v>3</v>
      </c>
      <c r="T144">
        <f>VLOOKUP(Sheet1!T144,LOOKUPS!$A$31:$E$35,2,FALSE)</f>
        <v>3</v>
      </c>
      <c r="U144">
        <v>3</v>
      </c>
      <c r="V144">
        <v>4</v>
      </c>
      <c r="W144" t="s">
        <v>114</v>
      </c>
      <c r="X144">
        <v>146</v>
      </c>
      <c r="Y144" t="s">
        <v>124</v>
      </c>
    </row>
    <row r="145" spans="1:25" x14ac:dyDescent="0.3">
      <c r="A145" t="s">
        <v>25</v>
      </c>
      <c r="B145" t="s">
        <v>31</v>
      </c>
      <c r="C145" t="s">
        <v>35</v>
      </c>
      <c r="D145" t="s">
        <v>39</v>
      </c>
      <c r="E145" t="s">
        <v>33</v>
      </c>
      <c r="F145" t="s">
        <v>62</v>
      </c>
      <c r="G145">
        <f>VLOOKUP(Sheet1!G145,LOOKUPS!$A$3:$B$9,2,FALSE)</f>
        <v>1</v>
      </c>
      <c r="H145">
        <f>VLOOKUP(Sheet1!H145,LOOKUPS!$A$13:$B$14,2,FALSE)</f>
        <v>1</v>
      </c>
      <c r="I145" t="s">
        <v>51</v>
      </c>
      <c r="J145">
        <f>VLOOKUP(Sheet1!J145,LOOKUPS!$A$18:$B$22,2,FALSE)</f>
        <v>1</v>
      </c>
      <c r="K145" t="s">
        <v>92</v>
      </c>
      <c r="L145">
        <f>VLOOKUP(Sheet1!L145,LOOKUPS!$A$26:$B$27,2,FALSE)</f>
        <v>0</v>
      </c>
      <c r="M145">
        <v>2</v>
      </c>
      <c r="N145">
        <v>3</v>
      </c>
      <c r="O145">
        <v>3</v>
      </c>
      <c r="P145">
        <v>3</v>
      </c>
      <c r="Q145">
        <v>3</v>
      </c>
      <c r="R145">
        <f>VLOOKUP(Sheet1!R145,LOOKUPS!$A$39:$B$43,2,FALSE)</f>
        <v>4</v>
      </c>
      <c r="S145">
        <v>3</v>
      </c>
      <c r="T145">
        <f>VLOOKUP(Sheet1!T145,LOOKUPS!$A$31:$E$35,2,FALSE)</f>
        <v>5</v>
      </c>
      <c r="U145">
        <v>3</v>
      </c>
      <c r="V145">
        <v>3</v>
      </c>
      <c r="W145" t="s">
        <v>111</v>
      </c>
      <c r="X145">
        <v>166</v>
      </c>
      <c r="Y145" t="s">
        <v>122</v>
      </c>
    </row>
    <row r="146" spans="1:25" x14ac:dyDescent="0.3">
      <c r="A146" t="s">
        <v>25</v>
      </c>
      <c r="B146" t="s">
        <v>32</v>
      </c>
      <c r="C146" t="s">
        <v>34</v>
      </c>
      <c r="D146" t="s">
        <v>37</v>
      </c>
      <c r="E146" t="s">
        <v>44</v>
      </c>
      <c r="F146" t="s">
        <v>63</v>
      </c>
      <c r="G146">
        <f>VLOOKUP(Sheet1!G146,LOOKUPS!$A$3:$B$9,2,FALSE)</f>
        <v>6</v>
      </c>
      <c r="H146">
        <f>VLOOKUP(Sheet1!H146,LOOKUPS!$A$13:$B$14,2,FALSE)</f>
        <v>1</v>
      </c>
      <c r="I146" t="s">
        <v>59</v>
      </c>
      <c r="J146">
        <f>VLOOKUP(Sheet1!J146,LOOKUPS!$A$18:$B$22,2,FALSE)</f>
        <v>1</v>
      </c>
      <c r="K146" t="s">
        <v>93</v>
      </c>
      <c r="L146">
        <f>VLOOKUP(Sheet1!L146,LOOKUPS!$A$26:$B$27,2,FALSE)</f>
        <v>1</v>
      </c>
      <c r="M146">
        <v>5</v>
      </c>
      <c r="N146">
        <v>5</v>
      </c>
      <c r="O146">
        <v>5</v>
      </c>
      <c r="P146">
        <v>4</v>
      </c>
      <c r="Q146">
        <v>5</v>
      </c>
      <c r="R146">
        <f>VLOOKUP(Sheet1!R146,LOOKUPS!$A$39:$B$43,2,FALSE)</f>
        <v>4</v>
      </c>
      <c r="S146">
        <v>2</v>
      </c>
      <c r="T146">
        <f>VLOOKUP(Sheet1!T146,LOOKUPS!$A$31:$E$35,2,FALSE)</f>
        <v>5</v>
      </c>
      <c r="U146">
        <v>5</v>
      </c>
      <c r="V146">
        <v>4</v>
      </c>
      <c r="W146" t="s">
        <v>114</v>
      </c>
      <c r="X146">
        <v>196</v>
      </c>
      <c r="Y146" t="s">
        <v>122</v>
      </c>
    </row>
    <row r="147" spans="1:25" x14ac:dyDescent="0.3">
      <c r="A147" t="s">
        <v>26</v>
      </c>
      <c r="B147" t="s">
        <v>30</v>
      </c>
      <c r="C147" t="s">
        <v>35</v>
      </c>
      <c r="D147" t="s">
        <v>37</v>
      </c>
      <c r="E147" t="s">
        <v>42</v>
      </c>
      <c r="F147" t="s">
        <v>50</v>
      </c>
      <c r="G147">
        <f>VLOOKUP(Sheet1!G147,LOOKUPS!$A$3:$B$9,2,FALSE)</f>
        <v>5</v>
      </c>
      <c r="H147">
        <f>VLOOKUP(Sheet1!H147,LOOKUPS!$A$13:$B$14,2,FALSE)</f>
        <v>0</v>
      </c>
      <c r="J147">
        <f>VLOOKUP(Sheet1!J147,LOOKUPS!$A$18:$B$22,2,FALSE)</f>
        <v>1</v>
      </c>
      <c r="K147" t="s">
        <v>87</v>
      </c>
      <c r="L147">
        <f>VLOOKUP(Sheet1!L147,LOOKUPS!$A$26:$B$27,2,FALSE)</f>
        <v>0</v>
      </c>
      <c r="M147">
        <v>3</v>
      </c>
      <c r="N147">
        <v>3</v>
      </c>
      <c r="O147">
        <v>3</v>
      </c>
      <c r="P147">
        <v>3</v>
      </c>
      <c r="Q147">
        <v>3</v>
      </c>
      <c r="R147">
        <f>VLOOKUP(Sheet1!R147,LOOKUPS!$A$39:$B$43,2,FALSE)</f>
        <v>5</v>
      </c>
      <c r="S147">
        <v>3</v>
      </c>
      <c r="T147">
        <f>VLOOKUP(Sheet1!T147,LOOKUPS!$A$31:$E$35,2,FALSE)</f>
        <v>4</v>
      </c>
      <c r="U147">
        <v>4</v>
      </c>
      <c r="V147">
        <v>4</v>
      </c>
      <c r="W147" t="s">
        <v>113</v>
      </c>
      <c r="X147">
        <v>72</v>
      </c>
      <c r="Y147" t="s">
        <v>120</v>
      </c>
    </row>
    <row r="148" spans="1:25" x14ac:dyDescent="0.3">
      <c r="A148" t="s">
        <v>26</v>
      </c>
      <c r="B148" t="s">
        <v>30</v>
      </c>
      <c r="C148" t="s">
        <v>35</v>
      </c>
      <c r="D148" t="s">
        <v>37</v>
      </c>
      <c r="E148" t="s">
        <v>43</v>
      </c>
      <c r="F148" t="s">
        <v>50</v>
      </c>
      <c r="G148">
        <f>VLOOKUP(Sheet1!G148,LOOKUPS!$A$3:$B$9,2,FALSE)</f>
        <v>6</v>
      </c>
      <c r="H148">
        <f>VLOOKUP(Sheet1!H148,LOOKUPS!$A$13:$B$14,2,FALSE)</f>
        <v>0</v>
      </c>
      <c r="J148">
        <f>VLOOKUP(Sheet1!J148,LOOKUPS!$A$18:$B$22,2,FALSE)</f>
        <v>1</v>
      </c>
      <c r="K148" t="s">
        <v>87</v>
      </c>
      <c r="L148">
        <f>VLOOKUP(Sheet1!L148,LOOKUPS!$A$26:$B$27,2,FALSE)</f>
        <v>0</v>
      </c>
      <c r="M148">
        <v>2</v>
      </c>
      <c r="N148">
        <v>3</v>
      </c>
      <c r="O148">
        <v>3</v>
      </c>
      <c r="P148">
        <v>2</v>
      </c>
      <c r="Q148">
        <v>2</v>
      </c>
      <c r="R148">
        <f>VLOOKUP(Sheet1!R148,LOOKUPS!$A$39:$B$43,2,FALSE)</f>
        <v>5</v>
      </c>
      <c r="S148">
        <v>4</v>
      </c>
      <c r="T148">
        <f>VLOOKUP(Sheet1!T148,LOOKUPS!$A$31:$E$35,2,FALSE)</f>
        <v>5</v>
      </c>
      <c r="U148">
        <v>3</v>
      </c>
      <c r="V148">
        <v>3</v>
      </c>
      <c r="W148" t="s">
        <v>110</v>
      </c>
      <c r="X148">
        <v>67</v>
      </c>
      <c r="Y148" t="s">
        <v>122</v>
      </c>
    </row>
    <row r="149" spans="1:25" x14ac:dyDescent="0.3">
      <c r="A149" t="s">
        <v>28</v>
      </c>
      <c r="B149" t="s">
        <v>30</v>
      </c>
      <c r="C149" t="s">
        <v>34</v>
      </c>
      <c r="D149" t="s">
        <v>39</v>
      </c>
      <c r="E149" t="s">
        <v>33</v>
      </c>
      <c r="F149" t="s">
        <v>58</v>
      </c>
      <c r="G149">
        <f>VLOOKUP(Sheet1!G149,LOOKUPS!$A$3:$B$9,2,FALSE)</f>
        <v>5</v>
      </c>
      <c r="H149">
        <f>VLOOKUP(Sheet1!H149,LOOKUPS!$A$13:$B$14,2,FALSE)</f>
        <v>1</v>
      </c>
      <c r="I149" t="s">
        <v>59</v>
      </c>
      <c r="J149">
        <f>VLOOKUP(Sheet1!J149,LOOKUPS!$A$18:$B$22,2,FALSE)</f>
        <v>5</v>
      </c>
      <c r="K149" t="s">
        <v>91</v>
      </c>
      <c r="L149">
        <f>VLOOKUP(Sheet1!L149,LOOKUPS!$A$26:$B$27,2,FALSE)</f>
        <v>1</v>
      </c>
      <c r="M149">
        <v>3</v>
      </c>
      <c r="N149">
        <v>2</v>
      </c>
      <c r="O149">
        <v>3</v>
      </c>
      <c r="P149">
        <v>2</v>
      </c>
      <c r="Q149">
        <v>2</v>
      </c>
      <c r="R149">
        <f>VLOOKUP(Sheet1!R149,LOOKUPS!$A$39:$B$43,2,FALSE)</f>
        <v>4</v>
      </c>
      <c r="S149">
        <v>4</v>
      </c>
      <c r="T149">
        <f>VLOOKUP(Sheet1!T149,LOOKUPS!$A$31:$E$35,2,FALSE)</f>
        <v>1</v>
      </c>
      <c r="U149">
        <v>3</v>
      </c>
      <c r="V149">
        <v>3</v>
      </c>
      <c r="W149" t="s">
        <v>113</v>
      </c>
      <c r="X149">
        <v>41</v>
      </c>
      <c r="Y149" t="s">
        <v>122</v>
      </c>
    </row>
    <row r="150" spans="1:25" x14ac:dyDescent="0.3">
      <c r="A150" t="s">
        <v>29</v>
      </c>
      <c r="B150" t="s">
        <v>30</v>
      </c>
      <c r="C150" t="s">
        <v>35</v>
      </c>
      <c r="D150" t="s">
        <v>38</v>
      </c>
      <c r="E150" t="s">
        <v>44</v>
      </c>
      <c r="F150" t="s">
        <v>62</v>
      </c>
      <c r="G150">
        <f>VLOOKUP(Sheet1!G150,LOOKUPS!$A$3:$B$9,2,FALSE)</f>
        <v>6</v>
      </c>
      <c r="H150">
        <f>VLOOKUP(Sheet1!H150,LOOKUPS!$A$13:$B$14,2,FALSE)</f>
        <v>0</v>
      </c>
      <c r="J150">
        <f>VLOOKUP(Sheet1!J150,LOOKUPS!$A$18:$B$22,2,FALSE)</f>
        <v>1</v>
      </c>
      <c r="K150" t="s">
        <v>87</v>
      </c>
      <c r="L150">
        <f>VLOOKUP(Sheet1!L150,LOOKUPS!$A$26:$B$27,2,FALSE)</f>
        <v>0</v>
      </c>
      <c r="M150">
        <v>3</v>
      </c>
      <c r="N150">
        <v>4</v>
      </c>
      <c r="O150">
        <v>4</v>
      </c>
      <c r="P150">
        <v>3</v>
      </c>
      <c r="Q150">
        <v>3</v>
      </c>
      <c r="R150">
        <f>VLOOKUP(Sheet1!R150,LOOKUPS!$A$39:$B$43,2,FALSE)</f>
        <v>2</v>
      </c>
      <c r="S150">
        <v>3</v>
      </c>
      <c r="T150">
        <f>VLOOKUP(Sheet1!T150,LOOKUPS!$A$31:$E$35,2,FALSE)</f>
        <v>4</v>
      </c>
      <c r="U150">
        <v>4</v>
      </c>
      <c r="V150">
        <v>4</v>
      </c>
      <c r="W150" t="s">
        <v>114</v>
      </c>
      <c r="X150">
        <v>102</v>
      </c>
      <c r="Y150" t="s">
        <v>122</v>
      </c>
    </row>
    <row r="151" spans="1:25" x14ac:dyDescent="0.3">
      <c r="A151" t="s">
        <v>25</v>
      </c>
      <c r="B151" t="s">
        <v>32</v>
      </c>
      <c r="C151" t="s">
        <v>35</v>
      </c>
      <c r="D151" t="s">
        <v>38</v>
      </c>
      <c r="E151" t="s">
        <v>42</v>
      </c>
      <c r="F151" t="s">
        <v>60</v>
      </c>
      <c r="G151">
        <f>VLOOKUP(Sheet1!G151,LOOKUPS!$A$3:$B$9,2,FALSE)</f>
        <v>6</v>
      </c>
      <c r="H151">
        <f>VLOOKUP(Sheet1!H151,LOOKUPS!$A$13:$B$14,2,FALSE)</f>
        <v>0</v>
      </c>
      <c r="J151">
        <f>VLOOKUP(Sheet1!J151,LOOKUPS!$A$18:$B$22,2,FALSE)</f>
        <v>1</v>
      </c>
      <c r="K151" t="s">
        <v>87</v>
      </c>
      <c r="L151">
        <f>VLOOKUP(Sheet1!L151,LOOKUPS!$A$26:$B$27,2,FALSE)</f>
        <v>0</v>
      </c>
      <c r="M151">
        <v>3</v>
      </c>
      <c r="N151">
        <v>3</v>
      </c>
      <c r="O151">
        <v>3</v>
      </c>
      <c r="P151">
        <v>2</v>
      </c>
      <c r="Q151">
        <v>3</v>
      </c>
      <c r="R151">
        <f>VLOOKUP(Sheet1!R151,LOOKUPS!$A$39:$B$43,2,FALSE)</f>
        <v>2</v>
      </c>
      <c r="S151">
        <v>3</v>
      </c>
      <c r="T151">
        <f>VLOOKUP(Sheet1!T151,LOOKUPS!$A$31:$E$35,2,FALSE)</f>
        <v>2</v>
      </c>
      <c r="U151">
        <v>3</v>
      </c>
      <c r="V151">
        <v>3</v>
      </c>
      <c r="W151" t="s">
        <v>111</v>
      </c>
      <c r="X151">
        <v>161</v>
      </c>
      <c r="Y151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17E32-F03B-4A8B-B6FB-3769B253B79B}">
  <dimension ref="A1:Q84"/>
  <sheetViews>
    <sheetView topLeftCell="A7" workbookViewId="0">
      <selection activeCell="J82" sqref="J82"/>
    </sheetView>
  </sheetViews>
  <sheetFormatPr defaultRowHeight="14.4" x14ac:dyDescent="0.3"/>
  <cols>
    <col min="1" max="1" width="21.77734375" bestFit="1" customWidth="1"/>
    <col min="2" max="2" width="12" bestFit="1" customWidth="1"/>
    <col min="3" max="3" width="5.109375" bestFit="1" customWidth="1"/>
    <col min="4" max="7" width="12" bestFit="1" customWidth="1"/>
    <col min="11" max="11" width="17.6640625" bestFit="1" customWidth="1"/>
    <col min="12" max="12" width="12" bestFit="1" customWidth="1"/>
    <col min="13" max="13" width="5.109375" bestFit="1" customWidth="1"/>
    <col min="14" max="17" width="12" bestFit="1" customWidth="1"/>
  </cols>
  <sheetData>
    <row r="1" spans="1:15" x14ac:dyDescent="0.3">
      <c r="A1" t="s">
        <v>154</v>
      </c>
    </row>
    <row r="3" spans="1:15" x14ac:dyDescent="0.3">
      <c r="A3" t="s">
        <v>155</v>
      </c>
      <c r="B3" t="s">
        <v>156</v>
      </c>
    </row>
    <row r="4" spans="1:15" x14ac:dyDescent="0.3">
      <c r="A4" t="s">
        <v>157</v>
      </c>
      <c r="B4" t="s">
        <v>158</v>
      </c>
    </row>
    <row r="7" spans="1:15" x14ac:dyDescent="0.3">
      <c r="A7" t="s">
        <v>159</v>
      </c>
      <c r="K7" t="s">
        <v>132</v>
      </c>
    </row>
    <row r="9" spans="1:15" x14ac:dyDescent="0.3">
      <c r="A9" t="s">
        <v>136</v>
      </c>
      <c r="K9" t="s">
        <v>136</v>
      </c>
    </row>
    <row r="11" spans="1:15" ht="15" thickBot="1" x14ac:dyDescent="0.35">
      <c r="A11" t="s">
        <v>137</v>
      </c>
      <c r="K11" t="s">
        <v>137</v>
      </c>
    </row>
    <row r="12" spans="1:15" x14ac:dyDescent="0.3">
      <c r="A12" s="8" t="s">
        <v>138</v>
      </c>
      <c r="B12" s="8" t="s">
        <v>139</v>
      </c>
      <c r="C12" s="8" t="s">
        <v>140</v>
      </c>
      <c r="D12" s="8" t="s">
        <v>141</v>
      </c>
      <c r="E12" s="8" t="s">
        <v>142</v>
      </c>
      <c r="K12" s="8" t="s">
        <v>138</v>
      </c>
      <c r="L12" s="8" t="s">
        <v>139</v>
      </c>
      <c r="M12" s="8" t="s">
        <v>140</v>
      </c>
      <c r="N12" s="8" t="s">
        <v>141</v>
      </c>
      <c r="O12" s="8" t="s">
        <v>142</v>
      </c>
    </row>
    <row r="13" spans="1:15" x14ac:dyDescent="0.3">
      <c r="A13">
        <v>1</v>
      </c>
      <c r="B13">
        <v>4</v>
      </c>
      <c r="C13">
        <v>7</v>
      </c>
      <c r="D13">
        <v>1.75</v>
      </c>
      <c r="E13">
        <v>0.25</v>
      </c>
      <c r="K13">
        <v>1</v>
      </c>
      <c r="L13">
        <v>13</v>
      </c>
      <c r="M13">
        <v>37</v>
      </c>
      <c r="N13">
        <v>2.8461538461538463</v>
      </c>
      <c r="O13">
        <v>0.64102564102564108</v>
      </c>
    </row>
    <row r="14" spans="1:15" x14ac:dyDescent="0.3">
      <c r="A14">
        <v>2</v>
      </c>
      <c r="B14">
        <v>26</v>
      </c>
      <c r="C14">
        <v>58</v>
      </c>
      <c r="D14">
        <v>2.2307692307692308</v>
      </c>
      <c r="E14">
        <v>0.26461538461538453</v>
      </c>
      <c r="K14">
        <v>2</v>
      </c>
      <c r="L14">
        <v>22</v>
      </c>
      <c r="M14">
        <v>56</v>
      </c>
      <c r="N14">
        <v>2.5454545454545454</v>
      </c>
      <c r="O14">
        <v>0.25974025974026038</v>
      </c>
    </row>
    <row r="15" spans="1:15" x14ac:dyDescent="0.3">
      <c r="A15">
        <v>3</v>
      </c>
      <c r="B15">
        <v>83</v>
      </c>
      <c r="C15">
        <v>235</v>
      </c>
      <c r="D15">
        <v>2.8313253012048194</v>
      </c>
      <c r="E15">
        <v>0.33705553923009046</v>
      </c>
      <c r="K15">
        <v>3</v>
      </c>
      <c r="L15">
        <v>23</v>
      </c>
      <c r="M15">
        <v>64</v>
      </c>
      <c r="N15">
        <v>2.7826086956521738</v>
      </c>
      <c r="O15">
        <v>0.54150197628458518</v>
      </c>
    </row>
    <row r="16" spans="1:15" x14ac:dyDescent="0.3">
      <c r="A16">
        <v>4</v>
      </c>
      <c r="B16">
        <v>34</v>
      </c>
      <c r="C16">
        <v>127</v>
      </c>
      <c r="D16">
        <v>3.7352941176470589</v>
      </c>
      <c r="E16">
        <v>0.38235294117647078</v>
      </c>
      <c r="K16">
        <v>4</v>
      </c>
      <c r="L16">
        <v>50</v>
      </c>
      <c r="M16">
        <v>156</v>
      </c>
      <c r="N16">
        <v>3.12</v>
      </c>
      <c r="O16">
        <v>0.92408163265306065</v>
      </c>
    </row>
    <row r="17" spans="1:17" ht="15" thickBot="1" x14ac:dyDescent="0.35">
      <c r="A17" s="7">
        <v>5</v>
      </c>
      <c r="B17" s="7">
        <v>3</v>
      </c>
      <c r="C17" s="7">
        <v>13</v>
      </c>
      <c r="D17" s="7">
        <v>4.333333333333333</v>
      </c>
      <c r="E17" s="7">
        <v>0.33333333333333215</v>
      </c>
      <c r="K17" s="7">
        <v>5</v>
      </c>
      <c r="L17" s="7">
        <v>42</v>
      </c>
      <c r="M17" s="7">
        <v>127</v>
      </c>
      <c r="N17" s="7">
        <v>3.0238095238095237</v>
      </c>
      <c r="O17" s="7">
        <v>0.46283391405342639</v>
      </c>
    </row>
    <row r="20" spans="1:17" ht="15" thickBot="1" x14ac:dyDescent="0.35">
      <c r="A20" t="s">
        <v>143</v>
      </c>
      <c r="K20" t="s">
        <v>143</v>
      </c>
    </row>
    <row r="21" spans="1:17" x14ac:dyDescent="0.3">
      <c r="A21" s="8" t="s">
        <v>144</v>
      </c>
      <c r="B21" s="8" t="s">
        <v>145</v>
      </c>
      <c r="C21" s="8" t="s">
        <v>146</v>
      </c>
      <c r="D21" s="8" t="s">
        <v>147</v>
      </c>
      <c r="E21" s="8" t="s">
        <v>148</v>
      </c>
      <c r="F21" s="8" t="s">
        <v>149</v>
      </c>
      <c r="G21" s="8" t="s">
        <v>150</v>
      </c>
      <c r="K21" s="8" t="s">
        <v>144</v>
      </c>
      <c r="L21" s="8" t="s">
        <v>145</v>
      </c>
      <c r="M21" s="8" t="s">
        <v>146</v>
      </c>
      <c r="N21" s="8" t="s">
        <v>147</v>
      </c>
      <c r="O21" s="8" t="s">
        <v>148</v>
      </c>
      <c r="P21" s="8" t="s">
        <v>149</v>
      </c>
      <c r="Q21" s="8" t="s">
        <v>150</v>
      </c>
    </row>
    <row r="22" spans="1:17" x14ac:dyDescent="0.3">
      <c r="A22" t="s">
        <v>151</v>
      </c>
      <c r="B22">
        <v>47.045080775591103</v>
      </c>
      <c r="C22">
        <v>4</v>
      </c>
      <c r="D22">
        <v>11.761270193897776</v>
      </c>
      <c r="E22">
        <v>35.316750716458586</v>
      </c>
      <c r="F22">
        <v>1.4087738694676073E-20</v>
      </c>
      <c r="G22">
        <v>2.4340651357887815</v>
      </c>
      <c r="K22" t="s">
        <v>151</v>
      </c>
      <c r="L22">
        <v>6.0172462320289668</v>
      </c>
      <c r="M22">
        <v>4</v>
      </c>
      <c r="N22">
        <v>1.5043115580072417</v>
      </c>
      <c r="O22">
        <v>2.4421712033090652</v>
      </c>
      <c r="P22">
        <v>4.937224226901113E-2</v>
      </c>
      <c r="Q22">
        <v>2.4340651357887815</v>
      </c>
    </row>
    <row r="23" spans="1:17" x14ac:dyDescent="0.3">
      <c r="A23" t="s">
        <v>152</v>
      </c>
      <c r="B23">
        <v>48.288252557742268</v>
      </c>
      <c r="C23">
        <v>145</v>
      </c>
      <c r="D23">
        <v>0.33302243143270532</v>
      </c>
      <c r="K23" t="s">
        <v>152</v>
      </c>
      <c r="L23">
        <v>89.316087101304475</v>
      </c>
      <c r="M23">
        <v>145</v>
      </c>
      <c r="N23">
        <v>0.61597301449175501</v>
      </c>
    </row>
    <row r="25" spans="1:17" ht="15" thickBot="1" x14ac:dyDescent="0.35">
      <c r="A25" s="7" t="s">
        <v>153</v>
      </c>
      <c r="B25" s="7">
        <v>95.333333333333371</v>
      </c>
      <c r="C25" s="7">
        <v>149</v>
      </c>
      <c r="D25" s="7"/>
      <c r="E25" s="7"/>
      <c r="F25" s="7"/>
      <c r="G25" s="7"/>
      <c r="K25" s="7" t="s">
        <v>153</v>
      </c>
      <c r="L25" s="7">
        <v>95.333333333333442</v>
      </c>
      <c r="M25" s="7">
        <v>149</v>
      </c>
      <c r="N25" s="7"/>
      <c r="O25" s="7"/>
      <c r="P25" s="7"/>
      <c r="Q25" s="7"/>
    </row>
    <row r="27" spans="1:17" x14ac:dyDescent="0.3">
      <c r="A27" t="s">
        <v>160</v>
      </c>
      <c r="K27" t="s">
        <v>163</v>
      </c>
    </row>
    <row r="29" spans="1:17" x14ac:dyDescent="0.3">
      <c r="A29" t="s">
        <v>136</v>
      </c>
      <c r="K29" t="s">
        <v>136</v>
      </c>
    </row>
    <row r="31" spans="1:17" ht="15" thickBot="1" x14ac:dyDescent="0.35">
      <c r="A31" t="s">
        <v>137</v>
      </c>
      <c r="K31" t="s">
        <v>137</v>
      </c>
    </row>
    <row r="32" spans="1:17" x14ac:dyDescent="0.3">
      <c r="A32" s="8" t="s">
        <v>138</v>
      </c>
      <c r="B32" s="8" t="s">
        <v>139</v>
      </c>
      <c r="C32" s="8" t="s">
        <v>140</v>
      </c>
      <c r="D32" s="8" t="s">
        <v>141</v>
      </c>
      <c r="E32" s="8" t="s">
        <v>142</v>
      </c>
      <c r="K32" s="8" t="s">
        <v>138</v>
      </c>
      <c r="L32" s="8" t="s">
        <v>139</v>
      </c>
      <c r="M32" s="8" t="s">
        <v>140</v>
      </c>
      <c r="N32" s="8" t="s">
        <v>141</v>
      </c>
      <c r="O32" s="8" t="s">
        <v>142</v>
      </c>
    </row>
    <row r="33" spans="1:17" x14ac:dyDescent="0.3">
      <c r="A33">
        <v>2</v>
      </c>
      <c r="B33">
        <v>19</v>
      </c>
      <c r="C33">
        <v>40</v>
      </c>
      <c r="D33">
        <v>2.1052631578947367</v>
      </c>
      <c r="E33">
        <v>0.32163742690058444</v>
      </c>
      <c r="K33">
        <v>1</v>
      </c>
      <c r="L33">
        <v>1</v>
      </c>
      <c r="M33">
        <v>4</v>
      </c>
      <c r="N33">
        <v>4</v>
      </c>
      <c r="O33" t="e">
        <v>#DIV/0!</v>
      </c>
    </row>
    <row r="34" spans="1:17" x14ac:dyDescent="0.3">
      <c r="A34">
        <v>3</v>
      </c>
      <c r="B34">
        <v>65</v>
      </c>
      <c r="C34">
        <v>170</v>
      </c>
      <c r="D34">
        <v>2.6153846153846154</v>
      </c>
      <c r="E34">
        <v>0.27163461538461497</v>
      </c>
      <c r="K34">
        <v>2</v>
      </c>
      <c r="L34">
        <v>25</v>
      </c>
      <c r="M34">
        <v>93</v>
      </c>
      <c r="N34">
        <v>3.72</v>
      </c>
      <c r="O34">
        <v>0.54333333333333422</v>
      </c>
    </row>
    <row r="35" spans="1:17" x14ac:dyDescent="0.3">
      <c r="A35">
        <v>4</v>
      </c>
      <c r="B35">
        <v>57</v>
      </c>
      <c r="C35">
        <v>190</v>
      </c>
      <c r="D35">
        <v>3.3333333333333335</v>
      </c>
      <c r="E35">
        <v>0.36904761904761835</v>
      </c>
      <c r="K35">
        <v>3</v>
      </c>
      <c r="L35">
        <v>78</v>
      </c>
      <c r="M35">
        <v>238</v>
      </c>
      <c r="N35">
        <v>3.0512820512820511</v>
      </c>
      <c r="O35">
        <v>0.41292041292041332</v>
      </c>
    </row>
    <row r="36" spans="1:17" ht="15" thickBot="1" x14ac:dyDescent="0.35">
      <c r="A36" s="7">
        <v>5</v>
      </c>
      <c r="B36" s="7">
        <v>9</v>
      </c>
      <c r="C36" s="7">
        <v>40</v>
      </c>
      <c r="D36" s="7">
        <v>4.4444444444444446</v>
      </c>
      <c r="E36" s="7">
        <v>0.27777777777777857</v>
      </c>
      <c r="K36">
        <v>4</v>
      </c>
      <c r="L36">
        <v>42</v>
      </c>
      <c r="M36">
        <v>99</v>
      </c>
      <c r="N36">
        <v>2.3571428571428572</v>
      </c>
      <c r="O36">
        <v>0.23519163763066192</v>
      </c>
    </row>
    <row r="37" spans="1:17" ht="15" thickBot="1" x14ac:dyDescent="0.35">
      <c r="K37" s="7">
        <v>5</v>
      </c>
      <c r="L37" s="7">
        <v>4</v>
      </c>
      <c r="M37" s="7">
        <v>6</v>
      </c>
      <c r="N37" s="7">
        <v>1.5</v>
      </c>
      <c r="O37" s="7">
        <v>0.33333333333333331</v>
      </c>
    </row>
    <row r="39" spans="1:17" ht="15" thickBot="1" x14ac:dyDescent="0.35">
      <c r="A39" t="s">
        <v>143</v>
      </c>
    </row>
    <row r="40" spans="1:17" ht="15" thickBot="1" x14ac:dyDescent="0.35">
      <c r="A40" s="8" t="s">
        <v>144</v>
      </c>
      <c r="B40" s="8" t="s">
        <v>145</v>
      </c>
      <c r="C40" s="8" t="s">
        <v>146</v>
      </c>
      <c r="D40" s="8" t="s">
        <v>147</v>
      </c>
      <c r="E40" s="8" t="s">
        <v>148</v>
      </c>
      <c r="F40" s="8" t="s">
        <v>149</v>
      </c>
      <c r="G40" s="8" t="s">
        <v>150</v>
      </c>
      <c r="K40" t="s">
        <v>143</v>
      </c>
    </row>
    <row r="41" spans="1:17" x14ac:dyDescent="0.3">
      <c r="A41" t="s">
        <v>151</v>
      </c>
      <c r="B41">
        <v>49.270355375618614</v>
      </c>
      <c r="C41">
        <v>3</v>
      </c>
      <c r="D41">
        <v>16.423451791872871</v>
      </c>
      <c r="E41">
        <v>52.055339622518787</v>
      </c>
      <c r="F41">
        <v>6.1031476805081394E-23</v>
      </c>
      <c r="G41">
        <v>2.6665742133041834</v>
      </c>
      <c r="K41" s="8" t="s">
        <v>144</v>
      </c>
      <c r="L41" s="8" t="s">
        <v>145</v>
      </c>
      <c r="M41" s="8" t="s">
        <v>146</v>
      </c>
      <c r="N41" s="8" t="s">
        <v>147</v>
      </c>
      <c r="O41" s="8" t="s">
        <v>148</v>
      </c>
      <c r="P41" s="8" t="s">
        <v>149</v>
      </c>
      <c r="Q41" s="8" t="s">
        <v>150</v>
      </c>
    </row>
    <row r="42" spans="1:17" x14ac:dyDescent="0.3">
      <c r="A42" t="s">
        <v>152</v>
      </c>
      <c r="B42">
        <v>46.062977957714772</v>
      </c>
      <c r="C42">
        <v>146</v>
      </c>
      <c r="D42">
        <v>0.31549984902544365</v>
      </c>
      <c r="K42" t="s">
        <v>151</v>
      </c>
      <c r="L42">
        <v>39.855604395604416</v>
      </c>
      <c r="M42">
        <v>4</v>
      </c>
      <c r="N42">
        <v>9.9639010989011041</v>
      </c>
      <c r="O42">
        <v>26.042263931934556</v>
      </c>
      <c r="P42">
        <v>2.8121424443301822E-16</v>
      </c>
      <c r="Q42">
        <v>2.4340651357887815</v>
      </c>
    </row>
    <row r="43" spans="1:17" x14ac:dyDescent="0.3">
      <c r="K43" t="s">
        <v>152</v>
      </c>
      <c r="L43">
        <v>55.477728937728926</v>
      </c>
      <c r="M43">
        <v>145</v>
      </c>
      <c r="N43">
        <v>0.38260502715675121</v>
      </c>
    </row>
    <row r="44" spans="1:17" ht="15" thickBot="1" x14ac:dyDescent="0.35">
      <c r="A44" s="7" t="s">
        <v>153</v>
      </c>
      <c r="B44" s="7">
        <v>95.333333333333385</v>
      </c>
      <c r="C44" s="7">
        <v>149</v>
      </c>
      <c r="D44" s="7"/>
      <c r="E44" s="7"/>
      <c r="F44" s="7"/>
      <c r="G44" s="7"/>
    </row>
    <row r="45" spans="1:17" ht="15" thickBot="1" x14ac:dyDescent="0.35">
      <c r="K45" s="7" t="s">
        <v>153</v>
      </c>
      <c r="L45" s="7">
        <v>95.333333333333343</v>
      </c>
      <c r="M45" s="7">
        <v>149</v>
      </c>
      <c r="N45" s="7"/>
      <c r="O45" s="7"/>
      <c r="P45" s="7"/>
      <c r="Q45" s="7"/>
    </row>
    <row r="46" spans="1:17" x14ac:dyDescent="0.3">
      <c r="A46" t="s">
        <v>161</v>
      </c>
    </row>
    <row r="47" spans="1:17" x14ac:dyDescent="0.3">
      <c r="K47" t="s">
        <v>131</v>
      </c>
    </row>
    <row r="48" spans="1:17" x14ac:dyDescent="0.3">
      <c r="A48" t="s">
        <v>136</v>
      </c>
    </row>
    <row r="49" spans="1:17" x14ac:dyDescent="0.3">
      <c r="K49" t="s">
        <v>136</v>
      </c>
    </row>
    <row r="50" spans="1:17" ht="15" thickBot="1" x14ac:dyDescent="0.35">
      <c r="A50" t="s">
        <v>137</v>
      </c>
    </row>
    <row r="51" spans="1:17" ht="15" thickBot="1" x14ac:dyDescent="0.35">
      <c r="A51" s="8" t="s">
        <v>138</v>
      </c>
      <c r="B51" s="8" t="s">
        <v>139</v>
      </c>
      <c r="C51" s="8" t="s">
        <v>140</v>
      </c>
      <c r="D51" s="8" t="s">
        <v>141</v>
      </c>
      <c r="E51" s="8" t="s">
        <v>142</v>
      </c>
      <c r="K51" t="s">
        <v>137</v>
      </c>
    </row>
    <row r="52" spans="1:17" x14ac:dyDescent="0.3">
      <c r="A52">
        <v>1</v>
      </c>
      <c r="B52">
        <v>4</v>
      </c>
      <c r="C52">
        <v>6</v>
      </c>
      <c r="D52">
        <v>1.5</v>
      </c>
      <c r="E52">
        <v>0.33333333333333331</v>
      </c>
      <c r="K52" s="8" t="s">
        <v>138</v>
      </c>
      <c r="L52" s="8" t="s">
        <v>139</v>
      </c>
      <c r="M52" s="8" t="s">
        <v>140</v>
      </c>
      <c r="N52" s="8" t="s">
        <v>141</v>
      </c>
      <c r="O52" s="8" t="s">
        <v>142</v>
      </c>
    </row>
    <row r="53" spans="1:17" x14ac:dyDescent="0.3">
      <c r="A53">
        <v>2</v>
      </c>
      <c r="B53">
        <v>44</v>
      </c>
      <c r="C53">
        <v>107</v>
      </c>
      <c r="D53">
        <v>2.4318181818181817</v>
      </c>
      <c r="E53">
        <v>0.25105708245243163</v>
      </c>
      <c r="K53">
        <v>1</v>
      </c>
      <c r="L53">
        <v>18</v>
      </c>
      <c r="M53">
        <v>48</v>
      </c>
      <c r="N53">
        <v>2.6666666666666665</v>
      </c>
      <c r="O53">
        <v>0.23529411764705882</v>
      </c>
    </row>
    <row r="54" spans="1:17" x14ac:dyDescent="0.3">
      <c r="A54">
        <v>3</v>
      </c>
      <c r="B54">
        <v>68</v>
      </c>
      <c r="C54">
        <v>200</v>
      </c>
      <c r="D54">
        <v>2.9411764705882355</v>
      </c>
      <c r="E54">
        <v>0.38454784899034222</v>
      </c>
      <c r="K54">
        <v>2</v>
      </c>
      <c r="L54">
        <v>31</v>
      </c>
      <c r="M54">
        <v>84</v>
      </c>
      <c r="N54">
        <v>2.7096774193548385</v>
      </c>
      <c r="O54">
        <v>0.34623655913978457</v>
      </c>
    </row>
    <row r="55" spans="1:17" x14ac:dyDescent="0.3">
      <c r="A55">
        <v>4</v>
      </c>
      <c r="B55">
        <v>31</v>
      </c>
      <c r="C55">
        <v>114</v>
      </c>
      <c r="D55">
        <v>3.6774193548387095</v>
      </c>
      <c r="E55">
        <v>0.49247311827956913</v>
      </c>
      <c r="K55">
        <v>3</v>
      </c>
      <c r="L55">
        <v>34</v>
      </c>
      <c r="M55">
        <v>95</v>
      </c>
      <c r="N55">
        <v>2.7941176470588234</v>
      </c>
      <c r="O55">
        <v>1.0775401069518717</v>
      </c>
    </row>
    <row r="56" spans="1:17" ht="15" thickBot="1" x14ac:dyDescent="0.35">
      <c r="A56" s="7">
        <v>5</v>
      </c>
      <c r="B56" s="7">
        <v>3</v>
      </c>
      <c r="C56" s="7">
        <v>13</v>
      </c>
      <c r="D56" s="7">
        <v>4.333333333333333</v>
      </c>
      <c r="E56" s="7">
        <v>0.33333333333333215</v>
      </c>
      <c r="K56">
        <v>4</v>
      </c>
      <c r="L56">
        <v>39</v>
      </c>
      <c r="M56">
        <v>117</v>
      </c>
      <c r="N56">
        <v>3</v>
      </c>
      <c r="O56">
        <v>0.42105263157894735</v>
      </c>
    </row>
    <row r="57" spans="1:17" ht="15" thickBot="1" x14ac:dyDescent="0.35">
      <c r="K57" s="7">
        <v>5</v>
      </c>
      <c r="L57" s="7">
        <v>28</v>
      </c>
      <c r="M57" s="7">
        <v>96</v>
      </c>
      <c r="N57" s="7">
        <v>3.4285714285714284</v>
      </c>
      <c r="O57" s="7">
        <v>0.69841269841269749</v>
      </c>
    </row>
    <row r="59" spans="1:17" ht="15" thickBot="1" x14ac:dyDescent="0.35">
      <c r="A59" t="s">
        <v>143</v>
      </c>
    </row>
    <row r="60" spans="1:17" ht="15" thickBot="1" x14ac:dyDescent="0.35">
      <c r="A60" s="8" t="s">
        <v>144</v>
      </c>
      <c r="B60" s="8" t="s">
        <v>145</v>
      </c>
      <c r="C60" s="8" t="s">
        <v>146</v>
      </c>
      <c r="D60" s="8" t="s">
        <v>147</v>
      </c>
      <c r="E60" s="8" t="s">
        <v>148</v>
      </c>
      <c r="F60" s="8" t="s">
        <v>149</v>
      </c>
      <c r="G60" s="8" t="s">
        <v>150</v>
      </c>
      <c r="K60" t="s">
        <v>143</v>
      </c>
    </row>
    <row r="61" spans="1:17" x14ac:dyDescent="0.3">
      <c r="A61" t="s">
        <v>151</v>
      </c>
      <c r="B61">
        <v>42.332312690472108</v>
      </c>
      <c r="C61">
        <v>4</v>
      </c>
      <c r="D61">
        <v>10.583078172618027</v>
      </c>
      <c r="E61">
        <v>28.953146871829222</v>
      </c>
      <c r="F61">
        <v>1.0874533046751437E-17</v>
      </c>
      <c r="G61">
        <v>2.4340651357887815</v>
      </c>
      <c r="K61" s="8" t="s">
        <v>144</v>
      </c>
      <c r="L61" s="8" t="s">
        <v>145</v>
      </c>
      <c r="M61" s="8" t="s">
        <v>146</v>
      </c>
      <c r="N61" s="8" t="s">
        <v>147</v>
      </c>
      <c r="O61" s="8" t="s">
        <v>148</v>
      </c>
      <c r="P61" s="8" t="s">
        <v>149</v>
      </c>
      <c r="Q61" s="8" t="s">
        <v>150</v>
      </c>
    </row>
    <row r="62" spans="1:17" x14ac:dyDescent="0.3">
      <c r="A62" t="s">
        <v>152</v>
      </c>
      <c r="B62">
        <v>53.001020642861235</v>
      </c>
      <c r="C62">
        <v>145</v>
      </c>
      <c r="D62">
        <v>0.36552428029559475</v>
      </c>
      <c r="K62" t="s">
        <v>151</v>
      </c>
      <c r="L62">
        <v>10.53027017258519</v>
      </c>
      <c r="M62">
        <v>4</v>
      </c>
      <c r="N62">
        <v>2.6325675431462976</v>
      </c>
      <c r="O62">
        <v>4.5012795473276794</v>
      </c>
      <c r="P62">
        <v>1.8587726804193414E-3</v>
      </c>
      <c r="Q62">
        <v>2.4340651357887815</v>
      </c>
    </row>
    <row r="63" spans="1:17" x14ac:dyDescent="0.3">
      <c r="K63" t="s">
        <v>152</v>
      </c>
      <c r="L63">
        <v>84.803063160748167</v>
      </c>
      <c r="M63">
        <v>145</v>
      </c>
      <c r="N63">
        <v>0.58484871145343564</v>
      </c>
    </row>
    <row r="64" spans="1:17" ht="15" thickBot="1" x14ac:dyDescent="0.35">
      <c r="A64" s="7" t="s">
        <v>153</v>
      </c>
      <c r="B64" s="7">
        <v>95.333333333333343</v>
      </c>
      <c r="C64" s="7">
        <v>149</v>
      </c>
      <c r="D64" s="7"/>
      <c r="E64" s="7"/>
      <c r="F64" s="7"/>
      <c r="G64" s="7"/>
    </row>
    <row r="65" spans="1:17" ht="15" thickBot="1" x14ac:dyDescent="0.35">
      <c r="K65" s="7" t="s">
        <v>153</v>
      </c>
      <c r="L65" s="7">
        <v>95.333333333333357</v>
      </c>
      <c r="M65" s="7">
        <v>149</v>
      </c>
      <c r="N65" s="7"/>
      <c r="O65" s="7"/>
      <c r="P65" s="7"/>
      <c r="Q65" s="7"/>
    </row>
    <row r="66" spans="1:17" x14ac:dyDescent="0.3">
      <c r="A66" t="s">
        <v>162</v>
      </c>
    </row>
    <row r="68" spans="1:17" x14ac:dyDescent="0.3">
      <c r="A68" t="s">
        <v>136</v>
      </c>
    </row>
    <row r="70" spans="1:17" ht="15" thickBot="1" x14ac:dyDescent="0.35">
      <c r="A70" t="s">
        <v>137</v>
      </c>
    </row>
    <row r="71" spans="1:17" x14ac:dyDescent="0.3">
      <c r="A71" s="8" t="s">
        <v>138</v>
      </c>
      <c r="B71" s="8" t="s">
        <v>139</v>
      </c>
      <c r="C71" s="8" t="s">
        <v>140</v>
      </c>
      <c r="D71" s="8" t="s">
        <v>141</v>
      </c>
      <c r="E71" s="8" t="s">
        <v>142</v>
      </c>
    </row>
    <row r="72" spans="1:17" x14ac:dyDescent="0.3">
      <c r="A72">
        <v>1</v>
      </c>
      <c r="B72">
        <v>4</v>
      </c>
      <c r="C72">
        <v>7</v>
      </c>
      <c r="D72">
        <v>1.75</v>
      </c>
      <c r="E72">
        <v>0.25</v>
      </c>
    </row>
    <row r="73" spans="1:17" x14ac:dyDescent="0.3">
      <c r="A73">
        <v>2</v>
      </c>
      <c r="B73">
        <v>42</v>
      </c>
      <c r="C73">
        <v>98</v>
      </c>
      <c r="D73">
        <v>2.3333333333333335</v>
      </c>
      <c r="E73">
        <v>0.2764227642276425</v>
      </c>
    </row>
    <row r="74" spans="1:17" x14ac:dyDescent="0.3">
      <c r="A74">
        <v>3</v>
      </c>
      <c r="B74">
        <v>72</v>
      </c>
      <c r="C74">
        <v>208</v>
      </c>
      <c r="D74">
        <v>2.8888888888888888</v>
      </c>
      <c r="E74">
        <v>0.26917057902973363</v>
      </c>
    </row>
    <row r="75" spans="1:17" x14ac:dyDescent="0.3">
      <c r="A75">
        <v>4</v>
      </c>
      <c r="B75">
        <v>29</v>
      </c>
      <c r="C75">
        <v>113</v>
      </c>
      <c r="D75">
        <v>3.896551724137931</v>
      </c>
      <c r="E75">
        <v>0.23891625615763498</v>
      </c>
    </row>
    <row r="76" spans="1:17" ht="15" thickBot="1" x14ac:dyDescent="0.35">
      <c r="A76" s="7">
        <v>5</v>
      </c>
      <c r="B76" s="7">
        <v>3</v>
      </c>
      <c r="C76" s="7">
        <v>14</v>
      </c>
      <c r="D76" s="7">
        <v>4.666666666666667</v>
      </c>
      <c r="E76" s="7">
        <v>0.3333333333333357</v>
      </c>
    </row>
    <row r="79" spans="1:17" ht="15" thickBot="1" x14ac:dyDescent="0.35">
      <c r="A79" t="s">
        <v>143</v>
      </c>
    </row>
    <row r="80" spans="1:17" x14ac:dyDescent="0.3">
      <c r="A80" s="8" t="s">
        <v>144</v>
      </c>
      <c r="B80" s="8" t="s">
        <v>145</v>
      </c>
      <c r="C80" s="8" t="s">
        <v>146</v>
      </c>
      <c r="D80" s="8" t="s">
        <v>147</v>
      </c>
      <c r="E80" s="8" t="s">
        <v>148</v>
      </c>
      <c r="F80" s="8" t="s">
        <v>149</v>
      </c>
      <c r="G80" s="8" t="s">
        <v>150</v>
      </c>
    </row>
    <row r="81" spans="1:7" x14ac:dyDescent="0.3">
      <c r="A81" t="s">
        <v>151</v>
      </c>
      <c r="B81">
        <v>56.782567049808421</v>
      </c>
      <c r="C81">
        <v>4</v>
      </c>
      <c r="D81">
        <v>14.195641762452105</v>
      </c>
      <c r="E81">
        <v>53.393700151564111</v>
      </c>
      <c r="F81">
        <v>1.372138345714364E-27</v>
      </c>
      <c r="G81">
        <v>2.4340651357887815</v>
      </c>
    </row>
    <row r="82" spans="1:7" x14ac:dyDescent="0.3">
      <c r="A82" t="s">
        <v>152</v>
      </c>
      <c r="B82">
        <v>38.550766283524879</v>
      </c>
      <c r="C82">
        <v>145</v>
      </c>
      <c r="D82">
        <v>0.26586735367948194</v>
      </c>
    </row>
    <row r="84" spans="1:7" ht="15" thickBot="1" x14ac:dyDescent="0.35">
      <c r="A84" s="7" t="s">
        <v>153</v>
      </c>
      <c r="B84" s="7">
        <v>95.3333333333333</v>
      </c>
      <c r="C84" s="7">
        <v>149</v>
      </c>
      <c r="D84" s="7"/>
      <c r="E84" s="7"/>
      <c r="F84" s="7"/>
      <c r="G84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A0524-E5D7-44BA-B18D-CDF4F37831F3}">
  <dimension ref="A1:C78"/>
  <sheetViews>
    <sheetView topLeftCell="A4" workbookViewId="0">
      <selection activeCell="A20" sqref="A20"/>
    </sheetView>
  </sheetViews>
  <sheetFormatPr defaultRowHeight="14.4" x14ac:dyDescent="0.3"/>
  <cols>
    <col min="1" max="1" width="125.88671875" bestFit="1" customWidth="1"/>
    <col min="2" max="2" width="8.5546875" bestFit="1" customWidth="1"/>
    <col min="3" max="3" width="32.109375" bestFit="1" customWidth="1"/>
  </cols>
  <sheetData>
    <row r="1" spans="1:3" x14ac:dyDescent="0.3">
      <c r="A1" s="12" t="s">
        <v>164</v>
      </c>
      <c r="B1" s="12"/>
      <c r="C1" s="12"/>
    </row>
    <row r="2" spans="1:3" x14ac:dyDescent="0.3">
      <c r="A2" s="2" t="s">
        <v>165</v>
      </c>
      <c r="B2" s="2" t="s">
        <v>166</v>
      </c>
      <c r="C2" s="2" t="s">
        <v>167</v>
      </c>
    </row>
    <row r="3" spans="1:3" x14ac:dyDescent="0.3">
      <c r="A3" s="9" t="s">
        <v>185</v>
      </c>
      <c r="B3" s="2" t="s">
        <v>186</v>
      </c>
      <c r="C3" s="9" t="s">
        <v>187</v>
      </c>
    </row>
    <row r="4" spans="1:3" x14ac:dyDescent="0.3">
      <c r="A4" s="9" t="s">
        <v>179</v>
      </c>
      <c r="B4" s="2" t="s">
        <v>156</v>
      </c>
      <c r="C4" s="9" t="s">
        <v>169</v>
      </c>
    </row>
    <row r="5" spans="1:3" x14ac:dyDescent="0.3">
      <c r="A5" s="9" t="s">
        <v>170</v>
      </c>
      <c r="B5" s="2" t="s">
        <v>171</v>
      </c>
      <c r="C5" s="9" t="s">
        <v>172</v>
      </c>
    </row>
    <row r="6" spans="1:3" x14ac:dyDescent="0.3">
      <c r="A6" s="9" t="s">
        <v>173</v>
      </c>
      <c r="B6" s="2" t="s">
        <v>174</v>
      </c>
      <c r="C6" s="9" t="s">
        <v>175</v>
      </c>
    </row>
    <row r="7" spans="1:3" x14ac:dyDescent="0.3">
      <c r="A7" s="9" t="s">
        <v>173</v>
      </c>
      <c r="B7" s="2" t="s">
        <v>188</v>
      </c>
      <c r="C7" s="9" t="s">
        <v>191</v>
      </c>
    </row>
    <row r="8" spans="1:3" x14ac:dyDescent="0.3">
      <c r="A8" s="9" t="s">
        <v>176</v>
      </c>
      <c r="B8" s="2" t="s">
        <v>177</v>
      </c>
      <c r="C8" s="9" t="s">
        <v>178</v>
      </c>
    </row>
    <row r="9" spans="1:3" x14ac:dyDescent="0.3">
      <c r="A9" s="9" t="s">
        <v>173</v>
      </c>
      <c r="B9" s="2" t="s">
        <v>189</v>
      </c>
      <c r="C9" s="9" t="s">
        <v>190</v>
      </c>
    </row>
    <row r="10" spans="1:3" x14ac:dyDescent="0.3">
      <c r="A10" s="9" t="s">
        <v>182</v>
      </c>
      <c r="B10" s="2" t="s">
        <v>183</v>
      </c>
      <c r="C10" s="9" t="s">
        <v>184</v>
      </c>
    </row>
    <row r="11" spans="1:3" x14ac:dyDescent="0.3">
      <c r="A11" s="9" t="s">
        <v>168</v>
      </c>
      <c r="B11" s="2" t="s">
        <v>180</v>
      </c>
      <c r="C11" s="9" t="s">
        <v>181</v>
      </c>
    </row>
    <row r="14" spans="1:3" ht="31.2" x14ac:dyDescent="0.3">
      <c r="A14" s="10" t="s">
        <v>192</v>
      </c>
    </row>
    <row r="16" spans="1:3" x14ac:dyDescent="0.3">
      <c r="A16" t="s">
        <v>193</v>
      </c>
    </row>
    <row r="18" spans="1:2" ht="18" x14ac:dyDescent="0.3">
      <c r="A18" s="11" t="s">
        <v>194</v>
      </c>
    </row>
    <row r="20" spans="1:2" x14ac:dyDescent="0.3">
      <c r="A20" t="s">
        <v>195</v>
      </c>
      <c r="B20" t="s">
        <v>221</v>
      </c>
    </row>
    <row r="21" spans="1:2" x14ac:dyDescent="0.3">
      <c r="A21" t="s">
        <v>196</v>
      </c>
    </row>
    <row r="24" spans="1:2" ht="18" x14ac:dyDescent="0.3">
      <c r="A24" s="11" t="s">
        <v>197</v>
      </c>
    </row>
    <row r="26" spans="1:2" x14ac:dyDescent="0.3">
      <c r="A26" t="s">
        <v>198</v>
      </c>
    </row>
    <row r="27" spans="1:2" x14ac:dyDescent="0.3">
      <c r="A27" t="s">
        <v>196</v>
      </c>
    </row>
    <row r="31" spans="1:2" ht="31.2" x14ac:dyDescent="0.3">
      <c r="A31" s="10" t="s">
        <v>199</v>
      </c>
    </row>
    <row r="33" spans="1:2" ht="18" x14ac:dyDescent="0.3">
      <c r="A33" s="11" t="s">
        <v>200</v>
      </c>
    </row>
    <row r="35" spans="1:2" x14ac:dyDescent="0.3">
      <c r="A35" s="3" t="s">
        <v>201</v>
      </c>
      <c r="B35" t="s">
        <v>222</v>
      </c>
    </row>
    <row r="36" spans="1:2" x14ac:dyDescent="0.3">
      <c r="A36" s="3" t="s">
        <v>202</v>
      </c>
    </row>
    <row r="40" spans="1:2" ht="18" x14ac:dyDescent="0.3">
      <c r="A40" s="11" t="s">
        <v>203</v>
      </c>
    </row>
    <row r="42" spans="1:2" x14ac:dyDescent="0.3">
      <c r="A42" s="3" t="s">
        <v>204</v>
      </c>
    </row>
    <row r="43" spans="1:2" x14ac:dyDescent="0.3">
      <c r="A43" s="3" t="s">
        <v>205</v>
      </c>
    </row>
    <row r="47" spans="1:2" ht="18" x14ac:dyDescent="0.3">
      <c r="A47" s="11" t="s">
        <v>206</v>
      </c>
    </row>
    <row r="49" spans="1:1" x14ac:dyDescent="0.3">
      <c r="A49" s="3" t="s">
        <v>207</v>
      </c>
    </row>
    <row r="50" spans="1:1" x14ac:dyDescent="0.3">
      <c r="A50" s="3" t="s">
        <v>208</v>
      </c>
    </row>
    <row r="54" spans="1:1" ht="18" x14ac:dyDescent="0.3">
      <c r="A54" s="11" t="s">
        <v>209</v>
      </c>
    </row>
    <row r="56" spans="1:1" x14ac:dyDescent="0.3">
      <c r="A56" s="3" t="s">
        <v>210</v>
      </c>
    </row>
    <row r="57" spans="1:1" x14ac:dyDescent="0.3">
      <c r="A57" s="3" t="s">
        <v>211</v>
      </c>
    </row>
    <row r="61" spans="1:1" ht="18" x14ac:dyDescent="0.3">
      <c r="A61" s="11" t="s">
        <v>212</v>
      </c>
    </row>
    <row r="63" spans="1:1" x14ac:dyDescent="0.3">
      <c r="A63" s="3" t="s">
        <v>213</v>
      </c>
    </row>
    <row r="64" spans="1:1" x14ac:dyDescent="0.3">
      <c r="A64" s="3" t="s">
        <v>214</v>
      </c>
    </row>
    <row r="68" spans="1:1" ht="18" x14ac:dyDescent="0.3">
      <c r="A68" s="11" t="s">
        <v>215</v>
      </c>
    </row>
    <row r="70" spans="1:1" x14ac:dyDescent="0.3">
      <c r="A70" s="3" t="s">
        <v>216</v>
      </c>
    </row>
    <row r="71" spans="1:1" x14ac:dyDescent="0.3">
      <c r="A71" s="3" t="s">
        <v>217</v>
      </c>
    </row>
    <row r="75" spans="1:1" ht="18" x14ac:dyDescent="0.3">
      <c r="A75" s="11" t="s">
        <v>218</v>
      </c>
    </row>
    <row r="77" spans="1:1" x14ac:dyDescent="0.3">
      <c r="A77" s="3" t="s">
        <v>219</v>
      </c>
    </row>
    <row r="78" spans="1:1" x14ac:dyDescent="0.3">
      <c r="A78" s="3" t="s">
        <v>220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4B3F3-9631-404E-BB0C-D6F6AC764909}">
  <dimension ref="A1:N84"/>
  <sheetViews>
    <sheetView workbookViewId="0">
      <selection activeCell="O10" sqref="O10"/>
    </sheetView>
  </sheetViews>
  <sheetFormatPr defaultRowHeight="14.4" x14ac:dyDescent="0.3"/>
  <sheetData>
    <row r="1" spans="1:14" x14ac:dyDescent="0.3">
      <c r="A1" s="6" t="s">
        <v>135</v>
      </c>
      <c r="B1" s="6">
        <v>1</v>
      </c>
      <c r="C1" s="6">
        <v>2</v>
      </c>
      <c r="D1" s="6">
        <v>3</v>
      </c>
      <c r="E1" s="6">
        <v>4</v>
      </c>
      <c r="F1" s="6">
        <v>5</v>
      </c>
    </row>
    <row r="2" spans="1:14" x14ac:dyDescent="0.3">
      <c r="B2" cm="1">
        <f t="array" ref="B2:B5">_xlfn._xlws.FILTER('QUANTIFIED RESPONSES'!$M:$M,'QUANTIFIED RESPONSES'!$N:$N=1,"")</f>
        <v>2</v>
      </c>
      <c r="C2" cm="1">
        <f t="array" ref="C2:C27">_xlfn._xlws.FILTER('QUANTIFIED RESPONSES'!$M:$M,'QUANTIFIED RESPONSES'!$N:$N=2,"")</f>
        <v>2</v>
      </c>
      <c r="D2" cm="1">
        <f t="array" ref="D2:D84">_xlfn._xlws.FILTER('QUANTIFIED RESPONSES'!$M:$M,'QUANTIFIED RESPONSES'!$N:$N=3,"")</f>
        <v>2</v>
      </c>
      <c r="E2" cm="1">
        <f t="array" ref="E2:E35">_xlfn._xlws.FILTER('QUANTIFIED RESPONSES'!$M:$M,'QUANTIFIED RESPONSES'!$N:$N=4,"")</f>
        <v>4</v>
      </c>
      <c r="F2" cm="1">
        <f t="array" ref="F2:F4">_xlfn._xlws.FILTER('QUANTIFIED RESPONSES'!$M:$M,'QUANTIFIED RESPONSES'!$N:$N=5,"")</f>
        <v>4</v>
      </c>
    </row>
    <row r="3" spans="1:14" x14ac:dyDescent="0.3">
      <c r="B3">
        <v>2</v>
      </c>
      <c r="C3">
        <v>2</v>
      </c>
      <c r="D3">
        <v>3</v>
      </c>
      <c r="E3">
        <v>4</v>
      </c>
      <c r="F3">
        <v>4</v>
      </c>
      <c r="H3" t="s">
        <v>136</v>
      </c>
    </row>
    <row r="4" spans="1:14" x14ac:dyDescent="0.3">
      <c r="B4">
        <v>1</v>
      </c>
      <c r="C4">
        <v>3</v>
      </c>
      <c r="D4">
        <v>4</v>
      </c>
      <c r="E4">
        <v>4</v>
      </c>
      <c r="F4">
        <v>5</v>
      </c>
    </row>
    <row r="5" spans="1:14" ht="15" thickBot="1" x14ac:dyDescent="0.35">
      <c r="B5">
        <v>2</v>
      </c>
      <c r="C5">
        <v>2</v>
      </c>
      <c r="D5">
        <v>3</v>
      </c>
      <c r="E5">
        <v>4</v>
      </c>
      <c r="H5" t="s">
        <v>137</v>
      </c>
    </row>
    <row r="6" spans="1:14" x14ac:dyDescent="0.3">
      <c r="C6">
        <v>2</v>
      </c>
      <c r="D6">
        <v>3</v>
      </c>
      <c r="E6">
        <v>3</v>
      </c>
      <c r="H6" s="8" t="s">
        <v>138</v>
      </c>
      <c r="I6" s="8" t="s">
        <v>139</v>
      </c>
      <c r="J6" s="8" t="s">
        <v>140</v>
      </c>
      <c r="K6" s="8" t="s">
        <v>141</v>
      </c>
      <c r="L6" s="8" t="s">
        <v>142</v>
      </c>
    </row>
    <row r="7" spans="1:14" x14ac:dyDescent="0.3">
      <c r="C7">
        <v>1</v>
      </c>
      <c r="D7">
        <v>4</v>
      </c>
      <c r="E7">
        <v>4</v>
      </c>
      <c r="H7">
        <v>1</v>
      </c>
      <c r="I7">
        <v>4</v>
      </c>
      <c r="J7">
        <v>7</v>
      </c>
      <c r="K7">
        <v>1.75</v>
      </c>
      <c r="L7">
        <v>0.25</v>
      </c>
    </row>
    <row r="8" spans="1:14" x14ac:dyDescent="0.3">
      <c r="C8">
        <v>2</v>
      </c>
      <c r="D8">
        <v>3</v>
      </c>
      <c r="E8">
        <v>4</v>
      </c>
      <c r="H8">
        <v>2</v>
      </c>
      <c r="I8">
        <v>26</v>
      </c>
      <c r="J8">
        <v>58</v>
      </c>
      <c r="K8">
        <v>2.2307692307692308</v>
      </c>
      <c r="L8">
        <v>0.26461538461538453</v>
      </c>
    </row>
    <row r="9" spans="1:14" x14ac:dyDescent="0.3">
      <c r="C9">
        <v>3</v>
      </c>
      <c r="D9">
        <v>2</v>
      </c>
      <c r="E9">
        <v>3</v>
      </c>
      <c r="H9">
        <v>3</v>
      </c>
      <c r="I9">
        <v>83</v>
      </c>
      <c r="J9">
        <v>235</v>
      </c>
      <c r="K9">
        <v>2.8313253012048194</v>
      </c>
      <c r="L9">
        <v>0.33705553923009046</v>
      </c>
    </row>
    <row r="10" spans="1:14" x14ac:dyDescent="0.3">
      <c r="C10">
        <v>3</v>
      </c>
      <c r="D10">
        <v>2</v>
      </c>
      <c r="E10">
        <v>5</v>
      </c>
      <c r="H10">
        <v>4</v>
      </c>
      <c r="I10">
        <v>34</v>
      </c>
      <c r="J10">
        <v>127</v>
      </c>
      <c r="K10">
        <v>3.7352941176470589</v>
      </c>
      <c r="L10">
        <v>0.38235294117647078</v>
      </c>
    </row>
    <row r="11" spans="1:14" ht="15" thickBot="1" x14ac:dyDescent="0.35">
      <c r="C11">
        <v>2</v>
      </c>
      <c r="D11">
        <v>3</v>
      </c>
      <c r="E11">
        <v>4</v>
      </c>
      <c r="H11" s="7">
        <v>5</v>
      </c>
      <c r="I11" s="7">
        <v>3</v>
      </c>
      <c r="J11" s="7">
        <v>13</v>
      </c>
      <c r="K11" s="7">
        <v>4.333333333333333</v>
      </c>
      <c r="L11" s="7">
        <v>0.33333333333333215</v>
      </c>
    </row>
    <row r="12" spans="1:14" x14ac:dyDescent="0.3">
      <c r="C12">
        <v>3</v>
      </c>
      <c r="D12">
        <v>3</v>
      </c>
      <c r="E12">
        <v>3</v>
      </c>
    </row>
    <row r="13" spans="1:14" x14ac:dyDescent="0.3">
      <c r="C13">
        <v>3</v>
      </c>
      <c r="D13">
        <v>3</v>
      </c>
      <c r="E13">
        <v>4</v>
      </c>
    </row>
    <row r="14" spans="1:14" ht="15" thickBot="1" x14ac:dyDescent="0.35">
      <c r="C14">
        <v>3</v>
      </c>
      <c r="D14">
        <v>3</v>
      </c>
      <c r="E14">
        <v>4</v>
      </c>
      <c r="H14" t="s">
        <v>143</v>
      </c>
    </row>
    <row r="15" spans="1:14" x14ac:dyDescent="0.3">
      <c r="C15">
        <v>2</v>
      </c>
      <c r="D15">
        <v>4</v>
      </c>
      <c r="E15">
        <v>3</v>
      </c>
      <c r="H15" s="8" t="s">
        <v>144</v>
      </c>
      <c r="I15" s="8" t="s">
        <v>145</v>
      </c>
      <c r="J15" s="8" t="s">
        <v>146</v>
      </c>
      <c r="K15" s="8" t="s">
        <v>147</v>
      </c>
      <c r="L15" s="8" t="s">
        <v>148</v>
      </c>
      <c r="M15" s="8" t="s">
        <v>149</v>
      </c>
      <c r="N15" s="8" t="s">
        <v>150</v>
      </c>
    </row>
    <row r="16" spans="1:14" x14ac:dyDescent="0.3">
      <c r="C16">
        <v>2</v>
      </c>
      <c r="D16">
        <v>3</v>
      </c>
      <c r="E16">
        <v>4</v>
      </c>
      <c r="H16" t="s">
        <v>151</v>
      </c>
      <c r="I16">
        <v>47.045080775591103</v>
      </c>
      <c r="J16">
        <v>4</v>
      </c>
      <c r="K16">
        <v>11.761270193897776</v>
      </c>
      <c r="L16">
        <v>35.316750716458586</v>
      </c>
      <c r="M16">
        <v>1.4087738694676073E-20</v>
      </c>
      <c r="N16">
        <v>2.4340651357887815</v>
      </c>
    </row>
    <row r="17" spans="3:14" x14ac:dyDescent="0.3">
      <c r="C17">
        <v>2</v>
      </c>
      <c r="D17">
        <v>3</v>
      </c>
      <c r="E17">
        <v>3</v>
      </c>
      <c r="H17" t="s">
        <v>152</v>
      </c>
      <c r="I17">
        <v>48.288252557742268</v>
      </c>
      <c r="J17">
        <v>145</v>
      </c>
      <c r="K17">
        <v>0.33302243143270532</v>
      </c>
    </row>
    <row r="18" spans="3:14" x14ac:dyDescent="0.3">
      <c r="C18">
        <v>2</v>
      </c>
      <c r="D18">
        <v>2</v>
      </c>
      <c r="E18">
        <v>3</v>
      </c>
    </row>
    <row r="19" spans="3:14" ht="15" thickBot="1" x14ac:dyDescent="0.35">
      <c r="C19">
        <v>2</v>
      </c>
      <c r="D19">
        <v>3</v>
      </c>
      <c r="E19">
        <v>4</v>
      </c>
      <c r="H19" s="7" t="s">
        <v>153</v>
      </c>
      <c r="I19" s="7">
        <v>95.333333333333371</v>
      </c>
      <c r="J19" s="7">
        <v>149</v>
      </c>
      <c r="K19" s="7"/>
      <c r="L19" s="7"/>
      <c r="M19" s="7"/>
      <c r="N19" s="7"/>
    </row>
    <row r="20" spans="3:14" x14ac:dyDescent="0.3">
      <c r="C20">
        <v>2</v>
      </c>
      <c r="D20">
        <v>2</v>
      </c>
      <c r="E20">
        <v>3</v>
      </c>
    </row>
    <row r="21" spans="3:14" x14ac:dyDescent="0.3">
      <c r="C21">
        <v>2</v>
      </c>
      <c r="D21">
        <v>3</v>
      </c>
      <c r="E21">
        <v>3</v>
      </c>
    </row>
    <row r="22" spans="3:14" x14ac:dyDescent="0.3">
      <c r="C22">
        <v>2</v>
      </c>
      <c r="D22">
        <v>2</v>
      </c>
      <c r="E22">
        <v>4</v>
      </c>
    </row>
    <row r="23" spans="3:14" x14ac:dyDescent="0.3">
      <c r="C23">
        <v>2</v>
      </c>
      <c r="D23">
        <v>3</v>
      </c>
      <c r="E23">
        <v>4</v>
      </c>
    </row>
    <row r="24" spans="3:14" x14ac:dyDescent="0.3">
      <c r="C24">
        <v>2</v>
      </c>
      <c r="D24">
        <v>4</v>
      </c>
      <c r="E24">
        <v>4</v>
      </c>
    </row>
    <row r="25" spans="3:14" x14ac:dyDescent="0.3">
      <c r="C25">
        <v>2</v>
      </c>
      <c r="D25">
        <v>3</v>
      </c>
      <c r="E25">
        <v>5</v>
      </c>
    </row>
    <row r="26" spans="3:14" x14ac:dyDescent="0.3">
      <c r="C26">
        <v>2</v>
      </c>
      <c r="D26">
        <v>3</v>
      </c>
      <c r="E26">
        <v>3</v>
      </c>
    </row>
    <row r="27" spans="3:14" x14ac:dyDescent="0.3">
      <c r="C27">
        <v>3</v>
      </c>
      <c r="D27">
        <v>3</v>
      </c>
      <c r="E27">
        <v>3</v>
      </c>
    </row>
    <row r="28" spans="3:14" x14ac:dyDescent="0.3">
      <c r="D28">
        <v>3</v>
      </c>
      <c r="E28">
        <v>4</v>
      </c>
    </row>
    <row r="29" spans="3:14" x14ac:dyDescent="0.3">
      <c r="D29">
        <v>3</v>
      </c>
      <c r="E29">
        <v>4</v>
      </c>
    </row>
    <row r="30" spans="3:14" x14ac:dyDescent="0.3">
      <c r="D30">
        <v>4</v>
      </c>
      <c r="E30">
        <v>4</v>
      </c>
    </row>
    <row r="31" spans="3:14" x14ac:dyDescent="0.3">
      <c r="D31">
        <v>2</v>
      </c>
      <c r="E31">
        <v>5</v>
      </c>
    </row>
    <row r="32" spans="3:14" x14ac:dyDescent="0.3">
      <c r="D32">
        <v>2</v>
      </c>
      <c r="E32">
        <v>3</v>
      </c>
    </row>
    <row r="33" spans="4:5" x14ac:dyDescent="0.3">
      <c r="D33">
        <v>3</v>
      </c>
      <c r="E33">
        <v>4</v>
      </c>
    </row>
    <row r="34" spans="4:5" x14ac:dyDescent="0.3">
      <c r="D34">
        <v>3</v>
      </c>
      <c r="E34">
        <v>4</v>
      </c>
    </row>
    <row r="35" spans="4:5" x14ac:dyDescent="0.3">
      <c r="D35">
        <v>3</v>
      </c>
      <c r="E35">
        <v>3</v>
      </c>
    </row>
    <row r="36" spans="4:5" x14ac:dyDescent="0.3">
      <c r="D36">
        <v>2</v>
      </c>
    </row>
    <row r="37" spans="4:5" x14ac:dyDescent="0.3">
      <c r="D37">
        <v>2</v>
      </c>
    </row>
    <row r="38" spans="4:5" x14ac:dyDescent="0.3">
      <c r="D38">
        <v>3</v>
      </c>
    </row>
    <row r="39" spans="4:5" x14ac:dyDescent="0.3">
      <c r="D39">
        <v>3</v>
      </c>
    </row>
    <row r="40" spans="4:5" x14ac:dyDescent="0.3">
      <c r="D40">
        <v>3</v>
      </c>
    </row>
    <row r="41" spans="4:5" x14ac:dyDescent="0.3">
      <c r="D41">
        <v>3</v>
      </c>
    </row>
    <row r="42" spans="4:5" x14ac:dyDescent="0.3">
      <c r="D42">
        <v>3</v>
      </c>
    </row>
    <row r="43" spans="4:5" x14ac:dyDescent="0.3">
      <c r="D43">
        <v>3</v>
      </c>
    </row>
    <row r="44" spans="4:5" x14ac:dyDescent="0.3">
      <c r="D44">
        <v>3</v>
      </c>
    </row>
    <row r="45" spans="4:5" x14ac:dyDescent="0.3">
      <c r="D45">
        <v>3</v>
      </c>
    </row>
    <row r="46" spans="4:5" x14ac:dyDescent="0.3">
      <c r="D46">
        <v>3</v>
      </c>
    </row>
    <row r="47" spans="4:5" x14ac:dyDescent="0.3">
      <c r="D47">
        <v>3</v>
      </c>
    </row>
    <row r="48" spans="4:5" x14ac:dyDescent="0.3">
      <c r="D48">
        <v>2</v>
      </c>
    </row>
    <row r="49" spans="4:4" x14ac:dyDescent="0.3">
      <c r="D49">
        <v>3</v>
      </c>
    </row>
    <row r="50" spans="4:4" x14ac:dyDescent="0.3">
      <c r="D50">
        <v>3</v>
      </c>
    </row>
    <row r="51" spans="4:4" x14ac:dyDescent="0.3">
      <c r="D51">
        <v>2</v>
      </c>
    </row>
    <row r="52" spans="4:4" x14ac:dyDescent="0.3">
      <c r="D52">
        <v>2</v>
      </c>
    </row>
    <row r="53" spans="4:4" x14ac:dyDescent="0.3">
      <c r="D53">
        <v>2</v>
      </c>
    </row>
    <row r="54" spans="4:4" x14ac:dyDescent="0.3">
      <c r="D54">
        <v>2</v>
      </c>
    </row>
    <row r="55" spans="4:4" x14ac:dyDescent="0.3">
      <c r="D55">
        <v>2</v>
      </c>
    </row>
    <row r="56" spans="4:4" x14ac:dyDescent="0.3">
      <c r="D56">
        <v>3</v>
      </c>
    </row>
    <row r="57" spans="4:4" x14ac:dyDescent="0.3">
      <c r="D57">
        <v>3</v>
      </c>
    </row>
    <row r="58" spans="4:4" x14ac:dyDescent="0.3">
      <c r="D58">
        <v>3</v>
      </c>
    </row>
    <row r="59" spans="4:4" x14ac:dyDescent="0.3">
      <c r="D59">
        <v>2</v>
      </c>
    </row>
    <row r="60" spans="4:4" x14ac:dyDescent="0.3">
      <c r="D60">
        <v>3</v>
      </c>
    </row>
    <row r="61" spans="4:4" x14ac:dyDescent="0.3">
      <c r="D61">
        <v>2</v>
      </c>
    </row>
    <row r="62" spans="4:4" x14ac:dyDescent="0.3">
      <c r="D62">
        <v>2</v>
      </c>
    </row>
    <row r="63" spans="4:4" x14ac:dyDescent="0.3">
      <c r="D63">
        <v>4</v>
      </c>
    </row>
    <row r="64" spans="4:4" x14ac:dyDescent="0.3">
      <c r="D64">
        <v>3</v>
      </c>
    </row>
    <row r="65" spans="4:4" x14ac:dyDescent="0.3">
      <c r="D65">
        <v>3</v>
      </c>
    </row>
    <row r="66" spans="4:4" x14ac:dyDescent="0.3">
      <c r="D66">
        <v>3</v>
      </c>
    </row>
    <row r="67" spans="4:4" x14ac:dyDescent="0.3">
      <c r="D67">
        <v>4</v>
      </c>
    </row>
    <row r="68" spans="4:4" x14ac:dyDescent="0.3">
      <c r="D68">
        <v>3</v>
      </c>
    </row>
    <row r="69" spans="4:4" x14ac:dyDescent="0.3">
      <c r="D69">
        <v>4</v>
      </c>
    </row>
    <row r="70" spans="4:4" x14ac:dyDescent="0.3">
      <c r="D70">
        <v>3</v>
      </c>
    </row>
    <row r="71" spans="4:4" x14ac:dyDescent="0.3">
      <c r="D71">
        <v>3</v>
      </c>
    </row>
    <row r="72" spans="4:4" x14ac:dyDescent="0.3">
      <c r="D72">
        <v>3</v>
      </c>
    </row>
    <row r="73" spans="4:4" x14ac:dyDescent="0.3">
      <c r="D73">
        <v>3</v>
      </c>
    </row>
    <row r="74" spans="4:4" x14ac:dyDescent="0.3">
      <c r="D74">
        <v>3</v>
      </c>
    </row>
    <row r="75" spans="4:4" x14ac:dyDescent="0.3">
      <c r="D75">
        <v>2</v>
      </c>
    </row>
    <row r="76" spans="4:4" x14ac:dyDescent="0.3">
      <c r="D76">
        <v>3</v>
      </c>
    </row>
    <row r="77" spans="4:4" x14ac:dyDescent="0.3">
      <c r="D77">
        <v>3</v>
      </c>
    </row>
    <row r="78" spans="4:4" x14ac:dyDescent="0.3">
      <c r="D78">
        <v>3</v>
      </c>
    </row>
    <row r="79" spans="4:4" x14ac:dyDescent="0.3">
      <c r="D79">
        <v>3</v>
      </c>
    </row>
    <row r="80" spans="4:4" x14ac:dyDescent="0.3">
      <c r="D80">
        <v>3</v>
      </c>
    </row>
    <row r="81" spans="4:4" x14ac:dyDescent="0.3">
      <c r="D81">
        <v>2</v>
      </c>
    </row>
    <row r="82" spans="4:4" x14ac:dyDescent="0.3">
      <c r="D82">
        <v>3</v>
      </c>
    </row>
    <row r="83" spans="4:4" x14ac:dyDescent="0.3">
      <c r="D83">
        <v>2</v>
      </c>
    </row>
    <row r="84" spans="4:4" x14ac:dyDescent="0.3">
      <c r="D84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7FCFA-EA34-420F-951E-A66547FA53B2}">
  <dimension ref="A1:N66"/>
  <sheetViews>
    <sheetView topLeftCell="A2" workbookViewId="0">
      <selection activeCell="H3" sqref="H3:N18"/>
    </sheetView>
  </sheetViews>
  <sheetFormatPr defaultRowHeight="14.4" x14ac:dyDescent="0.3"/>
  <sheetData>
    <row r="1" spans="1:14" x14ac:dyDescent="0.3">
      <c r="A1" s="6" t="s">
        <v>135</v>
      </c>
      <c r="B1" s="6">
        <v>1</v>
      </c>
      <c r="C1" s="6">
        <v>2</v>
      </c>
      <c r="D1" s="6">
        <v>3</v>
      </c>
      <c r="E1" s="6">
        <v>4</v>
      </c>
      <c r="F1" s="6">
        <v>5</v>
      </c>
    </row>
    <row r="2" spans="1:14" x14ac:dyDescent="0.3">
      <c r="B2" t="str" cm="1">
        <f t="array" ref="B2">_xlfn._xlws.FILTER('QUANTIFIED RESPONSES'!$M:$M,'QUANTIFIED RESPONSES'!$O:$O=1,"")</f>
        <v/>
      </c>
      <c r="C2" cm="1">
        <f t="array" ref="C2:C20">_xlfn._xlws.FILTER('QUANTIFIED RESPONSES'!$M:$M,'QUANTIFIED RESPONSES'!$O:$O=2,"")</f>
        <v>2</v>
      </c>
      <c r="D2" cm="1">
        <f t="array" ref="D2:D66">_xlfn._xlws.FILTER('QUANTIFIED RESPONSES'!$M:$M,'QUANTIFIED RESPONSES'!$O:$O=3,"")</f>
        <v>2</v>
      </c>
      <c r="E2" cm="1">
        <f t="array" ref="E2:E58">_xlfn._xlws.FILTER('QUANTIFIED RESPONSES'!$M:$M,'QUANTIFIED RESPONSES'!$O:$O=4,"")</f>
        <v>4</v>
      </c>
      <c r="F2" cm="1">
        <f t="array" ref="F2:F10">_xlfn._xlws.FILTER('QUANTIFIED RESPONSES'!$M:$M,'QUANTIFIED RESPONSES'!$O:$O=5,"")</f>
        <v>4</v>
      </c>
    </row>
    <row r="3" spans="1:14" x14ac:dyDescent="0.3">
      <c r="C3">
        <v>3</v>
      </c>
      <c r="D3">
        <v>3</v>
      </c>
      <c r="E3">
        <v>4</v>
      </c>
      <c r="F3">
        <v>5</v>
      </c>
      <c r="H3" t="s">
        <v>136</v>
      </c>
    </row>
    <row r="4" spans="1:14" x14ac:dyDescent="0.3">
      <c r="C4">
        <v>2</v>
      </c>
      <c r="D4">
        <v>2</v>
      </c>
      <c r="E4">
        <v>4</v>
      </c>
      <c r="F4">
        <v>4</v>
      </c>
    </row>
    <row r="5" spans="1:14" ht="15" thickBot="1" x14ac:dyDescent="0.35">
      <c r="C5">
        <v>2</v>
      </c>
      <c r="D5">
        <v>3</v>
      </c>
      <c r="E5">
        <v>3</v>
      </c>
      <c r="F5">
        <v>4</v>
      </c>
      <c r="H5" t="s">
        <v>137</v>
      </c>
    </row>
    <row r="6" spans="1:14" x14ac:dyDescent="0.3">
      <c r="C6">
        <v>2</v>
      </c>
      <c r="D6">
        <v>3</v>
      </c>
      <c r="E6">
        <v>3</v>
      </c>
      <c r="F6">
        <v>4</v>
      </c>
      <c r="H6" s="8" t="s">
        <v>138</v>
      </c>
      <c r="I6" s="8" t="s">
        <v>139</v>
      </c>
      <c r="J6" s="8" t="s">
        <v>140</v>
      </c>
      <c r="K6" s="8" t="s">
        <v>141</v>
      </c>
      <c r="L6" s="8" t="s">
        <v>142</v>
      </c>
    </row>
    <row r="7" spans="1:14" x14ac:dyDescent="0.3">
      <c r="C7">
        <v>1</v>
      </c>
      <c r="D7">
        <v>3</v>
      </c>
      <c r="E7">
        <v>4</v>
      </c>
      <c r="F7">
        <v>4</v>
      </c>
      <c r="H7">
        <v>2</v>
      </c>
      <c r="I7">
        <v>19</v>
      </c>
      <c r="J7">
        <v>40</v>
      </c>
      <c r="K7">
        <v>2.1052631578947367</v>
      </c>
      <c r="L7">
        <v>0.32163742690058444</v>
      </c>
    </row>
    <row r="8" spans="1:14" x14ac:dyDescent="0.3">
      <c r="C8">
        <v>2</v>
      </c>
      <c r="D8">
        <v>3</v>
      </c>
      <c r="E8">
        <v>4</v>
      </c>
      <c r="F8">
        <v>5</v>
      </c>
      <c r="H8">
        <v>3</v>
      </c>
      <c r="I8">
        <v>65</v>
      </c>
      <c r="J8">
        <v>170</v>
      </c>
      <c r="K8">
        <v>2.6153846153846154</v>
      </c>
      <c r="L8">
        <v>0.27163461538461497</v>
      </c>
    </row>
    <row r="9" spans="1:14" x14ac:dyDescent="0.3">
      <c r="C9">
        <v>2</v>
      </c>
      <c r="D9">
        <v>2</v>
      </c>
      <c r="E9">
        <v>4</v>
      </c>
      <c r="F9">
        <v>5</v>
      </c>
      <c r="H9">
        <v>4</v>
      </c>
      <c r="I9">
        <v>57</v>
      </c>
      <c r="J9">
        <v>190</v>
      </c>
      <c r="K9">
        <v>3.3333333333333335</v>
      </c>
      <c r="L9">
        <v>0.36904761904761835</v>
      </c>
    </row>
    <row r="10" spans="1:14" ht="15" thickBot="1" x14ac:dyDescent="0.35">
      <c r="C10">
        <v>3</v>
      </c>
      <c r="D10">
        <v>3</v>
      </c>
      <c r="E10">
        <v>4</v>
      </c>
      <c r="F10">
        <v>5</v>
      </c>
      <c r="H10" s="7">
        <v>5</v>
      </c>
      <c r="I10" s="7">
        <v>9</v>
      </c>
      <c r="J10" s="7">
        <v>40</v>
      </c>
      <c r="K10" s="7">
        <v>4.4444444444444446</v>
      </c>
      <c r="L10" s="7">
        <v>0.27777777777777857</v>
      </c>
    </row>
    <row r="11" spans="1:14" x14ac:dyDescent="0.3">
      <c r="C11">
        <v>2</v>
      </c>
      <c r="D11">
        <v>2</v>
      </c>
      <c r="E11">
        <v>3</v>
      </c>
    </row>
    <row r="12" spans="1:14" x14ac:dyDescent="0.3">
      <c r="C12">
        <v>2</v>
      </c>
      <c r="D12">
        <v>2</v>
      </c>
      <c r="E12">
        <v>3</v>
      </c>
    </row>
    <row r="13" spans="1:14" ht="15" thickBot="1" x14ac:dyDescent="0.35">
      <c r="C13">
        <v>3</v>
      </c>
      <c r="D13">
        <v>3</v>
      </c>
      <c r="E13">
        <v>2</v>
      </c>
      <c r="H13" t="s">
        <v>143</v>
      </c>
    </row>
    <row r="14" spans="1:14" x14ac:dyDescent="0.3">
      <c r="C14">
        <v>2</v>
      </c>
      <c r="D14">
        <v>3</v>
      </c>
      <c r="E14">
        <v>3</v>
      </c>
      <c r="H14" s="8" t="s">
        <v>144</v>
      </c>
      <c r="I14" s="8" t="s">
        <v>145</v>
      </c>
      <c r="J14" s="8" t="s">
        <v>146</v>
      </c>
      <c r="K14" s="8" t="s">
        <v>147</v>
      </c>
      <c r="L14" s="8" t="s">
        <v>148</v>
      </c>
      <c r="M14" s="8" t="s">
        <v>149</v>
      </c>
      <c r="N14" s="8" t="s">
        <v>150</v>
      </c>
    </row>
    <row r="15" spans="1:14" x14ac:dyDescent="0.3">
      <c r="C15">
        <v>2</v>
      </c>
      <c r="D15">
        <v>3</v>
      </c>
      <c r="E15">
        <v>3</v>
      </c>
      <c r="H15" t="s">
        <v>151</v>
      </c>
      <c r="I15">
        <v>49.270355375618614</v>
      </c>
      <c r="J15">
        <v>3</v>
      </c>
      <c r="K15">
        <v>16.423451791872871</v>
      </c>
      <c r="L15">
        <v>52.055339622518787</v>
      </c>
      <c r="M15">
        <v>6.1031476805081394E-23</v>
      </c>
      <c r="N15">
        <v>2.6665742133041834</v>
      </c>
    </row>
    <row r="16" spans="1:14" x14ac:dyDescent="0.3">
      <c r="C16">
        <v>1</v>
      </c>
      <c r="D16">
        <v>3</v>
      </c>
      <c r="E16">
        <v>4</v>
      </c>
      <c r="H16" t="s">
        <v>152</v>
      </c>
      <c r="I16">
        <v>46.062977957714772</v>
      </c>
      <c r="J16">
        <v>146</v>
      </c>
      <c r="K16">
        <v>0.31549984902544365</v>
      </c>
    </row>
    <row r="17" spans="3:14" x14ac:dyDescent="0.3">
      <c r="C17">
        <v>2</v>
      </c>
      <c r="D17">
        <v>2</v>
      </c>
      <c r="E17">
        <v>4</v>
      </c>
    </row>
    <row r="18" spans="3:14" ht="15" thickBot="1" x14ac:dyDescent="0.35">
      <c r="C18">
        <v>2</v>
      </c>
      <c r="D18">
        <v>3</v>
      </c>
      <c r="E18">
        <v>3</v>
      </c>
      <c r="H18" s="7" t="s">
        <v>153</v>
      </c>
      <c r="I18" s="7">
        <v>95.333333333333385</v>
      </c>
      <c r="J18" s="7">
        <v>149</v>
      </c>
      <c r="K18" s="7"/>
      <c r="L18" s="7"/>
      <c r="M18" s="7"/>
      <c r="N18" s="7"/>
    </row>
    <row r="19" spans="3:14" x14ac:dyDescent="0.3">
      <c r="C19">
        <v>3</v>
      </c>
      <c r="D19">
        <v>3</v>
      </c>
      <c r="E19">
        <v>4</v>
      </c>
    </row>
    <row r="20" spans="3:14" x14ac:dyDescent="0.3">
      <c r="C20">
        <v>2</v>
      </c>
      <c r="D20">
        <v>3</v>
      </c>
      <c r="E20">
        <v>4</v>
      </c>
    </row>
    <row r="21" spans="3:14" x14ac:dyDescent="0.3">
      <c r="D21">
        <v>3</v>
      </c>
      <c r="E21">
        <v>3</v>
      </c>
    </row>
    <row r="22" spans="3:14" x14ac:dyDescent="0.3">
      <c r="D22">
        <v>3</v>
      </c>
      <c r="E22">
        <v>3</v>
      </c>
    </row>
    <row r="23" spans="3:14" x14ac:dyDescent="0.3">
      <c r="D23">
        <v>3</v>
      </c>
      <c r="E23">
        <v>3</v>
      </c>
    </row>
    <row r="24" spans="3:14" x14ac:dyDescent="0.3">
      <c r="D24">
        <v>2</v>
      </c>
      <c r="E24">
        <v>3</v>
      </c>
    </row>
    <row r="25" spans="3:14" x14ac:dyDescent="0.3">
      <c r="D25">
        <v>2</v>
      </c>
      <c r="E25">
        <v>3</v>
      </c>
    </row>
    <row r="26" spans="3:14" x14ac:dyDescent="0.3">
      <c r="D26">
        <v>2</v>
      </c>
      <c r="E26">
        <v>3</v>
      </c>
    </row>
    <row r="27" spans="3:14" x14ac:dyDescent="0.3">
      <c r="D27">
        <v>3</v>
      </c>
      <c r="E27">
        <v>3</v>
      </c>
    </row>
    <row r="28" spans="3:14" x14ac:dyDescent="0.3">
      <c r="D28">
        <v>2</v>
      </c>
      <c r="E28">
        <v>3</v>
      </c>
    </row>
    <row r="29" spans="3:14" x14ac:dyDescent="0.3">
      <c r="D29">
        <v>2</v>
      </c>
      <c r="E29">
        <v>4</v>
      </c>
    </row>
    <row r="30" spans="3:14" x14ac:dyDescent="0.3">
      <c r="D30">
        <v>3</v>
      </c>
      <c r="E30">
        <v>3</v>
      </c>
    </row>
    <row r="31" spans="3:14" x14ac:dyDescent="0.3">
      <c r="D31">
        <v>3</v>
      </c>
      <c r="E31">
        <v>3</v>
      </c>
    </row>
    <row r="32" spans="3:14" x14ac:dyDescent="0.3">
      <c r="D32">
        <v>4</v>
      </c>
      <c r="E32">
        <v>3</v>
      </c>
    </row>
    <row r="33" spans="4:5" x14ac:dyDescent="0.3">
      <c r="D33">
        <v>2</v>
      </c>
      <c r="E33">
        <v>4</v>
      </c>
    </row>
    <row r="34" spans="4:5" x14ac:dyDescent="0.3">
      <c r="D34">
        <v>3</v>
      </c>
      <c r="E34">
        <v>3</v>
      </c>
    </row>
    <row r="35" spans="4:5" x14ac:dyDescent="0.3">
      <c r="D35">
        <v>3</v>
      </c>
      <c r="E35">
        <v>3</v>
      </c>
    </row>
    <row r="36" spans="4:5" x14ac:dyDescent="0.3">
      <c r="D36">
        <v>3</v>
      </c>
      <c r="E36">
        <v>4</v>
      </c>
    </row>
    <row r="37" spans="4:5" x14ac:dyDescent="0.3">
      <c r="D37">
        <v>2</v>
      </c>
      <c r="E37">
        <v>3</v>
      </c>
    </row>
    <row r="38" spans="4:5" x14ac:dyDescent="0.3">
      <c r="D38">
        <v>2</v>
      </c>
      <c r="E38">
        <v>4</v>
      </c>
    </row>
    <row r="39" spans="4:5" x14ac:dyDescent="0.3">
      <c r="D39">
        <v>2</v>
      </c>
      <c r="E39">
        <v>2</v>
      </c>
    </row>
    <row r="40" spans="4:5" x14ac:dyDescent="0.3">
      <c r="D40">
        <v>2</v>
      </c>
      <c r="E40">
        <v>3</v>
      </c>
    </row>
    <row r="41" spans="4:5" x14ac:dyDescent="0.3">
      <c r="D41">
        <v>3</v>
      </c>
      <c r="E41">
        <v>2</v>
      </c>
    </row>
    <row r="42" spans="4:5" x14ac:dyDescent="0.3">
      <c r="D42">
        <v>2</v>
      </c>
      <c r="E42">
        <v>3</v>
      </c>
    </row>
    <row r="43" spans="4:5" x14ac:dyDescent="0.3">
      <c r="D43">
        <v>2</v>
      </c>
      <c r="E43">
        <v>4</v>
      </c>
    </row>
    <row r="44" spans="4:5" x14ac:dyDescent="0.3">
      <c r="D44">
        <v>2</v>
      </c>
      <c r="E44">
        <v>3</v>
      </c>
    </row>
    <row r="45" spans="4:5" x14ac:dyDescent="0.3">
      <c r="D45">
        <v>2</v>
      </c>
      <c r="E45">
        <v>3</v>
      </c>
    </row>
    <row r="46" spans="4:5" x14ac:dyDescent="0.3">
      <c r="D46">
        <v>2</v>
      </c>
      <c r="E46">
        <v>4</v>
      </c>
    </row>
    <row r="47" spans="4:5" x14ac:dyDescent="0.3">
      <c r="D47">
        <v>3</v>
      </c>
      <c r="E47">
        <v>4</v>
      </c>
    </row>
    <row r="48" spans="4:5" x14ac:dyDescent="0.3">
      <c r="D48">
        <v>3</v>
      </c>
      <c r="E48">
        <v>4</v>
      </c>
    </row>
    <row r="49" spans="4:5" x14ac:dyDescent="0.3">
      <c r="D49">
        <v>2</v>
      </c>
      <c r="E49">
        <v>4</v>
      </c>
    </row>
    <row r="50" spans="4:5" x14ac:dyDescent="0.3">
      <c r="D50">
        <v>3</v>
      </c>
      <c r="E50">
        <v>4</v>
      </c>
    </row>
    <row r="51" spans="4:5" x14ac:dyDescent="0.3">
      <c r="D51">
        <v>2</v>
      </c>
      <c r="E51">
        <v>3</v>
      </c>
    </row>
    <row r="52" spans="4:5" x14ac:dyDescent="0.3">
      <c r="D52">
        <v>2</v>
      </c>
      <c r="E52">
        <v>3</v>
      </c>
    </row>
    <row r="53" spans="4:5" x14ac:dyDescent="0.3">
      <c r="D53">
        <v>3</v>
      </c>
      <c r="E53">
        <v>3</v>
      </c>
    </row>
    <row r="54" spans="4:5" x14ac:dyDescent="0.3">
      <c r="D54">
        <v>3</v>
      </c>
      <c r="E54">
        <v>2</v>
      </c>
    </row>
    <row r="55" spans="4:5" x14ac:dyDescent="0.3">
      <c r="D55">
        <v>3</v>
      </c>
      <c r="E55">
        <v>3</v>
      </c>
    </row>
    <row r="56" spans="4:5" x14ac:dyDescent="0.3">
      <c r="D56">
        <v>3</v>
      </c>
      <c r="E56">
        <v>4</v>
      </c>
    </row>
    <row r="57" spans="4:5" x14ac:dyDescent="0.3">
      <c r="D57">
        <v>3</v>
      </c>
      <c r="E57">
        <v>4</v>
      </c>
    </row>
    <row r="58" spans="4:5" x14ac:dyDescent="0.3">
      <c r="D58">
        <v>3</v>
      </c>
      <c r="E58">
        <v>3</v>
      </c>
    </row>
    <row r="59" spans="4:5" x14ac:dyDescent="0.3">
      <c r="D59">
        <v>3</v>
      </c>
    </row>
    <row r="60" spans="4:5" x14ac:dyDescent="0.3">
      <c r="D60">
        <v>3</v>
      </c>
    </row>
    <row r="61" spans="4:5" x14ac:dyDescent="0.3">
      <c r="D61">
        <v>3</v>
      </c>
    </row>
    <row r="62" spans="4:5" x14ac:dyDescent="0.3">
      <c r="D62">
        <v>2</v>
      </c>
    </row>
    <row r="63" spans="4:5" x14ac:dyDescent="0.3">
      <c r="D63">
        <v>3</v>
      </c>
    </row>
    <row r="64" spans="4:5" x14ac:dyDescent="0.3">
      <c r="D64">
        <v>2</v>
      </c>
    </row>
    <row r="65" spans="4:4" x14ac:dyDescent="0.3">
      <c r="D65">
        <v>3</v>
      </c>
    </row>
    <row r="66" spans="4:4" x14ac:dyDescent="0.3">
      <c r="D66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DE630-5243-463C-A218-593B432A4C3A}">
  <dimension ref="A1:N69"/>
  <sheetViews>
    <sheetView workbookViewId="0">
      <selection activeCell="I13" sqref="I13"/>
    </sheetView>
  </sheetViews>
  <sheetFormatPr defaultRowHeight="14.4" x14ac:dyDescent="0.3"/>
  <sheetData>
    <row r="1" spans="1:14" x14ac:dyDescent="0.3">
      <c r="A1" s="6" t="s">
        <v>135</v>
      </c>
      <c r="B1" s="6">
        <v>1</v>
      </c>
      <c r="C1" s="6">
        <v>2</v>
      </c>
      <c r="D1" s="6">
        <v>3</v>
      </c>
      <c r="E1" s="6">
        <v>4</v>
      </c>
      <c r="F1" s="6">
        <v>5</v>
      </c>
    </row>
    <row r="2" spans="1:14" x14ac:dyDescent="0.3">
      <c r="B2" cm="1">
        <f t="array" ref="B2:B5">_xlfn._xlws.FILTER('QUANTIFIED RESPONSES'!$M:$M,'QUANTIFIED RESPONSES'!$P:$P=1,"")</f>
        <v>2</v>
      </c>
      <c r="C2" cm="1">
        <f t="array" ref="C2:C45">_xlfn._xlws.FILTER('QUANTIFIED RESPONSES'!$M:$M,'QUANTIFIED RESPONSES'!$P:$P=2,"")</f>
        <v>2</v>
      </c>
      <c r="D2" cm="1">
        <f t="array" ref="D2:D69">_xlfn._xlws.FILTER('QUANTIFIED RESPONSES'!$M:$M,'QUANTIFIED RESPONSES'!$P:$P=3,"")</f>
        <v>2</v>
      </c>
      <c r="E2" cm="1">
        <f t="array" ref="E2:E32">_xlfn._xlws.FILTER('QUANTIFIED RESPONSES'!$M:$M,'QUANTIFIED RESPONSES'!$P:$P=4,"")</f>
        <v>4</v>
      </c>
      <c r="F2" cm="1">
        <f t="array" ref="F2:F4">_xlfn._xlws.FILTER('QUANTIFIED RESPONSES'!$M:$M,'QUANTIFIED RESPONSES'!$P:$P=5,"")</f>
        <v>4</v>
      </c>
    </row>
    <row r="3" spans="1:14" x14ac:dyDescent="0.3">
      <c r="B3">
        <v>1</v>
      </c>
      <c r="C3">
        <v>3</v>
      </c>
      <c r="D3">
        <v>3</v>
      </c>
      <c r="E3">
        <v>4</v>
      </c>
      <c r="F3">
        <v>4</v>
      </c>
      <c r="H3" t="s">
        <v>136</v>
      </c>
    </row>
    <row r="4" spans="1:14" x14ac:dyDescent="0.3">
      <c r="B4">
        <v>2</v>
      </c>
      <c r="C4">
        <v>2</v>
      </c>
      <c r="D4">
        <v>4</v>
      </c>
      <c r="E4">
        <v>3</v>
      </c>
      <c r="F4">
        <v>5</v>
      </c>
    </row>
    <row r="5" spans="1:14" ht="15" thickBot="1" x14ac:dyDescent="0.35">
      <c r="B5">
        <v>1</v>
      </c>
      <c r="C5">
        <v>2</v>
      </c>
      <c r="D5">
        <v>3</v>
      </c>
      <c r="E5">
        <v>4</v>
      </c>
      <c r="H5" t="s">
        <v>137</v>
      </c>
    </row>
    <row r="6" spans="1:14" x14ac:dyDescent="0.3">
      <c r="C6">
        <v>3</v>
      </c>
      <c r="D6">
        <v>4</v>
      </c>
      <c r="E6">
        <v>4</v>
      </c>
      <c r="H6" s="8" t="s">
        <v>138</v>
      </c>
      <c r="I6" s="8" t="s">
        <v>139</v>
      </c>
      <c r="J6" s="8" t="s">
        <v>140</v>
      </c>
      <c r="K6" s="8" t="s">
        <v>141</v>
      </c>
      <c r="L6" s="8" t="s">
        <v>142</v>
      </c>
    </row>
    <row r="7" spans="1:14" x14ac:dyDescent="0.3">
      <c r="C7">
        <v>2</v>
      </c>
      <c r="D7">
        <v>3</v>
      </c>
      <c r="E7">
        <v>4</v>
      </c>
      <c r="H7">
        <v>1</v>
      </c>
      <c r="I7">
        <v>4</v>
      </c>
      <c r="J7">
        <v>6</v>
      </c>
      <c r="K7">
        <v>1.5</v>
      </c>
      <c r="L7">
        <v>0.33333333333333331</v>
      </c>
    </row>
    <row r="8" spans="1:14" x14ac:dyDescent="0.3">
      <c r="C8">
        <v>3</v>
      </c>
      <c r="D8">
        <v>3</v>
      </c>
      <c r="E8">
        <v>3</v>
      </c>
      <c r="H8">
        <v>2</v>
      </c>
      <c r="I8">
        <v>44</v>
      </c>
      <c r="J8">
        <v>107</v>
      </c>
      <c r="K8">
        <v>2.4318181818181817</v>
      </c>
      <c r="L8">
        <v>0.25105708245243163</v>
      </c>
    </row>
    <row r="9" spans="1:14" x14ac:dyDescent="0.3">
      <c r="C9">
        <v>2</v>
      </c>
      <c r="D9">
        <v>3</v>
      </c>
      <c r="E9">
        <v>4</v>
      </c>
      <c r="H9">
        <v>3</v>
      </c>
      <c r="I9">
        <v>68</v>
      </c>
      <c r="J9">
        <v>200</v>
      </c>
      <c r="K9">
        <v>2.9411764705882355</v>
      </c>
      <c r="L9">
        <v>0.38454784899034222</v>
      </c>
    </row>
    <row r="10" spans="1:14" x14ac:dyDescent="0.3">
      <c r="C10">
        <v>3</v>
      </c>
      <c r="D10">
        <v>3</v>
      </c>
      <c r="E10">
        <v>3</v>
      </c>
      <c r="H10">
        <v>4</v>
      </c>
      <c r="I10">
        <v>31</v>
      </c>
      <c r="J10">
        <v>114</v>
      </c>
      <c r="K10">
        <v>3.6774193548387095</v>
      </c>
      <c r="L10">
        <v>0.49247311827956913</v>
      </c>
    </row>
    <row r="11" spans="1:14" ht="15" thickBot="1" x14ac:dyDescent="0.35">
      <c r="C11">
        <v>3</v>
      </c>
      <c r="D11">
        <v>2</v>
      </c>
      <c r="E11">
        <v>4</v>
      </c>
      <c r="H11" s="7">
        <v>5</v>
      </c>
      <c r="I11" s="7">
        <v>3</v>
      </c>
      <c r="J11" s="7">
        <v>13</v>
      </c>
      <c r="K11" s="7">
        <v>4.333333333333333</v>
      </c>
      <c r="L11" s="7">
        <v>0.33333333333333215</v>
      </c>
    </row>
    <row r="12" spans="1:14" x14ac:dyDescent="0.3">
      <c r="C12">
        <v>3</v>
      </c>
      <c r="D12">
        <v>2</v>
      </c>
      <c r="E12">
        <v>5</v>
      </c>
    </row>
    <row r="13" spans="1:14" x14ac:dyDescent="0.3">
      <c r="C13">
        <v>2</v>
      </c>
      <c r="D13">
        <v>4</v>
      </c>
      <c r="E13">
        <v>4</v>
      </c>
    </row>
    <row r="14" spans="1:14" ht="15" thickBot="1" x14ac:dyDescent="0.35">
      <c r="C14">
        <v>3</v>
      </c>
      <c r="D14">
        <v>2</v>
      </c>
      <c r="E14">
        <v>3</v>
      </c>
      <c r="H14" t="s">
        <v>143</v>
      </c>
    </row>
    <row r="15" spans="1:14" x14ac:dyDescent="0.3">
      <c r="C15">
        <v>2</v>
      </c>
      <c r="D15">
        <v>3</v>
      </c>
      <c r="E15">
        <v>3</v>
      </c>
      <c r="H15" s="8" t="s">
        <v>144</v>
      </c>
      <c r="I15" s="8" t="s">
        <v>145</v>
      </c>
      <c r="J15" s="8" t="s">
        <v>146</v>
      </c>
      <c r="K15" s="8" t="s">
        <v>147</v>
      </c>
      <c r="L15" s="8" t="s">
        <v>148</v>
      </c>
      <c r="M15" s="8" t="s">
        <v>149</v>
      </c>
      <c r="N15" s="8" t="s">
        <v>150</v>
      </c>
    </row>
    <row r="16" spans="1:14" x14ac:dyDescent="0.3">
      <c r="C16">
        <v>3</v>
      </c>
      <c r="D16">
        <v>3</v>
      </c>
      <c r="E16">
        <v>4</v>
      </c>
      <c r="H16" t="s">
        <v>151</v>
      </c>
      <c r="I16">
        <v>42.332312690472108</v>
      </c>
      <c r="J16">
        <v>4</v>
      </c>
      <c r="K16">
        <v>10.583078172618027</v>
      </c>
      <c r="L16">
        <v>28.953146871829222</v>
      </c>
      <c r="M16">
        <v>1.0874533046751437E-17</v>
      </c>
      <c r="N16">
        <v>2.4340651357887815</v>
      </c>
    </row>
    <row r="17" spans="3:14" x14ac:dyDescent="0.3">
      <c r="C17">
        <v>2</v>
      </c>
      <c r="D17">
        <v>4</v>
      </c>
      <c r="E17">
        <v>3</v>
      </c>
      <c r="H17" t="s">
        <v>152</v>
      </c>
      <c r="I17">
        <v>53.001020642861235</v>
      </c>
      <c r="J17">
        <v>145</v>
      </c>
      <c r="K17">
        <v>0.36552428029559475</v>
      </c>
    </row>
    <row r="18" spans="3:14" x14ac:dyDescent="0.3">
      <c r="C18">
        <v>3</v>
      </c>
      <c r="D18">
        <v>3</v>
      </c>
      <c r="E18">
        <v>4</v>
      </c>
    </row>
    <row r="19" spans="3:14" ht="15" thickBot="1" x14ac:dyDescent="0.35">
      <c r="C19">
        <v>3</v>
      </c>
      <c r="D19">
        <v>3</v>
      </c>
      <c r="E19">
        <v>3</v>
      </c>
      <c r="H19" s="7" t="s">
        <v>153</v>
      </c>
      <c r="I19" s="7">
        <v>95.333333333333343</v>
      </c>
      <c r="J19" s="7">
        <v>149</v>
      </c>
      <c r="K19" s="7"/>
      <c r="L19" s="7"/>
      <c r="M19" s="7"/>
      <c r="N19" s="7"/>
    </row>
    <row r="20" spans="3:14" x14ac:dyDescent="0.3">
      <c r="C20">
        <v>3</v>
      </c>
      <c r="D20">
        <v>3</v>
      </c>
      <c r="E20">
        <v>4</v>
      </c>
    </row>
    <row r="21" spans="3:14" x14ac:dyDescent="0.3">
      <c r="C21">
        <v>2</v>
      </c>
      <c r="D21">
        <v>2</v>
      </c>
      <c r="E21">
        <v>3</v>
      </c>
    </row>
    <row r="22" spans="3:14" x14ac:dyDescent="0.3">
      <c r="C22">
        <v>2</v>
      </c>
      <c r="D22">
        <v>2</v>
      </c>
      <c r="E22">
        <v>2</v>
      </c>
    </row>
    <row r="23" spans="3:14" x14ac:dyDescent="0.3">
      <c r="C23">
        <v>3</v>
      </c>
      <c r="D23">
        <v>2</v>
      </c>
      <c r="E23">
        <v>3</v>
      </c>
    </row>
    <row r="24" spans="3:14" x14ac:dyDescent="0.3">
      <c r="C24">
        <v>2</v>
      </c>
      <c r="D24">
        <v>3</v>
      </c>
      <c r="E24">
        <v>4</v>
      </c>
    </row>
    <row r="25" spans="3:14" x14ac:dyDescent="0.3">
      <c r="C25">
        <v>2</v>
      </c>
      <c r="D25">
        <v>4</v>
      </c>
      <c r="E25">
        <v>3</v>
      </c>
    </row>
    <row r="26" spans="3:14" x14ac:dyDescent="0.3">
      <c r="C26">
        <v>3</v>
      </c>
      <c r="D26">
        <v>3</v>
      </c>
      <c r="E26">
        <v>4</v>
      </c>
    </row>
    <row r="27" spans="3:14" x14ac:dyDescent="0.3">
      <c r="C27">
        <v>2</v>
      </c>
      <c r="D27">
        <v>3</v>
      </c>
      <c r="E27">
        <v>4</v>
      </c>
    </row>
    <row r="28" spans="3:14" x14ac:dyDescent="0.3">
      <c r="C28">
        <v>3</v>
      </c>
      <c r="D28">
        <v>4</v>
      </c>
      <c r="E28">
        <v>5</v>
      </c>
    </row>
    <row r="29" spans="3:14" x14ac:dyDescent="0.3">
      <c r="C29">
        <v>2</v>
      </c>
      <c r="D29">
        <v>3</v>
      </c>
      <c r="E29">
        <v>3</v>
      </c>
    </row>
    <row r="30" spans="3:14" x14ac:dyDescent="0.3">
      <c r="C30">
        <v>2</v>
      </c>
      <c r="D30">
        <v>3</v>
      </c>
      <c r="E30">
        <v>4</v>
      </c>
    </row>
    <row r="31" spans="3:14" x14ac:dyDescent="0.3">
      <c r="C31">
        <v>3</v>
      </c>
      <c r="D31">
        <v>3</v>
      </c>
      <c r="E31">
        <v>4</v>
      </c>
    </row>
    <row r="32" spans="3:14" x14ac:dyDescent="0.3">
      <c r="C32">
        <v>2</v>
      </c>
      <c r="D32">
        <v>3</v>
      </c>
      <c r="E32">
        <v>5</v>
      </c>
    </row>
    <row r="33" spans="3:4" x14ac:dyDescent="0.3">
      <c r="C33">
        <v>2</v>
      </c>
      <c r="D33">
        <v>3</v>
      </c>
    </row>
    <row r="34" spans="3:4" x14ac:dyDescent="0.3">
      <c r="C34">
        <v>2</v>
      </c>
      <c r="D34">
        <v>3</v>
      </c>
    </row>
    <row r="35" spans="3:4" x14ac:dyDescent="0.3">
      <c r="C35">
        <v>2</v>
      </c>
      <c r="D35">
        <v>3</v>
      </c>
    </row>
    <row r="36" spans="3:4" x14ac:dyDescent="0.3">
      <c r="C36">
        <v>2</v>
      </c>
      <c r="D36">
        <v>3</v>
      </c>
    </row>
    <row r="37" spans="3:4" x14ac:dyDescent="0.3">
      <c r="C37">
        <v>2</v>
      </c>
      <c r="D37">
        <v>2</v>
      </c>
    </row>
    <row r="38" spans="3:4" x14ac:dyDescent="0.3">
      <c r="C38">
        <v>2</v>
      </c>
      <c r="D38">
        <v>2</v>
      </c>
    </row>
    <row r="39" spans="3:4" x14ac:dyDescent="0.3">
      <c r="C39">
        <v>3</v>
      </c>
      <c r="D39">
        <v>3</v>
      </c>
    </row>
    <row r="40" spans="3:4" x14ac:dyDescent="0.3">
      <c r="C40">
        <v>2</v>
      </c>
      <c r="D40">
        <v>4</v>
      </c>
    </row>
    <row r="41" spans="3:4" x14ac:dyDescent="0.3">
      <c r="C41">
        <v>3</v>
      </c>
      <c r="D41">
        <v>3</v>
      </c>
    </row>
    <row r="42" spans="3:4" x14ac:dyDescent="0.3">
      <c r="C42">
        <v>2</v>
      </c>
      <c r="D42">
        <v>2</v>
      </c>
    </row>
    <row r="43" spans="3:4" x14ac:dyDescent="0.3">
      <c r="C43">
        <v>2</v>
      </c>
      <c r="D43">
        <v>2</v>
      </c>
    </row>
    <row r="44" spans="3:4" x14ac:dyDescent="0.3">
      <c r="C44">
        <v>3</v>
      </c>
      <c r="D44">
        <v>3</v>
      </c>
    </row>
    <row r="45" spans="3:4" x14ac:dyDescent="0.3">
      <c r="C45">
        <v>3</v>
      </c>
      <c r="D45">
        <v>3</v>
      </c>
    </row>
    <row r="46" spans="3:4" x14ac:dyDescent="0.3">
      <c r="D46">
        <v>2</v>
      </c>
    </row>
    <row r="47" spans="3:4" x14ac:dyDescent="0.3">
      <c r="D47">
        <v>3</v>
      </c>
    </row>
    <row r="48" spans="3:4" x14ac:dyDescent="0.3">
      <c r="D48">
        <v>2</v>
      </c>
    </row>
    <row r="49" spans="4:4" x14ac:dyDescent="0.3">
      <c r="D49">
        <v>3</v>
      </c>
    </row>
    <row r="50" spans="4:4" x14ac:dyDescent="0.3">
      <c r="D50">
        <v>4</v>
      </c>
    </row>
    <row r="51" spans="4:4" x14ac:dyDescent="0.3">
      <c r="D51">
        <v>3</v>
      </c>
    </row>
    <row r="52" spans="4:4" x14ac:dyDescent="0.3">
      <c r="D52">
        <v>3</v>
      </c>
    </row>
    <row r="53" spans="4:4" x14ac:dyDescent="0.3">
      <c r="D53">
        <v>4</v>
      </c>
    </row>
    <row r="54" spans="4:4" x14ac:dyDescent="0.3">
      <c r="D54">
        <v>4</v>
      </c>
    </row>
    <row r="55" spans="4:4" x14ac:dyDescent="0.3">
      <c r="D55">
        <v>3</v>
      </c>
    </row>
    <row r="56" spans="4:4" x14ac:dyDescent="0.3">
      <c r="D56">
        <v>4</v>
      </c>
    </row>
    <row r="57" spans="4:4" x14ac:dyDescent="0.3">
      <c r="D57">
        <v>3</v>
      </c>
    </row>
    <row r="58" spans="4:4" x14ac:dyDescent="0.3">
      <c r="D58">
        <v>3</v>
      </c>
    </row>
    <row r="59" spans="4:4" x14ac:dyDescent="0.3">
      <c r="D59">
        <v>3</v>
      </c>
    </row>
    <row r="60" spans="4:4" x14ac:dyDescent="0.3">
      <c r="D60">
        <v>3</v>
      </c>
    </row>
    <row r="61" spans="4:4" x14ac:dyDescent="0.3">
      <c r="D61">
        <v>2</v>
      </c>
    </row>
    <row r="62" spans="4:4" x14ac:dyDescent="0.3">
      <c r="D62">
        <v>3</v>
      </c>
    </row>
    <row r="63" spans="4:4" x14ac:dyDescent="0.3">
      <c r="D63">
        <v>3</v>
      </c>
    </row>
    <row r="64" spans="4:4" x14ac:dyDescent="0.3">
      <c r="D64">
        <v>3</v>
      </c>
    </row>
    <row r="65" spans="4:4" x14ac:dyDescent="0.3">
      <c r="D65">
        <v>3</v>
      </c>
    </row>
    <row r="66" spans="4:4" x14ac:dyDescent="0.3">
      <c r="D66">
        <v>3</v>
      </c>
    </row>
    <row r="67" spans="4:4" x14ac:dyDescent="0.3">
      <c r="D67">
        <v>2</v>
      </c>
    </row>
    <row r="68" spans="4:4" x14ac:dyDescent="0.3">
      <c r="D68">
        <v>3</v>
      </c>
    </row>
    <row r="69" spans="4:4" x14ac:dyDescent="0.3">
      <c r="D69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4CB5B-62C6-4142-AC1D-19D13BDFD180}">
  <dimension ref="A1:N73"/>
  <sheetViews>
    <sheetView workbookViewId="0">
      <selection activeCell="H3" sqref="H3:N19"/>
    </sheetView>
  </sheetViews>
  <sheetFormatPr defaultRowHeight="14.4" x14ac:dyDescent="0.3"/>
  <sheetData>
    <row r="1" spans="1:14" x14ac:dyDescent="0.3">
      <c r="A1" s="6" t="s">
        <v>135</v>
      </c>
      <c r="B1" s="6">
        <v>1</v>
      </c>
      <c r="C1" s="6">
        <v>2</v>
      </c>
      <c r="D1" s="6">
        <v>3</v>
      </c>
      <c r="E1" s="6">
        <v>4</v>
      </c>
      <c r="F1" s="6">
        <v>5</v>
      </c>
    </row>
    <row r="2" spans="1:14" x14ac:dyDescent="0.3">
      <c r="B2" cm="1">
        <f t="array" ref="B2:B5">_xlfn._xlws.FILTER('QUANTIFIED RESPONSES'!$M:$M,'QUANTIFIED RESPONSES'!$Q:$Q=1,"")</f>
        <v>2</v>
      </c>
      <c r="C2" cm="1">
        <f t="array" ref="C2:C43">_xlfn._xlws.FILTER('QUANTIFIED RESPONSES'!$M:$M,'QUANTIFIED RESPONSES'!$Q:$Q=2,"")</f>
        <v>2</v>
      </c>
      <c r="D2" cm="1">
        <f t="array" ref="D2:D73">_xlfn._xlws.FILTER('QUANTIFIED RESPONSES'!$M:$M,'QUANTIFIED RESPONSES'!$Q:$Q=3,"")</f>
        <v>3</v>
      </c>
      <c r="E2" cm="1">
        <f t="array" ref="E2:E30">_xlfn._xlws.FILTER('QUANTIFIED RESPONSES'!$M:$M,'QUANTIFIED RESPONSES'!$Q:$Q=4,"")</f>
        <v>4</v>
      </c>
      <c r="F2" cm="1">
        <f t="array" ref="F2:F4">_xlfn._xlws.FILTER('QUANTIFIED RESPONSES'!$M:$M,'QUANTIFIED RESPONSES'!$Q:$Q=5,"")</f>
        <v>4</v>
      </c>
    </row>
    <row r="3" spans="1:14" x14ac:dyDescent="0.3">
      <c r="B3">
        <v>2</v>
      </c>
      <c r="C3">
        <v>2</v>
      </c>
      <c r="D3">
        <v>4</v>
      </c>
      <c r="E3">
        <v>4</v>
      </c>
      <c r="F3">
        <v>5</v>
      </c>
      <c r="H3" t="s">
        <v>136</v>
      </c>
    </row>
    <row r="4" spans="1:14" x14ac:dyDescent="0.3">
      <c r="B4">
        <v>2</v>
      </c>
      <c r="C4">
        <v>3</v>
      </c>
      <c r="D4">
        <v>3</v>
      </c>
      <c r="E4">
        <v>4</v>
      </c>
      <c r="F4">
        <v>5</v>
      </c>
    </row>
    <row r="5" spans="1:14" ht="15" thickBot="1" x14ac:dyDescent="0.35">
      <c r="B5">
        <v>1</v>
      </c>
      <c r="C5">
        <v>2</v>
      </c>
      <c r="D5">
        <v>3</v>
      </c>
      <c r="E5">
        <v>4</v>
      </c>
      <c r="H5" t="s">
        <v>137</v>
      </c>
    </row>
    <row r="6" spans="1:14" x14ac:dyDescent="0.3">
      <c r="C6">
        <v>2</v>
      </c>
      <c r="D6">
        <v>4</v>
      </c>
      <c r="E6">
        <v>4</v>
      </c>
      <c r="H6" s="8" t="s">
        <v>138</v>
      </c>
      <c r="I6" s="8" t="s">
        <v>139</v>
      </c>
      <c r="J6" s="8" t="s">
        <v>140</v>
      </c>
      <c r="K6" s="8" t="s">
        <v>141</v>
      </c>
      <c r="L6" s="8" t="s">
        <v>142</v>
      </c>
    </row>
    <row r="7" spans="1:14" x14ac:dyDescent="0.3">
      <c r="C7">
        <v>2</v>
      </c>
      <c r="D7">
        <v>3</v>
      </c>
      <c r="E7">
        <v>4</v>
      </c>
      <c r="H7">
        <v>1</v>
      </c>
      <c r="I7">
        <v>4</v>
      </c>
      <c r="J7">
        <v>7</v>
      </c>
      <c r="K7">
        <v>1.75</v>
      </c>
      <c r="L7">
        <v>0.25</v>
      </c>
    </row>
    <row r="8" spans="1:14" x14ac:dyDescent="0.3">
      <c r="C8">
        <v>2</v>
      </c>
      <c r="D8">
        <v>3</v>
      </c>
      <c r="E8">
        <v>4</v>
      </c>
      <c r="H8">
        <v>2</v>
      </c>
      <c r="I8">
        <v>42</v>
      </c>
      <c r="J8">
        <v>98</v>
      </c>
      <c r="K8">
        <v>2.3333333333333335</v>
      </c>
      <c r="L8">
        <v>0.2764227642276425</v>
      </c>
    </row>
    <row r="9" spans="1:14" x14ac:dyDescent="0.3">
      <c r="C9">
        <v>2</v>
      </c>
      <c r="D9">
        <v>3</v>
      </c>
      <c r="E9">
        <v>5</v>
      </c>
      <c r="H9">
        <v>3</v>
      </c>
      <c r="I9">
        <v>72</v>
      </c>
      <c r="J9">
        <v>208</v>
      </c>
      <c r="K9">
        <v>2.8888888888888888</v>
      </c>
      <c r="L9">
        <v>0.26917057902973363</v>
      </c>
    </row>
    <row r="10" spans="1:14" x14ac:dyDescent="0.3">
      <c r="C10">
        <v>1</v>
      </c>
      <c r="D10">
        <v>3</v>
      </c>
      <c r="E10">
        <v>4</v>
      </c>
      <c r="H10">
        <v>4</v>
      </c>
      <c r="I10">
        <v>29</v>
      </c>
      <c r="J10">
        <v>113</v>
      </c>
      <c r="K10">
        <v>3.896551724137931</v>
      </c>
      <c r="L10">
        <v>0.23891625615763498</v>
      </c>
    </row>
    <row r="11" spans="1:14" ht="15" thickBot="1" x14ac:dyDescent="0.35">
      <c r="C11">
        <v>2</v>
      </c>
      <c r="D11">
        <v>3</v>
      </c>
      <c r="E11">
        <v>4</v>
      </c>
      <c r="H11" s="7">
        <v>5</v>
      </c>
      <c r="I11" s="7">
        <v>3</v>
      </c>
      <c r="J11" s="7">
        <v>14</v>
      </c>
      <c r="K11" s="7">
        <v>4.666666666666667</v>
      </c>
      <c r="L11" s="7">
        <v>0.3333333333333357</v>
      </c>
    </row>
    <row r="12" spans="1:14" x14ac:dyDescent="0.3">
      <c r="C12">
        <v>3</v>
      </c>
      <c r="D12">
        <v>3</v>
      </c>
      <c r="E12">
        <v>4</v>
      </c>
    </row>
    <row r="13" spans="1:14" x14ac:dyDescent="0.3">
      <c r="C13">
        <v>3</v>
      </c>
      <c r="D13">
        <v>3</v>
      </c>
      <c r="E13">
        <v>3</v>
      </c>
    </row>
    <row r="14" spans="1:14" ht="15" thickBot="1" x14ac:dyDescent="0.35">
      <c r="C14">
        <v>2</v>
      </c>
      <c r="D14">
        <v>2</v>
      </c>
      <c r="E14">
        <v>4</v>
      </c>
      <c r="H14" t="s">
        <v>143</v>
      </c>
    </row>
    <row r="15" spans="1:14" x14ac:dyDescent="0.3">
      <c r="C15">
        <v>3</v>
      </c>
      <c r="D15">
        <v>3</v>
      </c>
      <c r="E15">
        <v>3</v>
      </c>
      <c r="H15" s="8" t="s">
        <v>144</v>
      </c>
      <c r="I15" s="8" t="s">
        <v>145</v>
      </c>
      <c r="J15" s="8" t="s">
        <v>146</v>
      </c>
      <c r="K15" s="8" t="s">
        <v>147</v>
      </c>
      <c r="L15" s="8" t="s">
        <v>148</v>
      </c>
      <c r="M15" s="8" t="s">
        <v>149</v>
      </c>
      <c r="N15" s="8" t="s">
        <v>150</v>
      </c>
    </row>
    <row r="16" spans="1:14" x14ac:dyDescent="0.3">
      <c r="C16">
        <v>3</v>
      </c>
      <c r="D16">
        <v>3</v>
      </c>
      <c r="E16">
        <v>4</v>
      </c>
      <c r="H16" t="s">
        <v>151</v>
      </c>
      <c r="I16">
        <v>56.782567049808421</v>
      </c>
      <c r="J16">
        <v>4</v>
      </c>
      <c r="K16">
        <v>14.195641762452105</v>
      </c>
      <c r="L16">
        <v>53.393700151564111</v>
      </c>
      <c r="M16">
        <v>1.372138345714364E-27</v>
      </c>
      <c r="N16">
        <v>2.4340651357887815</v>
      </c>
    </row>
    <row r="17" spans="3:14" x14ac:dyDescent="0.3">
      <c r="C17">
        <v>3</v>
      </c>
      <c r="D17">
        <v>4</v>
      </c>
      <c r="E17">
        <v>4</v>
      </c>
      <c r="H17" t="s">
        <v>152</v>
      </c>
      <c r="I17">
        <v>38.550766283524879</v>
      </c>
      <c r="J17">
        <v>145</v>
      </c>
      <c r="K17">
        <v>0.26586735367948194</v>
      </c>
    </row>
    <row r="18" spans="3:14" x14ac:dyDescent="0.3">
      <c r="C18">
        <v>2</v>
      </c>
      <c r="D18">
        <v>2</v>
      </c>
      <c r="E18">
        <v>3</v>
      </c>
    </row>
    <row r="19" spans="3:14" ht="15" thickBot="1" x14ac:dyDescent="0.35">
      <c r="C19">
        <v>2</v>
      </c>
      <c r="D19">
        <v>3</v>
      </c>
      <c r="E19">
        <v>4</v>
      </c>
      <c r="H19" s="7" t="s">
        <v>153</v>
      </c>
      <c r="I19" s="7">
        <v>95.3333333333333</v>
      </c>
      <c r="J19" s="7">
        <v>149</v>
      </c>
      <c r="K19" s="7"/>
      <c r="L19" s="7"/>
      <c r="M19" s="7"/>
      <c r="N19" s="7"/>
    </row>
    <row r="20" spans="3:14" x14ac:dyDescent="0.3">
      <c r="C20">
        <v>2</v>
      </c>
      <c r="D20">
        <v>3</v>
      </c>
      <c r="E20">
        <v>4</v>
      </c>
    </row>
    <row r="21" spans="3:14" x14ac:dyDescent="0.3">
      <c r="C21">
        <v>3</v>
      </c>
      <c r="D21">
        <v>2</v>
      </c>
      <c r="E21">
        <v>3</v>
      </c>
    </row>
    <row r="22" spans="3:14" x14ac:dyDescent="0.3">
      <c r="C22">
        <v>3</v>
      </c>
      <c r="D22">
        <v>3</v>
      </c>
      <c r="E22">
        <v>4</v>
      </c>
    </row>
    <row r="23" spans="3:14" x14ac:dyDescent="0.3">
      <c r="C23">
        <v>2</v>
      </c>
      <c r="D23">
        <v>3</v>
      </c>
      <c r="E23">
        <v>4</v>
      </c>
    </row>
    <row r="24" spans="3:14" x14ac:dyDescent="0.3">
      <c r="C24">
        <v>3</v>
      </c>
      <c r="D24">
        <v>3</v>
      </c>
      <c r="E24">
        <v>4</v>
      </c>
    </row>
    <row r="25" spans="3:14" x14ac:dyDescent="0.3">
      <c r="C25">
        <v>3</v>
      </c>
      <c r="D25">
        <v>3</v>
      </c>
      <c r="E25">
        <v>4</v>
      </c>
    </row>
    <row r="26" spans="3:14" x14ac:dyDescent="0.3">
      <c r="C26">
        <v>3</v>
      </c>
      <c r="D26">
        <v>3</v>
      </c>
      <c r="E26">
        <v>4</v>
      </c>
    </row>
    <row r="27" spans="3:14" x14ac:dyDescent="0.3">
      <c r="C27">
        <v>2</v>
      </c>
      <c r="D27">
        <v>3</v>
      </c>
      <c r="E27">
        <v>5</v>
      </c>
    </row>
    <row r="28" spans="3:14" x14ac:dyDescent="0.3">
      <c r="C28">
        <v>2</v>
      </c>
      <c r="D28">
        <v>3</v>
      </c>
      <c r="E28">
        <v>3</v>
      </c>
    </row>
    <row r="29" spans="3:14" x14ac:dyDescent="0.3">
      <c r="C29">
        <v>2</v>
      </c>
      <c r="D29">
        <v>2</v>
      </c>
      <c r="E29">
        <v>4</v>
      </c>
    </row>
    <row r="30" spans="3:14" x14ac:dyDescent="0.3">
      <c r="C30">
        <v>2</v>
      </c>
      <c r="D30">
        <v>2</v>
      </c>
      <c r="E30">
        <v>4</v>
      </c>
    </row>
    <row r="31" spans="3:14" x14ac:dyDescent="0.3">
      <c r="C31">
        <v>2</v>
      </c>
      <c r="D31">
        <v>2</v>
      </c>
    </row>
    <row r="32" spans="3:14" x14ac:dyDescent="0.3">
      <c r="C32">
        <v>2</v>
      </c>
      <c r="D32">
        <v>3</v>
      </c>
    </row>
    <row r="33" spans="3:4" x14ac:dyDescent="0.3">
      <c r="C33">
        <v>2</v>
      </c>
      <c r="D33">
        <v>3</v>
      </c>
    </row>
    <row r="34" spans="3:4" x14ac:dyDescent="0.3">
      <c r="C34">
        <v>2</v>
      </c>
      <c r="D34">
        <v>2</v>
      </c>
    </row>
    <row r="35" spans="3:4" x14ac:dyDescent="0.3">
      <c r="C35">
        <v>2</v>
      </c>
      <c r="D35">
        <v>3</v>
      </c>
    </row>
    <row r="36" spans="3:4" x14ac:dyDescent="0.3">
      <c r="C36">
        <v>2</v>
      </c>
      <c r="D36">
        <v>3</v>
      </c>
    </row>
    <row r="37" spans="3:4" x14ac:dyDescent="0.3">
      <c r="C37">
        <v>3</v>
      </c>
      <c r="D37">
        <v>3</v>
      </c>
    </row>
    <row r="38" spans="3:4" x14ac:dyDescent="0.3">
      <c r="C38">
        <v>2</v>
      </c>
      <c r="D38">
        <v>3</v>
      </c>
    </row>
    <row r="39" spans="3:4" x14ac:dyDescent="0.3">
      <c r="C39">
        <v>3</v>
      </c>
      <c r="D39">
        <v>3</v>
      </c>
    </row>
    <row r="40" spans="3:4" x14ac:dyDescent="0.3">
      <c r="C40">
        <v>3</v>
      </c>
      <c r="D40">
        <v>3</v>
      </c>
    </row>
    <row r="41" spans="3:4" x14ac:dyDescent="0.3">
      <c r="C41">
        <v>2</v>
      </c>
      <c r="D41">
        <v>2</v>
      </c>
    </row>
    <row r="42" spans="3:4" x14ac:dyDescent="0.3">
      <c r="C42">
        <v>2</v>
      </c>
      <c r="D42">
        <v>2</v>
      </c>
    </row>
    <row r="43" spans="3:4" x14ac:dyDescent="0.3">
      <c r="C43">
        <v>3</v>
      </c>
      <c r="D43">
        <v>3</v>
      </c>
    </row>
    <row r="44" spans="3:4" x14ac:dyDescent="0.3">
      <c r="D44">
        <v>3</v>
      </c>
    </row>
    <row r="45" spans="3:4" x14ac:dyDescent="0.3">
      <c r="D45">
        <v>4</v>
      </c>
    </row>
    <row r="46" spans="3:4" x14ac:dyDescent="0.3">
      <c r="D46">
        <v>3</v>
      </c>
    </row>
    <row r="47" spans="3:4" x14ac:dyDescent="0.3">
      <c r="D47">
        <v>3</v>
      </c>
    </row>
    <row r="48" spans="3:4" x14ac:dyDescent="0.3">
      <c r="D48">
        <v>2</v>
      </c>
    </row>
    <row r="49" spans="4:4" x14ac:dyDescent="0.3">
      <c r="D49">
        <v>2</v>
      </c>
    </row>
    <row r="50" spans="4:4" x14ac:dyDescent="0.3">
      <c r="D50">
        <v>2</v>
      </c>
    </row>
    <row r="51" spans="4:4" x14ac:dyDescent="0.3">
      <c r="D51">
        <v>3</v>
      </c>
    </row>
    <row r="52" spans="4:4" x14ac:dyDescent="0.3">
      <c r="D52">
        <v>3</v>
      </c>
    </row>
    <row r="53" spans="4:4" x14ac:dyDescent="0.3">
      <c r="D53">
        <v>3</v>
      </c>
    </row>
    <row r="54" spans="4:4" x14ac:dyDescent="0.3">
      <c r="D54">
        <v>3</v>
      </c>
    </row>
    <row r="55" spans="4:4" x14ac:dyDescent="0.3">
      <c r="D55">
        <v>3</v>
      </c>
    </row>
    <row r="56" spans="4:4" x14ac:dyDescent="0.3">
      <c r="D56">
        <v>3</v>
      </c>
    </row>
    <row r="57" spans="4:4" x14ac:dyDescent="0.3">
      <c r="D57">
        <v>3</v>
      </c>
    </row>
    <row r="58" spans="4:4" x14ac:dyDescent="0.3">
      <c r="D58">
        <v>4</v>
      </c>
    </row>
    <row r="59" spans="4:4" x14ac:dyDescent="0.3">
      <c r="D59">
        <v>4</v>
      </c>
    </row>
    <row r="60" spans="4:4" x14ac:dyDescent="0.3">
      <c r="D60">
        <v>3</v>
      </c>
    </row>
    <row r="61" spans="4:4" x14ac:dyDescent="0.3">
      <c r="D61">
        <v>3</v>
      </c>
    </row>
    <row r="62" spans="4:4" x14ac:dyDescent="0.3">
      <c r="D62">
        <v>3</v>
      </c>
    </row>
    <row r="63" spans="4:4" x14ac:dyDescent="0.3">
      <c r="D63">
        <v>3</v>
      </c>
    </row>
    <row r="64" spans="4:4" x14ac:dyDescent="0.3">
      <c r="D64">
        <v>3</v>
      </c>
    </row>
    <row r="65" spans="4:4" x14ac:dyDescent="0.3">
      <c r="D65">
        <v>2</v>
      </c>
    </row>
    <row r="66" spans="4:4" x14ac:dyDescent="0.3">
      <c r="D66">
        <v>3</v>
      </c>
    </row>
    <row r="67" spans="4:4" x14ac:dyDescent="0.3">
      <c r="D67">
        <v>3</v>
      </c>
    </row>
    <row r="68" spans="4:4" x14ac:dyDescent="0.3">
      <c r="D68">
        <v>3</v>
      </c>
    </row>
    <row r="69" spans="4:4" x14ac:dyDescent="0.3">
      <c r="D69">
        <v>3</v>
      </c>
    </row>
    <row r="70" spans="4:4" x14ac:dyDescent="0.3">
      <c r="D70">
        <v>2</v>
      </c>
    </row>
    <row r="71" spans="4:4" x14ac:dyDescent="0.3">
      <c r="D71">
        <v>3</v>
      </c>
    </row>
    <row r="72" spans="4:4" x14ac:dyDescent="0.3">
      <c r="D72">
        <v>3</v>
      </c>
    </row>
    <row r="73" spans="4:4" x14ac:dyDescent="0.3">
      <c r="D73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1D70E-8B6F-48F2-BA5D-55109B356853}">
  <dimension ref="A1:N51"/>
  <sheetViews>
    <sheetView workbookViewId="0">
      <selection activeCell="H3" sqref="H3:N19"/>
    </sheetView>
  </sheetViews>
  <sheetFormatPr defaultRowHeight="14.4" x14ac:dyDescent="0.3"/>
  <sheetData>
    <row r="1" spans="1:14" x14ac:dyDescent="0.3">
      <c r="A1" s="6" t="s">
        <v>135</v>
      </c>
      <c r="B1" s="6">
        <v>1</v>
      </c>
      <c r="C1" s="6">
        <v>2</v>
      </c>
      <c r="D1" s="6">
        <v>3</v>
      </c>
      <c r="E1" s="6">
        <v>4</v>
      </c>
      <c r="F1" s="6">
        <v>5</v>
      </c>
    </row>
    <row r="2" spans="1:14" x14ac:dyDescent="0.3">
      <c r="B2" cm="1">
        <f t="array" ref="B2:B14">_xlfn._xlws.FILTER('QUANTIFIED RESPONSES'!$M:$M,'QUANTIFIED RESPONSES'!$R:$R=1,"")</f>
        <v>2</v>
      </c>
      <c r="C2" cm="1">
        <f t="array" ref="C2:C23">_xlfn._xlws.FILTER('QUANTIFIED RESPONSES'!$M:$M,'QUANTIFIED RESPONSES'!$R:$R=2,"")</f>
        <v>2</v>
      </c>
      <c r="D2" cm="1">
        <f t="array" ref="D2:D24">_xlfn._xlws.FILTER('QUANTIFIED RESPONSES'!$M:$M,'QUANTIFIED RESPONSES'!$R:$R=3,"")</f>
        <v>4</v>
      </c>
      <c r="E2" cm="1">
        <f t="array" ref="E2:E51">_xlfn._xlws.FILTER('QUANTIFIED RESPONSES'!$M:$M,'QUANTIFIED RESPONSES'!$R:$R=4,"")</f>
        <v>4</v>
      </c>
      <c r="F2" cm="1">
        <f t="array" ref="F2:F43">_xlfn._xlws.FILTER('QUANTIFIED RESPONSES'!$M:$M,'QUANTIFIED RESPONSES'!$R:$R=5,"")</f>
        <v>3</v>
      </c>
    </row>
    <row r="3" spans="1:14" x14ac:dyDescent="0.3">
      <c r="B3">
        <v>2</v>
      </c>
      <c r="C3">
        <v>3</v>
      </c>
      <c r="D3">
        <v>4</v>
      </c>
      <c r="E3">
        <v>4</v>
      </c>
      <c r="F3">
        <v>4</v>
      </c>
      <c r="H3" t="s">
        <v>136</v>
      </c>
    </row>
    <row r="4" spans="1:14" x14ac:dyDescent="0.3">
      <c r="B4">
        <v>4</v>
      </c>
      <c r="C4">
        <v>3</v>
      </c>
      <c r="D4">
        <v>3</v>
      </c>
      <c r="E4">
        <v>4</v>
      </c>
      <c r="F4">
        <v>3</v>
      </c>
    </row>
    <row r="5" spans="1:14" ht="15" thickBot="1" x14ac:dyDescent="0.35">
      <c r="B5">
        <v>3</v>
      </c>
      <c r="C5">
        <v>2</v>
      </c>
      <c r="D5">
        <v>2</v>
      </c>
      <c r="E5">
        <v>2</v>
      </c>
      <c r="F5">
        <v>4</v>
      </c>
      <c r="H5" t="s">
        <v>137</v>
      </c>
    </row>
    <row r="6" spans="1:14" x14ac:dyDescent="0.3">
      <c r="B6">
        <v>3</v>
      </c>
      <c r="C6">
        <v>3</v>
      </c>
      <c r="D6">
        <v>3</v>
      </c>
      <c r="E6">
        <v>3</v>
      </c>
      <c r="F6">
        <v>3</v>
      </c>
      <c r="H6" s="8" t="s">
        <v>138</v>
      </c>
      <c r="I6" s="8" t="s">
        <v>139</v>
      </c>
      <c r="J6" s="8" t="s">
        <v>140</v>
      </c>
      <c r="K6" s="8" t="s">
        <v>141</v>
      </c>
      <c r="L6" s="8" t="s">
        <v>142</v>
      </c>
    </row>
    <row r="7" spans="1:14" x14ac:dyDescent="0.3">
      <c r="B7">
        <v>2</v>
      </c>
      <c r="C7">
        <v>2</v>
      </c>
      <c r="D7">
        <v>2</v>
      </c>
      <c r="E7">
        <v>3</v>
      </c>
      <c r="F7">
        <v>2</v>
      </c>
      <c r="H7">
        <v>1</v>
      </c>
      <c r="I7">
        <v>13</v>
      </c>
      <c r="J7">
        <v>37</v>
      </c>
      <c r="K7">
        <v>2.8461538461538463</v>
      </c>
      <c r="L7">
        <v>0.64102564102564108</v>
      </c>
    </row>
    <row r="8" spans="1:14" x14ac:dyDescent="0.3">
      <c r="B8">
        <v>2</v>
      </c>
      <c r="C8">
        <v>3</v>
      </c>
      <c r="D8">
        <v>3</v>
      </c>
      <c r="E8">
        <v>2</v>
      </c>
      <c r="F8">
        <v>3</v>
      </c>
      <c r="H8">
        <v>2</v>
      </c>
      <c r="I8">
        <v>22</v>
      </c>
      <c r="J8">
        <v>56</v>
      </c>
      <c r="K8">
        <v>2.5454545454545454</v>
      </c>
      <c r="L8">
        <v>0.25974025974026038</v>
      </c>
    </row>
    <row r="9" spans="1:14" x14ac:dyDescent="0.3">
      <c r="B9">
        <v>3</v>
      </c>
      <c r="C9">
        <v>2</v>
      </c>
      <c r="D9">
        <v>2</v>
      </c>
      <c r="E9">
        <v>2</v>
      </c>
      <c r="F9">
        <v>3</v>
      </c>
      <c r="H9">
        <v>3</v>
      </c>
      <c r="I9">
        <v>23</v>
      </c>
      <c r="J9">
        <v>64</v>
      </c>
      <c r="K9">
        <v>2.7826086956521738</v>
      </c>
      <c r="L9">
        <v>0.54150197628458518</v>
      </c>
    </row>
    <row r="10" spans="1:14" x14ac:dyDescent="0.3">
      <c r="B10">
        <v>2</v>
      </c>
      <c r="C10">
        <v>2</v>
      </c>
      <c r="D10">
        <v>3</v>
      </c>
      <c r="E10">
        <v>3</v>
      </c>
      <c r="F10">
        <v>3</v>
      </c>
      <c r="H10">
        <v>4</v>
      </c>
      <c r="I10">
        <v>50</v>
      </c>
      <c r="J10">
        <v>156</v>
      </c>
      <c r="K10">
        <v>3.12</v>
      </c>
      <c r="L10">
        <v>0.92408163265306065</v>
      </c>
    </row>
    <row r="11" spans="1:14" ht="15" thickBot="1" x14ac:dyDescent="0.35">
      <c r="B11">
        <v>4</v>
      </c>
      <c r="C11">
        <v>3</v>
      </c>
      <c r="D11">
        <v>3</v>
      </c>
      <c r="E11">
        <v>3</v>
      </c>
      <c r="F11">
        <v>4</v>
      </c>
      <c r="H11" s="7">
        <v>5</v>
      </c>
      <c r="I11" s="7">
        <v>42</v>
      </c>
      <c r="J11" s="7">
        <v>127</v>
      </c>
      <c r="K11" s="7">
        <v>3.0238095238095237</v>
      </c>
      <c r="L11" s="7">
        <v>0.46283391405342639</v>
      </c>
    </row>
    <row r="12" spans="1:14" x14ac:dyDescent="0.3">
      <c r="B12">
        <v>3</v>
      </c>
      <c r="C12">
        <v>2</v>
      </c>
      <c r="D12">
        <v>2</v>
      </c>
      <c r="E12">
        <v>1</v>
      </c>
      <c r="F12">
        <v>3</v>
      </c>
    </row>
    <row r="13" spans="1:14" x14ac:dyDescent="0.3">
      <c r="B13">
        <v>4</v>
      </c>
      <c r="C13">
        <v>2</v>
      </c>
      <c r="D13">
        <v>3</v>
      </c>
      <c r="E13">
        <v>4</v>
      </c>
      <c r="F13">
        <v>4</v>
      </c>
    </row>
    <row r="14" spans="1:14" ht="15" thickBot="1" x14ac:dyDescent="0.35">
      <c r="B14">
        <v>3</v>
      </c>
      <c r="C14">
        <v>2</v>
      </c>
      <c r="D14">
        <v>2</v>
      </c>
      <c r="E14">
        <v>4</v>
      </c>
      <c r="F14">
        <v>3</v>
      </c>
      <c r="H14" t="s">
        <v>143</v>
      </c>
    </row>
    <row r="15" spans="1:14" x14ac:dyDescent="0.3">
      <c r="C15">
        <v>2</v>
      </c>
      <c r="D15">
        <v>2</v>
      </c>
      <c r="E15">
        <v>2</v>
      </c>
      <c r="F15">
        <v>3</v>
      </c>
      <c r="H15" s="8" t="s">
        <v>144</v>
      </c>
      <c r="I15" s="8" t="s">
        <v>145</v>
      </c>
      <c r="J15" s="8" t="s">
        <v>146</v>
      </c>
      <c r="K15" s="8" t="s">
        <v>147</v>
      </c>
      <c r="L15" s="8" t="s">
        <v>148</v>
      </c>
      <c r="M15" s="8" t="s">
        <v>149</v>
      </c>
      <c r="N15" s="8" t="s">
        <v>150</v>
      </c>
    </row>
    <row r="16" spans="1:14" x14ac:dyDescent="0.3">
      <c r="C16">
        <v>3</v>
      </c>
      <c r="D16">
        <v>2</v>
      </c>
      <c r="E16">
        <v>3</v>
      </c>
      <c r="F16">
        <v>2</v>
      </c>
      <c r="H16" t="s">
        <v>151</v>
      </c>
      <c r="I16">
        <v>6.0172462320289668</v>
      </c>
      <c r="J16">
        <v>4</v>
      </c>
      <c r="K16">
        <v>1.5043115580072417</v>
      </c>
      <c r="L16">
        <v>2.4421712033090652</v>
      </c>
      <c r="M16">
        <v>4.937224226901113E-2</v>
      </c>
      <c r="N16">
        <v>2.4340651357887815</v>
      </c>
    </row>
    <row r="17" spans="3:14" x14ac:dyDescent="0.3">
      <c r="C17">
        <v>3</v>
      </c>
      <c r="D17">
        <v>2</v>
      </c>
      <c r="E17">
        <v>5</v>
      </c>
      <c r="F17">
        <v>4</v>
      </c>
      <c r="H17" t="s">
        <v>152</v>
      </c>
      <c r="I17">
        <v>89.316087101304475</v>
      </c>
      <c r="J17">
        <v>145</v>
      </c>
      <c r="K17">
        <v>0.61597301449175501</v>
      </c>
    </row>
    <row r="18" spans="3:14" x14ac:dyDescent="0.3">
      <c r="C18">
        <v>2</v>
      </c>
      <c r="D18">
        <v>4</v>
      </c>
      <c r="E18">
        <v>3</v>
      </c>
      <c r="F18">
        <v>3</v>
      </c>
    </row>
    <row r="19" spans="3:14" ht="15" thickBot="1" x14ac:dyDescent="0.35">
      <c r="C19">
        <v>3</v>
      </c>
      <c r="D19">
        <v>3</v>
      </c>
      <c r="E19">
        <v>3</v>
      </c>
      <c r="F19">
        <v>3</v>
      </c>
      <c r="H19" s="7" t="s">
        <v>153</v>
      </c>
      <c r="I19" s="7">
        <v>95.333333333333442</v>
      </c>
      <c r="J19" s="7">
        <v>149</v>
      </c>
      <c r="K19" s="7"/>
      <c r="L19" s="7"/>
      <c r="M19" s="7"/>
      <c r="N19" s="7"/>
    </row>
    <row r="20" spans="3:14" x14ac:dyDescent="0.3">
      <c r="C20">
        <v>3</v>
      </c>
      <c r="D20">
        <v>2</v>
      </c>
      <c r="E20">
        <v>3</v>
      </c>
      <c r="F20">
        <v>2</v>
      </c>
    </row>
    <row r="21" spans="3:14" x14ac:dyDescent="0.3">
      <c r="C21">
        <v>3</v>
      </c>
      <c r="D21">
        <v>3</v>
      </c>
      <c r="E21">
        <v>3</v>
      </c>
      <c r="F21">
        <v>3</v>
      </c>
    </row>
    <row r="22" spans="3:14" x14ac:dyDescent="0.3">
      <c r="C22">
        <v>3</v>
      </c>
      <c r="D22">
        <v>3</v>
      </c>
      <c r="E22">
        <v>3</v>
      </c>
      <c r="F22">
        <v>3</v>
      </c>
    </row>
    <row r="23" spans="3:14" x14ac:dyDescent="0.3">
      <c r="C23">
        <v>3</v>
      </c>
      <c r="D23">
        <v>4</v>
      </c>
      <c r="E23">
        <v>4</v>
      </c>
      <c r="F23">
        <v>4</v>
      </c>
    </row>
    <row r="24" spans="3:14" x14ac:dyDescent="0.3">
      <c r="D24">
        <v>3</v>
      </c>
      <c r="E24">
        <v>2</v>
      </c>
      <c r="F24">
        <v>3</v>
      </c>
    </row>
    <row r="25" spans="3:14" x14ac:dyDescent="0.3">
      <c r="E25">
        <v>3</v>
      </c>
      <c r="F25">
        <v>2</v>
      </c>
    </row>
    <row r="26" spans="3:14" x14ac:dyDescent="0.3">
      <c r="E26">
        <v>2</v>
      </c>
      <c r="F26">
        <v>3</v>
      </c>
    </row>
    <row r="27" spans="3:14" x14ac:dyDescent="0.3">
      <c r="E27">
        <v>4</v>
      </c>
      <c r="F27">
        <v>2</v>
      </c>
    </row>
    <row r="28" spans="3:14" x14ac:dyDescent="0.3">
      <c r="E28">
        <v>3</v>
      </c>
      <c r="F28">
        <v>4</v>
      </c>
    </row>
    <row r="29" spans="3:14" x14ac:dyDescent="0.3">
      <c r="E29">
        <v>3</v>
      </c>
      <c r="F29">
        <v>3</v>
      </c>
    </row>
    <row r="30" spans="3:14" x14ac:dyDescent="0.3">
      <c r="E30">
        <v>3</v>
      </c>
      <c r="F30">
        <v>3</v>
      </c>
    </row>
    <row r="31" spans="3:14" x14ac:dyDescent="0.3">
      <c r="E31">
        <v>3</v>
      </c>
      <c r="F31">
        <v>3</v>
      </c>
    </row>
    <row r="32" spans="3:14" x14ac:dyDescent="0.3">
      <c r="E32">
        <v>2</v>
      </c>
      <c r="F32">
        <v>2</v>
      </c>
    </row>
    <row r="33" spans="5:6" x14ac:dyDescent="0.3">
      <c r="E33">
        <v>2</v>
      </c>
      <c r="F33">
        <v>2</v>
      </c>
    </row>
    <row r="34" spans="5:6" x14ac:dyDescent="0.3">
      <c r="E34">
        <v>3</v>
      </c>
      <c r="F34">
        <v>3</v>
      </c>
    </row>
    <row r="35" spans="5:6" x14ac:dyDescent="0.3">
      <c r="E35">
        <v>3</v>
      </c>
      <c r="F35">
        <v>4</v>
      </c>
    </row>
    <row r="36" spans="5:6" x14ac:dyDescent="0.3">
      <c r="E36">
        <v>4</v>
      </c>
      <c r="F36">
        <v>4</v>
      </c>
    </row>
    <row r="37" spans="5:6" x14ac:dyDescent="0.3">
      <c r="E37">
        <v>3</v>
      </c>
      <c r="F37">
        <v>4</v>
      </c>
    </row>
    <row r="38" spans="5:6" x14ac:dyDescent="0.3">
      <c r="E38">
        <v>4</v>
      </c>
      <c r="F38">
        <v>3</v>
      </c>
    </row>
    <row r="39" spans="5:6" x14ac:dyDescent="0.3">
      <c r="E39">
        <v>4</v>
      </c>
      <c r="F39">
        <v>3</v>
      </c>
    </row>
    <row r="40" spans="5:6" x14ac:dyDescent="0.3">
      <c r="E40">
        <v>1</v>
      </c>
      <c r="F40">
        <v>3</v>
      </c>
    </row>
    <row r="41" spans="5:6" x14ac:dyDescent="0.3">
      <c r="E41">
        <v>5</v>
      </c>
      <c r="F41">
        <v>2</v>
      </c>
    </row>
    <row r="42" spans="5:6" x14ac:dyDescent="0.3">
      <c r="E42">
        <v>3</v>
      </c>
      <c r="F42">
        <v>3</v>
      </c>
    </row>
    <row r="43" spans="5:6" x14ac:dyDescent="0.3">
      <c r="E43">
        <v>4</v>
      </c>
      <c r="F43">
        <v>2</v>
      </c>
    </row>
    <row r="44" spans="5:6" x14ac:dyDescent="0.3">
      <c r="E44">
        <v>5</v>
      </c>
    </row>
    <row r="45" spans="5:6" x14ac:dyDescent="0.3">
      <c r="E45">
        <v>3</v>
      </c>
    </row>
    <row r="46" spans="5:6" x14ac:dyDescent="0.3">
      <c r="E46">
        <v>2</v>
      </c>
    </row>
    <row r="47" spans="5:6" x14ac:dyDescent="0.3">
      <c r="E47">
        <v>3</v>
      </c>
    </row>
    <row r="48" spans="5:6" x14ac:dyDescent="0.3">
      <c r="E48">
        <v>4</v>
      </c>
    </row>
    <row r="49" spans="5:5" x14ac:dyDescent="0.3">
      <c r="E49">
        <v>2</v>
      </c>
    </row>
    <row r="50" spans="5:5" x14ac:dyDescent="0.3">
      <c r="E50">
        <v>5</v>
      </c>
    </row>
    <row r="51" spans="5:5" x14ac:dyDescent="0.3">
      <c r="E5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1DE3-9620-4FFC-92B9-1727FAE1DF98}">
  <dimension ref="A1:N79"/>
  <sheetViews>
    <sheetView workbookViewId="0">
      <selection activeCell="O8" sqref="O8"/>
    </sheetView>
  </sheetViews>
  <sheetFormatPr defaultRowHeight="14.4" x14ac:dyDescent="0.3"/>
  <sheetData>
    <row r="1" spans="1:14" x14ac:dyDescent="0.3">
      <c r="A1" s="6" t="s">
        <v>135</v>
      </c>
      <c r="B1" s="6">
        <v>1</v>
      </c>
      <c r="C1" s="6">
        <v>2</v>
      </c>
      <c r="D1" s="6">
        <v>3</v>
      </c>
      <c r="E1" s="6">
        <v>4</v>
      </c>
      <c r="F1" s="6">
        <v>5</v>
      </c>
    </row>
    <row r="2" spans="1:14" x14ac:dyDescent="0.3">
      <c r="B2" cm="1">
        <f t="array" ref="B2">_xlfn._xlws.FILTER('QUANTIFIED RESPONSES'!$M:$M,'QUANTIFIED RESPONSES'!$S:$S=1,"")</f>
        <v>4</v>
      </c>
      <c r="C2" cm="1">
        <f t="array" ref="C2:C26">_xlfn._xlws.FILTER('QUANTIFIED RESPONSES'!$M:$M,'QUANTIFIED RESPONSES'!$S:$S=2,"")</f>
        <v>4</v>
      </c>
      <c r="D2" cm="1">
        <f t="array" ref="D2:D79">_xlfn._xlws.FILTER('QUANTIFIED RESPONSES'!$M:$M,'QUANTIFIED RESPONSES'!$S:$S=3,"")</f>
        <v>2</v>
      </c>
      <c r="E2" cm="1">
        <f t="array" ref="E2:E43">_xlfn._xlws.FILTER('QUANTIFIED RESPONSES'!$M:$M,'QUANTIFIED RESPONSES'!$S:$S=4,"")</f>
        <v>2</v>
      </c>
      <c r="F2" cm="1">
        <f t="array" ref="F2:F5">_xlfn._xlws.FILTER('QUANTIFIED RESPONSES'!$M:$M,'QUANTIFIED RESPONSES'!$S:$S=5,"")</f>
        <v>1</v>
      </c>
    </row>
    <row r="3" spans="1:14" x14ac:dyDescent="0.3">
      <c r="C3">
        <v>3</v>
      </c>
      <c r="D3">
        <v>4</v>
      </c>
      <c r="E3">
        <v>3</v>
      </c>
      <c r="F3">
        <v>2</v>
      </c>
      <c r="H3" t="s">
        <v>136</v>
      </c>
    </row>
    <row r="4" spans="1:14" x14ac:dyDescent="0.3">
      <c r="C4">
        <v>4</v>
      </c>
      <c r="D4">
        <v>3</v>
      </c>
      <c r="E4">
        <v>2</v>
      </c>
      <c r="F4">
        <v>1</v>
      </c>
    </row>
    <row r="5" spans="1:14" ht="15" thickBot="1" x14ac:dyDescent="0.35">
      <c r="C5">
        <v>4</v>
      </c>
      <c r="D5">
        <v>3</v>
      </c>
      <c r="E5">
        <v>2</v>
      </c>
      <c r="F5">
        <v>2</v>
      </c>
      <c r="H5" t="s">
        <v>137</v>
      </c>
    </row>
    <row r="6" spans="1:14" x14ac:dyDescent="0.3">
      <c r="C6">
        <v>3</v>
      </c>
      <c r="D6">
        <v>4</v>
      </c>
      <c r="E6">
        <v>2</v>
      </c>
      <c r="H6" s="8" t="s">
        <v>138</v>
      </c>
      <c r="I6" s="8" t="s">
        <v>139</v>
      </c>
      <c r="J6" s="8" t="s">
        <v>140</v>
      </c>
      <c r="K6" s="8" t="s">
        <v>141</v>
      </c>
      <c r="L6" s="8" t="s">
        <v>142</v>
      </c>
    </row>
    <row r="7" spans="1:14" x14ac:dyDescent="0.3">
      <c r="C7">
        <v>4</v>
      </c>
      <c r="D7">
        <v>4</v>
      </c>
      <c r="E7">
        <v>2</v>
      </c>
      <c r="H7">
        <v>1</v>
      </c>
      <c r="I7">
        <v>1</v>
      </c>
      <c r="J7">
        <v>4</v>
      </c>
      <c r="K7">
        <v>4</v>
      </c>
      <c r="L7" t="e">
        <v>#DIV/0!</v>
      </c>
    </row>
    <row r="8" spans="1:14" x14ac:dyDescent="0.3">
      <c r="C8">
        <v>4</v>
      </c>
      <c r="D8">
        <v>4</v>
      </c>
      <c r="E8">
        <v>2</v>
      </c>
      <c r="H8">
        <v>2</v>
      </c>
      <c r="I8">
        <v>25</v>
      </c>
      <c r="J8">
        <v>93</v>
      </c>
      <c r="K8">
        <v>3.72</v>
      </c>
      <c r="L8">
        <v>0.54333333333333422</v>
      </c>
    </row>
    <row r="9" spans="1:14" x14ac:dyDescent="0.3">
      <c r="C9">
        <v>3</v>
      </c>
      <c r="D9">
        <v>3</v>
      </c>
      <c r="E9">
        <v>3</v>
      </c>
      <c r="H9">
        <v>3</v>
      </c>
      <c r="I9">
        <v>78</v>
      </c>
      <c r="J9">
        <v>238</v>
      </c>
      <c r="K9">
        <v>3.0512820512820511</v>
      </c>
      <c r="L9">
        <v>0.41292041292041332</v>
      </c>
    </row>
    <row r="10" spans="1:14" x14ac:dyDescent="0.3">
      <c r="C10">
        <v>3</v>
      </c>
      <c r="D10">
        <v>3</v>
      </c>
      <c r="E10">
        <v>3</v>
      </c>
      <c r="H10">
        <v>4</v>
      </c>
      <c r="I10">
        <v>42</v>
      </c>
      <c r="J10">
        <v>99</v>
      </c>
      <c r="K10">
        <v>2.3571428571428572</v>
      </c>
      <c r="L10">
        <v>0.23519163763066192</v>
      </c>
    </row>
    <row r="11" spans="1:14" ht="15" thickBot="1" x14ac:dyDescent="0.35">
      <c r="C11">
        <v>4</v>
      </c>
      <c r="D11">
        <v>3</v>
      </c>
      <c r="E11">
        <v>2</v>
      </c>
      <c r="H11" s="7">
        <v>5</v>
      </c>
      <c r="I11" s="7">
        <v>4</v>
      </c>
      <c r="J11" s="7">
        <v>6</v>
      </c>
      <c r="K11" s="7">
        <v>1.5</v>
      </c>
      <c r="L11" s="7">
        <v>0.33333333333333331</v>
      </c>
    </row>
    <row r="12" spans="1:14" x14ac:dyDescent="0.3">
      <c r="C12">
        <v>4</v>
      </c>
      <c r="D12">
        <v>3</v>
      </c>
      <c r="E12">
        <v>3</v>
      </c>
    </row>
    <row r="13" spans="1:14" x14ac:dyDescent="0.3">
      <c r="C13">
        <v>3</v>
      </c>
      <c r="D13">
        <v>3</v>
      </c>
      <c r="E13">
        <v>3</v>
      </c>
    </row>
    <row r="14" spans="1:14" ht="15" thickBot="1" x14ac:dyDescent="0.35">
      <c r="C14">
        <v>3</v>
      </c>
      <c r="D14">
        <v>3</v>
      </c>
      <c r="E14">
        <v>3</v>
      </c>
      <c r="H14" t="s">
        <v>143</v>
      </c>
    </row>
    <row r="15" spans="1:14" x14ac:dyDescent="0.3">
      <c r="C15">
        <v>3</v>
      </c>
      <c r="D15">
        <v>2</v>
      </c>
      <c r="E15">
        <v>2</v>
      </c>
      <c r="H15" s="8" t="s">
        <v>144</v>
      </c>
      <c r="I15" s="8" t="s">
        <v>145</v>
      </c>
      <c r="J15" s="8" t="s">
        <v>146</v>
      </c>
      <c r="K15" s="8" t="s">
        <v>147</v>
      </c>
      <c r="L15" s="8" t="s">
        <v>148</v>
      </c>
      <c r="M15" s="8" t="s">
        <v>149</v>
      </c>
      <c r="N15" s="8" t="s">
        <v>150</v>
      </c>
    </row>
    <row r="16" spans="1:14" x14ac:dyDescent="0.3">
      <c r="C16">
        <v>3</v>
      </c>
      <c r="D16">
        <v>4</v>
      </c>
      <c r="E16">
        <v>3</v>
      </c>
      <c r="H16" t="s">
        <v>151</v>
      </c>
      <c r="I16">
        <v>39.855604395604416</v>
      </c>
      <c r="J16">
        <v>4</v>
      </c>
      <c r="K16">
        <v>9.9639010989011041</v>
      </c>
      <c r="L16">
        <v>26.042263931934556</v>
      </c>
      <c r="M16">
        <v>2.8121424443301822E-16</v>
      </c>
      <c r="N16">
        <v>2.4340651357887815</v>
      </c>
    </row>
    <row r="17" spans="3:14" x14ac:dyDescent="0.3">
      <c r="C17">
        <v>2</v>
      </c>
      <c r="D17">
        <v>2</v>
      </c>
      <c r="E17">
        <v>3</v>
      </c>
      <c r="H17" t="s">
        <v>152</v>
      </c>
      <c r="I17">
        <v>55.477728937728926</v>
      </c>
      <c r="J17">
        <v>145</v>
      </c>
      <c r="K17">
        <v>0.38260502715675121</v>
      </c>
    </row>
    <row r="18" spans="3:14" x14ac:dyDescent="0.3">
      <c r="C18">
        <v>4</v>
      </c>
      <c r="D18">
        <v>3</v>
      </c>
      <c r="E18">
        <v>3</v>
      </c>
    </row>
    <row r="19" spans="3:14" ht="15" thickBot="1" x14ac:dyDescent="0.35">
      <c r="C19">
        <v>4</v>
      </c>
      <c r="D19">
        <v>2</v>
      </c>
      <c r="E19">
        <v>2</v>
      </c>
      <c r="H19" s="7" t="s">
        <v>153</v>
      </c>
      <c r="I19" s="7">
        <v>95.333333333333343</v>
      </c>
      <c r="J19" s="7">
        <v>149</v>
      </c>
      <c r="K19" s="7"/>
      <c r="L19" s="7"/>
      <c r="M19" s="7"/>
      <c r="N19" s="7"/>
    </row>
    <row r="20" spans="3:14" x14ac:dyDescent="0.3">
      <c r="C20">
        <v>4</v>
      </c>
      <c r="D20">
        <v>4</v>
      </c>
      <c r="E20">
        <v>2</v>
      </c>
    </row>
    <row r="21" spans="3:14" x14ac:dyDescent="0.3">
      <c r="C21">
        <v>5</v>
      </c>
      <c r="D21">
        <v>3</v>
      </c>
      <c r="E21">
        <v>2</v>
      </c>
    </row>
    <row r="22" spans="3:14" x14ac:dyDescent="0.3">
      <c r="C22">
        <v>4</v>
      </c>
      <c r="D22">
        <v>5</v>
      </c>
      <c r="E22">
        <v>2</v>
      </c>
    </row>
    <row r="23" spans="3:14" x14ac:dyDescent="0.3">
      <c r="C23">
        <v>5</v>
      </c>
      <c r="D23">
        <v>3</v>
      </c>
      <c r="E23">
        <v>2</v>
      </c>
    </row>
    <row r="24" spans="3:14" x14ac:dyDescent="0.3">
      <c r="C24">
        <v>4</v>
      </c>
      <c r="D24">
        <v>3</v>
      </c>
      <c r="E24">
        <v>3</v>
      </c>
    </row>
    <row r="25" spans="3:14" x14ac:dyDescent="0.3">
      <c r="C25">
        <v>4</v>
      </c>
      <c r="D25">
        <v>3</v>
      </c>
      <c r="E25">
        <v>2</v>
      </c>
    </row>
    <row r="26" spans="3:14" x14ac:dyDescent="0.3">
      <c r="C26">
        <v>5</v>
      </c>
      <c r="D26">
        <v>3</v>
      </c>
      <c r="E26">
        <v>3</v>
      </c>
    </row>
    <row r="27" spans="3:14" x14ac:dyDescent="0.3">
      <c r="D27">
        <v>4</v>
      </c>
      <c r="E27">
        <v>2</v>
      </c>
    </row>
    <row r="28" spans="3:14" x14ac:dyDescent="0.3">
      <c r="D28">
        <v>2</v>
      </c>
      <c r="E28">
        <v>2</v>
      </c>
    </row>
    <row r="29" spans="3:14" x14ac:dyDescent="0.3">
      <c r="D29">
        <v>3</v>
      </c>
      <c r="E29">
        <v>2</v>
      </c>
    </row>
    <row r="30" spans="3:14" x14ac:dyDescent="0.3">
      <c r="D30">
        <v>3</v>
      </c>
      <c r="E30">
        <v>3</v>
      </c>
    </row>
    <row r="31" spans="3:14" x14ac:dyDescent="0.3">
      <c r="D31">
        <v>3</v>
      </c>
      <c r="E31">
        <v>2</v>
      </c>
    </row>
    <row r="32" spans="3:14" x14ac:dyDescent="0.3">
      <c r="D32">
        <v>2</v>
      </c>
      <c r="E32">
        <v>2</v>
      </c>
    </row>
    <row r="33" spans="4:5" x14ac:dyDescent="0.3">
      <c r="D33">
        <v>3</v>
      </c>
      <c r="E33">
        <v>2</v>
      </c>
    </row>
    <row r="34" spans="4:5" x14ac:dyDescent="0.3">
      <c r="D34">
        <v>3</v>
      </c>
      <c r="E34">
        <v>2</v>
      </c>
    </row>
    <row r="35" spans="4:5" x14ac:dyDescent="0.3">
      <c r="D35">
        <v>3</v>
      </c>
      <c r="E35">
        <v>2</v>
      </c>
    </row>
    <row r="36" spans="4:5" x14ac:dyDescent="0.3">
      <c r="D36">
        <v>3</v>
      </c>
      <c r="E36">
        <v>2</v>
      </c>
    </row>
    <row r="37" spans="4:5" x14ac:dyDescent="0.3">
      <c r="D37">
        <v>3</v>
      </c>
      <c r="E37">
        <v>2</v>
      </c>
    </row>
    <row r="38" spans="4:5" x14ac:dyDescent="0.3">
      <c r="D38">
        <v>3</v>
      </c>
      <c r="E38">
        <v>2</v>
      </c>
    </row>
    <row r="39" spans="4:5" x14ac:dyDescent="0.3">
      <c r="D39">
        <v>4</v>
      </c>
      <c r="E39">
        <v>3</v>
      </c>
    </row>
    <row r="40" spans="4:5" x14ac:dyDescent="0.3">
      <c r="D40">
        <v>3</v>
      </c>
      <c r="E40">
        <v>2</v>
      </c>
    </row>
    <row r="41" spans="4:5" x14ac:dyDescent="0.3">
      <c r="D41">
        <v>2</v>
      </c>
      <c r="E41">
        <v>3</v>
      </c>
    </row>
    <row r="42" spans="4:5" x14ac:dyDescent="0.3">
      <c r="D42">
        <v>3</v>
      </c>
      <c r="E42">
        <v>2</v>
      </c>
    </row>
    <row r="43" spans="4:5" x14ac:dyDescent="0.3">
      <c r="D43">
        <v>4</v>
      </c>
      <c r="E43">
        <v>3</v>
      </c>
    </row>
    <row r="44" spans="4:5" x14ac:dyDescent="0.3">
      <c r="D44">
        <v>3</v>
      </c>
    </row>
    <row r="45" spans="4:5" x14ac:dyDescent="0.3">
      <c r="D45">
        <v>4</v>
      </c>
    </row>
    <row r="46" spans="4:5" x14ac:dyDescent="0.3">
      <c r="D46">
        <v>3</v>
      </c>
    </row>
    <row r="47" spans="4:5" x14ac:dyDescent="0.3">
      <c r="D47">
        <v>2</v>
      </c>
    </row>
    <row r="48" spans="4:5" x14ac:dyDescent="0.3">
      <c r="D48">
        <v>3</v>
      </c>
    </row>
    <row r="49" spans="4:4" x14ac:dyDescent="0.3">
      <c r="D49">
        <v>3</v>
      </c>
    </row>
    <row r="50" spans="4:4" x14ac:dyDescent="0.3">
      <c r="D50">
        <v>3</v>
      </c>
    </row>
    <row r="51" spans="4:4" x14ac:dyDescent="0.3">
      <c r="D51">
        <v>2</v>
      </c>
    </row>
    <row r="52" spans="4:4" x14ac:dyDescent="0.3">
      <c r="D52">
        <v>2</v>
      </c>
    </row>
    <row r="53" spans="4:4" x14ac:dyDescent="0.3">
      <c r="D53">
        <v>3</v>
      </c>
    </row>
    <row r="54" spans="4:4" x14ac:dyDescent="0.3">
      <c r="D54">
        <v>2</v>
      </c>
    </row>
    <row r="55" spans="4:4" x14ac:dyDescent="0.3">
      <c r="D55">
        <v>3</v>
      </c>
    </row>
    <row r="56" spans="4:4" x14ac:dyDescent="0.3">
      <c r="D56">
        <v>3</v>
      </c>
    </row>
    <row r="57" spans="4:4" x14ac:dyDescent="0.3">
      <c r="D57">
        <v>3</v>
      </c>
    </row>
    <row r="58" spans="4:4" x14ac:dyDescent="0.3">
      <c r="D58">
        <v>3</v>
      </c>
    </row>
    <row r="59" spans="4:4" x14ac:dyDescent="0.3">
      <c r="D59">
        <v>3</v>
      </c>
    </row>
    <row r="60" spans="4:4" x14ac:dyDescent="0.3">
      <c r="D60">
        <v>4</v>
      </c>
    </row>
    <row r="61" spans="4:4" x14ac:dyDescent="0.3">
      <c r="D61">
        <v>4</v>
      </c>
    </row>
    <row r="62" spans="4:4" x14ac:dyDescent="0.3">
      <c r="D62">
        <v>4</v>
      </c>
    </row>
    <row r="63" spans="4:4" x14ac:dyDescent="0.3">
      <c r="D63">
        <v>3</v>
      </c>
    </row>
    <row r="64" spans="4:4" x14ac:dyDescent="0.3">
      <c r="D64">
        <v>4</v>
      </c>
    </row>
    <row r="65" spans="4:4" x14ac:dyDescent="0.3">
      <c r="D65">
        <v>4</v>
      </c>
    </row>
    <row r="66" spans="4:4" x14ac:dyDescent="0.3">
      <c r="D66">
        <v>3</v>
      </c>
    </row>
    <row r="67" spans="4:4" x14ac:dyDescent="0.3">
      <c r="D67">
        <v>3</v>
      </c>
    </row>
    <row r="68" spans="4:4" x14ac:dyDescent="0.3">
      <c r="D68">
        <v>3</v>
      </c>
    </row>
    <row r="69" spans="4:4" x14ac:dyDescent="0.3">
      <c r="D69">
        <v>3</v>
      </c>
    </row>
    <row r="70" spans="4:4" x14ac:dyDescent="0.3">
      <c r="D70">
        <v>3</v>
      </c>
    </row>
    <row r="71" spans="4:4" x14ac:dyDescent="0.3">
      <c r="D71">
        <v>2</v>
      </c>
    </row>
    <row r="72" spans="4:4" x14ac:dyDescent="0.3">
      <c r="D72">
        <v>3</v>
      </c>
    </row>
    <row r="73" spans="4:4" x14ac:dyDescent="0.3">
      <c r="D73">
        <v>3</v>
      </c>
    </row>
    <row r="74" spans="4:4" x14ac:dyDescent="0.3">
      <c r="D74">
        <v>3</v>
      </c>
    </row>
    <row r="75" spans="4:4" x14ac:dyDescent="0.3">
      <c r="D75">
        <v>3</v>
      </c>
    </row>
    <row r="76" spans="4:4" x14ac:dyDescent="0.3">
      <c r="D76">
        <v>2</v>
      </c>
    </row>
    <row r="77" spans="4:4" x14ac:dyDescent="0.3">
      <c r="D77">
        <v>3</v>
      </c>
    </row>
    <row r="78" spans="4:4" x14ac:dyDescent="0.3">
      <c r="D78">
        <v>3</v>
      </c>
    </row>
    <row r="79" spans="4:4" x14ac:dyDescent="0.3">
      <c r="D79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34178-0EFA-425C-911A-A53A74328F10}">
  <dimension ref="A1:N40"/>
  <sheetViews>
    <sheetView topLeftCell="B1" workbookViewId="0">
      <selection activeCell="N19" sqref="H3:N19"/>
    </sheetView>
  </sheetViews>
  <sheetFormatPr defaultRowHeight="14.4" x14ac:dyDescent="0.3"/>
  <sheetData>
    <row r="1" spans="1:14" x14ac:dyDescent="0.3">
      <c r="A1" s="6" t="s">
        <v>135</v>
      </c>
      <c r="B1" s="6">
        <v>1</v>
      </c>
      <c r="C1" s="6">
        <v>2</v>
      </c>
      <c r="D1" s="6">
        <v>3</v>
      </c>
      <c r="E1" s="6">
        <v>4</v>
      </c>
      <c r="F1" s="6">
        <v>5</v>
      </c>
    </row>
    <row r="2" spans="1:14" x14ac:dyDescent="0.3">
      <c r="B2" cm="1">
        <f t="array" ref="B2:B19">_xlfn._xlws.FILTER('QUANTIFIED RESPONSES'!$M:$M,'QUANTIFIED RESPONSES'!$T:$T=1,"")</f>
        <v>2</v>
      </c>
      <c r="C2" cm="1">
        <f t="array" ref="C2:C32">_xlfn._xlws.FILTER('QUANTIFIED RESPONSES'!$M:$M,'QUANTIFIED RESPONSES'!$T:$T=2,"")</f>
        <v>2</v>
      </c>
      <c r="D2" cm="1">
        <f t="array" ref="D2:D35">_xlfn._xlws.FILTER('QUANTIFIED RESPONSES'!$M:$M,'QUANTIFIED RESPONSES'!$T:$T=3,"")</f>
        <v>2</v>
      </c>
      <c r="E2" cm="1">
        <f t="array" ref="E2:E40">_xlfn._xlws.FILTER('QUANTIFIED RESPONSES'!$M:$M,'QUANTIFIED RESPONSES'!$T:$T=4,"")</f>
        <v>3</v>
      </c>
      <c r="F2" cm="1">
        <f t="array" ref="F2:F29">_xlfn._xlws.FILTER('QUANTIFIED RESPONSES'!$M:$M,'QUANTIFIED RESPONSES'!$T:$T=5,"")</f>
        <v>4</v>
      </c>
    </row>
    <row r="3" spans="1:14" x14ac:dyDescent="0.3">
      <c r="B3">
        <v>3</v>
      </c>
      <c r="C3">
        <v>4</v>
      </c>
      <c r="D3">
        <v>4</v>
      </c>
      <c r="E3">
        <v>3</v>
      </c>
      <c r="F3">
        <v>2</v>
      </c>
      <c r="H3" t="s">
        <v>136</v>
      </c>
    </row>
    <row r="4" spans="1:14" x14ac:dyDescent="0.3">
      <c r="B4">
        <v>3</v>
      </c>
      <c r="C4">
        <v>3</v>
      </c>
      <c r="D4">
        <v>4</v>
      </c>
      <c r="E4">
        <v>3</v>
      </c>
      <c r="F4">
        <v>4</v>
      </c>
    </row>
    <row r="5" spans="1:14" ht="15" thickBot="1" x14ac:dyDescent="0.35">
      <c r="B5">
        <v>3</v>
      </c>
      <c r="C5">
        <v>4</v>
      </c>
      <c r="D5">
        <v>2</v>
      </c>
      <c r="E5">
        <v>3</v>
      </c>
      <c r="F5">
        <v>3</v>
      </c>
      <c r="H5" t="s">
        <v>137</v>
      </c>
    </row>
    <row r="6" spans="1:14" x14ac:dyDescent="0.3">
      <c r="B6">
        <v>3</v>
      </c>
      <c r="C6">
        <v>3</v>
      </c>
      <c r="D6">
        <v>1</v>
      </c>
      <c r="E6">
        <v>2</v>
      </c>
      <c r="F6">
        <v>3</v>
      </c>
      <c r="H6" s="8" t="s">
        <v>138</v>
      </c>
      <c r="I6" s="8" t="s">
        <v>139</v>
      </c>
      <c r="J6" s="8" t="s">
        <v>140</v>
      </c>
      <c r="K6" s="8" t="s">
        <v>141</v>
      </c>
      <c r="L6" s="8" t="s">
        <v>142</v>
      </c>
    </row>
    <row r="7" spans="1:14" x14ac:dyDescent="0.3">
      <c r="B7">
        <v>3</v>
      </c>
      <c r="C7">
        <v>2</v>
      </c>
      <c r="D7">
        <v>4</v>
      </c>
      <c r="E7">
        <v>4</v>
      </c>
      <c r="F7">
        <v>4</v>
      </c>
      <c r="H7">
        <v>1</v>
      </c>
      <c r="I7">
        <v>18</v>
      </c>
      <c r="J7">
        <v>48</v>
      </c>
      <c r="K7">
        <v>2.6666666666666665</v>
      </c>
      <c r="L7">
        <v>0.23529411764705882</v>
      </c>
    </row>
    <row r="8" spans="1:14" x14ac:dyDescent="0.3">
      <c r="B8">
        <v>3</v>
      </c>
      <c r="C8">
        <v>2</v>
      </c>
      <c r="D8">
        <v>2</v>
      </c>
      <c r="E8">
        <v>3</v>
      </c>
      <c r="F8">
        <v>3</v>
      </c>
      <c r="H8">
        <v>2</v>
      </c>
      <c r="I8">
        <v>31</v>
      </c>
      <c r="J8">
        <v>84</v>
      </c>
      <c r="K8">
        <v>2.7096774193548385</v>
      </c>
      <c r="L8">
        <v>0.34623655913978457</v>
      </c>
    </row>
    <row r="9" spans="1:14" x14ac:dyDescent="0.3">
      <c r="B9">
        <v>3</v>
      </c>
      <c r="C9">
        <v>2</v>
      </c>
      <c r="D9">
        <v>3</v>
      </c>
      <c r="E9">
        <v>2</v>
      </c>
      <c r="F9">
        <v>3</v>
      </c>
      <c r="H9">
        <v>3</v>
      </c>
      <c r="I9">
        <v>34</v>
      </c>
      <c r="J9">
        <v>95</v>
      </c>
      <c r="K9">
        <v>2.7941176470588234</v>
      </c>
      <c r="L9">
        <v>1.0775401069518717</v>
      </c>
    </row>
    <row r="10" spans="1:14" x14ac:dyDescent="0.3">
      <c r="B10">
        <v>2</v>
      </c>
      <c r="C10">
        <v>3</v>
      </c>
      <c r="D10">
        <v>4</v>
      </c>
      <c r="E10">
        <v>4</v>
      </c>
      <c r="F10">
        <v>2</v>
      </c>
      <c r="H10">
        <v>4</v>
      </c>
      <c r="I10">
        <v>39</v>
      </c>
      <c r="J10">
        <v>117</v>
      </c>
      <c r="K10">
        <v>3</v>
      </c>
      <c r="L10">
        <v>0.42105263157894735</v>
      </c>
    </row>
    <row r="11" spans="1:14" ht="15" thickBot="1" x14ac:dyDescent="0.35">
      <c r="B11">
        <v>2</v>
      </c>
      <c r="C11">
        <v>3</v>
      </c>
      <c r="D11">
        <v>2</v>
      </c>
      <c r="E11">
        <v>3</v>
      </c>
      <c r="F11">
        <v>4</v>
      </c>
      <c r="H11" s="7">
        <v>5</v>
      </c>
      <c r="I11" s="7">
        <v>28</v>
      </c>
      <c r="J11" s="7">
        <v>96</v>
      </c>
      <c r="K11" s="7">
        <v>3.4285714285714284</v>
      </c>
      <c r="L11" s="7">
        <v>0.69841269841269749</v>
      </c>
    </row>
    <row r="12" spans="1:14" x14ac:dyDescent="0.3">
      <c r="B12">
        <v>2</v>
      </c>
      <c r="C12">
        <v>3</v>
      </c>
      <c r="D12">
        <v>5</v>
      </c>
      <c r="E12">
        <v>3</v>
      </c>
      <c r="F12">
        <v>3</v>
      </c>
    </row>
    <row r="13" spans="1:14" x14ac:dyDescent="0.3">
      <c r="B13">
        <v>2</v>
      </c>
      <c r="C13">
        <v>3</v>
      </c>
      <c r="D13">
        <v>2</v>
      </c>
      <c r="E13">
        <v>3</v>
      </c>
      <c r="F13">
        <v>3</v>
      </c>
    </row>
    <row r="14" spans="1:14" ht="15" thickBot="1" x14ac:dyDescent="0.35">
      <c r="B14">
        <v>3</v>
      </c>
      <c r="C14">
        <v>3</v>
      </c>
      <c r="D14">
        <v>2</v>
      </c>
      <c r="E14">
        <v>4</v>
      </c>
      <c r="F14">
        <v>4</v>
      </c>
      <c r="H14" t="s">
        <v>143</v>
      </c>
    </row>
    <row r="15" spans="1:14" x14ac:dyDescent="0.3">
      <c r="B15">
        <v>3</v>
      </c>
      <c r="C15">
        <v>2</v>
      </c>
      <c r="D15">
        <v>2</v>
      </c>
      <c r="E15">
        <v>2</v>
      </c>
      <c r="F15">
        <v>4</v>
      </c>
      <c r="H15" s="8" t="s">
        <v>144</v>
      </c>
      <c r="I15" s="8" t="s">
        <v>145</v>
      </c>
      <c r="J15" s="8" t="s">
        <v>146</v>
      </c>
      <c r="K15" s="8" t="s">
        <v>147</v>
      </c>
      <c r="L15" s="8" t="s">
        <v>148</v>
      </c>
      <c r="M15" s="8" t="s">
        <v>149</v>
      </c>
      <c r="N15" s="8" t="s">
        <v>150</v>
      </c>
    </row>
    <row r="16" spans="1:14" x14ac:dyDescent="0.3">
      <c r="B16">
        <v>3</v>
      </c>
      <c r="C16">
        <v>2</v>
      </c>
      <c r="D16">
        <v>2</v>
      </c>
      <c r="E16">
        <v>3</v>
      </c>
      <c r="F16">
        <v>4</v>
      </c>
      <c r="H16" t="s">
        <v>151</v>
      </c>
      <c r="I16">
        <v>10.53027017258519</v>
      </c>
      <c r="J16">
        <v>4</v>
      </c>
      <c r="K16">
        <v>2.6325675431462976</v>
      </c>
      <c r="L16">
        <v>4.5012795473276794</v>
      </c>
      <c r="M16">
        <v>1.8587726804193414E-3</v>
      </c>
      <c r="N16">
        <v>2.4340651357887815</v>
      </c>
    </row>
    <row r="17" spans="2:14" x14ac:dyDescent="0.3">
      <c r="B17">
        <v>2</v>
      </c>
      <c r="C17">
        <v>3</v>
      </c>
      <c r="D17">
        <v>4</v>
      </c>
      <c r="E17">
        <v>3</v>
      </c>
      <c r="F17">
        <v>4</v>
      </c>
      <c r="H17" t="s">
        <v>152</v>
      </c>
      <c r="I17">
        <v>84.803063160748167</v>
      </c>
      <c r="J17">
        <v>145</v>
      </c>
      <c r="K17">
        <v>0.58484871145343564</v>
      </c>
    </row>
    <row r="18" spans="2:14" x14ac:dyDescent="0.3">
      <c r="B18">
        <v>3</v>
      </c>
      <c r="C18">
        <v>3</v>
      </c>
      <c r="D18">
        <v>2</v>
      </c>
      <c r="E18">
        <v>4</v>
      </c>
      <c r="F18">
        <v>4</v>
      </c>
    </row>
    <row r="19" spans="2:14" ht="15" thickBot="1" x14ac:dyDescent="0.35">
      <c r="B19">
        <v>3</v>
      </c>
      <c r="C19">
        <v>3</v>
      </c>
      <c r="D19">
        <v>2</v>
      </c>
      <c r="E19">
        <v>4</v>
      </c>
      <c r="F19">
        <v>5</v>
      </c>
      <c r="H19" s="7" t="s">
        <v>153</v>
      </c>
      <c r="I19" s="7">
        <v>95.333333333333357</v>
      </c>
      <c r="J19" s="7">
        <v>149</v>
      </c>
      <c r="K19" s="7"/>
      <c r="L19" s="7"/>
      <c r="M19" s="7"/>
      <c r="N19" s="7"/>
    </row>
    <row r="20" spans="2:14" x14ac:dyDescent="0.3">
      <c r="C20">
        <v>3</v>
      </c>
      <c r="D20">
        <v>3</v>
      </c>
      <c r="E20">
        <v>3</v>
      </c>
      <c r="F20">
        <v>4</v>
      </c>
    </row>
    <row r="21" spans="2:14" x14ac:dyDescent="0.3">
      <c r="C21">
        <v>3</v>
      </c>
      <c r="D21">
        <v>1</v>
      </c>
      <c r="E21">
        <v>3</v>
      </c>
      <c r="F21">
        <v>4</v>
      </c>
    </row>
    <row r="22" spans="2:14" x14ac:dyDescent="0.3">
      <c r="C22">
        <v>2</v>
      </c>
      <c r="D22">
        <v>3</v>
      </c>
      <c r="E22">
        <v>3</v>
      </c>
      <c r="F22">
        <v>3</v>
      </c>
    </row>
    <row r="23" spans="2:14" x14ac:dyDescent="0.3">
      <c r="C23">
        <v>3</v>
      </c>
      <c r="D23">
        <v>2</v>
      </c>
      <c r="E23">
        <v>3</v>
      </c>
      <c r="F23">
        <v>3</v>
      </c>
    </row>
    <row r="24" spans="2:14" x14ac:dyDescent="0.3">
      <c r="C24">
        <v>3</v>
      </c>
      <c r="D24">
        <v>3</v>
      </c>
      <c r="E24">
        <v>3</v>
      </c>
      <c r="F24">
        <v>3</v>
      </c>
    </row>
    <row r="25" spans="2:14" x14ac:dyDescent="0.3">
      <c r="C25">
        <v>2</v>
      </c>
      <c r="D25">
        <v>3</v>
      </c>
      <c r="E25">
        <v>3</v>
      </c>
      <c r="F25">
        <v>3</v>
      </c>
    </row>
    <row r="26" spans="2:14" x14ac:dyDescent="0.3">
      <c r="C26">
        <v>2</v>
      </c>
      <c r="D26">
        <v>2</v>
      </c>
      <c r="E26">
        <v>2</v>
      </c>
      <c r="F26">
        <v>4</v>
      </c>
    </row>
    <row r="27" spans="2:14" x14ac:dyDescent="0.3">
      <c r="C27">
        <v>2</v>
      </c>
      <c r="D27">
        <v>3</v>
      </c>
      <c r="E27">
        <v>3</v>
      </c>
      <c r="F27">
        <v>2</v>
      </c>
    </row>
    <row r="28" spans="2:14" x14ac:dyDescent="0.3">
      <c r="C28">
        <v>3</v>
      </c>
      <c r="D28">
        <v>4</v>
      </c>
      <c r="E28">
        <v>3</v>
      </c>
      <c r="F28">
        <v>5</v>
      </c>
    </row>
    <row r="29" spans="2:14" x14ac:dyDescent="0.3">
      <c r="C29">
        <v>2</v>
      </c>
      <c r="D29">
        <v>2</v>
      </c>
      <c r="E29">
        <v>3</v>
      </c>
      <c r="F29">
        <v>2</v>
      </c>
    </row>
    <row r="30" spans="2:14" x14ac:dyDescent="0.3">
      <c r="C30">
        <v>3</v>
      </c>
      <c r="D30">
        <v>3</v>
      </c>
      <c r="E30">
        <v>2</v>
      </c>
    </row>
    <row r="31" spans="2:14" x14ac:dyDescent="0.3">
      <c r="C31">
        <v>3</v>
      </c>
      <c r="D31">
        <v>5</v>
      </c>
      <c r="E31">
        <v>2</v>
      </c>
    </row>
    <row r="32" spans="2:14" x14ac:dyDescent="0.3">
      <c r="C32">
        <v>3</v>
      </c>
      <c r="D32">
        <v>2</v>
      </c>
      <c r="E32">
        <v>2</v>
      </c>
    </row>
    <row r="33" spans="4:5" x14ac:dyDescent="0.3">
      <c r="D33">
        <v>3</v>
      </c>
      <c r="E33">
        <v>2</v>
      </c>
    </row>
    <row r="34" spans="4:5" x14ac:dyDescent="0.3">
      <c r="D34">
        <v>4</v>
      </c>
      <c r="E34">
        <v>3</v>
      </c>
    </row>
    <row r="35" spans="4:5" x14ac:dyDescent="0.3">
      <c r="D35">
        <v>3</v>
      </c>
      <c r="E35">
        <v>4</v>
      </c>
    </row>
    <row r="36" spans="4:5" x14ac:dyDescent="0.3">
      <c r="E36">
        <v>4</v>
      </c>
    </row>
    <row r="37" spans="4:5" x14ac:dyDescent="0.3">
      <c r="E37">
        <v>4</v>
      </c>
    </row>
    <row r="38" spans="4:5" x14ac:dyDescent="0.3">
      <c r="E38">
        <v>3</v>
      </c>
    </row>
    <row r="39" spans="4:5" x14ac:dyDescent="0.3">
      <c r="E39">
        <v>3</v>
      </c>
    </row>
    <row r="40" spans="4:5" x14ac:dyDescent="0.3">
      <c r="E4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LOOKUPS</vt:lpstr>
      <vt:lpstr>QUANTIFIED RESPONSES</vt:lpstr>
      <vt:lpstr>ANNOVA RESULTS</vt:lpstr>
      <vt:lpstr>PROJECT X</vt:lpstr>
      <vt:lpstr>ANNOVA_Q14</vt:lpstr>
      <vt:lpstr>ANNOVA_Q15</vt:lpstr>
      <vt:lpstr>ANNOVA_Q16</vt:lpstr>
      <vt:lpstr>ANNOVA_Q17</vt:lpstr>
      <vt:lpstr>ANNOVA_Q18</vt:lpstr>
      <vt:lpstr>ANNOVA_Q19</vt:lpstr>
      <vt:lpstr>ANNOVA_Q20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ROHIT GHOSH</cp:lastModifiedBy>
  <dcterms:created xsi:type="dcterms:W3CDTF">2025-11-29T16:29:20Z</dcterms:created>
  <dcterms:modified xsi:type="dcterms:W3CDTF">2025-12-15T09:37:04Z</dcterms:modified>
</cp:coreProperties>
</file>