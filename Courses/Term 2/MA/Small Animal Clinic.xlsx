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2\MA\"/>
    </mc:Choice>
  </mc:AlternateContent>
  <xr:revisionPtr revIDLastSave="0" documentId="13_ncr:1_{FFB18ECE-CC27-42BC-AA02-5376D1504F24}" xr6:coauthVersionLast="47" xr6:coauthVersionMax="47" xr10:uidLastSave="{00000000-0000-0000-0000-000000000000}"/>
  <bookViews>
    <workbookView xWindow="-108" yWindow="-108" windowWidth="23256" windowHeight="13176" xr2:uid="{550983AA-4D98-4E77-A0A6-2770AC9D3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0" i="1"/>
  <c r="H21" i="1"/>
  <c r="K5" i="1"/>
  <c r="K7" i="1" s="1"/>
  <c r="I7" i="1"/>
  <c r="J7" i="1"/>
  <c r="J16" i="1" s="1"/>
  <c r="H7" i="1"/>
  <c r="H16" i="1" s="1"/>
  <c r="I14" i="1"/>
  <c r="I16" i="1" s="1"/>
  <c r="H14" i="1"/>
  <c r="G23" i="1"/>
  <c r="H23" i="1" s="1"/>
  <c r="K13" i="1" s="1"/>
  <c r="F23" i="1"/>
  <c r="G22" i="1"/>
  <c r="F22" i="1"/>
  <c r="H22" i="1" s="1"/>
  <c r="K11" i="1" s="1"/>
  <c r="G20" i="1"/>
  <c r="H20" i="1"/>
  <c r="K9" i="1" s="1"/>
  <c r="J14" i="1"/>
  <c r="K14" i="1" l="1"/>
  <c r="K16" i="1" s="1"/>
</calcChain>
</file>

<file path=xl/sharedStrings.xml><?xml version="1.0" encoding="utf-8"?>
<sst xmlns="http://schemas.openxmlformats.org/spreadsheetml/2006/main" count="20" uniqueCount="15">
  <si>
    <t>Animal Visits</t>
  </si>
  <si>
    <t>Vet Fees</t>
  </si>
  <si>
    <t>Foundation matching grant</t>
  </si>
  <si>
    <t>Total Revenue</t>
  </si>
  <si>
    <t>Expense:</t>
  </si>
  <si>
    <t>Part Time Vets</t>
  </si>
  <si>
    <t>Technicians</t>
  </si>
  <si>
    <t>Treatment Supplies</t>
  </si>
  <si>
    <t>Rent</t>
  </si>
  <si>
    <t>Admin</t>
  </si>
  <si>
    <t>Total Expenses</t>
  </si>
  <si>
    <t>Surplus</t>
  </si>
  <si>
    <t>Fixed Costs</t>
  </si>
  <si>
    <t>Variable Costs</t>
  </si>
  <si>
    <t>Number of Visits in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</si>
</sst>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205B-C420-49A8-BD83-4614CB23D566}">
  <dimension ref="E3:O24"/>
  <sheetViews>
    <sheetView tabSelected="1" workbookViewId="0">
      <selection activeCell="M13" sqref="M13"/>
    </sheetView>
  </sheetViews>
  <sheetFormatPr defaultRowHeight="14.4" x14ac:dyDescent="0.3"/>
  <cols>
    <col min="5" max="5" width="16.44140625" bestFit="1" customWidth="1"/>
    <col min="6" max="6" width="22.5546875" bestFit="1" customWidth="1"/>
    <col min="7" max="7" width="16.44140625" bestFit="1" customWidth="1"/>
    <col min="8" max="10" width="9.5546875" bestFit="1" customWidth="1"/>
    <col min="11" max="11" width="17.109375" customWidth="1"/>
    <col min="12" max="12" width="20.44140625" bestFit="1" customWidth="1"/>
    <col min="14" max="14" width="20.44140625" bestFit="1" customWidth="1"/>
  </cols>
  <sheetData>
    <row r="3" spans="6:15" x14ac:dyDescent="0.3">
      <c r="H3">
        <v>2003</v>
      </c>
      <c r="I3">
        <v>2004</v>
      </c>
      <c r="J3">
        <v>2005</v>
      </c>
      <c r="K3">
        <v>2006</v>
      </c>
    </row>
    <row r="4" spans="6:15" x14ac:dyDescent="0.3">
      <c r="F4" t="s">
        <v>0</v>
      </c>
      <c r="H4" s="1">
        <v>2500</v>
      </c>
      <c r="I4" s="1">
        <v>3000</v>
      </c>
      <c r="J4" s="1">
        <v>3500</v>
      </c>
      <c r="K4" s="1">
        <v>3800</v>
      </c>
    </row>
    <row r="5" spans="6:15" x14ac:dyDescent="0.3">
      <c r="F5" t="s">
        <v>1</v>
      </c>
      <c r="H5" s="1">
        <v>72500</v>
      </c>
      <c r="I5" s="1">
        <v>90000</v>
      </c>
      <c r="J5" s="1">
        <v>105000</v>
      </c>
      <c r="K5">
        <f>3800*J5/J4</f>
        <v>114000</v>
      </c>
      <c r="N5" t="s">
        <v>14</v>
      </c>
      <c r="O5" s="1">
        <v>3800</v>
      </c>
    </row>
    <row r="6" spans="6:15" x14ac:dyDescent="0.3">
      <c r="F6" t="s">
        <v>2</v>
      </c>
      <c r="H6" s="1">
        <v>72500</v>
      </c>
      <c r="I6" s="1">
        <v>90000</v>
      </c>
      <c r="J6" s="1">
        <v>105000</v>
      </c>
      <c r="K6" s="1">
        <v>114000</v>
      </c>
    </row>
    <row r="7" spans="6:15" x14ac:dyDescent="0.3">
      <c r="G7" t="s">
        <v>3</v>
      </c>
      <c r="H7" s="1">
        <f>H5+H6</f>
        <v>145000</v>
      </c>
      <c r="I7" s="1">
        <f t="shared" ref="I7:K7" si="0">I5+I6</f>
        <v>180000</v>
      </c>
      <c r="J7" s="1">
        <f t="shared" si="0"/>
        <v>210000</v>
      </c>
      <c r="K7" s="1">
        <f>K5+K6</f>
        <v>228000</v>
      </c>
    </row>
    <row r="8" spans="6:15" x14ac:dyDescent="0.3">
      <c r="F8" t="s">
        <v>4</v>
      </c>
      <c r="H8" s="1"/>
      <c r="I8" s="1"/>
      <c r="J8" s="1"/>
    </row>
    <row r="9" spans="6:15" x14ac:dyDescent="0.3">
      <c r="G9" t="s">
        <v>5</v>
      </c>
      <c r="H9" s="1">
        <v>24000</v>
      </c>
      <c r="I9" s="1">
        <v>32800</v>
      </c>
      <c r="J9" s="1">
        <v>42000</v>
      </c>
      <c r="K9" s="1">
        <f>H20</f>
        <v>45600</v>
      </c>
    </row>
    <row r="10" spans="6:15" x14ac:dyDescent="0.3">
      <c r="G10" t="s">
        <v>6</v>
      </c>
      <c r="H10" s="1">
        <v>71000</v>
      </c>
      <c r="I10" s="1">
        <v>78000</v>
      </c>
      <c r="J10" s="1">
        <v>78049</v>
      </c>
      <c r="K10">
        <f>H21</f>
        <v>80000.224999999991</v>
      </c>
    </row>
    <row r="11" spans="6:15" x14ac:dyDescent="0.3">
      <c r="G11" t="s">
        <v>7</v>
      </c>
      <c r="H11" s="1">
        <v>4000</v>
      </c>
      <c r="I11" s="1">
        <v>4600</v>
      </c>
      <c r="J11" s="1">
        <v>5200</v>
      </c>
      <c r="K11" s="1">
        <f>H22</f>
        <v>5560</v>
      </c>
    </row>
    <row r="12" spans="6:15" x14ac:dyDescent="0.3">
      <c r="G12" t="s">
        <v>8</v>
      </c>
      <c r="H12" s="1">
        <v>8000</v>
      </c>
      <c r="I12" s="1">
        <v>8500</v>
      </c>
      <c r="J12" s="1">
        <v>8750</v>
      </c>
      <c r="K12" s="1">
        <f>H24</f>
        <v>8750</v>
      </c>
    </row>
    <row r="13" spans="6:15" x14ac:dyDescent="0.3">
      <c r="G13" t="s">
        <v>9</v>
      </c>
      <c r="H13" s="1">
        <v>38000</v>
      </c>
      <c r="I13" s="1">
        <v>39600</v>
      </c>
      <c r="J13" s="1">
        <v>41200</v>
      </c>
      <c r="K13">
        <f>H23</f>
        <v>42160</v>
      </c>
    </row>
    <row r="14" spans="6:15" x14ac:dyDescent="0.3">
      <c r="G14" t="s">
        <v>10</v>
      </c>
      <c r="H14" s="1">
        <f>SUM(H9:H13)</f>
        <v>145000</v>
      </c>
      <c r="I14" s="1">
        <f t="shared" ref="I14:K14" si="1">SUM(I9:I13)</f>
        <v>163500</v>
      </c>
      <c r="J14" s="1">
        <f t="shared" si="1"/>
        <v>175199</v>
      </c>
      <c r="K14" s="1">
        <f>SUM(K9:K13)</f>
        <v>182070.22499999998</v>
      </c>
    </row>
    <row r="16" spans="6:15" x14ac:dyDescent="0.3">
      <c r="F16" t="s">
        <v>11</v>
      </c>
      <c r="H16" s="1">
        <f>H7-H14</f>
        <v>0</v>
      </c>
      <c r="I16" s="1">
        <f t="shared" ref="I16:K16" si="2">I7-I14</f>
        <v>16500</v>
      </c>
      <c r="J16" s="1">
        <f t="shared" si="2"/>
        <v>34801</v>
      </c>
      <c r="K16" s="1">
        <f>K7-K14</f>
        <v>45929.775000000023</v>
      </c>
    </row>
    <row r="19" spans="5:8" x14ac:dyDescent="0.3">
      <c r="F19" t="s">
        <v>12</v>
      </c>
      <c r="G19" t="s">
        <v>13</v>
      </c>
      <c r="H19">
        <v>2006</v>
      </c>
    </row>
    <row r="20" spans="5:8" x14ac:dyDescent="0.3">
      <c r="E20" t="s">
        <v>5</v>
      </c>
      <c r="F20">
        <v>0</v>
      </c>
      <c r="G20">
        <f>J9/J4</f>
        <v>12</v>
      </c>
      <c r="H20">
        <f>G20*O5</f>
        <v>45600</v>
      </c>
    </row>
    <row r="21" spans="5:8" x14ac:dyDescent="0.3">
      <c r="E21" t="s">
        <v>6</v>
      </c>
      <c r="F21">
        <v>78049</v>
      </c>
      <c r="H21">
        <f>78049*102.5%</f>
        <v>80000.224999999991</v>
      </c>
    </row>
    <row r="22" spans="5:8" x14ac:dyDescent="0.3">
      <c r="E22" t="s">
        <v>7</v>
      </c>
      <c r="F22">
        <f>J11-J4*G22</f>
        <v>1000</v>
      </c>
      <c r="G22">
        <f>(J11-H11)/(J4-H4)</f>
        <v>1.2</v>
      </c>
      <c r="H22">
        <f>G22*O5+F22</f>
        <v>5560</v>
      </c>
    </row>
    <row r="23" spans="5:8" x14ac:dyDescent="0.3">
      <c r="E23" t="s">
        <v>9</v>
      </c>
      <c r="F23">
        <f>J13-G23*J4</f>
        <v>30000</v>
      </c>
      <c r="G23">
        <f>(J13-H13)/(J4-H4)</f>
        <v>3.2</v>
      </c>
      <c r="H23">
        <f>G23*O5+F23</f>
        <v>42160</v>
      </c>
    </row>
    <row r="24" spans="5:8" x14ac:dyDescent="0.3">
      <c r="E24" t="s">
        <v>8</v>
      </c>
      <c r="F24">
        <v>8750</v>
      </c>
      <c r="H24">
        <v>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2025-11-04T05:38:13Z</dcterms:created>
  <dcterms:modified xsi:type="dcterms:W3CDTF">2025-11-04T06:01:10Z</dcterms:modified>
</cp:coreProperties>
</file>