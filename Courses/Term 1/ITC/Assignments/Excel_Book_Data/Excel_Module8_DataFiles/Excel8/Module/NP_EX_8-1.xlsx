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8\Module\"/>
    </mc:Choice>
  </mc:AlternateContent>
  <xr:revisionPtr revIDLastSave="0" documentId="13_ncr:1_{4A27958D-8E2A-47B2-A23C-05419F8949A8}" xr6:coauthVersionLast="37" xr6:coauthVersionMax="37" xr10:uidLastSave="{00000000-0000-0000-0000-000000000000}"/>
  <bookViews>
    <workbookView xWindow="0" yWindow="0" windowWidth="24720" windowHeight="12165" xr2:uid="{769889F2-D9F7-4CFD-975F-EC4FAE00A2A0}"/>
  </bookViews>
  <sheets>
    <sheet name="Documentation" sheetId="1" r:id="rId1"/>
    <sheet name="Income" sheetId="6" r:id="rId2"/>
    <sheet name="Product Mix" sheetId="7" r:id="rId3"/>
    <sheet name="Terms and Definitions" sheetId="4" r:id="rId4"/>
  </sheets>
  <definedNames>
    <definedName name="solver_cvg" localSheetId="2" hidden="1">0.0001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0" localSheetId="2" hidden="1">'Product Mix'!$J$28:$J$45</definedName>
    <definedName name="solver_lhs1" localSheetId="2" hidden="1">'Product Mix'!$J$28:$J$46</definedName>
    <definedName name="solver_lhs2" localSheetId="2" hidden="1">'Product Mix'!$B$11:$E$11</definedName>
    <definedName name="solver_lhs3" localSheetId="2" hidden="1">'Product Mix'!$B$11:$E$11</definedName>
    <definedName name="solver_lhs4" localSheetId="2" hidden="1">'Product Mix'!$C$19</definedName>
    <definedName name="solver_lhs5" localSheetId="2" hidden="1">'Product Mix'!$J$28:$J$35</definedName>
    <definedName name="solver_lhs6" localSheetId="2" hidden="1">'Product Mix'!$J$28:$J$35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2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2" hidden="1">1</definedName>
    <definedName name="solver_opt" localSheetId="0" hidden="1">Documentation!$B$3</definedName>
    <definedName name="solver_opt" localSheetId="1" hidden="1">Income!$A$1</definedName>
    <definedName name="solver_pre" localSheetId="2" hidden="1">0.000001</definedName>
    <definedName name="solver_rbv" localSheetId="2" hidden="1">1</definedName>
    <definedName name="solver_rel0" localSheetId="2" hidden="1">3</definedName>
    <definedName name="solver_rel1" localSheetId="2" hidden="1">3</definedName>
    <definedName name="solver_rel2" localSheetId="2" hidden="1">4</definedName>
    <definedName name="solver_rel3" localSheetId="2" hidden="1">3</definedName>
    <definedName name="solver_rel4" localSheetId="2" hidden="1">2</definedName>
    <definedName name="solver_rel5" localSheetId="2" hidden="1">3</definedName>
    <definedName name="solver_rel6" localSheetId="2" hidden="1">3</definedName>
    <definedName name="solver_rhs0" localSheetId="2" hidden="1">0</definedName>
    <definedName name="solver_rhs1" localSheetId="2" hidden="1">0</definedName>
    <definedName name="solver_rhs2" localSheetId="2" hidden="1">integer</definedName>
    <definedName name="solver_rhs3" localSheetId="2" hidden="1">2000</definedName>
    <definedName name="solver_rhs4" localSheetId="2" hidden="1">12000</definedName>
    <definedName name="solver_rhs5" localSheetId="2" hidden="1">0</definedName>
    <definedName name="solver_rhs6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6" i="7" l="1"/>
  <c r="J46" i="7" s="1"/>
  <c r="I45" i="7"/>
  <c r="J45" i="7" s="1"/>
  <c r="I44" i="7"/>
  <c r="J44" i="7" s="1"/>
  <c r="I43" i="7"/>
  <c r="J43" i="7" s="1"/>
  <c r="I42" i="7"/>
  <c r="J42" i="7" s="1"/>
  <c r="I41" i="7"/>
  <c r="J41" i="7" s="1"/>
  <c r="I40" i="7"/>
  <c r="J40" i="7" s="1"/>
  <c r="I39" i="7"/>
  <c r="J39" i="7" s="1"/>
  <c r="I38" i="7"/>
  <c r="J38" i="7" s="1"/>
  <c r="I37" i="7"/>
  <c r="J37" i="7" s="1"/>
  <c r="I36" i="7"/>
  <c r="J36" i="7" s="1"/>
  <c r="I35" i="7"/>
  <c r="J35" i="7" s="1"/>
  <c r="I34" i="7"/>
  <c r="J34" i="7" s="1"/>
  <c r="I33" i="7"/>
  <c r="J33" i="7" s="1"/>
  <c r="I32" i="7"/>
  <c r="J32" i="7" s="1"/>
  <c r="I31" i="7"/>
  <c r="J31" i="7" s="1"/>
  <c r="J30" i="7"/>
  <c r="I30" i="7"/>
  <c r="I29" i="7"/>
  <c r="J29" i="7" s="1"/>
  <c r="I28" i="7"/>
  <c r="J28" i="7" s="1"/>
  <c r="D23" i="7"/>
  <c r="E23" i="7" s="1"/>
  <c r="C22" i="7"/>
  <c r="D22" i="7" s="1"/>
  <c r="E22" i="7" s="1"/>
  <c r="B22" i="7"/>
  <c r="C21" i="7"/>
  <c r="D21" i="7" s="1"/>
  <c r="E21" i="7" s="1"/>
  <c r="B21" i="7"/>
  <c r="D19" i="7"/>
  <c r="E19" i="7" s="1"/>
  <c r="C19" i="7"/>
  <c r="B19" i="7"/>
  <c r="E15" i="7"/>
  <c r="C20" i="7" s="1"/>
  <c r="D15" i="7"/>
  <c r="D16" i="7" s="1"/>
  <c r="C15" i="7"/>
  <c r="B15" i="7"/>
  <c r="E14" i="7"/>
  <c r="D14" i="7"/>
  <c r="C14" i="7"/>
  <c r="C16" i="7" s="1"/>
  <c r="B14" i="7"/>
  <c r="E12" i="7"/>
  <c r="D12" i="7"/>
  <c r="C12" i="7"/>
  <c r="B12" i="7"/>
  <c r="B16" i="7" l="1"/>
  <c r="C24" i="7"/>
  <c r="D24" i="7" s="1"/>
  <c r="E24" i="7" s="1"/>
  <c r="E16" i="7"/>
  <c r="B20" i="7"/>
  <c r="B24" i="7" s="1"/>
  <c r="D20" i="7" l="1"/>
  <c r="E20" i="7" s="1"/>
  <c r="B22" i="6" l="1"/>
  <c r="B10" i="6"/>
  <c r="B14" i="6" s="1"/>
  <c r="B7" i="6"/>
  <c r="B25" i="6" s="1"/>
  <c r="B12" i="6" l="1"/>
  <c r="B15" i="6" s="1"/>
  <c r="B26" i="6" s="1"/>
  <c r="B27" i="6" s="1"/>
</calcChain>
</file>

<file path=xl/sharedStrings.xml><?xml version="1.0" encoding="utf-8"?>
<sst xmlns="http://schemas.openxmlformats.org/spreadsheetml/2006/main" count="122" uniqueCount="80">
  <si>
    <t>Athena Cycles</t>
  </si>
  <si>
    <t>Author</t>
  </si>
  <si>
    <t>Date</t>
  </si>
  <si>
    <t>Purpose</t>
  </si>
  <si>
    <t>Income Analysis for the Athena I Bicycle</t>
  </si>
  <si>
    <t>Revenue</t>
  </si>
  <si>
    <t>Net Income</t>
  </si>
  <si>
    <t>Units Produced and Sold</t>
  </si>
  <si>
    <t>Total Revenue</t>
  </si>
  <si>
    <t>Variable Expenses</t>
  </si>
  <si>
    <t>Units Produced</t>
  </si>
  <si>
    <t>Total Material Cost</t>
  </si>
  <si>
    <t>Total Manufacturing Cost</t>
  </si>
  <si>
    <t>Total Variable Expenses</t>
  </si>
  <si>
    <t>Fixed Expenses</t>
  </si>
  <si>
    <t>Salaries and Benefits</t>
  </si>
  <si>
    <t>Shipping and Distribution</t>
  </si>
  <si>
    <t>Stocking and Storage</t>
  </si>
  <si>
    <t>Miscellaneous</t>
  </si>
  <si>
    <t>Total Fixed Expenses</t>
  </si>
  <si>
    <t>Summary</t>
  </si>
  <si>
    <t>Total Expenses</t>
  </si>
  <si>
    <t>Product Mix Analysis</t>
  </si>
  <si>
    <t>Parts Required for Each Unit</t>
  </si>
  <si>
    <t>Athena Racer</t>
  </si>
  <si>
    <t>Athena I</t>
  </si>
  <si>
    <t>Athena II</t>
  </si>
  <si>
    <t>Athena III</t>
  </si>
  <si>
    <t>Part</t>
  </si>
  <si>
    <t>Sales Price per Unit</t>
  </si>
  <si>
    <t>Carbon Frame</t>
  </si>
  <si>
    <t>Material Cost per Unit</t>
  </si>
  <si>
    <t>UltraLite Carbon Frame</t>
  </si>
  <si>
    <t>Manufacturing Cost per Unit</t>
  </si>
  <si>
    <t>Ultraforce Shifters</t>
  </si>
  <si>
    <t>Ultraforce II Shifters</t>
  </si>
  <si>
    <t>Even Product Mix (Units)</t>
  </si>
  <si>
    <t>High Response Shifters</t>
  </si>
  <si>
    <t>Optimal Product (Units)</t>
  </si>
  <si>
    <t>Front Derailleur X2</t>
  </si>
  <si>
    <t>Change</t>
  </si>
  <si>
    <t>Front Derailleur X3</t>
  </si>
  <si>
    <t>Rear Derailleur X2</t>
  </si>
  <si>
    <t>Revenue (Even Mix)</t>
  </si>
  <si>
    <t>Rear Derailleur X3</t>
  </si>
  <si>
    <t>Revenue (Optimal Mix)</t>
  </si>
  <si>
    <t>Standard Crank Arm</t>
  </si>
  <si>
    <t>Extended Crank Arm</t>
  </si>
  <si>
    <t>LightTouch Pedals</t>
  </si>
  <si>
    <t>SpeedRacer Pedals</t>
  </si>
  <si>
    <t>FirmControl Brakes</t>
  </si>
  <si>
    <t>Sensor Brakes</t>
  </si>
  <si>
    <t>Standard Wheelset</t>
  </si>
  <si>
    <t>Chain Ring Kit</t>
  </si>
  <si>
    <t>Casset Kit</t>
  </si>
  <si>
    <t>Drivetrain Kit</t>
  </si>
  <si>
    <t>Parts Available</t>
  </si>
  <si>
    <t>Available</t>
  </si>
  <si>
    <t>Used</t>
  </si>
  <si>
    <t>Remaining</t>
  </si>
  <si>
    <t>Terms and Definitions</t>
  </si>
  <si>
    <t>Term</t>
  </si>
  <si>
    <t>Definition</t>
  </si>
  <si>
    <t>Cost-Volume-Profit Analysis</t>
  </si>
  <si>
    <t>A branch of financial analysis that studies the relationship between expenses, sales volume, and profitability</t>
  </si>
  <si>
    <t>The total income generated from sales of a product or service</t>
  </si>
  <si>
    <t>Expenses that change in proportion to the volume of production</t>
  </si>
  <si>
    <t>Expenses that must be paid regardless of sales volume</t>
  </si>
  <si>
    <t>Break-Even Point</t>
  </si>
  <si>
    <t>The point where total revenue equals total expenses</t>
  </si>
  <si>
    <t>Product Mix</t>
  </si>
  <si>
    <t>The combination of different products offered by the company to the consumer</t>
  </si>
  <si>
    <t>Optimal Product Mix</t>
  </si>
  <si>
    <t>The product mix that maximizes profits subject to constraints on production and consumer choice</t>
  </si>
  <si>
    <t>Even Mix</t>
  </si>
  <si>
    <t>Optimal Mix</t>
  </si>
  <si>
    <t>Difference</t>
  </si>
  <si>
    <t>% Difference</t>
  </si>
  <si>
    <t>Units Sold</t>
  </si>
  <si>
    <t>To perform a break-even analysis of Athena I bicycle sales and to determine the product mix that optimizes company profits among four Athena bicycle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</si>
</sst>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  <numFmt numFmtId="167" formatCode="_(&quot;$&quot;* #,##0_);[Red]_(&quot;$&quot;* \(#,##0\);_(&quot;$&quot;* &quot;-&quot;??_);_(@_)"/>
    <numFmt numFmtId="168" formatCode="0_);[Red]\(0\)"/>
    <numFmt numFmtId="169" formatCode="&quot;$&quot;#,##0.00"/>
    <numFmt numFmtId="170" formatCode="0.00%;[Red]\(0.00%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9" tint="-0.249977111117893"/>
      <name val="Copperplate Gothic Light"/>
      <family val="2"/>
    </font>
    <font>
      <sz val="12"/>
      <color theme="0" tint="-4.9989318521683403E-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opperplate Gothic Light"/>
      <family val="2"/>
    </font>
    <font>
      <sz val="12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 style="thin">
        <color theme="9"/>
      </top>
      <bottom style="double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9"/>
      </left>
      <right/>
      <top style="double">
        <color theme="9"/>
      </top>
      <bottom style="medium">
        <color theme="9"/>
      </bottom>
      <diagonal/>
    </border>
    <border>
      <left/>
      <right/>
      <top style="double">
        <color theme="9"/>
      </top>
      <bottom style="medium">
        <color theme="9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/>
      </left>
      <right/>
      <top/>
      <bottom style="double">
        <color theme="9"/>
      </bottom>
      <diagonal/>
    </border>
    <border>
      <left/>
      <right/>
      <top/>
      <bottom style="double">
        <color theme="9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</cellStyleXfs>
  <cellXfs count="78">
    <xf numFmtId="0" fontId="0" fillId="0" borderId="0" xfId="0"/>
    <xf numFmtId="0" fontId="6" fillId="0" borderId="0" xfId="4" applyFont="1" applyAlignment="1">
      <alignment horizontal="left" vertical="center"/>
    </xf>
    <xf numFmtId="0" fontId="7" fillId="4" borderId="3" xfId="7" applyFont="1" applyFill="1" applyBorder="1" applyAlignment="1">
      <alignment vertical="top"/>
    </xf>
    <xf numFmtId="0" fontId="8" fillId="0" borderId="3" xfId="0" applyFont="1" applyBorder="1" applyAlignment="1">
      <alignment vertical="top"/>
    </xf>
    <xf numFmtId="14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top" wrapText="1"/>
    </xf>
    <xf numFmtId="0" fontId="9" fillId="0" borderId="0" xfId="4" applyFont="1" applyAlignment="1">
      <alignment horizontal="left" vertical="center"/>
    </xf>
    <xf numFmtId="0" fontId="3" fillId="0" borderId="0" xfId="5" applyBorder="1"/>
    <xf numFmtId="0" fontId="5" fillId="4" borderId="0" xfId="0" applyFont="1" applyFill="1"/>
    <xf numFmtId="164" fontId="0" fillId="0" borderId="0" xfId="1" applyNumberFormat="1" applyFont="1"/>
    <xf numFmtId="166" fontId="0" fillId="0" borderId="0" xfId="2" applyNumberFormat="1" applyFont="1"/>
    <xf numFmtId="38" fontId="0" fillId="0" borderId="0" xfId="1" applyNumberFormat="1" applyFont="1"/>
    <xf numFmtId="0" fontId="1" fillId="6" borderId="5" xfId="6" applyFont="1" applyFill="1" applyBorder="1"/>
    <xf numFmtId="165" fontId="1" fillId="6" borderId="6" xfId="2" applyNumberFormat="1" applyFont="1" applyFill="1" applyBorder="1"/>
    <xf numFmtId="164" fontId="0" fillId="0" borderId="0" xfId="0" applyNumberFormat="1"/>
    <xf numFmtId="0" fontId="0" fillId="6" borderId="0" xfId="0" applyFill="1"/>
    <xf numFmtId="164" fontId="0" fillId="6" borderId="0" xfId="0" applyNumberFormat="1" applyFill="1"/>
    <xf numFmtId="0" fontId="1" fillId="6" borderId="6" xfId="6" applyFont="1" applyFill="1" applyBorder="1"/>
    <xf numFmtId="165" fontId="0" fillId="0" borderId="0" xfId="2" applyNumberFormat="1" applyFont="1"/>
    <xf numFmtId="167" fontId="1" fillId="6" borderId="6" xfId="2" applyNumberFormat="1" applyFont="1" applyFill="1" applyBorder="1"/>
    <xf numFmtId="0" fontId="10" fillId="0" borderId="0" xfId="0" applyFont="1"/>
    <xf numFmtId="0" fontId="5" fillId="4" borderId="4" xfId="0" applyFont="1" applyFill="1" applyBorder="1"/>
    <xf numFmtId="0" fontId="5" fillId="4" borderId="4" xfId="0" applyFont="1" applyFill="1" applyBorder="1" applyAlignment="1">
      <alignment horizontal="center"/>
    </xf>
    <xf numFmtId="0" fontId="5" fillId="4" borderId="0" xfId="0" applyFont="1" applyFill="1" applyBorder="1"/>
    <xf numFmtId="0" fontId="5" fillId="4" borderId="0" xfId="0" applyFont="1" applyFill="1" applyBorder="1" applyAlignment="1">
      <alignment horizontal="center"/>
    </xf>
    <xf numFmtId="0" fontId="0" fillId="6" borderId="0" xfId="0" applyFill="1" applyBorder="1"/>
    <xf numFmtId="168" fontId="0" fillId="0" borderId="0" xfId="0" applyNumberFormat="1" applyBorder="1"/>
    <xf numFmtId="166" fontId="0" fillId="0" borderId="0" xfId="1" applyNumberFormat="1" applyFont="1"/>
    <xf numFmtId="0" fontId="0" fillId="6" borderId="4" xfId="0" applyFill="1" applyBorder="1"/>
    <xf numFmtId="168" fontId="0" fillId="0" borderId="4" xfId="0" applyNumberFormat="1" applyBorder="1"/>
    <xf numFmtId="0" fontId="0" fillId="5" borderId="7" xfId="0" applyFill="1" applyBorder="1"/>
    <xf numFmtId="164" fontId="0" fillId="5" borderId="8" xfId="1" applyNumberFormat="1" applyFont="1" applyFill="1" applyBorder="1"/>
    <xf numFmtId="0" fontId="0" fillId="7" borderId="9" xfId="0" applyFill="1" applyBorder="1"/>
    <xf numFmtId="164" fontId="0" fillId="7" borderId="0" xfId="1" applyNumberFormat="1" applyFont="1" applyFill="1" applyBorder="1"/>
    <xf numFmtId="0" fontId="0" fillId="0" borderId="10" xfId="0" applyFill="1" applyBorder="1"/>
    <xf numFmtId="38" fontId="0" fillId="0" borderId="11" xfId="1" applyNumberFormat="1" applyFont="1" applyFill="1" applyBorder="1"/>
    <xf numFmtId="0" fontId="0" fillId="5" borderId="2" xfId="6" applyFont="1" applyFill="1"/>
    <xf numFmtId="165" fontId="1" fillId="5" borderId="2" xfId="2" applyNumberFormat="1" applyFont="1" applyFill="1" applyBorder="1"/>
    <xf numFmtId="0" fontId="0" fillId="7" borderId="12" xfId="6" applyFont="1" applyFill="1" applyBorder="1"/>
    <xf numFmtId="164" fontId="1" fillId="7" borderId="12" xfId="1" applyNumberFormat="1" applyFont="1" applyFill="1" applyBorder="1"/>
    <xf numFmtId="0" fontId="0" fillId="6" borderId="13" xfId="0" applyFill="1" applyBorder="1"/>
    <xf numFmtId="168" fontId="0" fillId="0" borderId="13" xfId="0" applyNumberFormat="1" applyBorder="1"/>
    <xf numFmtId="38" fontId="0" fillId="0" borderId="11" xfId="2" applyNumberFormat="1" applyFont="1" applyFill="1" applyBorder="1"/>
    <xf numFmtId="0" fontId="0" fillId="0" borderId="4" xfId="0" applyFill="1" applyBorder="1"/>
    <xf numFmtId="0" fontId="0" fillId="8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4" fontId="0" fillId="5" borderId="0" xfId="1" applyNumberFormat="1" applyFont="1" applyFill="1"/>
    <xf numFmtId="164" fontId="0" fillId="7" borderId="0" xfId="1" applyNumberFormat="1" applyFont="1" applyFill="1"/>
    <xf numFmtId="168" fontId="0" fillId="0" borderId="0" xfId="0" applyNumberFormat="1" applyFill="1" applyBorder="1"/>
    <xf numFmtId="168" fontId="0" fillId="0" borderId="4" xfId="0" applyNumberFormat="1" applyFill="1" applyBorder="1"/>
    <xf numFmtId="38" fontId="0" fillId="6" borderId="0" xfId="1" applyNumberFormat="1" applyFont="1" applyFill="1"/>
    <xf numFmtId="164" fontId="0" fillId="0" borderId="0" xfId="1" applyNumberFormat="1" applyFont="1" applyBorder="1"/>
    <xf numFmtId="38" fontId="0" fillId="0" borderId="0" xfId="1" applyNumberFormat="1" applyFont="1" applyBorder="1"/>
    <xf numFmtId="164" fontId="0" fillId="0" borderId="4" xfId="1" applyNumberFormat="1" applyFont="1" applyBorder="1"/>
    <xf numFmtId="38" fontId="0" fillId="0" borderId="4" xfId="1" applyNumberFormat="1" applyFont="1" applyBorder="1"/>
    <xf numFmtId="164" fontId="0" fillId="0" borderId="4" xfId="1" applyNumberFormat="1" applyFont="1" applyFill="1" applyBorder="1"/>
    <xf numFmtId="0" fontId="5" fillId="3" borderId="3" xfId="8" applyBorder="1"/>
    <xf numFmtId="0" fontId="11" fillId="13" borderId="3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0" fillId="0" borderId="0" xfId="0" applyAlignment="1"/>
    <xf numFmtId="169" fontId="0" fillId="0" borderId="0" xfId="0" applyNumberFormat="1"/>
    <xf numFmtId="44" fontId="0" fillId="0" borderId="0" xfId="0" applyNumberFormat="1"/>
    <xf numFmtId="170" fontId="0" fillId="12" borderId="0" xfId="3" applyNumberFormat="1" applyFont="1" applyFill="1"/>
    <xf numFmtId="0" fontId="0" fillId="0" borderId="4" xfId="0" applyBorder="1"/>
    <xf numFmtId="165" fontId="0" fillId="5" borderId="4" xfId="2" applyNumberFormat="1" applyFont="1" applyFill="1" applyBorder="1"/>
    <xf numFmtId="165" fontId="0" fillId="7" borderId="4" xfId="2" applyNumberFormat="1" applyFont="1" applyFill="1" applyBorder="1"/>
    <xf numFmtId="38" fontId="0" fillId="6" borderId="4" xfId="2" applyNumberFormat="1" applyFont="1" applyFill="1" applyBorder="1"/>
    <xf numFmtId="170" fontId="0" fillId="12" borderId="4" xfId="3" applyNumberFormat="1" applyFont="1" applyFill="1" applyBorder="1"/>
    <xf numFmtId="164" fontId="0" fillId="5" borderId="4" xfId="1" applyNumberFormat="1" applyFont="1" applyFill="1" applyBorder="1"/>
    <xf numFmtId="164" fontId="0" fillId="7" borderId="4" xfId="1" applyNumberFormat="1" applyFont="1" applyFill="1" applyBorder="1"/>
    <xf numFmtId="38" fontId="0" fillId="6" borderId="4" xfId="1" applyNumberFormat="1" applyFont="1" applyFill="1" applyBorder="1"/>
    <xf numFmtId="0" fontId="0" fillId="0" borderId="14" xfId="6" applyFont="1" applyFill="1" applyBorder="1"/>
    <xf numFmtId="165" fontId="1" fillId="5" borderId="15" xfId="2" applyNumberFormat="1" applyFont="1" applyFill="1" applyBorder="1"/>
    <xf numFmtId="165" fontId="1" fillId="7" borderId="15" xfId="2" applyNumberFormat="1" applyFont="1" applyFill="1" applyBorder="1"/>
    <xf numFmtId="38" fontId="1" fillId="6" borderId="15" xfId="2" applyNumberFormat="1" applyFont="1" applyFill="1" applyBorder="1"/>
    <xf numFmtId="170" fontId="1" fillId="12" borderId="15" xfId="3" applyNumberFormat="1" applyFont="1" applyFill="1" applyBorder="1"/>
  </cellXfs>
  <cellStyles count="9">
    <cellStyle name="Accent1" xfId="7" builtinId="29"/>
    <cellStyle name="Accent6" xfId="8" builtinId="49"/>
    <cellStyle name="Comma" xfId="1" builtinId="3"/>
    <cellStyle name="Currency" xfId="2" builtinId="4"/>
    <cellStyle name="Heading 1" xfId="5" builtinId="16"/>
    <cellStyle name="Normal" xfId="0" builtinId="0"/>
    <cellStyle name="Percent" xfId="3" builtinId="5"/>
    <cellStyle name="Title" xfId="4" builtinId="15"/>
    <cellStyle name="Total" xfId="6" builtinId="25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A3CA-9063-4020-9D35-91D5EF083C88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.85546875" customWidth="1"/>
    <col min="2" max="2" width="50.5703125" customWidth="1"/>
  </cols>
  <sheetData>
    <row r="1" spans="1:2" ht="37.5" customHeight="1" x14ac:dyDescent="0.25">
      <c r="A1" s="1" t="s">
        <v>0</v>
      </c>
    </row>
    <row r="3" spans="1:2" ht="15.75" x14ac:dyDescent="0.25">
      <c r="A3" s="2" t="s">
        <v>1</v>
      </c>
      <c r="B3" s="3"/>
    </row>
    <row r="4" spans="1:2" ht="15.75" x14ac:dyDescent="0.25">
      <c r="A4" s="2" t="s">
        <v>2</v>
      </c>
      <c r="B4" s="4"/>
    </row>
    <row r="5" spans="1:2" ht="45" x14ac:dyDescent="0.25">
      <c r="A5" s="2" t="s">
        <v>3</v>
      </c>
      <c r="B5" s="5" t="s">
        <v>79</v>
      </c>
    </row>
  </sheetData>
  <pageMargins left="0.7" right="0.7" top="0.75" bottom="0.75" header="0.3" footer="0.3"/>
  <pageSetup orientation="portrait" horizontalDpi="4294967295" verticalDpi="4294967295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0451-83DE-483E-B033-BCE18ED5B3E0}">
  <sheetPr>
    <pageSetUpPr fitToPage="1"/>
  </sheetPr>
  <dimension ref="A1:N28"/>
  <sheetViews>
    <sheetView zoomScale="120" zoomScaleNormal="120" workbookViewId="0"/>
  </sheetViews>
  <sheetFormatPr defaultRowHeight="15" x14ac:dyDescent="0.25"/>
  <cols>
    <col min="1" max="1" width="31" customWidth="1"/>
    <col min="2" max="2" width="25.7109375" customWidth="1"/>
    <col min="3" max="3" width="3.7109375" customWidth="1"/>
    <col min="4" max="4" width="14.140625" customWidth="1"/>
    <col min="5" max="7" width="16.28515625" customWidth="1"/>
    <col min="8" max="8" width="2.85546875" customWidth="1"/>
    <col min="9" max="14" width="12.7109375" customWidth="1"/>
  </cols>
  <sheetData>
    <row r="1" spans="1:14" ht="37.5" customHeight="1" x14ac:dyDescent="0.25">
      <c r="A1" s="1" t="s">
        <v>0</v>
      </c>
    </row>
    <row r="2" spans="1:14" ht="15" customHeight="1" x14ac:dyDescent="0.25">
      <c r="A2" s="6" t="s">
        <v>4</v>
      </c>
    </row>
    <row r="3" spans="1:14" ht="15" customHeight="1" x14ac:dyDescent="0.3">
      <c r="A3" s="7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ht="15" customHeight="1" x14ac:dyDescent="0.25">
      <c r="A4" s="8" t="s">
        <v>5</v>
      </c>
      <c r="B4" s="8"/>
      <c r="H4" s="61"/>
      <c r="I4" s="61"/>
      <c r="J4" s="61"/>
      <c r="K4" s="61"/>
      <c r="L4" s="61"/>
      <c r="M4" s="61"/>
      <c r="N4" s="61"/>
    </row>
    <row r="5" spans="1:14" x14ac:dyDescent="0.25">
      <c r="A5" t="s">
        <v>78</v>
      </c>
      <c r="B5" s="9">
        <v>3000</v>
      </c>
      <c r="H5" s="61"/>
      <c r="I5" s="61"/>
      <c r="J5" s="61"/>
      <c r="K5" s="61"/>
      <c r="L5" s="61"/>
      <c r="M5" s="61"/>
      <c r="N5" s="61"/>
    </row>
    <row r="6" spans="1:14" x14ac:dyDescent="0.25">
      <c r="A6" t="s">
        <v>29</v>
      </c>
      <c r="B6" s="10">
        <v>1400</v>
      </c>
      <c r="H6" s="61"/>
      <c r="I6" s="61"/>
      <c r="J6" s="61"/>
      <c r="K6" s="61"/>
      <c r="L6" s="61"/>
      <c r="M6" s="61"/>
      <c r="N6" s="61"/>
    </row>
    <row r="7" spans="1:14" ht="15.75" thickBot="1" x14ac:dyDescent="0.3">
      <c r="A7" s="12" t="s">
        <v>8</v>
      </c>
      <c r="B7" s="13">
        <f>B5*B6</f>
        <v>4200000</v>
      </c>
      <c r="H7" s="61"/>
      <c r="I7" s="61"/>
      <c r="J7" s="61"/>
      <c r="K7" s="61"/>
      <c r="L7" s="61"/>
      <c r="M7" s="61"/>
      <c r="N7" s="61"/>
    </row>
    <row r="8" spans="1:14" ht="15.75" thickTop="1" x14ac:dyDescent="0.25">
      <c r="B8" s="14"/>
    </row>
    <row r="9" spans="1:14" x14ac:dyDescent="0.25">
      <c r="A9" s="8" t="s">
        <v>9</v>
      </c>
      <c r="B9" s="8"/>
    </row>
    <row r="10" spans="1:14" x14ac:dyDescent="0.25">
      <c r="A10" t="s">
        <v>10</v>
      </c>
      <c r="B10" s="9">
        <f>B5</f>
        <v>3000</v>
      </c>
    </row>
    <row r="11" spans="1:14" x14ac:dyDescent="0.25">
      <c r="A11" t="s">
        <v>31</v>
      </c>
      <c r="B11" s="10">
        <v>740</v>
      </c>
    </row>
    <row r="12" spans="1:14" x14ac:dyDescent="0.25">
      <c r="A12" s="15" t="s">
        <v>11</v>
      </c>
      <c r="B12" s="16">
        <f>B10*B11</f>
        <v>2220000</v>
      </c>
    </row>
    <row r="13" spans="1:14" x14ac:dyDescent="0.25">
      <c r="A13" t="s">
        <v>33</v>
      </c>
      <c r="B13" s="10">
        <v>210</v>
      </c>
    </row>
    <row r="14" spans="1:14" x14ac:dyDescent="0.25">
      <c r="A14" s="15" t="s">
        <v>12</v>
      </c>
      <c r="B14" s="16">
        <f>B10*B13</f>
        <v>630000</v>
      </c>
    </row>
    <row r="15" spans="1:14" ht="15.75" thickBot="1" x14ac:dyDescent="0.3">
      <c r="A15" s="17" t="s">
        <v>13</v>
      </c>
      <c r="B15" s="13">
        <f>B12+B14</f>
        <v>2850000</v>
      </c>
    </row>
    <row r="16" spans="1:14" ht="15.75" thickTop="1" x14ac:dyDescent="0.25">
      <c r="B16" s="14"/>
    </row>
    <row r="17" spans="1:5" x14ac:dyDescent="0.25">
      <c r="A17" s="8" t="s">
        <v>14</v>
      </c>
      <c r="B17" s="8"/>
      <c r="E17" s="62"/>
    </row>
    <row r="18" spans="1:5" x14ac:dyDescent="0.25">
      <c r="A18" t="s">
        <v>15</v>
      </c>
      <c r="B18" s="18">
        <v>616500</v>
      </c>
    </row>
    <row r="19" spans="1:5" x14ac:dyDescent="0.25">
      <c r="A19" t="s">
        <v>16</v>
      </c>
      <c r="B19" s="14">
        <v>180000</v>
      </c>
      <c r="E19" s="63"/>
    </row>
    <row r="20" spans="1:5" x14ac:dyDescent="0.25">
      <c r="A20" t="s">
        <v>17</v>
      </c>
      <c r="B20" s="14">
        <v>150000</v>
      </c>
    </row>
    <row r="21" spans="1:5" x14ac:dyDescent="0.25">
      <c r="A21" t="s">
        <v>18</v>
      </c>
      <c r="B21" s="14">
        <v>210000</v>
      </c>
    </row>
    <row r="22" spans="1:5" ht="15.75" thickBot="1" x14ac:dyDescent="0.3">
      <c r="A22" s="17" t="s">
        <v>19</v>
      </c>
      <c r="B22" s="13">
        <f>SUM(B18:B21)</f>
        <v>1156500</v>
      </c>
    </row>
    <row r="23" spans="1:5" ht="15.75" thickTop="1" x14ac:dyDescent="0.25">
      <c r="B23" s="14"/>
    </row>
    <row r="24" spans="1:5" x14ac:dyDescent="0.25">
      <c r="A24" s="8" t="s">
        <v>20</v>
      </c>
      <c r="B24" s="8"/>
    </row>
    <row r="25" spans="1:5" x14ac:dyDescent="0.25">
      <c r="A25" t="s">
        <v>8</v>
      </c>
      <c r="B25" s="11">
        <f>B7</f>
        <v>4200000</v>
      </c>
    </row>
    <row r="26" spans="1:5" x14ac:dyDescent="0.25">
      <c r="A26" t="s">
        <v>21</v>
      </c>
      <c r="B26" s="11">
        <f>B15+B22</f>
        <v>4006500</v>
      </c>
    </row>
    <row r="27" spans="1:5" ht="15.75" thickBot="1" x14ac:dyDescent="0.3">
      <c r="A27" s="17" t="s">
        <v>6</v>
      </c>
      <c r="B27" s="19">
        <f>B25-B26</f>
        <v>193500</v>
      </c>
    </row>
    <row r="28" spans="1:5" ht="15.75" thickTop="1" x14ac:dyDescent="0.25"/>
  </sheetData>
  <pageMargins left="0.7" right="0.7" top="0.75" bottom="0.75" header="0.3" footer="0.3"/>
  <pageSetup scale="60" orientation="landscape" horizontalDpi="4294967295" verticalDpi="4294967295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5DC4-F15F-4DF7-B168-02F6EEF0732D}">
  <sheetPr>
    <pageSetUpPr fitToPage="1"/>
  </sheetPr>
  <dimension ref="A1:K46"/>
  <sheetViews>
    <sheetView zoomScale="120" zoomScaleNormal="120" workbookViewId="0"/>
  </sheetViews>
  <sheetFormatPr defaultRowHeight="15" x14ac:dyDescent="0.25"/>
  <cols>
    <col min="1" max="1" width="26" customWidth="1"/>
    <col min="2" max="4" width="14" customWidth="1"/>
    <col min="5" max="5" width="15" customWidth="1"/>
    <col min="6" max="6" width="2.140625" customWidth="1"/>
    <col min="7" max="7" width="22.140625" customWidth="1"/>
    <col min="8" max="10" width="11.140625" customWidth="1"/>
    <col min="11" max="11" width="12.7109375" customWidth="1"/>
  </cols>
  <sheetData>
    <row r="1" spans="1:11" ht="30" customHeight="1" x14ac:dyDescent="0.25">
      <c r="A1" s="1" t="s">
        <v>0</v>
      </c>
    </row>
    <row r="2" spans="1:11" x14ac:dyDescent="0.25">
      <c r="A2" s="6" t="s">
        <v>22</v>
      </c>
    </row>
    <row r="4" spans="1:11" ht="15.75" x14ac:dyDescent="0.25">
      <c r="G4" s="20" t="s">
        <v>23</v>
      </c>
    </row>
    <row r="5" spans="1:11" x14ac:dyDescent="0.25">
      <c r="A5" s="21" t="s">
        <v>22</v>
      </c>
      <c r="B5" s="22" t="s">
        <v>25</v>
      </c>
      <c r="C5" s="22" t="s">
        <v>26</v>
      </c>
      <c r="D5" s="22" t="s">
        <v>27</v>
      </c>
      <c r="E5" s="22" t="s">
        <v>24</v>
      </c>
      <c r="G5" s="23" t="s">
        <v>28</v>
      </c>
      <c r="H5" s="24" t="s">
        <v>25</v>
      </c>
      <c r="I5" s="24" t="s">
        <v>26</v>
      </c>
      <c r="J5" s="24" t="s">
        <v>27</v>
      </c>
      <c r="K5" s="24" t="s">
        <v>24</v>
      </c>
    </row>
    <row r="6" spans="1:11" x14ac:dyDescent="0.25">
      <c r="A6" t="s">
        <v>29</v>
      </c>
      <c r="B6" s="10">
        <v>1400</v>
      </c>
      <c r="C6" s="10">
        <v>1800</v>
      </c>
      <c r="D6" s="10">
        <v>2200</v>
      </c>
      <c r="E6" s="10">
        <v>3000</v>
      </c>
      <c r="G6" s="25" t="s">
        <v>30</v>
      </c>
      <c r="H6" s="26">
        <v>1</v>
      </c>
      <c r="I6" s="26">
        <v>1</v>
      </c>
      <c r="J6" s="26">
        <v>0</v>
      </c>
      <c r="K6" s="26">
        <v>0</v>
      </c>
    </row>
    <row r="7" spans="1:11" x14ac:dyDescent="0.25">
      <c r="A7" t="s">
        <v>31</v>
      </c>
      <c r="B7" s="27">
        <v>740</v>
      </c>
      <c r="C7" s="27">
        <v>934</v>
      </c>
      <c r="D7" s="27">
        <v>1388</v>
      </c>
      <c r="E7" s="27">
        <v>2004</v>
      </c>
      <c r="F7" s="18"/>
      <c r="G7" s="28" t="s">
        <v>32</v>
      </c>
      <c r="H7" s="29">
        <v>0</v>
      </c>
      <c r="I7" s="29">
        <v>0</v>
      </c>
      <c r="J7" s="29">
        <v>1</v>
      </c>
      <c r="K7" s="29">
        <v>1</v>
      </c>
    </row>
    <row r="8" spans="1:11" x14ac:dyDescent="0.25">
      <c r="A8" t="s">
        <v>33</v>
      </c>
      <c r="B8" s="27">
        <v>210</v>
      </c>
      <c r="C8" s="27">
        <v>378</v>
      </c>
      <c r="D8" s="27">
        <v>488</v>
      </c>
      <c r="E8" s="27">
        <v>648</v>
      </c>
      <c r="F8" s="18"/>
      <c r="G8" s="25" t="s">
        <v>34</v>
      </c>
      <c r="H8" s="26">
        <v>1</v>
      </c>
      <c r="I8" s="26">
        <v>0</v>
      </c>
      <c r="J8" s="26">
        <v>0</v>
      </c>
      <c r="K8" s="26">
        <v>0</v>
      </c>
    </row>
    <row r="9" spans="1:11" x14ac:dyDescent="0.25">
      <c r="G9" s="25" t="s">
        <v>35</v>
      </c>
      <c r="H9" s="26">
        <v>0</v>
      </c>
      <c r="I9" s="26">
        <v>1</v>
      </c>
      <c r="J9" s="26">
        <v>0</v>
      </c>
      <c r="K9" s="26">
        <v>0</v>
      </c>
    </row>
    <row r="10" spans="1:11" x14ac:dyDescent="0.25">
      <c r="A10" s="30" t="s">
        <v>36</v>
      </c>
      <c r="B10" s="31">
        <v>3000</v>
      </c>
      <c r="C10" s="31">
        <v>3000</v>
      </c>
      <c r="D10" s="31">
        <v>3000</v>
      </c>
      <c r="E10" s="31">
        <v>3000</v>
      </c>
      <c r="G10" s="28" t="s">
        <v>37</v>
      </c>
      <c r="H10" s="29">
        <v>0</v>
      </c>
      <c r="I10" s="29">
        <v>0</v>
      </c>
      <c r="J10" s="29">
        <v>1</v>
      </c>
      <c r="K10" s="29">
        <v>1</v>
      </c>
    </row>
    <row r="11" spans="1:11" ht="15.75" thickBot="1" x14ac:dyDescent="0.3">
      <c r="A11" s="32" t="s">
        <v>38</v>
      </c>
      <c r="B11" s="33"/>
      <c r="C11" s="33"/>
      <c r="D11" s="33"/>
      <c r="E11" s="33"/>
      <c r="G11" s="25" t="s">
        <v>39</v>
      </c>
      <c r="H11" s="26">
        <v>1</v>
      </c>
      <c r="I11" s="26">
        <v>1</v>
      </c>
      <c r="J11" s="26">
        <v>1</v>
      </c>
      <c r="K11" s="26">
        <v>0</v>
      </c>
    </row>
    <row r="12" spans="1:11" ht="16.5" thickTop="1" thickBot="1" x14ac:dyDescent="0.3">
      <c r="A12" s="34" t="s">
        <v>40</v>
      </c>
      <c r="B12" s="35">
        <f>B11-B10</f>
        <v>-3000</v>
      </c>
      <c r="C12" s="35">
        <f>C11-C10</f>
        <v>-3000</v>
      </c>
      <c r="D12" s="35">
        <f>D11-D10</f>
        <v>-3000</v>
      </c>
      <c r="E12" s="35">
        <f>E11-E10</f>
        <v>-3000</v>
      </c>
      <c r="G12" s="28" t="s">
        <v>41</v>
      </c>
      <c r="H12" s="29">
        <v>0</v>
      </c>
      <c r="I12" s="29">
        <v>0</v>
      </c>
      <c r="J12" s="29">
        <v>0</v>
      </c>
      <c r="K12" s="29">
        <v>1</v>
      </c>
    </row>
    <row r="13" spans="1:11" x14ac:dyDescent="0.25">
      <c r="G13" s="25" t="s">
        <v>42</v>
      </c>
      <c r="H13" s="26">
        <v>1</v>
      </c>
      <c r="I13" s="26">
        <v>1</v>
      </c>
      <c r="J13" s="26">
        <v>1</v>
      </c>
      <c r="K13" s="26">
        <v>0</v>
      </c>
    </row>
    <row r="14" spans="1:11" ht="15.75" thickBot="1" x14ac:dyDescent="0.3">
      <c r="A14" s="36" t="s">
        <v>43</v>
      </c>
      <c r="B14" s="37">
        <f>B10*B6</f>
        <v>4200000</v>
      </c>
      <c r="C14" s="37">
        <f>C10*C6</f>
        <v>5400000</v>
      </c>
      <c r="D14" s="37">
        <f>D10*D6</f>
        <v>6600000</v>
      </c>
      <c r="E14" s="37">
        <f>E10*E6</f>
        <v>9000000</v>
      </c>
      <c r="G14" s="28" t="s">
        <v>44</v>
      </c>
      <c r="H14" s="29">
        <v>0</v>
      </c>
      <c r="I14" s="29">
        <v>0</v>
      </c>
      <c r="J14" s="29">
        <v>0</v>
      </c>
      <c r="K14" s="29">
        <v>1</v>
      </c>
    </row>
    <row r="15" spans="1:11" ht="16.5" thickTop="1" thickBot="1" x14ac:dyDescent="0.3">
      <c r="A15" s="38" t="s">
        <v>45</v>
      </c>
      <c r="B15" s="39">
        <f>B11*B6</f>
        <v>0</v>
      </c>
      <c r="C15" s="39">
        <f>C11*C6</f>
        <v>0</v>
      </c>
      <c r="D15" s="39">
        <f>D11*D6</f>
        <v>0</v>
      </c>
      <c r="E15" s="39">
        <f>E11*E6</f>
        <v>0</v>
      </c>
      <c r="G15" s="40" t="s">
        <v>46</v>
      </c>
      <c r="H15" s="41">
        <v>1</v>
      </c>
      <c r="I15" s="41">
        <v>1</v>
      </c>
      <c r="J15" s="41">
        <v>1</v>
      </c>
      <c r="K15" s="41">
        <v>0</v>
      </c>
    </row>
    <row r="16" spans="1:11" ht="16.5" thickTop="1" thickBot="1" x14ac:dyDescent="0.3">
      <c r="A16" s="34" t="s">
        <v>40</v>
      </c>
      <c r="B16" s="42">
        <f>B15-B14</f>
        <v>-4200000</v>
      </c>
      <c r="C16" s="42">
        <f>C15-C14</f>
        <v>-5400000</v>
      </c>
      <c r="D16" s="42">
        <f>D15-D14</f>
        <v>-6600000</v>
      </c>
      <c r="E16" s="42">
        <f>E15-E14</f>
        <v>-9000000</v>
      </c>
      <c r="G16" s="28" t="s">
        <v>47</v>
      </c>
      <c r="H16" s="29">
        <v>0</v>
      </c>
      <c r="I16" s="29">
        <v>0</v>
      </c>
      <c r="J16" s="29">
        <v>0</v>
      </c>
      <c r="K16" s="29">
        <v>1</v>
      </c>
    </row>
    <row r="17" spans="1:11" x14ac:dyDescent="0.25">
      <c r="G17" s="40" t="s">
        <v>48</v>
      </c>
      <c r="H17" s="41">
        <v>1</v>
      </c>
      <c r="I17" s="41">
        <v>1</v>
      </c>
      <c r="J17" s="41">
        <v>0</v>
      </c>
      <c r="K17" s="41">
        <v>0</v>
      </c>
    </row>
    <row r="18" spans="1:11" x14ac:dyDescent="0.25">
      <c r="A18" s="43" t="s">
        <v>20</v>
      </c>
      <c r="B18" s="44" t="s">
        <v>74</v>
      </c>
      <c r="C18" s="45" t="s">
        <v>75</v>
      </c>
      <c r="D18" s="46" t="s">
        <v>76</v>
      </c>
      <c r="E18" s="47" t="s">
        <v>77</v>
      </c>
      <c r="G18" s="28" t="s">
        <v>49</v>
      </c>
      <c r="H18" s="29">
        <v>0</v>
      </c>
      <c r="I18" s="29">
        <v>0</v>
      </c>
      <c r="J18" s="29">
        <v>1</v>
      </c>
      <c r="K18" s="29">
        <v>1</v>
      </c>
    </row>
    <row r="19" spans="1:11" x14ac:dyDescent="0.25">
      <c r="A19" t="s">
        <v>7</v>
      </c>
      <c r="B19" s="48">
        <f>SUM(B10:E10)</f>
        <v>12000</v>
      </c>
      <c r="C19" s="49">
        <f>SUM(B11:E11)</f>
        <v>0</v>
      </c>
      <c r="D19" s="52">
        <f t="shared" ref="D19:D24" si="0">C19-B19</f>
        <v>-12000</v>
      </c>
      <c r="E19" s="64">
        <f t="shared" ref="E19:E24" si="1">D19/B19</f>
        <v>-1</v>
      </c>
      <c r="G19" s="25" t="s">
        <v>50</v>
      </c>
      <c r="H19" s="50">
        <v>1</v>
      </c>
      <c r="I19" s="50">
        <v>1</v>
      </c>
      <c r="J19" s="50">
        <v>1</v>
      </c>
      <c r="K19" s="50">
        <v>0</v>
      </c>
    </row>
    <row r="20" spans="1:11" x14ac:dyDescent="0.25">
      <c r="A20" s="65" t="s">
        <v>8</v>
      </c>
      <c r="B20" s="66">
        <f>SUM(B14:E14)</f>
        <v>25200000</v>
      </c>
      <c r="C20" s="67">
        <f>SUM(B15:E15)</f>
        <v>0</v>
      </c>
      <c r="D20" s="68">
        <f t="shared" si="0"/>
        <v>-25200000</v>
      </c>
      <c r="E20" s="69">
        <f t="shared" si="1"/>
        <v>-1</v>
      </c>
      <c r="G20" s="28" t="s">
        <v>51</v>
      </c>
      <c r="H20" s="51">
        <v>0</v>
      </c>
      <c r="I20" s="51">
        <v>0</v>
      </c>
      <c r="J20" s="51">
        <v>0</v>
      </c>
      <c r="K20" s="51">
        <v>1</v>
      </c>
    </row>
    <row r="21" spans="1:11" x14ac:dyDescent="0.25">
      <c r="A21" t="s">
        <v>11</v>
      </c>
      <c r="B21" s="48">
        <f>SUMPRODUCT(B10:E10,B7:E7)</f>
        <v>15198000</v>
      </c>
      <c r="C21" s="49">
        <f>SUMPRODUCT(B11:E11,B7:E7)</f>
        <v>0</v>
      </c>
      <c r="D21" s="52">
        <f t="shared" si="0"/>
        <v>-15198000</v>
      </c>
      <c r="E21" s="64">
        <f t="shared" si="1"/>
        <v>-1</v>
      </c>
      <c r="G21" s="25" t="s">
        <v>52</v>
      </c>
      <c r="H21" s="50">
        <v>2</v>
      </c>
      <c r="I21" s="50">
        <v>2</v>
      </c>
      <c r="J21" s="50">
        <v>2</v>
      </c>
      <c r="K21" s="50">
        <v>2</v>
      </c>
    </row>
    <row r="22" spans="1:11" x14ac:dyDescent="0.25">
      <c r="A22" t="s">
        <v>12</v>
      </c>
      <c r="B22" s="48">
        <f>SUMPRODUCT(B10:E10,B8:E8)</f>
        <v>5172000</v>
      </c>
      <c r="C22" s="49">
        <f>SUMPRODUCT(B11:E11,B8:E8)</f>
        <v>0</v>
      </c>
      <c r="D22" s="52">
        <f t="shared" si="0"/>
        <v>-5172000</v>
      </c>
      <c r="E22" s="64">
        <f t="shared" si="1"/>
        <v>-1</v>
      </c>
      <c r="G22" s="25" t="s">
        <v>53</v>
      </c>
      <c r="H22" s="50">
        <v>1</v>
      </c>
      <c r="I22" s="50">
        <v>1</v>
      </c>
      <c r="J22" s="50">
        <v>1</v>
      </c>
      <c r="K22" s="50">
        <v>1</v>
      </c>
    </row>
    <row r="23" spans="1:11" x14ac:dyDescent="0.25">
      <c r="A23" s="65" t="s">
        <v>19</v>
      </c>
      <c r="B23" s="70">
        <v>3470000</v>
      </c>
      <c r="C23" s="71">
        <v>3470000</v>
      </c>
      <c r="D23" s="72">
        <f t="shared" si="0"/>
        <v>0</v>
      </c>
      <c r="E23" s="69">
        <f t="shared" si="1"/>
        <v>0</v>
      </c>
      <c r="G23" s="25" t="s">
        <v>54</v>
      </c>
      <c r="H23" s="50">
        <v>1</v>
      </c>
      <c r="I23" s="50">
        <v>1</v>
      </c>
      <c r="J23" s="50">
        <v>1</v>
      </c>
      <c r="K23" s="50">
        <v>1</v>
      </c>
    </row>
    <row r="24" spans="1:11" ht="15.75" thickBot="1" x14ac:dyDescent="0.3">
      <c r="A24" s="73" t="s">
        <v>6</v>
      </c>
      <c r="B24" s="74">
        <f>B20-(B21+B22+B23)</f>
        <v>1360000</v>
      </c>
      <c r="C24" s="75">
        <f>C20-(C21+C22+C23)</f>
        <v>-3470000</v>
      </c>
      <c r="D24" s="76">
        <f t="shared" si="0"/>
        <v>-4830000</v>
      </c>
      <c r="E24" s="77">
        <f t="shared" si="1"/>
        <v>-3.5514705882352939</v>
      </c>
      <c r="G24" s="28" t="s">
        <v>55</v>
      </c>
      <c r="H24" s="51">
        <v>1</v>
      </c>
      <c r="I24" s="51">
        <v>1</v>
      </c>
      <c r="J24" s="51">
        <v>1</v>
      </c>
      <c r="K24" s="51">
        <v>1</v>
      </c>
    </row>
    <row r="25" spans="1:11" ht="15.75" thickTop="1" x14ac:dyDescent="0.25"/>
    <row r="26" spans="1:11" ht="15.75" x14ac:dyDescent="0.25">
      <c r="G26" s="20" t="s">
        <v>56</v>
      </c>
    </row>
    <row r="27" spans="1:11" x14ac:dyDescent="0.25">
      <c r="G27" s="23" t="s">
        <v>28</v>
      </c>
      <c r="H27" s="24" t="s">
        <v>57</v>
      </c>
      <c r="I27" s="24" t="s">
        <v>58</v>
      </c>
      <c r="J27" s="24" t="s">
        <v>59</v>
      </c>
    </row>
    <row r="28" spans="1:11" x14ac:dyDescent="0.25">
      <c r="G28" s="25" t="s">
        <v>30</v>
      </c>
      <c r="H28" s="53">
        <v>6413</v>
      </c>
      <c r="I28" s="53">
        <f>SUMPRODUCT(H6:K6,$B$11:$E$11)</f>
        <v>0</v>
      </c>
      <c r="J28" s="54">
        <f>H28-I28</f>
        <v>6413</v>
      </c>
    </row>
    <row r="29" spans="1:11" x14ac:dyDescent="0.25">
      <c r="G29" s="28" t="s">
        <v>32</v>
      </c>
      <c r="H29" s="55">
        <v>6312</v>
      </c>
      <c r="I29" s="55">
        <f t="shared" ref="I29:I46" si="2">SUMPRODUCT(H7:K7,$B$11:$E$11)</f>
        <v>0</v>
      </c>
      <c r="J29" s="56">
        <f t="shared" ref="J29:J46" si="3">H29-I29</f>
        <v>6312</v>
      </c>
    </row>
    <row r="30" spans="1:11" x14ac:dyDescent="0.25">
      <c r="G30" s="25" t="s">
        <v>34</v>
      </c>
      <c r="H30" s="53">
        <v>2809</v>
      </c>
      <c r="I30" s="53">
        <f t="shared" si="2"/>
        <v>0</v>
      </c>
      <c r="J30" s="54">
        <f t="shared" si="3"/>
        <v>2809</v>
      </c>
    </row>
    <row r="31" spans="1:11" x14ac:dyDescent="0.25">
      <c r="G31" s="25" t="s">
        <v>35</v>
      </c>
      <c r="H31" s="53">
        <v>3381</v>
      </c>
      <c r="I31" s="53">
        <f t="shared" si="2"/>
        <v>0</v>
      </c>
      <c r="J31" s="54">
        <f t="shared" si="3"/>
        <v>3381</v>
      </c>
    </row>
    <row r="32" spans="1:11" x14ac:dyDescent="0.25">
      <c r="G32" s="28" t="s">
        <v>37</v>
      </c>
      <c r="H32" s="55">
        <v>6304</v>
      </c>
      <c r="I32" s="55">
        <f t="shared" si="2"/>
        <v>0</v>
      </c>
      <c r="J32" s="56">
        <f t="shared" si="3"/>
        <v>6304</v>
      </c>
    </row>
    <row r="33" spans="7:10" x14ac:dyDescent="0.25">
      <c r="G33" s="25" t="s">
        <v>39</v>
      </c>
      <c r="H33" s="53">
        <v>9681</v>
      </c>
      <c r="I33" s="53">
        <f t="shared" si="2"/>
        <v>0</v>
      </c>
      <c r="J33" s="54">
        <f t="shared" si="3"/>
        <v>9681</v>
      </c>
    </row>
    <row r="34" spans="7:10" x14ac:dyDescent="0.25">
      <c r="G34" s="28" t="s">
        <v>41</v>
      </c>
      <c r="H34" s="55">
        <v>3388</v>
      </c>
      <c r="I34" s="55">
        <f t="shared" si="2"/>
        <v>0</v>
      </c>
      <c r="J34" s="56">
        <f t="shared" si="3"/>
        <v>3388</v>
      </c>
    </row>
    <row r="35" spans="7:10" x14ac:dyDescent="0.25">
      <c r="G35" s="25" t="s">
        <v>42</v>
      </c>
      <c r="H35" s="53">
        <v>9831</v>
      </c>
      <c r="I35" s="53">
        <f t="shared" si="2"/>
        <v>0</v>
      </c>
      <c r="J35" s="54">
        <f t="shared" si="3"/>
        <v>9831</v>
      </c>
    </row>
    <row r="36" spans="7:10" x14ac:dyDescent="0.25">
      <c r="G36" s="28" t="s">
        <v>44</v>
      </c>
      <c r="H36" s="55">
        <v>3722</v>
      </c>
      <c r="I36" s="55">
        <f t="shared" si="2"/>
        <v>0</v>
      </c>
      <c r="J36" s="56">
        <f t="shared" si="3"/>
        <v>3722</v>
      </c>
    </row>
    <row r="37" spans="7:10" x14ac:dyDescent="0.25">
      <c r="G37" s="25" t="s">
        <v>46</v>
      </c>
      <c r="H37" s="53">
        <v>10204</v>
      </c>
      <c r="I37" s="53">
        <f t="shared" si="2"/>
        <v>0</v>
      </c>
      <c r="J37" s="54">
        <f t="shared" si="3"/>
        <v>10204</v>
      </c>
    </row>
    <row r="38" spans="7:10" x14ac:dyDescent="0.25">
      <c r="G38" s="28" t="s">
        <v>47</v>
      </c>
      <c r="H38" s="55">
        <v>3500</v>
      </c>
      <c r="I38" s="55">
        <f t="shared" si="2"/>
        <v>0</v>
      </c>
      <c r="J38" s="56">
        <f t="shared" si="3"/>
        <v>3500</v>
      </c>
    </row>
    <row r="39" spans="7:10" x14ac:dyDescent="0.25">
      <c r="G39" s="25" t="s">
        <v>48</v>
      </c>
      <c r="H39" s="53">
        <v>9000</v>
      </c>
      <c r="I39" s="53">
        <f t="shared" si="2"/>
        <v>0</v>
      </c>
      <c r="J39" s="54">
        <f t="shared" si="3"/>
        <v>9000</v>
      </c>
    </row>
    <row r="40" spans="7:10" x14ac:dyDescent="0.25">
      <c r="G40" s="28" t="s">
        <v>49</v>
      </c>
      <c r="H40" s="55">
        <v>7800</v>
      </c>
      <c r="I40" s="55">
        <f t="shared" si="2"/>
        <v>0</v>
      </c>
      <c r="J40" s="56">
        <f t="shared" si="3"/>
        <v>7800</v>
      </c>
    </row>
    <row r="41" spans="7:10" x14ac:dyDescent="0.25">
      <c r="G41" s="25" t="s">
        <v>50</v>
      </c>
      <c r="H41" s="53">
        <v>10311</v>
      </c>
      <c r="I41" s="53">
        <f t="shared" si="2"/>
        <v>0</v>
      </c>
      <c r="J41" s="54">
        <f t="shared" si="3"/>
        <v>10311</v>
      </c>
    </row>
    <row r="42" spans="7:10" x14ac:dyDescent="0.25">
      <c r="G42" s="28" t="s">
        <v>51</v>
      </c>
      <c r="H42" s="55">
        <v>3417</v>
      </c>
      <c r="I42" s="55">
        <f t="shared" si="2"/>
        <v>0</v>
      </c>
      <c r="J42" s="56">
        <f t="shared" si="3"/>
        <v>3417</v>
      </c>
    </row>
    <row r="43" spans="7:10" x14ac:dyDescent="0.25">
      <c r="G43" s="25" t="s">
        <v>52</v>
      </c>
      <c r="H43" s="53">
        <v>25108</v>
      </c>
      <c r="I43" s="53">
        <f t="shared" si="2"/>
        <v>0</v>
      </c>
      <c r="J43" s="54">
        <f t="shared" si="3"/>
        <v>25108</v>
      </c>
    </row>
    <row r="44" spans="7:10" x14ac:dyDescent="0.25">
      <c r="G44" s="25" t="s">
        <v>53</v>
      </c>
      <c r="H44" s="53">
        <v>14688</v>
      </c>
      <c r="I44" s="53">
        <f t="shared" si="2"/>
        <v>0</v>
      </c>
      <c r="J44" s="54">
        <f t="shared" si="3"/>
        <v>14688</v>
      </c>
    </row>
    <row r="45" spans="7:10" x14ac:dyDescent="0.25">
      <c r="G45" s="25" t="s">
        <v>54</v>
      </c>
      <c r="H45" s="53">
        <v>13409</v>
      </c>
      <c r="I45" s="53">
        <f t="shared" si="2"/>
        <v>0</v>
      </c>
      <c r="J45" s="54">
        <f t="shared" si="3"/>
        <v>13409</v>
      </c>
    </row>
    <row r="46" spans="7:10" x14ac:dyDescent="0.25">
      <c r="G46" s="28" t="s">
        <v>55</v>
      </c>
      <c r="H46" s="57">
        <v>13944</v>
      </c>
      <c r="I46" s="55">
        <f t="shared" si="2"/>
        <v>0</v>
      </c>
      <c r="J46" s="56">
        <f t="shared" si="3"/>
        <v>13944</v>
      </c>
    </row>
  </sheetData>
  <conditionalFormatting sqref="J28:J46">
    <cfRule type="cellIs" dxfId="0" priority="1" operator="equal">
      <formula>0</formula>
    </cfRule>
  </conditionalFormatting>
  <pageMargins left="0.7" right="0.7" top="0.75" bottom="0.75" header="0.3" footer="0.3"/>
  <pageSetup scale="72" orientation="landscape" horizontalDpi="4294967295" verticalDpi="4294967295" r:id="rId1"/>
  <headerFooter>
    <oddFooter>&amp;R&amp;F &amp;A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0268-A011-41BC-B098-AF50711DDC5B}">
  <dimension ref="A1:B11"/>
  <sheetViews>
    <sheetView zoomScale="120" zoomScaleNormal="120" workbookViewId="0"/>
  </sheetViews>
  <sheetFormatPr defaultRowHeight="15" x14ac:dyDescent="0.25"/>
  <cols>
    <col min="1" max="1" width="29.140625" customWidth="1"/>
    <col min="2" max="2" width="47.85546875" customWidth="1"/>
  </cols>
  <sheetData>
    <row r="1" spans="1:2" ht="32.25" x14ac:dyDescent="0.25">
      <c r="A1" s="1" t="s">
        <v>0</v>
      </c>
    </row>
    <row r="2" spans="1:2" x14ac:dyDescent="0.25">
      <c r="A2" s="6" t="s">
        <v>60</v>
      </c>
    </row>
    <row r="4" spans="1:2" x14ac:dyDescent="0.25">
      <c r="A4" s="58" t="s">
        <v>61</v>
      </c>
      <c r="B4" s="58" t="s">
        <v>62</v>
      </c>
    </row>
    <row r="5" spans="1:2" ht="45" x14ac:dyDescent="0.25">
      <c r="A5" s="59" t="s">
        <v>63</v>
      </c>
      <c r="B5" s="60" t="s">
        <v>64</v>
      </c>
    </row>
    <row r="6" spans="1:2" ht="30" x14ac:dyDescent="0.25">
      <c r="A6" s="59" t="s">
        <v>5</v>
      </c>
      <c r="B6" s="60" t="s">
        <v>65</v>
      </c>
    </row>
    <row r="7" spans="1:2" ht="30" x14ac:dyDescent="0.25">
      <c r="A7" s="59" t="s">
        <v>9</v>
      </c>
      <c r="B7" s="60" t="s">
        <v>66</v>
      </c>
    </row>
    <row r="8" spans="1:2" ht="30" x14ac:dyDescent="0.25">
      <c r="A8" s="59" t="s">
        <v>14</v>
      </c>
      <c r="B8" s="60" t="s">
        <v>67</v>
      </c>
    </row>
    <row r="9" spans="1:2" ht="30" x14ac:dyDescent="0.25">
      <c r="A9" s="59" t="s">
        <v>68</v>
      </c>
      <c r="B9" s="60" t="s">
        <v>69</v>
      </c>
    </row>
    <row r="10" spans="1:2" ht="30" x14ac:dyDescent="0.25">
      <c r="A10" s="59" t="s">
        <v>70</v>
      </c>
      <c r="B10" s="60" t="s">
        <v>71</v>
      </c>
    </row>
    <row r="11" spans="1:2" ht="30" x14ac:dyDescent="0.25">
      <c r="A11" s="59" t="s">
        <v>72</v>
      </c>
      <c r="B11" s="6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Income</vt:lpstr>
      <vt:lpstr>Product Mix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Module Case</dc:title>
  <dc:creator>Your Name</dc:creator>
  <cp:lastModifiedBy>Your Name</cp:lastModifiedBy>
  <dcterms:created xsi:type="dcterms:W3CDTF">2018-12-16T04:11:48Z</dcterms:created>
  <dcterms:modified xsi:type="dcterms:W3CDTF">2019-01-12T16:03:21Z</dcterms:modified>
</cp:coreProperties>
</file>