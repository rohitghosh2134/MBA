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Patrick Carey\Documents\Cengage\Active\Excel 2019\disk\data\Excel1\Module\"/>
    </mc:Choice>
  </mc:AlternateContent>
  <bookViews>
    <workbookView xWindow="0" yWindow="0" windowWidth="28800" windowHeight="12210"/>
  </bookViews>
  <sheets>
    <sheet name="Documentation" sheetId="5" r:id="rId1"/>
    <sheet name="Budget" sheetId="4" r:id="rId2"/>
    <sheet name="Registration Revenue" sheetId="3" r:id="rId3"/>
    <sheet name="Meal Costs" sheetId="2" r:id="rId4"/>
    <sheet name="Room Costs" sheetId="7" r:id="rId5"/>
    <sheet name="Conference History" sheetId="9" r:id="rId6"/>
    <sheet name="Budget History" sheetId="6" r:id="rId7"/>
    <sheet name="Registration List" sheetId="10" r:id="rId8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" l="1"/>
  <c r="C14" i="2"/>
  <c r="C5" i="2"/>
  <c r="C6" i="2"/>
  <c r="C7" i="2"/>
  <c r="C8" i="2"/>
  <c r="C9" i="2"/>
  <c r="C10" i="2"/>
  <c r="C11" i="2"/>
  <c r="C12" i="2"/>
  <c r="C13" i="2"/>
  <c r="C4" i="2"/>
  <c r="F18" i="7"/>
  <c r="F17" i="7"/>
  <c r="F19" i="7"/>
  <c r="E5" i="7"/>
  <c r="E6" i="7"/>
  <c r="E7" i="7"/>
  <c r="E8" i="7"/>
  <c r="E9" i="7"/>
  <c r="E10" i="7"/>
  <c r="E11" i="7"/>
  <c r="E12" i="7"/>
  <c r="E13" i="7"/>
  <c r="E14" i="7"/>
  <c r="C16" i="4"/>
  <c r="E4" i="6"/>
  <c r="E5" i="6"/>
  <c r="E6" i="6"/>
  <c r="E7" i="6"/>
  <c r="E8" i="6"/>
  <c r="E4" i="3"/>
  <c r="C6" i="4"/>
  <c r="E5" i="3"/>
  <c r="C7" i="4"/>
  <c r="E6" i="3"/>
  <c r="C8" i="4"/>
  <c r="C9" i="4"/>
  <c r="C9" i="6"/>
  <c r="E4" i="2"/>
  <c r="E5" i="2"/>
  <c r="E6" i="2"/>
  <c r="E7" i="2"/>
  <c r="E8" i="2"/>
  <c r="E9" i="2"/>
  <c r="E10" i="2"/>
  <c r="E11" i="2"/>
  <c r="E12" i="2"/>
  <c r="E13" i="2"/>
  <c r="E14" i="2"/>
  <c r="E15" i="2"/>
  <c r="C13" i="4"/>
  <c r="C20" i="4"/>
  <c r="D9" i="6"/>
  <c r="E9" i="6"/>
  <c r="B9" i="6"/>
  <c r="C22" i="4"/>
  <c r="E7" i="3"/>
</calcChain>
</file>

<file path=xl/sharedStrings.xml><?xml version="1.0" encoding="utf-8"?>
<sst xmlns="http://schemas.openxmlformats.org/spreadsheetml/2006/main" count="4084" uniqueCount="3082">
  <si>
    <t>Revenue</t>
  </si>
  <si>
    <t>Account ID</t>
  </si>
  <si>
    <t>Description</t>
  </si>
  <si>
    <t>per Unit</t>
  </si>
  <si>
    <t>Amount</t>
  </si>
  <si>
    <t>R1-1010</t>
  </si>
  <si>
    <t>Units</t>
  </si>
  <si>
    <t>Individual Registration</t>
  </si>
  <si>
    <t>R1-1020</t>
  </si>
  <si>
    <t>Sponsorship</t>
  </si>
  <si>
    <t>R1-1030</t>
  </si>
  <si>
    <t>Total</t>
  </si>
  <si>
    <t>Expenses</t>
  </si>
  <si>
    <t>Banquet Room</t>
  </si>
  <si>
    <t>Miscellaneous</t>
  </si>
  <si>
    <t>Travel</t>
  </si>
  <si>
    <t>Balance</t>
  </si>
  <si>
    <t>Meal Description</t>
  </si>
  <si>
    <t>Plates</t>
  </si>
  <si>
    <t>Cost per Plate</t>
  </si>
  <si>
    <t>Breakfast Day 1</t>
  </si>
  <si>
    <t>Lunch Day 1</t>
  </si>
  <si>
    <t>Dinner Day 1</t>
  </si>
  <si>
    <t>Breakfast Day 2</t>
  </si>
  <si>
    <t>Lunch Day 2</t>
  </si>
  <si>
    <t>Dinner Day 2</t>
  </si>
  <si>
    <t>Breakfast Day 3</t>
  </si>
  <si>
    <t>Lunch Day 3</t>
  </si>
  <si>
    <t>Dinner Day 3</t>
  </si>
  <si>
    <t>Bar Day 2</t>
  </si>
  <si>
    <t>Food</t>
  </si>
  <si>
    <t>E2-4010</t>
  </si>
  <si>
    <t>Rooms</t>
  </si>
  <si>
    <t>Speakers</t>
  </si>
  <si>
    <t>A/V/Network</t>
  </si>
  <si>
    <t>Individual</t>
  </si>
  <si>
    <t>E2-1010</t>
  </si>
  <si>
    <t>Vendor Exhibits</t>
  </si>
  <si>
    <t>Corporate Sponsors</t>
  </si>
  <si>
    <t>Prepared By</t>
  </si>
  <si>
    <t>Purpose</t>
  </si>
  <si>
    <t>Breaks/Snacks</t>
  </si>
  <si>
    <t>Carmen Estrada</t>
  </si>
  <si>
    <t>Room</t>
  </si>
  <si>
    <t>Rent/Hr.</t>
  </si>
  <si>
    <t>Hours</t>
  </si>
  <si>
    <t>Conference Room 1</t>
  </si>
  <si>
    <t>Conference Room 2</t>
  </si>
  <si>
    <t>Conference Room 3</t>
  </si>
  <si>
    <t>Conference Room 4</t>
  </si>
  <si>
    <t>Exhibit Hall</t>
  </si>
  <si>
    <t>Gathering Space</t>
  </si>
  <si>
    <t>Conference Room 5</t>
  </si>
  <si>
    <t>Conference Room 6</t>
  </si>
  <si>
    <t>Year</t>
  </si>
  <si>
    <t>Attendees</t>
  </si>
  <si>
    <t>Chapter</t>
  </si>
  <si>
    <t>Filename</t>
  </si>
  <si>
    <t>NP_EX_1-1.xlsx</t>
  </si>
  <si>
    <t>Section</t>
  </si>
  <si>
    <t>E1-1010</t>
  </si>
  <si>
    <t>E1-2010</t>
  </si>
  <si>
    <t>E1-2020</t>
  </si>
  <si>
    <t>E1-4010</t>
  </si>
  <si>
    <t>E1-5010</t>
  </si>
  <si>
    <t>E1-7010</t>
  </si>
  <si>
    <t>E1-9090</t>
  </si>
  <si>
    <t>E2-1020</t>
  </si>
  <si>
    <t>E2-1030</t>
  </si>
  <si>
    <t>E2-1040</t>
  </si>
  <si>
    <t>E2-1050</t>
  </si>
  <si>
    <t>E2-4050</t>
  </si>
  <si>
    <t>E2-4060</t>
  </si>
  <si>
    <t>E2-4070</t>
  </si>
  <si>
    <t>Topic</t>
  </si>
  <si>
    <t>Getting Started with Excel</t>
  </si>
  <si>
    <t>MedIT Conference</t>
  </si>
  <si>
    <t>MedIT Conference History</t>
  </si>
  <si>
    <t>MedIT Conference Budget</t>
  </si>
  <si>
    <t>MedIT Conference Meal Costs</t>
  </si>
  <si>
    <t>MedIT Conference Room Costs</t>
  </si>
  <si>
    <t>E2-4090</t>
  </si>
  <si>
    <t>per Day</t>
  </si>
  <si>
    <t>Days</t>
  </si>
  <si>
    <t>Guests</t>
  </si>
  <si>
    <t>E2-4095</t>
  </si>
  <si>
    <t>Keynote Speakers</t>
  </si>
  <si>
    <t>MedIT Support Staff</t>
  </si>
  <si>
    <t>Conference Rooms</t>
  </si>
  <si>
    <t>Lodging</t>
  </si>
  <si>
    <t>Summary of Projected Revenue and Expenses</t>
  </si>
  <si>
    <t>First Name</t>
  </si>
  <si>
    <t>Last Name</t>
  </si>
  <si>
    <t>Street</t>
  </si>
  <si>
    <t>City</t>
  </si>
  <si>
    <t>State</t>
  </si>
  <si>
    <t>Phone</t>
  </si>
  <si>
    <t>Joshua</t>
  </si>
  <si>
    <t>James</t>
  </si>
  <si>
    <t>(623) 555-6083</t>
  </si>
  <si>
    <t>(623) 555-4455</t>
  </si>
  <si>
    <t>Louis</t>
  </si>
  <si>
    <t>Paul</t>
  </si>
  <si>
    <t>Bennett</t>
  </si>
  <si>
    <t>Douglas</t>
  </si>
  <si>
    <t>Joyce</t>
  </si>
  <si>
    <t>(623) 555-3941</t>
  </si>
  <si>
    <t>Parker</t>
  </si>
  <si>
    <t>(520) 555-8497</t>
  </si>
  <si>
    <t>Anthony</t>
  </si>
  <si>
    <t>Erin</t>
  </si>
  <si>
    <t>(623) 555-2794</t>
  </si>
  <si>
    <t>(520) 555-6575</t>
  </si>
  <si>
    <t>(623) 555-1246</t>
  </si>
  <si>
    <t>Joseph</t>
  </si>
  <si>
    <t>(520) 555-2481</t>
  </si>
  <si>
    <t>Jack</t>
  </si>
  <si>
    <t>(928) 555-5492</t>
  </si>
  <si>
    <t>(520) 555-6195</t>
  </si>
  <si>
    <t>Robert</t>
  </si>
  <si>
    <t>Anderson</t>
  </si>
  <si>
    <t>(623) 555-3138</t>
  </si>
  <si>
    <t>Thompson</t>
  </si>
  <si>
    <t>(623) 555-3452</t>
  </si>
  <si>
    <t>(928) 555-6612</t>
  </si>
  <si>
    <t>Mark</t>
  </si>
  <si>
    <t>(520) 555-1795</t>
  </si>
  <si>
    <t>George</t>
  </si>
  <si>
    <t>Wilson</t>
  </si>
  <si>
    <t>(623) 555-1689</t>
  </si>
  <si>
    <t>Thomas</t>
  </si>
  <si>
    <t>(602) 555-4277</t>
  </si>
  <si>
    <t>(928) 555-7003</t>
  </si>
  <si>
    <t>Catherine</t>
  </si>
  <si>
    <t>(928) 555-2311</t>
  </si>
  <si>
    <t>Nicholas</t>
  </si>
  <si>
    <t>(623) 555-8608</t>
  </si>
  <si>
    <t>Shaw</t>
  </si>
  <si>
    <t>(480) 555-8851</t>
  </si>
  <si>
    <t>Washington</t>
  </si>
  <si>
    <t>(480) 555-1766</t>
  </si>
  <si>
    <t>(623) 555-4333</t>
  </si>
  <si>
    <t>Jennifer</t>
  </si>
  <si>
    <t>Gerald</t>
  </si>
  <si>
    <t>(623) 555-6307</t>
  </si>
  <si>
    <t>(928) 555-4446</t>
  </si>
  <si>
    <t>(480) 555-8195</t>
  </si>
  <si>
    <t>Shawn</t>
  </si>
  <si>
    <t>Taylor</t>
  </si>
  <si>
    <t>(623) 555-5889</t>
  </si>
  <si>
    <t>Christopher</t>
  </si>
  <si>
    <t>(480) 555-3668</t>
  </si>
  <si>
    <t>Nancy</t>
  </si>
  <si>
    <t>(928) 555-5621</t>
  </si>
  <si>
    <t>Brown</t>
  </si>
  <si>
    <t>(480) 555-2305</t>
  </si>
  <si>
    <t>(480) 555-5498</t>
  </si>
  <si>
    <t>(480) 555-1406</t>
  </si>
  <si>
    <t>Jessica</t>
  </si>
  <si>
    <t>(602) 555-4534</t>
  </si>
  <si>
    <t>Steven</t>
  </si>
  <si>
    <t>(623) 555-4913</t>
  </si>
  <si>
    <t>Melinda</t>
  </si>
  <si>
    <t>Yates</t>
  </si>
  <si>
    <t>(623) 555-7654</t>
  </si>
  <si>
    <t>Kenneth</t>
  </si>
  <si>
    <t>Jackson</t>
  </si>
  <si>
    <t>Donald</t>
  </si>
  <si>
    <t>(602) 555-7179</t>
  </si>
  <si>
    <t>Craig</t>
  </si>
  <si>
    <t>Phillips</t>
  </si>
  <si>
    <t>(623) 555-6732</t>
  </si>
  <si>
    <t>Harold</t>
  </si>
  <si>
    <t>Simmons</t>
  </si>
  <si>
    <t>(602) 555-5953</t>
  </si>
  <si>
    <t>Mary</t>
  </si>
  <si>
    <t>Timothy</t>
  </si>
  <si>
    <t>(623) 555-1017</t>
  </si>
  <si>
    <t>Bailey</t>
  </si>
  <si>
    <t>(602) 555-7563</t>
  </si>
  <si>
    <t>Moore</t>
  </si>
  <si>
    <t>(480) 555-5579</t>
  </si>
  <si>
    <t>Richardson</t>
  </si>
  <si>
    <t>(602) 555-3911</t>
  </si>
  <si>
    <t>Bruce</t>
  </si>
  <si>
    <t>Raymond</t>
  </si>
  <si>
    <t>Martin</t>
  </si>
  <si>
    <t>(623) 555-6269</t>
  </si>
  <si>
    <t>Susan</t>
  </si>
  <si>
    <t>Johnson</t>
  </si>
  <si>
    <t>(928) 555-7118</t>
  </si>
  <si>
    <t>Michael</t>
  </si>
  <si>
    <t>William</t>
  </si>
  <si>
    <t>Michele</t>
  </si>
  <si>
    <t>Moss</t>
  </si>
  <si>
    <t>(928) 555-8944</t>
  </si>
  <si>
    <t>Richard</t>
  </si>
  <si>
    <t>Ronald</t>
  </si>
  <si>
    <t>Murphy</t>
  </si>
  <si>
    <t>(602) 555-5637</t>
  </si>
  <si>
    <t>Donna</t>
  </si>
  <si>
    <t>Kimberly</t>
  </si>
  <si>
    <t>(480) 555-5251</t>
  </si>
  <si>
    <t>(520) 555-7857</t>
  </si>
  <si>
    <t>Luis</t>
  </si>
  <si>
    <t>Laura</t>
  </si>
  <si>
    <t>(480) 555-7776</t>
  </si>
  <si>
    <t>Betty</t>
  </si>
  <si>
    <t>(928) 555-1762</t>
  </si>
  <si>
    <t>Jason</t>
  </si>
  <si>
    <t>John</t>
  </si>
  <si>
    <t>Lillian</t>
  </si>
  <si>
    <t>(928) 555-2412</t>
  </si>
  <si>
    <t>Cruz</t>
  </si>
  <si>
    <t>(520) 555-7939</t>
  </si>
  <si>
    <t>Maria</t>
  </si>
  <si>
    <t>(928) 555-9354</t>
  </si>
  <si>
    <t>(520) 555-6401</t>
  </si>
  <si>
    <t>(480) 555-4025</t>
  </si>
  <si>
    <t>Smith</t>
  </si>
  <si>
    <t>(480) 555-9095</t>
  </si>
  <si>
    <t>(928) 555-5085</t>
  </si>
  <si>
    <t>(520) 555-9877</t>
  </si>
  <si>
    <t>Clark</t>
  </si>
  <si>
    <t>David</t>
  </si>
  <si>
    <t>Williams</t>
  </si>
  <si>
    <t>(623) 555-7199</t>
  </si>
  <si>
    <t>Lisa</t>
  </si>
  <si>
    <t>Daniel</t>
  </si>
  <si>
    <t>Micheal</t>
  </si>
  <si>
    <t>(520) 555-2055</t>
  </si>
  <si>
    <t>Stacy</t>
  </si>
  <si>
    <t>(480) 555-1265</t>
  </si>
  <si>
    <t>Gloria</t>
  </si>
  <si>
    <t>(602) 555-7114</t>
  </si>
  <si>
    <t>Lewis</t>
  </si>
  <si>
    <t>(520) 555-4446</t>
  </si>
  <si>
    <t>(928) 555-9329</t>
  </si>
  <si>
    <t>(520) 555-6597</t>
  </si>
  <si>
    <t>Barbara</t>
  </si>
  <si>
    <t>(602) 555-7838</t>
  </si>
  <si>
    <t>(623) 555-2674</t>
  </si>
  <si>
    <t>(520) 555-1042</t>
  </si>
  <si>
    <t>(928) 555-8582</t>
  </si>
  <si>
    <t>Brian</t>
  </si>
  <si>
    <t>(623) 555-2552</t>
  </si>
  <si>
    <t>(480) 555-7932</t>
  </si>
  <si>
    <t>(520) 555-3741</t>
  </si>
  <si>
    <t>Tony</t>
  </si>
  <si>
    <t>Workman</t>
  </si>
  <si>
    <t>(480) 555-1694</t>
  </si>
  <si>
    <t>(623) 555-7087</t>
  </si>
  <si>
    <t>Curtis</t>
  </si>
  <si>
    <t>(520) 555-8746</t>
  </si>
  <si>
    <t>(623) 555-8312</t>
  </si>
  <si>
    <t>Hall</t>
  </si>
  <si>
    <t>Sanchez</t>
  </si>
  <si>
    <t>(520) 555-4436</t>
  </si>
  <si>
    <t>(480) 555-7186</t>
  </si>
  <si>
    <t>Dolores</t>
  </si>
  <si>
    <t>(480) 555-8901</t>
  </si>
  <si>
    <t>(602) 555-2511</t>
  </si>
  <si>
    <t>Patricia</t>
  </si>
  <si>
    <t>Ray</t>
  </si>
  <si>
    <t>(480) 555-5546</t>
  </si>
  <si>
    <t>(520) 555-2963</t>
  </si>
  <si>
    <t>Manuel</t>
  </si>
  <si>
    <t>(623) 555-8096</t>
  </si>
  <si>
    <t>(520) 555-3223</t>
  </si>
  <si>
    <t>(480) 555-6215</t>
  </si>
  <si>
    <t>Sean</t>
  </si>
  <si>
    <t>(480) 555-3829</t>
  </si>
  <si>
    <t>Peterson</t>
  </si>
  <si>
    <t>(602) 555-9564</t>
  </si>
  <si>
    <t>Warren</t>
  </si>
  <si>
    <t>Erica</t>
  </si>
  <si>
    <t>(623) 555-1034</t>
  </si>
  <si>
    <t>Benjamin</t>
  </si>
  <si>
    <t>Amanda</t>
  </si>
  <si>
    <t>(480) 555-7972</t>
  </si>
  <si>
    <t>(623) 555-6919</t>
  </si>
  <si>
    <t>(480) 555-7142</t>
  </si>
  <si>
    <t>Juan</t>
  </si>
  <si>
    <t>(623) 555-4517</t>
  </si>
  <si>
    <t>(520) 555-9637</t>
  </si>
  <si>
    <t>(602) 555-4038</t>
  </si>
  <si>
    <t>Joan</t>
  </si>
  <si>
    <t>(623) 555-3374</t>
  </si>
  <si>
    <t>(602) 555-2335</t>
  </si>
  <si>
    <t>(520) 555-9179</t>
  </si>
  <si>
    <t>Nathan</t>
  </si>
  <si>
    <t>(480) 555-3607</t>
  </si>
  <si>
    <t>(480) 555-5323</t>
  </si>
  <si>
    <t>Linda</t>
  </si>
  <si>
    <t>(520) 555-5522</t>
  </si>
  <si>
    <t>Kelly</t>
  </si>
  <si>
    <t>(623) 555-7545</t>
  </si>
  <si>
    <t>Jose</t>
  </si>
  <si>
    <t>Jones</t>
  </si>
  <si>
    <t>Matthew</t>
  </si>
  <si>
    <t>Lucy</t>
  </si>
  <si>
    <t>(928) 555-4634</t>
  </si>
  <si>
    <t>(520) 555-8815</t>
  </si>
  <si>
    <t>Celeste</t>
  </si>
  <si>
    <t>(623) 555-3228</t>
  </si>
  <si>
    <t>Harris</t>
  </si>
  <si>
    <t>Scott</t>
  </si>
  <si>
    <t>(602) 555-2582</t>
  </si>
  <si>
    <t>Marian</t>
  </si>
  <si>
    <t>(928) 555-7054</t>
  </si>
  <si>
    <t>(480) 555-3442</t>
  </si>
  <si>
    <t>(602) 555-7041</t>
  </si>
  <si>
    <t>Lopez</t>
  </si>
  <si>
    <t>(520) 555-8767</t>
  </si>
  <si>
    <t>Charles</t>
  </si>
  <si>
    <t>(480) 555-8936</t>
  </si>
  <si>
    <t>(602) 555-3622</t>
  </si>
  <si>
    <t>(602) 555-7438</t>
  </si>
  <si>
    <t>(602) 555-6576</t>
  </si>
  <si>
    <t>(623) 555-2613</t>
  </si>
  <si>
    <t>(480) 555-8915</t>
  </si>
  <si>
    <t>(928) 555-1478</t>
  </si>
  <si>
    <t>Ryan</t>
  </si>
  <si>
    <t>(480) 555-2749</t>
  </si>
  <si>
    <t>(520) 555-5833</t>
  </si>
  <si>
    <t>(602) 555-9915</t>
  </si>
  <si>
    <t>(623) 555-6796</t>
  </si>
  <si>
    <t>(480) 555-3894</t>
  </si>
  <si>
    <t>(480) 555-5555</t>
  </si>
  <si>
    <t>Gonzalez</t>
  </si>
  <si>
    <t>(623) 555-8341</t>
  </si>
  <si>
    <t>(520) 555-2637</t>
  </si>
  <si>
    <t>(602) 555-3049</t>
  </si>
  <si>
    <t>(623) 555-3535</t>
  </si>
  <si>
    <t>(480) 555-4255</t>
  </si>
  <si>
    <t>(928) 555-4615</t>
  </si>
  <si>
    <t>(480) 555-8962</t>
  </si>
  <si>
    <t>(520) 555-3924</t>
  </si>
  <si>
    <t>Palmer</t>
  </si>
  <si>
    <t>(928) 555-5949</t>
  </si>
  <si>
    <t>(480) 555-1504</t>
  </si>
  <si>
    <t>(520) 555-1058</t>
  </si>
  <si>
    <t>Rosa</t>
  </si>
  <si>
    <t>(928) 555-2716</t>
  </si>
  <si>
    <t>(623) 555-8457</t>
  </si>
  <si>
    <t>Alex</t>
  </si>
  <si>
    <t>(520) 555-6123</t>
  </si>
  <si>
    <t>(602) 555-7149</t>
  </si>
  <si>
    <t>Campbell</t>
  </si>
  <si>
    <t>(480) 555-8705</t>
  </si>
  <si>
    <t>(602) 555-7569</t>
  </si>
  <si>
    <t>(623) 555-8332</t>
  </si>
  <si>
    <t>(602) 555-3026</t>
  </si>
  <si>
    <t>Shirley</t>
  </si>
  <si>
    <t>(520) 555-2048</t>
  </si>
  <si>
    <t>(623) 555-7636</t>
  </si>
  <si>
    <t>(623) 555-4688</t>
  </si>
  <si>
    <t>(602) 555-7217</t>
  </si>
  <si>
    <t>(623) 555-7857</t>
  </si>
  <si>
    <t>Allen</t>
  </si>
  <si>
    <t>(480) 555-7914</t>
  </si>
  <si>
    <t>(480) 555-3757</t>
  </si>
  <si>
    <t>(480) 555-4732</t>
  </si>
  <si>
    <t>Virginia</t>
  </si>
  <si>
    <t>Marie</t>
  </si>
  <si>
    <t>(602) 555-5758</t>
  </si>
  <si>
    <t>Gary</t>
  </si>
  <si>
    <t>Rose</t>
  </si>
  <si>
    <t>Davis</t>
  </si>
  <si>
    <t>Jerry</t>
  </si>
  <si>
    <t>(602) 555-1961</t>
  </si>
  <si>
    <t>Worthington</t>
  </si>
  <si>
    <t>(520) 555-2646</t>
  </si>
  <si>
    <t>(520) 555-2247</t>
  </si>
  <si>
    <t>Terry</t>
  </si>
  <si>
    <t>(480) 555-2949</t>
  </si>
  <si>
    <t>(520) 555-1056</t>
  </si>
  <si>
    <t>(623) 555-3313</t>
  </si>
  <si>
    <t>(480) 555-3891</t>
  </si>
  <si>
    <t>(928) 555-2992</t>
  </si>
  <si>
    <t>(928) 555-7544</t>
  </si>
  <si>
    <t>(602) 555-3944</t>
  </si>
  <si>
    <t>(602) 555-5849</t>
  </si>
  <si>
    <t>(480) 555-2404</t>
  </si>
  <si>
    <t>Theresa</t>
  </si>
  <si>
    <t>(623) 555-8771</t>
  </si>
  <si>
    <t>(928) 555-7837</t>
  </si>
  <si>
    <t>Hess</t>
  </si>
  <si>
    <t>(623) 555-2991</t>
  </si>
  <si>
    <t>(623) 555-1367</t>
  </si>
  <si>
    <t>Peggy</t>
  </si>
  <si>
    <t>Snyder</t>
  </si>
  <si>
    <t>(602) 555-4147</t>
  </si>
  <si>
    <t>Brenda</t>
  </si>
  <si>
    <t>(623) 555-6548</t>
  </si>
  <si>
    <t>Martha</t>
  </si>
  <si>
    <t>(928) 555-6026</t>
  </si>
  <si>
    <t>Robinson</t>
  </si>
  <si>
    <t>Winslow</t>
  </si>
  <si>
    <t>(928) 555-4505</t>
  </si>
  <si>
    <t>Gayle</t>
  </si>
  <si>
    <t>(480) 555-4467</t>
  </si>
  <si>
    <t>Sandra</t>
  </si>
  <si>
    <t>Tyrone</t>
  </si>
  <si>
    <t>(480) 555-4833</t>
  </si>
  <si>
    <t>(520) 555-1002</t>
  </si>
  <si>
    <t>(520) 555-3858</t>
  </si>
  <si>
    <t>(928) 555-9207</t>
  </si>
  <si>
    <t>(623) 555-3584</t>
  </si>
  <si>
    <t>Torres</t>
  </si>
  <si>
    <t>(480) 555-9568</t>
  </si>
  <si>
    <t>(623) 555-6482</t>
  </si>
  <si>
    <t>Tim</t>
  </si>
  <si>
    <t>(623) 555-3915</t>
  </si>
  <si>
    <t>(623) 555-1359</t>
  </si>
  <si>
    <t>Teresa</t>
  </si>
  <si>
    <t>(928) 555-1753</t>
  </si>
  <si>
    <t>Wayne</t>
  </si>
  <si>
    <t>(623) 555-2226</t>
  </si>
  <si>
    <t>Young</t>
  </si>
  <si>
    <t>(623) 555-8842</t>
  </si>
  <si>
    <t>Eric</t>
  </si>
  <si>
    <t>(928) 555-7573</t>
  </si>
  <si>
    <t>(480) 555-8681</t>
  </si>
  <si>
    <t>Andrew</t>
  </si>
  <si>
    <t>(520) 555-4045</t>
  </si>
  <si>
    <t>(928) 555-2627</t>
  </si>
  <si>
    <t>(623) 555-4387</t>
  </si>
  <si>
    <t>(480) 555-3246</t>
  </si>
  <si>
    <t>(623) 555-9867</t>
  </si>
  <si>
    <t>(623) 555-4498</t>
  </si>
  <si>
    <t>(480) 555-9919</t>
  </si>
  <si>
    <t>(480) 555-5531</t>
  </si>
  <si>
    <t>(480) 555-2572</t>
  </si>
  <si>
    <t>Travis</t>
  </si>
  <si>
    <t>(623) 555-8686</t>
  </si>
  <si>
    <t>Nelson</t>
  </si>
  <si>
    <t>(480) 555-5212</t>
  </si>
  <si>
    <t>(623) 555-6923</t>
  </si>
  <si>
    <t>(623) 555-3008</t>
  </si>
  <si>
    <t>Naomi</t>
  </si>
  <si>
    <t>(520) 555-4972</t>
  </si>
  <si>
    <t>(623) 555-4305</t>
  </si>
  <si>
    <t>MedIT Conference Registration Revenue</t>
  </si>
  <si>
    <t>MedIT Conference Individual Registrations</t>
  </si>
  <si>
    <t>Registration ID</t>
  </si>
  <si>
    <t>R4001</t>
  </si>
  <si>
    <t>R4002</t>
  </si>
  <si>
    <t>R4003</t>
  </si>
  <si>
    <t>R4004</t>
  </si>
  <si>
    <t>R4005</t>
  </si>
  <si>
    <t>R4006</t>
  </si>
  <si>
    <t>R4007</t>
  </si>
  <si>
    <t>R4008</t>
  </si>
  <si>
    <t>R4009</t>
  </si>
  <si>
    <t>R4010</t>
  </si>
  <si>
    <t>R4011</t>
  </si>
  <si>
    <t>R4012</t>
  </si>
  <si>
    <t>R4013</t>
  </si>
  <si>
    <t>R4014</t>
  </si>
  <si>
    <t>R4015</t>
  </si>
  <si>
    <t>R4016</t>
  </si>
  <si>
    <t>R4017</t>
  </si>
  <si>
    <t>R4018</t>
  </si>
  <si>
    <t>R4019</t>
  </si>
  <si>
    <t>R4020</t>
  </si>
  <si>
    <t>R4021</t>
  </si>
  <si>
    <t>R4022</t>
  </si>
  <si>
    <t>R4023</t>
  </si>
  <si>
    <t>R4024</t>
  </si>
  <si>
    <t>R4025</t>
  </si>
  <si>
    <t>R4026</t>
  </si>
  <si>
    <t>R4027</t>
  </si>
  <si>
    <t>R4028</t>
  </si>
  <si>
    <t>R4029</t>
  </si>
  <si>
    <t>R4030</t>
  </si>
  <si>
    <t>R4031</t>
  </si>
  <si>
    <t>R4032</t>
  </si>
  <si>
    <t>R4033</t>
  </si>
  <si>
    <t>R4034</t>
  </si>
  <si>
    <t>R4035</t>
  </si>
  <si>
    <t>R4036</t>
  </si>
  <si>
    <t>R4037</t>
  </si>
  <si>
    <t>R4038</t>
  </si>
  <si>
    <t>R4039</t>
  </si>
  <si>
    <t>R4040</t>
  </si>
  <si>
    <t>R4041</t>
  </si>
  <si>
    <t>R4042</t>
  </si>
  <si>
    <t>R4043</t>
  </si>
  <si>
    <t>R4044</t>
  </si>
  <si>
    <t>R4045</t>
  </si>
  <si>
    <t>R4046</t>
  </si>
  <si>
    <t>R4047</t>
  </si>
  <si>
    <t>R4048</t>
  </si>
  <si>
    <t>R4049</t>
  </si>
  <si>
    <t>R4050</t>
  </si>
  <si>
    <t>R4051</t>
  </si>
  <si>
    <t>R4052</t>
  </si>
  <si>
    <t>R4053</t>
  </si>
  <si>
    <t>R4054</t>
  </si>
  <si>
    <t>R4055</t>
  </si>
  <si>
    <t>R4056</t>
  </si>
  <si>
    <t>R4057</t>
  </si>
  <si>
    <t>R4058</t>
  </si>
  <si>
    <t>R4059</t>
  </si>
  <si>
    <t>R4060</t>
  </si>
  <si>
    <t>R4061</t>
  </si>
  <si>
    <t>R4062</t>
  </si>
  <si>
    <t>R4063</t>
  </si>
  <si>
    <t>R4064</t>
  </si>
  <si>
    <t>R4065</t>
  </si>
  <si>
    <t>R4066</t>
  </si>
  <si>
    <t>R4067</t>
  </si>
  <si>
    <t>R4068</t>
  </si>
  <si>
    <t>R4069</t>
  </si>
  <si>
    <t>R4070</t>
  </si>
  <si>
    <t>R4071</t>
  </si>
  <si>
    <t>R4072</t>
  </si>
  <si>
    <t>R4073</t>
  </si>
  <si>
    <t>R4074</t>
  </si>
  <si>
    <t>R4075</t>
  </si>
  <si>
    <t>R4076</t>
  </si>
  <si>
    <t>R4077</t>
  </si>
  <si>
    <t>R4078</t>
  </si>
  <si>
    <t>R4079</t>
  </si>
  <si>
    <t>R4080</t>
  </si>
  <si>
    <t>R4081</t>
  </si>
  <si>
    <t>R4082</t>
  </si>
  <si>
    <t>R4083</t>
  </si>
  <si>
    <t>R4084</t>
  </si>
  <si>
    <t>R4085</t>
  </si>
  <si>
    <t>R4086</t>
  </si>
  <si>
    <t>R4087</t>
  </si>
  <si>
    <t>R4088</t>
  </si>
  <si>
    <t>R4089</t>
  </si>
  <si>
    <t>R4090</t>
  </si>
  <si>
    <t>R4091</t>
  </si>
  <si>
    <t>R4092</t>
  </si>
  <si>
    <t>R4093</t>
  </si>
  <si>
    <t>R4094</t>
  </si>
  <si>
    <t>R4095</t>
  </si>
  <si>
    <t>R4096</t>
  </si>
  <si>
    <t>R4097</t>
  </si>
  <si>
    <t>R4098</t>
  </si>
  <si>
    <t>R4099</t>
  </si>
  <si>
    <t>R4100</t>
  </si>
  <si>
    <t>R4101</t>
  </si>
  <si>
    <t>R4102</t>
  </si>
  <si>
    <t>R4103</t>
  </si>
  <si>
    <t>R4104</t>
  </si>
  <si>
    <t>R4105</t>
  </si>
  <si>
    <t>R4106</t>
  </si>
  <si>
    <t>R4107</t>
  </si>
  <si>
    <t>R4108</t>
  </si>
  <si>
    <t>R4109</t>
  </si>
  <si>
    <t>R4110</t>
  </si>
  <si>
    <t>R4111</t>
  </si>
  <si>
    <t>R4112</t>
  </si>
  <si>
    <t>R4113</t>
  </si>
  <si>
    <t>R4114</t>
  </si>
  <si>
    <t>R4115</t>
  </si>
  <si>
    <t>R4116</t>
  </si>
  <si>
    <t>R4117</t>
  </si>
  <si>
    <t>R4118</t>
  </si>
  <si>
    <t>R4119</t>
  </si>
  <si>
    <t>R4120</t>
  </si>
  <si>
    <t>R4121</t>
  </si>
  <si>
    <t>R4122</t>
  </si>
  <si>
    <t>R4123</t>
  </si>
  <si>
    <t>R4124</t>
  </si>
  <si>
    <t>R4125</t>
  </si>
  <si>
    <t>R4126</t>
  </si>
  <si>
    <t>R4127</t>
  </si>
  <si>
    <t>R4128</t>
  </si>
  <si>
    <t>R4129</t>
  </si>
  <si>
    <t>R4130</t>
  </si>
  <si>
    <t>R4131</t>
  </si>
  <si>
    <t>R4132</t>
  </si>
  <si>
    <t>R4133</t>
  </si>
  <si>
    <t>R4134</t>
  </si>
  <si>
    <t>R4135</t>
  </si>
  <si>
    <t>R4136</t>
  </si>
  <si>
    <t>R4137</t>
  </si>
  <si>
    <t>R4138</t>
  </si>
  <si>
    <t>R4139</t>
  </si>
  <si>
    <t>R4140</t>
  </si>
  <si>
    <t>R4141</t>
  </si>
  <si>
    <t>R4142</t>
  </si>
  <si>
    <t>R4143</t>
  </si>
  <si>
    <t>R4144</t>
  </si>
  <si>
    <t>R4145</t>
  </si>
  <si>
    <t>R4146</t>
  </si>
  <si>
    <t>R4147</t>
  </si>
  <si>
    <t>R4148</t>
  </si>
  <si>
    <t>R4149</t>
  </si>
  <si>
    <t>R4150</t>
  </si>
  <si>
    <t>R4151</t>
  </si>
  <si>
    <t>R4152</t>
  </si>
  <si>
    <t>R4153</t>
  </si>
  <si>
    <t>R4154</t>
  </si>
  <si>
    <t>R4155</t>
  </si>
  <si>
    <t>R4156</t>
  </si>
  <si>
    <t>R4157</t>
  </si>
  <si>
    <t>R4158</t>
  </si>
  <si>
    <t>R4159</t>
  </si>
  <si>
    <t>R4160</t>
  </si>
  <si>
    <t>R4161</t>
  </si>
  <si>
    <t>R4162</t>
  </si>
  <si>
    <t>R4163</t>
  </si>
  <si>
    <t>R4164</t>
  </si>
  <si>
    <t>R4165</t>
  </si>
  <si>
    <t>R4166</t>
  </si>
  <si>
    <t>R4167</t>
  </si>
  <si>
    <t>R4168</t>
  </si>
  <si>
    <t>R4169</t>
  </si>
  <si>
    <t>R4170</t>
  </si>
  <si>
    <t>R4171</t>
  </si>
  <si>
    <t>R4172</t>
  </si>
  <si>
    <t>R4173</t>
  </si>
  <si>
    <t>R4174</t>
  </si>
  <si>
    <t>R4175</t>
  </si>
  <si>
    <t>R4176</t>
  </si>
  <si>
    <t>R4177</t>
  </si>
  <si>
    <t>R4178</t>
  </si>
  <si>
    <t>R4179</t>
  </si>
  <si>
    <t>R4180</t>
  </si>
  <si>
    <t>R4181</t>
  </si>
  <si>
    <t>R4182</t>
  </si>
  <si>
    <t>R4183</t>
  </si>
  <si>
    <t>R4184</t>
  </si>
  <si>
    <t>R4185</t>
  </si>
  <si>
    <t>R4186</t>
  </si>
  <si>
    <t>R4187</t>
  </si>
  <si>
    <t>R4188</t>
  </si>
  <si>
    <t>R4189</t>
  </si>
  <si>
    <t>R4190</t>
  </si>
  <si>
    <t>R4191</t>
  </si>
  <si>
    <t>R4192</t>
  </si>
  <si>
    <t>R4193</t>
  </si>
  <si>
    <t>R4194</t>
  </si>
  <si>
    <t>R4195</t>
  </si>
  <si>
    <t>R4196</t>
  </si>
  <si>
    <t>R4197</t>
  </si>
  <si>
    <t>R4198</t>
  </si>
  <si>
    <t>R4199</t>
  </si>
  <si>
    <t>R4200</t>
  </si>
  <si>
    <t>R4201</t>
  </si>
  <si>
    <t>R4202</t>
  </si>
  <si>
    <t>R4203</t>
  </si>
  <si>
    <t>R4204</t>
  </si>
  <si>
    <t>R4205</t>
  </si>
  <si>
    <t>R4206</t>
  </si>
  <si>
    <t>R4207</t>
  </si>
  <si>
    <t>R4208</t>
  </si>
  <si>
    <t>R4209</t>
  </si>
  <si>
    <t>R4210</t>
  </si>
  <si>
    <t>R4211</t>
  </si>
  <si>
    <t>R4212</t>
  </si>
  <si>
    <t>R4213</t>
  </si>
  <si>
    <t>R4214</t>
  </si>
  <si>
    <t>R4215</t>
  </si>
  <si>
    <t>R4216</t>
  </si>
  <si>
    <t>R4217</t>
  </si>
  <si>
    <t>R4218</t>
  </si>
  <si>
    <t>R4219</t>
  </si>
  <si>
    <t>R4220</t>
  </si>
  <si>
    <t>R4221</t>
  </si>
  <si>
    <t>R4222</t>
  </si>
  <si>
    <t>R4223</t>
  </si>
  <si>
    <t>R4224</t>
  </si>
  <si>
    <t>R4225</t>
  </si>
  <si>
    <t>R4226</t>
  </si>
  <si>
    <t>R4227</t>
  </si>
  <si>
    <t>R4228</t>
  </si>
  <si>
    <t>R4229</t>
  </si>
  <si>
    <t>R4230</t>
  </si>
  <si>
    <t>R4231</t>
  </si>
  <si>
    <t>R4232</t>
  </si>
  <si>
    <t>R4233</t>
  </si>
  <si>
    <t>R4234</t>
  </si>
  <si>
    <t>R4235</t>
  </si>
  <si>
    <t>R4236</t>
  </si>
  <si>
    <t>R4237</t>
  </si>
  <si>
    <t>R4238</t>
  </si>
  <si>
    <t>R4239</t>
  </si>
  <si>
    <t>R4240</t>
  </si>
  <si>
    <t>R4241</t>
  </si>
  <si>
    <t>R4242</t>
  </si>
  <si>
    <t>R4243</t>
  </si>
  <si>
    <t>R4244</t>
  </si>
  <si>
    <t>R4245</t>
  </si>
  <si>
    <t>R4246</t>
  </si>
  <si>
    <t>R4247</t>
  </si>
  <si>
    <t>R4248</t>
  </si>
  <si>
    <t>R4249</t>
  </si>
  <si>
    <t>R4250</t>
  </si>
  <si>
    <t>R4251</t>
  </si>
  <si>
    <t>R4252</t>
  </si>
  <si>
    <t>R4253</t>
  </si>
  <si>
    <t>R4254</t>
  </si>
  <si>
    <t>R4255</t>
  </si>
  <si>
    <t>R4256</t>
  </si>
  <si>
    <t>R4257</t>
  </si>
  <si>
    <t>R4258</t>
  </si>
  <si>
    <t>R4259</t>
  </si>
  <si>
    <t>R4260</t>
  </si>
  <si>
    <t>R4261</t>
  </si>
  <si>
    <t>R4262</t>
  </si>
  <si>
    <t>R4263</t>
  </si>
  <si>
    <t>R4264</t>
  </si>
  <si>
    <t>R4265</t>
  </si>
  <si>
    <t>R4266</t>
  </si>
  <si>
    <t>R4267</t>
  </si>
  <si>
    <t>R4268</t>
  </si>
  <si>
    <t>R4269</t>
  </si>
  <si>
    <t>R4270</t>
  </si>
  <si>
    <t>R4271</t>
  </si>
  <si>
    <t>R4272</t>
  </si>
  <si>
    <t>R4273</t>
  </si>
  <si>
    <t>R4274</t>
  </si>
  <si>
    <t>R4275</t>
  </si>
  <si>
    <t>R4276</t>
  </si>
  <si>
    <t>R4277</t>
  </si>
  <si>
    <t>R4278</t>
  </si>
  <si>
    <t>R4279</t>
  </si>
  <si>
    <t>R4280</t>
  </si>
  <si>
    <t>R4281</t>
  </si>
  <si>
    <t>R4282</t>
  </si>
  <si>
    <t>R4283</t>
  </si>
  <si>
    <t>R4284</t>
  </si>
  <si>
    <t>R4285</t>
  </si>
  <si>
    <t>R4286</t>
  </si>
  <si>
    <t>R4287</t>
  </si>
  <si>
    <t>R4288</t>
  </si>
  <si>
    <t>R4289</t>
  </si>
  <si>
    <t>R4290</t>
  </si>
  <si>
    <t>R4291</t>
  </si>
  <si>
    <t>R4292</t>
  </si>
  <si>
    <t>R4293</t>
  </si>
  <si>
    <t>R4294</t>
  </si>
  <si>
    <t>R4295</t>
  </si>
  <si>
    <t>R4296</t>
  </si>
  <si>
    <t>R4297</t>
  </si>
  <si>
    <t>R4298</t>
  </si>
  <si>
    <t>R4299</t>
  </si>
  <si>
    <t>R4300</t>
  </si>
  <si>
    <t>R4301</t>
  </si>
  <si>
    <t>R4302</t>
  </si>
  <si>
    <t>R4303</t>
  </si>
  <si>
    <t>R4304</t>
  </si>
  <si>
    <t>R4305</t>
  </si>
  <si>
    <t>R4306</t>
  </si>
  <si>
    <t>R4307</t>
  </si>
  <si>
    <t>R4308</t>
  </si>
  <si>
    <t>R4309</t>
  </si>
  <si>
    <t>R4310</t>
  </si>
  <si>
    <t>R4311</t>
  </si>
  <si>
    <t>R4312</t>
  </si>
  <si>
    <t>R4313</t>
  </si>
  <si>
    <t>R4314</t>
  </si>
  <si>
    <t>R4315</t>
  </si>
  <si>
    <t>R4316</t>
  </si>
  <si>
    <t>R4317</t>
  </si>
  <si>
    <t>R4318</t>
  </si>
  <si>
    <t>R4319</t>
  </si>
  <si>
    <t>R4320</t>
  </si>
  <si>
    <t>R4321</t>
  </si>
  <si>
    <t>R4322</t>
  </si>
  <si>
    <t>R4323</t>
  </si>
  <si>
    <t>R4324</t>
  </si>
  <si>
    <t>R4325</t>
  </si>
  <si>
    <t>R4326</t>
  </si>
  <si>
    <t>R4327</t>
  </si>
  <si>
    <t>R4328</t>
  </si>
  <si>
    <t>R4329</t>
  </si>
  <si>
    <t>R4330</t>
  </si>
  <si>
    <t>R4331</t>
  </si>
  <si>
    <t>R4332</t>
  </si>
  <si>
    <t>R4333</t>
  </si>
  <si>
    <t>R4334</t>
  </si>
  <si>
    <t>R4335</t>
  </si>
  <si>
    <t>R4336</t>
  </si>
  <si>
    <t>R4337</t>
  </si>
  <si>
    <t>R4338</t>
  </si>
  <si>
    <t>R4339</t>
  </si>
  <si>
    <t>R4340</t>
  </si>
  <si>
    <t>R4341</t>
  </si>
  <si>
    <t>R4342</t>
  </si>
  <si>
    <t>R4343</t>
  </si>
  <si>
    <t>R4344</t>
  </si>
  <si>
    <t>R4345</t>
  </si>
  <si>
    <t>R4346</t>
  </si>
  <si>
    <t>R4347</t>
  </si>
  <si>
    <t>R4348</t>
  </si>
  <si>
    <t>R4349</t>
  </si>
  <si>
    <t>R4350</t>
  </si>
  <si>
    <t>R4351</t>
  </si>
  <si>
    <t>R4352</t>
  </si>
  <si>
    <t>R4353</t>
  </si>
  <si>
    <t>R4354</t>
  </si>
  <si>
    <t>R4355</t>
  </si>
  <si>
    <t>R4356</t>
  </si>
  <si>
    <t>R4357</t>
  </si>
  <si>
    <t>R4358</t>
  </si>
  <si>
    <t>R4359</t>
  </si>
  <si>
    <t>R4360</t>
  </si>
  <si>
    <t>R4361</t>
  </si>
  <si>
    <t>R4362</t>
  </si>
  <si>
    <t>R4363</t>
  </si>
  <si>
    <t>R4364</t>
  </si>
  <si>
    <t>R4365</t>
  </si>
  <si>
    <t>R4366</t>
  </si>
  <si>
    <t>R4367</t>
  </si>
  <si>
    <t>R4368</t>
  </si>
  <si>
    <t>R4369</t>
  </si>
  <si>
    <t>R4370</t>
  </si>
  <si>
    <t>R4371</t>
  </si>
  <si>
    <t>R4372</t>
  </si>
  <si>
    <t>R4373</t>
  </si>
  <si>
    <t>R4374</t>
  </si>
  <si>
    <t>R4375</t>
  </si>
  <si>
    <t>R4376</t>
  </si>
  <si>
    <t>R4377</t>
  </si>
  <si>
    <t>R4378</t>
  </si>
  <si>
    <t>R4379</t>
  </si>
  <si>
    <t>R4380</t>
  </si>
  <si>
    <t>R4381</t>
  </si>
  <si>
    <t>R4382</t>
  </si>
  <si>
    <t>R4383</t>
  </si>
  <si>
    <t>R4384</t>
  </si>
  <si>
    <t>R4385</t>
  </si>
  <si>
    <t>R4386</t>
  </si>
  <si>
    <t>R4387</t>
  </si>
  <si>
    <t>R4388</t>
  </si>
  <si>
    <t>R4389</t>
  </si>
  <si>
    <t>R4390</t>
  </si>
  <si>
    <t>R4391</t>
  </si>
  <si>
    <t>R4392</t>
  </si>
  <si>
    <t>R4393</t>
  </si>
  <si>
    <t>R4394</t>
  </si>
  <si>
    <t>R4395</t>
  </si>
  <si>
    <t>R4396</t>
  </si>
  <si>
    <t>R4397</t>
  </si>
  <si>
    <t>R4398</t>
  </si>
  <si>
    <t>R4399</t>
  </si>
  <si>
    <t>R4400</t>
  </si>
  <si>
    <t>R4401</t>
  </si>
  <si>
    <t>R4402</t>
  </si>
  <si>
    <t>R4403</t>
  </si>
  <si>
    <t>R4404</t>
  </si>
  <si>
    <t>R4405</t>
  </si>
  <si>
    <t>R4406</t>
  </si>
  <si>
    <t>R4407</t>
  </si>
  <si>
    <t>R4408</t>
  </si>
  <si>
    <t>R4409</t>
  </si>
  <si>
    <t>R4410</t>
  </si>
  <si>
    <t>R4411</t>
  </si>
  <si>
    <t>R4412</t>
  </si>
  <si>
    <t>R4413</t>
  </si>
  <si>
    <t>R4414</t>
  </si>
  <si>
    <t>R4415</t>
  </si>
  <si>
    <t>R4416</t>
  </si>
  <si>
    <t>R4417</t>
  </si>
  <si>
    <t>R4418</t>
  </si>
  <si>
    <t>R4419</t>
  </si>
  <si>
    <t>R4420</t>
  </si>
  <si>
    <t>R4421</t>
  </si>
  <si>
    <t>R4422</t>
  </si>
  <si>
    <t>R4423</t>
  </si>
  <si>
    <t>R4424</t>
  </si>
  <si>
    <t>R4425</t>
  </si>
  <si>
    <t>R4426</t>
  </si>
  <si>
    <t>R4427</t>
  </si>
  <si>
    <t>R4428</t>
  </si>
  <si>
    <t>R4429</t>
  </si>
  <si>
    <t>R4430</t>
  </si>
  <si>
    <t>R4431</t>
  </si>
  <si>
    <t>R4432</t>
  </si>
  <si>
    <t>R4433</t>
  </si>
  <si>
    <t>R4434</t>
  </si>
  <si>
    <t>R4435</t>
  </si>
  <si>
    <t>R4436</t>
  </si>
  <si>
    <t>R4437</t>
  </si>
  <si>
    <t>R4438</t>
  </si>
  <si>
    <t>R4439</t>
  </si>
  <si>
    <t>R4440</t>
  </si>
  <si>
    <t>R4441</t>
  </si>
  <si>
    <t>R4442</t>
  </si>
  <si>
    <t>R4443</t>
  </si>
  <si>
    <t>R4444</t>
  </si>
  <si>
    <t>R4445</t>
  </si>
  <si>
    <t>R4446</t>
  </si>
  <si>
    <t>R4447</t>
  </si>
  <si>
    <t>R4448</t>
  </si>
  <si>
    <t>R4449</t>
  </si>
  <si>
    <t>R4450</t>
  </si>
  <si>
    <t>R4451</t>
  </si>
  <si>
    <t>R4452</t>
  </si>
  <si>
    <t>R4453</t>
  </si>
  <si>
    <t>R4454</t>
  </si>
  <si>
    <t>R4455</t>
  </si>
  <si>
    <t>R4456</t>
  </si>
  <si>
    <t>R4457</t>
  </si>
  <si>
    <t>R4458</t>
  </si>
  <si>
    <t>R4459</t>
  </si>
  <si>
    <t>R4460</t>
  </si>
  <si>
    <t>R4461</t>
  </si>
  <si>
    <t>R4462</t>
  </si>
  <si>
    <t>R4463</t>
  </si>
  <si>
    <t>R4464</t>
  </si>
  <si>
    <t>R4465</t>
  </si>
  <si>
    <t>R4466</t>
  </si>
  <si>
    <t>R4467</t>
  </si>
  <si>
    <t>R4468</t>
  </si>
  <si>
    <t>R4469</t>
  </si>
  <si>
    <t>R4470</t>
  </si>
  <si>
    <t>R4471</t>
  </si>
  <si>
    <t>R4472</t>
  </si>
  <si>
    <t>R4473</t>
  </si>
  <si>
    <t>R4474</t>
  </si>
  <si>
    <t>R4475</t>
  </si>
  <si>
    <t>R4476</t>
  </si>
  <si>
    <t>R4477</t>
  </si>
  <si>
    <t>R4478</t>
  </si>
  <si>
    <t>R4479</t>
  </si>
  <si>
    <t>R4480</t>
  </si>
  <si>
    <t>R4481</t>
  </si>
  <si>
    <t>R4482</t>
  </si>
  <si>
    <t>R4483</t>
  </si>
  <si>
    <t>R4484</t>
  </si>
  <si>
    <t>R4485</t>
  </si>
  <si>
    <t>R4486</t>
  </si>
  <si>
    <t>R4487</t>
  </si>
  <si>
    <t>R4488</t>
  </si>
  <si>
    <t>R4489</t>
  </si>
  <si>
    <t>R4490</t>
  </si>
  <si>
    <t>R4491</t>
  </si>
  <si>
    <t>R4492</t>
  </si>
  <si>
    <t>R4493</t>
  </si>
  <si>
    <t>Postal Code</t>
  </si>
  <si>
    <t>Conference Organizer</t>
  </si>
  <si>
    <t>(562) 555-3429</t>
  </si>
  <si>
    <t>(801) 555-3944</t>
  </si>
  <si>
    <t>(801) 555-8307</t>
  </si>
  <si>
    <t>(801) 555-5467</t>
  </si>
  <si>
    <t>(323) 555-1096</t>
  </si>
  <si>
    <t>(303) 555-3985</t>
  </si>
  <si>
    <t>(303) 555-9594</t>
  </si>
  <si>
    <t>Washburn</t>
  </si>
  <si>
    <t>(626) 555-8328</t>
  </si>
  <si>
    <t>(714) 555-7688</t>
  </si>
  <si>
    <t>(323) 555-3197</t>
  </si>
  <si>
    <t>(801) 555-1223</t>
  </si>
  <si>
    <t>Hopkins</t>
  </si>
  <si>
    <t>(801) 555-3631</t>
  </si>
  <si>
    <t>Denver</t>
  </si>
  <si>
    <t>(303) 555-1982</t>
  </si>
  <si>
    <t>(323) 555-1403</t>
  </si>
  <si>
    <t>(702) 555-6708</t>
  </si>
  <si>
    <t>(801) 555-7189</t>
  </si>
  <si>
    <t>(303) 555-9012</t>
  </si>
  <si>
    <t>(303) 555-9321</t>
  </si>
  <si>
    <t>(714) 555-2764</t>
  </si>
  <si>
    <t>(702) 555-9599</t>
  </si>
  <si>
    <t>(702) 555-4923</t>
  </si>
  <si>
    <t>(801) 555-4669</t>
  </si>
  <si>
    <t>(303) 555-5858</t>
  </si>
  <si>
    <t>(719) 555-4841</t>
  </si>
  <si>
    <t>Heidi</t>
  </si>
  <si>
    <t>(702) 555-2979</t>
  </si>
  <si>
    <t>(801) 555-3116</t>
  </si>
  <si>
    <t>(702) 555-2683</t>
  </si>
  <si>
    <t>(714) 555-6728</t>
  </si>
  <si>
    <t>(801) 555-6045</t>
  </si>
  <si>
    <t>(970) 555-4456</t>
  </si>
  <si>
    <t>(562) 555-1827</t>
  </si>
  <si>
    <t>(303) 555-2237</t>
  </si>
  <si>
    <t>(323) 555-2404</t>
  </si>
  <si>
    <t>Henderson</t>
  </si>
  <si>
    <t>(702) 555-5171</t>
  </si>
  <si>
    <t>(714) 555-8789</t>
  </si>
  <si>
    <t>(801) 555-1568</t>
  </si>
  <si>
    <t>(719) 555-6724</t>
  </si>
  <si>
    <t>(303) 555-6417</t>
  </si>
  <si>
    <t>(303) 555-3952</t>
  </si>
  <si>
    <t>(323) 555-1766</t>
  </si>
  <si>
    <t>(801) 555-8399</t>
  </si>
  <si>
    <t>(801) 555-6251</t>
  </si>
  <si>
    <t>(702) 555-9963</t>
  </si>
  <si>
    <t>(626) 555-9643</t>
  </si>
  <si>
    <t>(970) 555-8124</t>
  </si>
  <si>
    <t>(714) 555-9778</t>
  </si>
  <si>
    <t>(303) 555-7194</t>
  </si>
  <si>
    <t>(303) 555-6753</t>
  </si>
  <si>
    <t>(714) 555-5068</t>
  </si>
  <si>
    <t>(562) 555-3636</t>
  </si>
  <si>
    <t>Brighton</t>
  </si>
  <si>
    <t>(303) 555-3296</t>
  </si>
  <si>
    <t>(702) 555-6666</t>
  </si>
  <si>
    <t>Helen</t>
  </si>
  <si>
    <t>Morris</t>
  </si>
  <si>
    <t>(702) 555-9852</t>
  </si>
  <si>
    <t>(801) 555-6964</t>
  </si>
  <si>
    <t>(626) 555-7547</t>
  </si>
  <si>
    <t>Adam</t>
  </si>
  <si>
    <t>(303) 555-4571</t>
  </si>
  <si>
    <t>(970) 555-1574</t>
  </si>
  <si>
    <t>(719) 555-7927</t>
  </si>
  <si>
    <t>(714) 555-2214</t>
  </si>
  <si>
    <t>(303) 555-4213</t>
  </si>
  <si>
    <t>Nicole</t>
  </si>
  <si>
    <t>(714) 555-2822</t>
  </si>
  <si>
    <t>(801) 555-3276</t>
  </si>
  <si>
    <t>Ellis</t>
  </si>
  <si>
    <t>(303) 555-6437</t>
  </si>
  <si>
    <t>(562) 555-4808</t>
  </si>
  <si>
    <t>(801) 555-9262</t>
  </si>
  <si>
    <t>(562) 555-7089</t>
  </si>
  <si>
    <t>(714) 555-9456</t>
  </si>
  <si>
    <t>(970) 555-2827</t>
  </si>
  <si>
    <t>(970) 555-5923</t>
  </si>
  <si>
    <t>(303) 555-1817</t>
  </si>
  <si>
    <t>Gardner</t>
  </si>
  <si>
    <t>(970) 555-6219</t>
  </si>
  <si>
    <t>Jesse</t>
  </si>
  <si>
    <t>(702) 555-8134</t>
  </si>
  <si>
    <t>(801) 555-5927</t>
  </si>
  <si>
    <t>Margaret</t>
  </si>
  <si>
    <t>(714) 555-1862</t>
  </si>
  <si>
    <t>(970) 555-9993</t>
  </si>
  <si>
    <t>(801) 555-1663</t>
  </si>
  <si>
    <t>Bryant</t>
  </si>
  <si>
    <t>(970) 555-8007</t>
  </si>
  <si>
    <t>(714) 555-3602</t>
  </si>
  <si>
    <t>(801) 555-9357</t>
  </si>
  <si>
    <t>Christine</t>
  </si>
  <si>
    <t>Myers</t>
  </si>
  <si>
    <t>(303) 555-7473</t>
  </si>
  <si>
    <t>(303) 555-7025</t>
  </si>
  <si>
    <t>(714) 555-3919</t>
  </si>
  <si>
    <t>Norwalk</t>
  </si>
  <si>
    <t>(562) 555-7132</t>
  </si>
  <si>
    <t>(303) 555-4714</t>
  </si>
  <si>
    <t>(714) 555-7593</t>
  </si>
  <si>
    <t>(323) 555-1911</t>
  </si>
  <si>
    <t>Helsel</t>
  </si>
  <si>
    <t>(714) 555-2991</t>
  </si>
  <si>
    <t>(970) 555-7888</t>
  </si>
  <si>
    <t>(714) 555-5752</t>
  </si>
  <si>
    <t>(303) 555-9536</t>
  </si>
  <si>
    <t>Carrie</t>
  </si>
  <si>
    <t>Baker</t>
  </si>
  <si>
    <t>(323) 555-7811</t>
  </si>
  <si>
    <t>(303) 555-4653</t>
  </si>
  <si>
    <t>Elizabeth</t>
  </si>
  <si>
    <t>(702) 555-4977</t>
  </si>
  <si>
    <t>(714) 555-6672</t>
  </si>
  <si>
    <t>(303) 555-4191</t>
  </si>
  <si>
    <t>(303) 555-1122</t>
  </si>
  <si>
    <t>Miller</t>
  </si>
  <si>
    <t>(714) 555-8195</t>
  </si>
  <si>
    <t>(702) 555-4206</t>
  </si>
  <si>
    <t>(626) 555-7181</t>
  </si>
  <si>
    <t>Chris</t>
  </si>
  <si>
    <t>(626) 555-5495</t>
  </si>
  <si>
    <t>Robertson</t>
  </si>
  <si>
    <t>(323) 555-5029</t>
  </si>
  <si>
    <t>(323) 555-4684</t>
  </si>
  <si>
    <t>(562) 555-6411</t>
  </si>
  <si>
    <t>(714) 555-3322</t>
  </si>
  <si>
    <t>(562) 555-3923</t>
  </si>
  <si>
    <t>(213) 555-7619</t>
  </si>
  <si>
    <t>(626) 555-8763</t>
  </si>
  <si>
    <t>(801) 555-2989</t>
  </si>
  <si>
    <t>(626) 555-3793</t>
  </si>
  <si>
    <t>Kirk</t>
  </si>
  <si>
    <t>(702) 555-6767</t>
  </si>
  <si>
    <t>(626) 555-4718</t>
  </si>
  <si>
    <t>(801) 555-3915</t>
  </si>
  <si>
    <t>(303) 555-8592</t>
  </si>
  <si>
    <t>(303) 555-8366</t>
  </si>
  <si>
    <t>(702) 555-6489</t>
  </si>
  <si>
    <t>(801) 555-8787</t>
  </si>
  <si>
    <t>(562) 555-2808</t>
  </si>
  <si>
    <t>(970) 555-9023</t>
  </si>
  <si>
    <t>(801) 555-6184</t>
  </si>
  <si>
    <t>(801) 555-5008</t>
  </si>
  <si>
    <t>(562) 555-3162</t>
  </si>
  <si>
    <t>(562) 555-9014</t>
  </si>
  <si>
    <t>(303) 555-6031</t>
  </si>
  <si>
    <t>(714) 555-5652</t>
  </si>
  <si>
    <t>(702) 555-5125</t>
  </si>
  <si>
    <t>(801) 555-4793</t>
  </si>
  <si>
    <t>Sheila</t>
  </si>
  <si>
    <t>(323) 555-4512</t>
  </si>
  <si>
    <t>(626) 555-2175</t>
  </si>
  <si>
    <t>(626) 555-2468</t>
  </si>
  <si>
    <t>(303) 555-5374</t>
  </si>
  <si>
    <t>(970) 555-3838</t>
  </si>
  <si>
    <t>(303) 555-4318</t>
  </si>
  <si>
    <t>(323) 555-8605</t>
  </si>
  <si>
    <t>(213) 555-9178</t>
  </si>
  <si>
    <t>(714) 555-1416</t>
  </si>
  <si>
    <t>Pedro</t>
  </si>
  <si>
    <t>(323) 555-5835</t>
  </si>
  <si>
    <t>(801) 555-9606</t>
  </si>
  <si>
    <t>(213) 555-3084</t>
  </si>
  <si>
    <t>(970) 555-3178</t>
  </si>
  <si>
    <t>(702) 555-6606</t>
  </si>
  <si>
    <t>Reynolds</t>
  </si>
  <si>
    <t>(714) 555-7979</t>
  </si>
  <si>
    <t>(702) 555-2413</t>
  </si>
  <si>
    <t>Tucker</t>
  </si>
  <si>
    <t>(702) 555-3602</t>
  </si>
  <si>
    <t>(626) 555-9412</t>
  </si>
  <si>
    <t>(626) 555-3305</t>
  </si>
  <si>
    <t>(303) 555-8705</t>
  </si>
  <si>
    <t>(303) 555-2693</t>
  </si>
  <si>
    <t>(970) 555-9317</t>
  </si>
  <si>
    <t>(702) 555-6021</t>
  </si>
  <si>
    <t>(562) 555-6551</t>
  </si>
  <si>
    <t>(303) 555-9604</t>
  </si>
  <si>
    <t>Harrell</t>
  </si>
  <si>
    <t>(970) 555-5081</t>
  </si>
  <si>
    <t>Bonnie</t>
  </si>
  <si>
    <t>Park</t>
  </si>
  <si>
    <t>(562) 555-4703</t>
  </si>
  <si>
    <t>(323) 555-8164</t>
  </si>
  <si>
    <t>(626) 555-1854</t>
  </si>
  <si>
    <t>(303) 555-6011</t>
  </si>
  <si>
    <t>(323) 555-7452</t>
  </si>
  <si>
    <t>(323) 555-1419</t>
  </si>
  <si>
    <t>(719) 555-9713</t>
  </si>
  <si>
    <t>(303) 555-9525</t>
  </si>
  <si>
    <t>(323) 555-4778</t>
  </si>
  <si>
    <t>(702) 555-5471</t>
  </si>
  <si>
    <t>(702) 555-8853</t>
  </si>
  <si>
    <t>Kara</t>
  </si>
  <si>
    <t>Hudson</t>
  </si>
  <si>
    <t>(303) 555-6624</t>
  </si>
  <si>
    <t>(213) 555-1893</t>
  </si>
  <si>
    <t>(719) 555-8749</t>
  </si>
  <si>
    <t>(714) 555-2653</t>
  </si>
  <si>
    <t>(970) 555-5183</t>
  </si>
  <si>
    <t>Frances</t>
  </si>
  <si>
    <t>(970) 555-4597</t>
  </si>
  <si>
    <t>Joe</t>
  </si>
  <si>
    <t>(970) 555-1642</t>
  </si>
  <si>
    <t>(714) 555-8452</t>
  </si>
  <si>
    <t>(626) 555-6354</t>
  </si>
  <si>
    <t>(801) 555-1141</t>
  </si>
  <si>
    <t>(562) 555-9903</t>
  </si>
  <si>
    <t>(970) 555-4826</t>
  </si>
  <si>
    <t>(323) 555-7859</t>
  </si>
  <si>
    <t>Doris</t>
  </si>
  <si>
    <t>(714) 555-7071</t>
  </si>
  <si>
    <t>(626) 555-8046</t>
  </si>
  <si>
    <t>(323) 555-3377</t>
  </si>
  <si>
    <t>(714) 555-5116</t>
  </si>
  <si>
    <t>(714) 555-5544</t>
  </si>
  <si>
    <t>(801) 555-4196</t>
  </si>
  <si>
    <t>(303) 555-9255</t>
  </si>
  <si>
    <t>Keith</t>
  </si>
  <si>
    <t>(702) 555-3336</t>
  </si>
  <si>
    <t>(323) 555-1066</t>
  </si>
  <si>
    <t>(626) 555-2036</t>
  </si>
  <si>
    <t>(562) 555-2577</t>
  </si>
  <si>
    <t>(970) 555-3331</t>
  </si>
  <si>
    <t>Quinn</t>
  </si>
  <si>
    <t>(719) 555-6934</t>
  </si>
  <si>
    <t>(303) 555-7091</t>
  </si>
  <si>
    <t>(801) 555-2549</t>
  </si>
  <si>
    <t>(801) 555-4957</t>
  </si>
  <si>
    <t>Fry</t>
  </si>
  <si>
    <t>(626) 555-7878</t>
  </si>
  <si>
    <t>(303) 555-2035</t>
  </si>
  <si>
    <t>(303) 555-4111</t>
  </si>
  <si>
    <t>Debra</t>
  </si>
  <si>
    <t>(303) 555-4642</t>
  </si>
  <si>
    <t>(801) 555-9278</t>
  </si>
  <si>
    <t>(303) 555-5032</t>
  </si>
  <si>
    <t>(714) 555-8681</t>
  </si>
  <si>
    <t>(714) 555-6163</t>
  </si>
  <si>
    <t>(970) 555-8697</t>
  </si>
  <si>
    <t>(702) 555-6582</t>
  </si>
  <si>
    <t>(562) 555-4323</t>
  </si>
  <si>
    <t>(714) 555-8758</t>
  </si>
  <si>
    <t>Bill</t>
  </si>
  <si>
    <t>(702) 555-2277</t>
  </si>
  <si>
    <t>Arthur</t>
  </si>
  <si>
    <t>(303) 555-1874</t>
  </si>
  <si>
    <t>(562) 555-2629</t>
  </si>
  <si>
    <t>(213) 555-5326</t>
  </si>
  <si>
    <t>(303) 555-8466</t>
  </si>
  <si>
    <t>Pamela</t>
  </si>
  <si>
    <t>(970) 555-3159</t>
  </si>
  <si>
    <t>(714) 555-7759</t>
  </si>
  <si>
    <t>(801) 555-2568</t>
  </si>
  <si>
    <t>(801) 555-8534</t>
  </si>
  <si>
    <t>(213) 555-2322</t>
  </si>
  <si>
    <t>(970) 555-7035</t>
  </si>
  <si>
    <t>(626) 555-4288</t>
  </si>
  <si>
    <t>(303) 555-5967</t>
  </si>
  <si>
    <t>(970) 555-9921</t>
  </si>
  <si>
    <t>(303) 555-4134</t>
  </si>
  <si>
    <t>(562) 555-4545</t>
  </si>
  <si>
    <t>(562) 555-5692</t>
  </si>
  <si>
    <t>(714) 555-4271</t>
  </si>
  <si>
    <t>(801) 555-4985</t>
  </si>
  <si>
    <t>(562) 555-7847</t>
  </si>
  <si>
    <t>(801) 555-8666</t>
  </si>
  <si>
    <t>(323) 555-1219</t>
  </si>
  <si>
    <t>(303) 555-6807</t>
  </si>
  <si>
    <t>(714) 555-1682</t>
  </si>
  <si>
    <t>(801) 555-1944</t>
  </si>
  <si>
    <t>(562) 555-9902</t>
  </si>
  <si>
    <t>(626) 555-8538</t>
  </si>
  <si>
    <t>(702) 555-5968</t>
  </si>
  <si>
    <t>(970) 555-8782</t>
  </si>
  <si>
    <t>(801) 555-1157</t>
  </si>
  <si>
    <t>(714) 555-5651</t>
  </si>
  <si>
    <t>(323) 555-3122</t>
  </si>
  <si>
    <t>(303) 555-5526</t>
  </si>
  <si>
    <t>(303) 555-6851</t>
  </si>
  <si>
    <t>(719) 555-4966</t>
  </si>
  <si>
    <t>(714) 555-9781</t>
  </si>
  <si>
    <t>(626) 555-2003</t>
  </si>
  <si>
    <t>(303) 555-3711</t>
  </si>
  <si>
    <t>(323) 555-9189</t>
  </si>
  <si>
    <t>Stephens</t>
  </si>
  <si>
    <t>(719) 555-6471</t>
  </si>
  <si>
    <t>(714) 555-8079</t>
  </si>
  <si>
    <t>(626) 555-2487</t>
  </si>
  <si>
    <t>(303) 555-7243</t>
  </si>
  <si>
    <t>(702) 555-3274</t>
  </si>
  <si>
    <t>(323) 555-2227</t>
  </si>
  <si>
    <t>(702) 555-8021</t>
  </si>
  <si>
    <t>(303) 555-9609</t>
  </si>
  <si>
    <t>(303) 555-4756</t>
  </si>
  <si>
    <t>(323) 555-6017</t>
  </si>
  <si>
    <t>(719) 555-8801</t>
  </si>
  <si>
    <t>(626) 555-9136</t>
  </si>
  <si>
    <t>(702) 555-1927</t>
  </si>
  <si>
    <t>(562) 555-7159</t>
  </si>
  <si>
    <t>(303) 555-1172</t>
  </si>
  <si>
    <t>(714) 555-3649</t>
  </si>
  <si>
    <t>(719) 555-6911</t>
  </si>
  <si>
    <t>(801) 555-7866</t>
  </si>
  <si>
    <t>(702) 555-4855</t>
  </si>
  <si>
    <t>(702) 555-4551</t>
  </si>
  <si>
    <t>(719) 555-1916</t>
  </si>
  <si>
    <t>(303) 555-6288</t>
  </si>
  <si>
    <t>(303) 555-2272</t>
  </si>
  <si>
    <t>(970) 555-2283</t>
  </si>
  <si>
    <t>(970) 555-1923</t>
  </si>
  <si>
    <t>(801) 555-8991</t>
  </si>
  <si>
    <t>(323) 555-3817</t>
  </si>
  <si>
    <t>(719) 555-3282</t>
  </si>
  <si>
    <t>(323) 555-8081</t>
  </si>
  <si>
    <t>(714) 555-4219</t>
  </si>
  <si>
    <t>(323) 555-9655</t>
  </si>
  <si>
    <t>(323) 555-7206</t>
  </si>
  <si>
    <t>(303) 555-5273</t>
  </si>
  <si>
    <t>(303) 555-6916</t>
  </si>
  <si>
    <t>(562) 555-3328</t>
  </si>
  <si>
    <t>(626) 555-3895</t>
  </si>
  <si>
    <t>(303) 555-5519</t>
  </si>
  <si>
    <t>(562) 555-7369</t>
  </si>
  <si>
    <t>Brandon</t>
  </si>
  <si>
    <t>(702) 555-4368</t>
  </si>
  <si>
    <t>(970) 555-2449</t>
  </si>
  <si>
    <t>(626) 555-9483</t>
  </si>
  <si>
    <t>(801) 555-6917</t>
  </si>
  <si>
    <t>(303) 555-4092</t>
  </si>
  <si>
    <t>(801) 555-1561</t>
  </si>
  <si>
    <t>(719) 555-5547</t>
  </si>
  <si>
    <t>(323) 555-7359</t>
  </si>
  <si>
    <t>(562) 555-5785</t>
  </si>
  <si>
    <t>(702) 555-1288</t>
  </si>
  <si>
    <t>(719) 555-7073</t>
  </si>
  <si>
    <t>(702) 555-7555</t>
  </si>
  <si>
    <t>Anjali</t>
  </si>
  <si>
    <r>
      <t xml:space="preserve">To estimate revenues and expenses for the upcoming </t>
    </r>
    <r>
      <rPr>
        <i/>
        <sz val="11"/>
        <color theme="1"/>
        <rFont val="Calibri"/>
        <family val="2"/>
        <scheme val="minor"/>
      </rPr>
      <t xml:space="preserve">Medical Information Technology </t>
    </r>
    <r>
      <rPr>
        <sz val="11"/>
        <color theme="1"/>
        <rFont val="Calibri"/>
        <family val="2"/>
        <scheme val="minor"/>
      </rPr>
      <t>regional conference in Boston, Massachuesetts</t>
    </r>
  </si>
  <si>
    <t>Garrett</t>
  </si>
  <si>
    <t>604 Juneway Street</t>
  </si>
  <si>
    <t>MA</t>
  </si>
  <si>
    <t>01749</t>
  </si>
  <si>
    <t>Jacqueline</t>
  </si>
  <si>
    <t>Hewett</t>
  </si>
  <si>
    <t>27 Hamlin Avenue</t>
  </si>
  <si>
    <t>01464</t>
  </si>
  <si>
    <t>Wilma</t>
  </si>
  <si>
    <t>Pope</t>
  </si>
  <si>
    <t>317 Mccutcheon Avenue</t>
  </si>
  <si>
    <t>South Egremont</t>
  </si>
  <si>
    <t>01258</t>
  </si>
  <si>
    <t>Melissa</t>
  </si>
  <si>
    <t>Bojorquez</t>
  </si>
  <si>
    <t>174 Loring Avenue</t>
  </si>
  <si>
    <t>Brockton</t>
  </si>
  <si>
    <t>02301</t>
  </si>
  <si>
    <t>Brant</t>
  </si>
  <si>
    <t>631 Oxford Street</t>
  </si>
  <si>
    <t>Winchendon</t>
  </si>
  <si>
    <t>01475</t>
  </si>
  <si>
    <t>Ramirez</t>
  </si>
  <si>
    <t>473 Woodward Avenue</t>
  </si>
  <si>
    <t>572 Wesley Avenue</t>
  </si>
  <si>
    <t>Boston</t>
  </si>
  <si>
    <t>02128</t>
  </si>
  <si>
    <t>Connolly</t>
  </si>
  <si>
    <t>341 Lambert Avenue</t>
  </si>
  <si>
    <t>Westborough</t>
  </si>
  <si>
    <t>01581</t>
  </si>
  <si>
    <t>Samantha</t>
  </si>
  <si>
    <t>677 Western Avenue</t>
  </si>
  <si>
    <t>Dorchester Center</t>
  </si>
  <si>
    <t>02124</t>
  </si>
  <si>
    <t>Martinez</t>
  </si>
  <si>
    <t>346 Virginia Lane</t>
  </si>
  <si>
    <t>02215</t>
  </si>
  <si>
    <t>Margie</t>
  </si>
  <si>
    <t>584 Bliss Street</t>
  </si>
  <si>
    <t>Springfield</t>
  </si>
  <si>
    <t>01118</t>
  </si>
  <si>
    <t>Matthews</t>
  </si>
  <si>
    <t>675 Yale Lane</t>
  </si>
  <si>
    <t>Westport</t>
  </si>
  <si>
    <t>02790</t>
  </si>
  <si>
    <t>219 Van Buren Street</t>
  </si>
  <si>
    <t>Agawam</t>
  </si>
  <si>
    <t>01001</t>
  </si>
  <si>
    <t>Essie</t>
  </si>
  <si>
    <t>Dudley</t>
  </si>
  <si>
    <t>408 Wilcox Way</t>
  </si>
  <si>
    <t>Vineyard Haven</t>
  </si>
  <si>
    <t>02568</t>
  </si>
  <si>
    <t>Angela</t>
  </si>
  <si>
    <t>Threet</t>
  </si>
  <si>
    <t>797 West Harris Way</t>
  </si>
  <si>
    <t>Somerville</t>
  </si>
  <si>
    <t>02145</t>
  </si>
  <si>
    <t>Weaver</t>
  </si>
  <si>
    <t>618 East Meredith Avenue</t>
  </si>
  <si>
    <t>01107</t>
  </si>
  <si>
    <t>Mabel</t>
  </si>
  <si>
    <t>816 Armitage Street</t>
  </si>
  <si>
    <t>02118</t>
  </si>
  <si>
    <t>Foster</t>
  </si>
  <si>
    <t>Seawell</t>
  </si>
  <si>
    <t>529 Justice Way</t>
  </si>
  <si>
    <t>Swampscott</t>
  </si>
  <si>
    <t>01907</t>
  </si>
  <si>
    <t>Beaver</t>
  </si>
  <si>
    <t>251 North Mandell Lane</t>
  </si>
  <si>
    <t>Attleboro</t>
  </si>
  <si>
    <t>02703</t>
  </si>
  <si>
    <t>Monica</t>
  </si>
  <si>
    <t>Sarmiento</t>
  </si>
  <si>
    <t>124 Armitage Avenue</t>
  </si>
  <si>
    <t>Cameron</t>
  </si>
  <si>
    <t>515 Wilson Street</t>
  </si>
  <si>
    <t>Hull</t>
  </si>
  <si>
    <t>02045</t>
  </si>
  <si>
    <t>Hogan</t>
  </si>
  <si>
    <t>140 Montana Street</t>
  </si>
  <si>
    <t>Reading</t>
  </si>
  <si>
    <t>01867</t>
  </si>
  <si>
    <t>Hoyt</t>
  </si>
  <si>
    <t>387 Canalport Avenue</t>
  </si>
  <si>
    <t>Billerica</t>
  </si>
  <si>
    <t>01821</t>
  </si>
  <si>
    <t>Mattis</t>
  </si>
  <si>
    <t>447 1st Court</t>
  </si>
  <si>
    <t>Weymouth</t>
  </si>
  <si>
    <t>02188</t>
  </si>
  <si>
    <t>Kelley</t>
  </si>
  <si>
    <t>402 Marine Lane</t>
  </si>
  <si>
    <t>South Hadley</t>
  </si>
  <si>
    <t>01075</t>
  </si>
  <si>
    <t>Perkins</t>
  </si>
  <si>
    <t>188 Polk Street</t>
  </si>
  <si>
    <t>Raynham</t>
  </si>
  <si>
    <t>02767</t>
  </si>
  <si>
    <t>Gerardo</t>
  </si>
  <si>
    <t>Leaks</t>
  </si>
  <si>
    <t>707 Churchill Street</t>
  </si>
  <si>
    <t>Natick</t>
  </si>
  <si>
    <t>01760</t>
  </si>
  <si>
    <t>Angelo</t>
  </si>
  <si>
    <t>Heller</t>
  </si>
  <si>
    <t>103 Richards Avenue</t>
  </si>
  <si>
    <t>Southbridge</t>
  </si>
  <si>
    <t>01550</t>
  </si>
  <si>
    <t>Clifford</t>
  </si>
  <si>
    <t>232 Thrain Street</t>
  </si>
  <si>
    <t>New Bedford</t>
  </si>
  <si>
    <t>02740</t>
  </si>
  <si>
    <t>780 Livermore Avenue</t>
  </si>
  <si>
    <t>Auburndale</t>
  </si>
  <si>
    <t>02466</t>
  </si>
  <si>
    <t>Wolfe</t>
  </si>
  <si>
    <t>606 East Surf Street</t>
  </si>
  <si>
    <t>East Brookfield</t>
  </si>
  <si>
    <t>01515</t>
  </si>
  <si>
    <t>708 Nicolet Street</t>
  </si>
  <si>
    <t>Cotuit</t>
  </si>
  <si>
    <t>02635</t>
  </si>
  <si>
    <t>Salsbury</t>
  </si>
  <si>
    <t>720 Pine Grove Street</t>
  </si>
  <si>
    <t>Dorchester</t>
  </si>
  <si>
    <t>02121</t>
  </si>
  <si>
    <t>Joann</t>
  </si>
  <si>
    <t>891 Victoria Way</t>
  </si>
  <si>
    <t>Wrentham</t>
  </si>
  <si>
    <t>02093</t>
  </si>
  <si>
    <t>Schrader</t>
  </si>
  <si>
    <t>276 East Agatite Avenue</t>
  </si>
  <si>
    <t>Malden</t>
  </si>
  <si>
    <t>02148</t>
  </si>
  <si>
    <t>Chartier</t>
  </si>
  <si>
    <t>698 Farragut Avenue</t>
  </si>
  <si>
    <t>Centerville</t>
  </si>
  <si>
    <t>02632</t>
  </si>
  <si>
    <t>Emma</t>
  </si>
  <si>
    <t>Jenkins</t>
  </si>
  <si>
    <t>738 Elm Avenue</t>
  </si>
  <si>
    <t>Everett</t>
  </si>
  <si>
    <t>02149</t>
  </si>
  <si>
    <t>Janet</t>
  </si>
  <si>
    <t>Callahan</t>
  </si>
  <si>
    <t>862 Charles Lane</t>
  </si>
  <si>
    <t>Sandwich</t>
  </si>
  <si>
    <t>02563</t>
  </si>
  <si>
    <t>Elvira</t>
  </si>
  <si>
    <t>Boyle</t>
  </si>
  <si>
    <t>508 Winnemac Avenue</t>
  </si>
  <si>
    <t>Leominster</t>
  </si>
  <si>
    <t>01453</t>
  </si>
  <si>
    <t>Wallace</t>
  </si>
  <si>
    <t>74 Bowen Avenue</t>
  </si>
  <si>
    <t>Duxbury</t>
  </si>
  <si>
    <t>02332</t>
  </si>
  <si>
    <t>Schade</t>
  </si>
  <si>
    <t>850 Pioneer Street</t>
  </si>
  <si>
    <t>Lawrence</t>
  </si>
  <si>
    <t>01841</t>
  </si>
  <si>
    <t>Walton</t>
  </si>
  <si>
    <t>783 Rainey Way</t>
  </si>
  <si>
    <t>North Chelmsford</t>
  </si>
  <si>
    <t>01863</t>
  </si>
  <si>
    <t>Knight</t>
  </si>
  <si>
    <t>444 Spaulding Way</t>
  </si>
  <si>
    <t>02116</t>
  </si>
  <si>
    <t>Mildred</t>
  </si>
  <si>
    <t>Bradley</t>
  </si>
  <si>
    <t>219 Farrar Lane</t>
  </si>
  <si>
    <t>Fall River</t>
  </si>
  <si>
    <t>02720</t>
  </si>
  <si>
    <t>Mizer</t>
  </si>
  <si>
    <t>381 Kent Street</t>
  </si>
  <si>
    <t>Southborough</t>
  </si>
  <si>
    <t>01772</t>
  </si>
  <si>
    <t>Kilgore</t>
  </si>
  <si>
    <t>136 Holden Avenue</t>
  </si>
  <si>
    <t>Acushnet</t>
  </si>
  <si>
    <t>02743</t>
  </si>
  <si>
    <t>Christi</t>
  </si>
  <si>
    <t>Branch</t>
  </si>
  <si>
    <t>180 East Burton Avenue</t>
  </si>
  <si>
    <t>Hayden</t>
  </si>
  <si>
    <t>322 Ohio Feeder Avenue</t>
  </si>
  <si>
    <t>02744</t>
  </si>
  <si>
    <t>830 Lothair Boulevard</t>
  </si>
  <si>
    <t>Kingston</t>
  </si>
  <si>
    <t>02364</t>
  </si>
  <si>
    <t>Steve</t>
  </si>
  <si>
    <t>Holmes</t>
  </si>
  <si>
    <t>991 Karla Boulevard</t>
  </si>
  <si>
    <t>Mattapan</t>
  </si>
  <si>
    <t>02126</t>
  </si>
  <si>
    <t>Zoller</t>
  </si>
  <si>
    <t>669 Calhoun Way</t>
  </si>
  <si>
    <t>Athol</t>
  </si>
  <si>
    <t>01331</t>
  </si>
  <si>
    <t>Classie</t>
  </si>
  <si>
    <t>Gallman</t>
  </si>
  <si>
    <t>947 6th Court</t>
  </si>
  <si>
    <t>Alan</t>
  </si>
  <si>
    <t>Hatfield</t>
  </si>
  <si>
    <t>991 Ford Avenue</t>
  </si>
  <si>
    <t>02127</t>
  </si>
  <si>
    <t>Appling</t>
  </si>
  <si>
    <t>246 Stave Way</t>
  </si>
  <si>
    <t>Milford</t>
  </si>
  <si>
    <t>01757</t>
  </si>
  <si>
    <t>Carlos</t>
  </si>
  <si>
    <t>Roosa</t>
  </si>
  <si>
    <t>154 Rainey Avenue</t>
  </si>
  <si>
    <t>Concord</t>
  </si>
  <si>
    <t>01742</t>
  </si>
  <si>
    <t>Cliff</t>
  </si>
  <si>
    <t>Drinnon</t>
  </si>
  <si>
    <t>35 South Tremont Avenue</t>
  </si>
  <si>
    <t>Loza</t>
  </si>
  <si>
    <t>28 Wong Avenue</t>
  </si>
  <si>
    <t>Loesch</t>
  </si>
  <si>
    <t>278 East Eisenhower Street</t>
  </si>
  <si>
    <t>Medford</t>
  </si>
  <si>
    <t>02155</t>
  </si>
  <si>
    <t>Eva</t>
  </si>
  <si>
    <t>Propes</t>
  </si>
  <si>
    <t>735 Cortez Street</t>
  </si>
  <si>
    <t>Westford</t>
  </si>
  <si>
    <t>01886</t>
  </si>
  <si>
    <t>Levine</t>
  </si>
  <si>
    <t>702 Randolph Lane</t>
  </si>
  <si>
    <t>East Taunton</t>
  </si>
  <si>
    <t>02718</t>
  </si>
  <si>
    <t>5 Logan Street</t>
  </si>
  <si>
    <t>Abington</t>
  </si>
  <si>
    <t>02351</t>
  </si>
  <si>
    <t>Lynda</t>
  </si>
  <si>
    <t>Green</t>
  </si>
  <si>
    <t>412 Longmeadow Boulevard</t>
  </si>
  <si>
    <t>Chestnut Hill</t>
  </si>
  <si>
    <t>02467</t>
  </si>
  <si>
    <t>Darnell</t>
  </si>
  <si>
    <t>Sandifer</t>
  </si>
  <si>
    <t>540 Wable Court</t>
  </si>
  <si>
    <t>Worcester</t>
  </si>
  <si>
    <t>01606</t>
  </si>
  <si>
    <t>673 Claremont Way</t>
  </si>
  <si>
    <t>Carver</t>
  </si>
  <si>
    <t>02330</t>
  </si>
  <si>
    <t>Valarie</t>
  </si>
  <si>
    <t>Morales</t>
  </si>
  <si>
    <t>940 4th Way</t>
  </si>
  <si>
    <t>Fischer</t>
  </si>
  <si>
    <t>235 Taft Avenue</t>
  </si>
  <si>
    <t>Holliston</t>
  </si>
  <si>
    <t>01746</t>
  </si>
  <si>
    <t>Judy</t>
  </si>
  <si>
    <t>Dodge</t>
  </si>
  <si>
    <t>391 Wallace Boulevard</t>
  </si>
  <si>
    <t>01129</t>
  </si>
  <si>
    <t>Cleo</t>
  </si>
  <si>
    <t>Sullivan</t>
  </si>
  <si>
    <t>209 1st Street</t>
  </si>
  <si>
    <t>Brookfield</t>
  </si>
  <si>
    <t>01506</t>
  </si>
  <si>
    <t>Pruitt</t>
  </si>
  <si>
    <t>916 Seymour Court</t>
  </si>
  <si>
    <t>Salinas</t>
  </si>
  <si>
    <t>465 Prairie Street</t>
  </si>
  <si>
    <t>Hyde Park</t>
  </si>
  <si>
    <t>02136</t>
  </si>
  <si>
    <t>Gordon</t>
  </si>
  <si>
    <t>412 Sedgwick Avenue</t>
  </si>
  <si>
    <t>Dalton</t>
  </si>
  <si>
    <t>01226</t>
  </si>
  <si>
    <t>Ronnie</t>
  </si>
  <si>
    <t>Catchings</t>
  </si>
  <si>
    <t>225 Rochdale Way</t>
  </si>
  <si>
    <t>Marion</t>
  </si>
  <si>
    <t>02738</t>
  </si>
  <si>
    <t>Ang</t>
  </si>
  <si>
    <t>645 Larrabee Avenue</t>
  </si>
  <si>
    <t>Lynn</t>
  </si>
  <si>
    <t>01905</t>
  </si>
  <si>
    <t>Aubrey</t>
  </si>
  <si>
    <t>Parsons</t>
  </si>
  <si>
    <t>46 South Eberhart Avenue</t>
  </si>
  <si>
    <t>Halifax</t>
  </si>
  <si>
    <t>02338</t>
  </si>
  <si>
    <t>Seay</t>
  </si>
  <si>
    <t>431 Gilbert Way</t>
  </si>
  <si>
    <t>Hingham</t>
  </si>
  <si>
    <t>02043</t>
  </si>
  <si>
    <t>Caldwell</t>
  </si>
  <si>
    <t>865 South Matson Boulevard</t>
  </si>
  <si>
    <t>Cambridge</t>
  </si>
  <si>
    <t>02141</t>
  </si>
  <si>
    <t>Nettie</t>
  </si>
  <si>
    <t>632 Seminary Street</t>
  </si>
  <si>
    <t>Jo</t>
  </si>
  <si>
    <t>Hammers</t>
  </si>
  <si>
    <t>242 West Catalpa Boulevard</t>
  </si>
  <si>
    <t>Harvard</t>
  </si>
  <si>
    <t>01451</t>
  </si>
  <si>
    <t>Burton</t>
  </si>
  <si>
    <t>165 Nokomis Boulevard</t>
  </si>
  <si>
    <t>Fitchburg</t>
  </si>
  <si>
    <t>01420</t>
  </si>
  <si>
    <t>526 Crosby Street</t>
  </si>
  <si>
    <t>01610</t>
  </si>
  <si>
    <t>Ramos</t>
  </si>
  <si>
    <t>525 North Spine Street</t>
  </si>
  <si>
    <t>Newton Highlands</t>
  </si>
  <si>
    <t>02461</t>
  </si>
  <si>
    <t>Tann</t>
  </si>
  <si>
    <t>848 Agatite Avenue</t>
  </si>
  <si>
    <t>Mccall</t>
  </si>
  <si>
    <t>785 Surf Boulevard</t>
  </si>
  <si>
    <t>Archuleta</t>
  </si>
  <si>
    <t>475 South Jeffery Street</t>
  </si>
  <si>
    <t>Althea</t>
  </si>
  <si>
    <t>Sides</t>
  </si>
  <si>
    <t>315 East Le Claire Street</t>
  </si>
  <si>
    <t>Holbrook</t>
  </si>
  <si>
    <t>02343</t>
  </si>
  <si>
    <t>Fernandez</t>
  </si>
  <si>
    <t>26 Pearson Avenue</t>
  </si>
  <si>
    <t>Plymouth</t>
  </si>
  <si>
    <t>02360</t>
  </si>
  <si>
    <t>684 East Drake Avenue</t>
  </si>
  <si>
    <t>Burlington</t>
  </si>
  <si>
    <t>01803</t>
  </si>
  <si>
    <t>Justin</t>
  </si>
  <si>
    <t>Cunningham</t>
  </si>
  <si>
    <t>223 Wilton Street</t>
  </si>
  <si>
    <t>Needham</t>
  </si>
  <si>
    <t>02492</t>
  </si>
  <si>
    <t>477 Fairbanks Way</t>
  </si>
  <si>
    <t>Rodney</t>
  </si>
  <si>
    <t>Free</t>
  </si>
  <si>
    <t>273 South Parkview Avenue</t>
  </si>
  <si>
    <t>Waltham</t>
  </si>
  <si>
    <t>02451</t>
  </si>
  <si>
    <t>Merle</t>
  </si>
  <si>
    <t>Lally</t>
  </si>
  <si>
    <t>886 8th Street</t>
  </si>
  <si>
    <t>Mcevoy</t>
  </si>
  <si>
    <t>932 La Forge Street</t>
  </si>
  <si>
    <t>Zander</t>
  </si>
  <si>
    <t>624 Wells Avenue</t>
  </si>
  <si>
    <t>02723</t>
  </si>
  <si>
    <t>296 Julia Street</t>
  </si>
  <si>
    <t>Chelmsford</t>
  </si>
  <si>
    <t>01824</t>
  </si>
  <si>
    <t>Price</t>
  </si>
  <si>
    <t>838 South Wolf Avenue</t>
  </si>
  <si>
    <t>Eugene</t>
  </si>
  <si>
    <t>Lark</t>
  </si>
  <si>
    <t>712 Douglass Avenue</t>
  </si>
  <si>
    <t>West Newton</t>
  </si>
  <si>
    <t>02465</t>
  </si>
  <si>
    <t>Pitre</t>
  </si>
  <si>
    <t>787 Emerald Avenue</t>
  </si>
  <si>
    <t>Easthampton</t>
  </si>
  <si>
    <t>01027</t>
  </si>
  <si>
    <t>Leon</t>
  </si>
  <si>
    <t>Tremblay</t>
  </si>
  <si>
    <t>313 Belden Avenue</t>
  </si>
  <si>
    <t>Watertown</t>
  </si>
  <si>
    <t>02472</t>
  </si>
  <si>
    <t>Esparza</t>
  </si>
  <si>
    <t>925 East Lake Shore Boulevard</t>
  </si>
  <si>
    <t>Northampton</t>
  </si>
  <si>
    <t>01060</t>
  </si>
  <si>
    <t>Cowans</t>
  </si>
  <si>
    <t>72 Chappel Street</t>
  </si>
  <si>
    <t>572 Frontier Street</t>
  </si>
  <si>
    <t>Braintree</t>
  </si>
  <si>
    <t>02184</t>
  </si>
  <si>
    <t>128 Wong Way</t>
  </si>
  <si>
    <t>02452</t>
  </si>
  <si>
    <t>Gwen</t>
  </si>
  <si>
    <t>104 Eisenhower Street</t>
  </si>
  <si>
    <t>Charlestown</t>
  </si>
  <si>
    <t>02129</t>
  </si>
  <si>
    <t>Border</t>
  </si>
  <si>
    <t>915 1st Street</t>
  </si>
  <si>
    <t>Westwood</t>
  </si>
  <si>
    <t>02090</t>
  </si>
  <si>
    <t>Matt</t>
  </si>
  <si>
    <t>Mcgarry</t>
  </si>
  <si>
    <t>393 Spine Street</t>
  </si>
  <si>
    <t>01108</t>
  </si>
  <si>
    <t>Jandreau</t>
  </si>
  <si>
    <t>870 Elsdon Lane</t>
  </si>
  <si>
    <t>01104</t>
  </si>
  <si>
    <t>Mahoney</t>
  </si>
  <si>
    <t>785 Independence Court</t>
  </si>
  <si>
    <t>Marshfield</t>
  </si>
  <si>
    <t>02050</t>
  </si>
  <si>
    <t>Hunter</t>
  </si>
  <si>
    <t>49 Middleton Avenue</t>
  </si>
  <si>
    <t>Woburn</t>
  </si>
  <si>
    <t>01801</t>
  </si>
  <si>
    <t>Kristine</t>
  </si>
  <si>
    <t>148 Montvale Street</t>
  </si>
  <si>
    <t>Quincy</t>
  </si>
  <si>
    <t>02169</t>
  </si>
  <si>
    <t>Art</t>
  </si>
  <si>
    <t>Compton</t>
  </si>
  <si>
    <t>866 Homer Way</t>
  </si>
  <si>
    <t>Stoughton</t>
  </si>
  <si>
    <t>02072</t>
  </si>
  <si>
    <t>Koch</t>
  </si>
  <si>
    <t>876 Hurlbut Street</t>
  </si>
  <si>
    <t>02144</t>
  </si>
  <si>
    <t>Leslie</t>
  </si>
  <si>
    <t>657 Oak Court</t>
  </si>
  <si>
    <t>02135</t>
  </si>
  <si>
    <t>Mulvihill</t>
  </si>
  <si>
    <t>802 East Keway Avenue</t>
  </si>
  <si>
    <t>Sagamore Beach</t>
  </si>
  <si>
    <t>02562</t>
  </si>
  <si>
    <t>Chagoya</t>
  </si>
  <si>
    <t>608 Karla Way</t>
  </si>
  <si>
    <t>01128</t>
  </si>
  <si>
    <t>Tonya</t>
  </si>
  <si>
    <t>703 West Phillips Way</t>
  </si>
  <si>
    <t>Lincoln</t>
  </si>
  <si>
    <t>01773</t>
  </si>
  <si>
    <t>239 East Lester Street</t>
  </si>
  <si>
    <t>Rochester</t>
  </si>
  <si>
    <t>02770</t>
  </si>
  <si>
    <t>Stone</t>
  </si>
  <si>
    <t>603 South 3rd Court</t>
  </si>
  <si>
    <t>Holden</t>
  </si>
  <si>
    <t>01520</t>
  </si>
  <si>
    <t>Brookes</t>
  </si>
  <si>
    <t>332 North Octavia Avenue</t>
  </si>
  <si>
    <t>214 North Maryland Street</t>
  </si>
  <si>
    <t>Williamson</t>
  </si>
  <si>
    <t>284 Osceola Way</t>
  </si>
  <si>
    <t>01902</t>
  </si>
  <si>
    <t>Oscar</t>
  </si>
  <si>
    <t>Olsen</t>
  </si>
  <si>
    <t>449 East Lawndale Street</t>
  </si>
  <si>
    <t>Stoneham</t>
  </si>
  <si>
    <t>02180</t>
  </si>
  <si>
    <t>Marshall</t>
  </si>
  <si>
    <t>358 Kanst Way</t>
  </si>
  <si>
    <t>01516</t>
  </si>
  <si>
    <t>Lofland</t>
  </si>
  <si>
    <t>27 May Court</t>
  </si>
  <si>
    <t>02745</t>
  </si>
  <si>
    <t>Priscilla</t>
  </si>
  <si>
    <t>Little</t>
  </si>
  <si>
    <t>204 Tilden Court</t>
  </si>
  <si>
    <t>Tyngsboro</t>
  </si>
  <si>
    <t>01879</t>
  </si>
  <si>
    <t>26 Rascher Street</t>
  </si>
  <si>
    <t>Karen</t>
  </si>
  <si>
    <t>876 Chance Street</t>
  </si>
  <si>
    <t>Peabody</t>
  </si>
  <si>
    <t>01960</t>
  </si>
  <si>
    <t>Adams</t>
  </si>
  <si>
    <t>693 Mac Dermont Avenue</t>
  </si>
  <si>
    <t>Major</t>
  </si>
  <si>
    <t>Dupont</t>
  </si>
  <si>
    <t>459 Corcoran Street</t>
  </si>
  <si>
    <t>Sue</t>
  </si>
  <si>
    <t>Elmore</t>
  </si>
  <si>
    <t>535 Dante Street</t>
  </si>
  <si>
    <t>Blackwell</t>
  </si>
  <si>
    <t>402 Clark Way</t>
  </si>
  <si>
    <t>Salem</t>
  </si>
  <si>
    <t>01970</t>
  </si>
  <si>
    <t>Noel</t>
  </si>
  <si>
    <t>854 Albany Street</t>
  </si>
  <si>
    <t>Jean</t>
  </si>
  <si>
    <t>635 Holbrook Boulevard</t>
  </si>
  <si>
    <t>263 East Cermala Avenue</t>
  </si>
  <si>
    <t>Wellesley</t>
  </si>
  <si>
    <t>02482</t>
  </si>
  <si>
    <t>Hector</t>
  </si>
  <si>
    <t>Fox</t>
  </si>
  <si>
    <t>807 North Grant Avenue</t>
  </si>
  <si>
    <t>Marblehead</t>
  </si>
  <si>
    <t>01945</t>
  </si>
  <si>
    <t>378 South Wabash Avenue</t>
  </si>
  <si>
    <t>Lakeville</t>
  </si>
  <si>
    <t>02347</t>
  </si>
  <si>
    <t>Tina</t>
  </si>
  <si>
    <t>34 Rhodes Way</t>
  </si>
  <si>
    <t>01220</t>
  </si>
  <si>
    <t>Hernandez</t>
  </si>
  <si>
    <t>205 Watkins Court</t>
  </si>
  <si>
    <t>Olivier</t>
  </si>
  <si>
    <t>314 Pittsburgh Street</t>
  </si>
  <si>
    <t>Westfield</t>
  </si>
  <si>
    <t>01085</t>
  </si>
  <si>
    <t>Claude</t>
  </si>
  <si>
    <t>Burkett</t>
  </si>
  <si>
    <t>751 East Blackstone Court</t>
  </si>
  <si>
    <t>Brewster</t>
  </si>
  <si>
    <t>02631</t>
  </si>
  <si>
    <t>Tinsley</t>
  </si>
  <si>
    <t>427 Kewanee Way</t>
  </si>
  <si>
    <t>Revere</t>
  </si>
  <si>
    <t>02151</t>
  </si>
  <si>
    <t>Lois</t>
  </si>
  <si>
    <t>Averill</t>
  </si>
  <si>
    <t>756 Fitch Lane</t>
  </si>
  <si>
    <t>Bartels</t>
  </si>
  <si>
    <t>5 Halley Avenue</t>
  </si>
  <si>
    <t>East Bridgewater</t>
  </si>
  <si>
    <t>02333</t>
  </si>
  <si>
    <t>Audrie</t>
  </si>
  <si>
    <t>Horton</t>
  </si>
  <si>
    <t>351 Senour Avenue</t>
  </si>
  <si>
    <t>Madsen</t>
  </si>
  <si>
    <t>930 Mozart Way</t>
  </si>
  <si>
    <t>Bertha</t>
  </si>
  <si>
    <t>361 West Neenah Avenue</t>
  </si>
  <si>
    <t>Lowell</t>
  </si>
  <si>
    <t>01852</t>
  </si>
  <si>
    <t>Lori</t>
  </si>
  <si>
    <t>Cartwright</t>
  </si>
  <si>
    <t>834 8th Boulevard</t>
  </si>
  <si>
    <t>Charlton</t>
  </si>
  <si>
    <t>01507</t>
  </si>
  <si>
    <t>Tamara</t>
  </si>
  <si>
    <t>Stock</t>
  </si>
  <si>
    <t>461 Mozart Lane</t>
  </si>
  <si>
    <t>01854</t>
  </si>
  <si>
    <t>Mercado</t>
  </si>
  <si>
    <t>574 Sacramento Avenue</t>
  </si>
  <si>
    <t>Buzzards Bay</t>
  </si>
  <si>
    <t>02532</t>
  </si>
  <si>
    <t>Criddle</t>
  </si>
  <si>
    <t>864 Sternes Avenue</t>
  </si>
  <si>
    <t>East Longmeadow</t>
  </si>
  <si>
    <t>01028</t>
  </si>
  <si>
    <t>Mi</t>
  </si>
  <si>
    <t>103 Ohio Feeder Boulevard</t>
  </si>
  <si>
    <t>01069</t>
  </si>
  <si>
    <t>451 2nd Avenue</t>
  </si>
  <si>
    <t>Walpole</t>
  </si>
  <si>
    <t>02081</t>
  </si>
  <si>
    <t>Lydia</t>
  </si>
  <si>
    <t>13 Prairie Street</t>
  </si>
  <si>
    <t>Milton</t>
  </si>
  <si>
    <t>02186</t>
  </si>
  <si>
    <t>Killion</t>
  </si>
  <si>
    <t>724 Nettleton Avenue</t>
  </si>
  <si>
    <t>Dracut</t>
  </si>
  <si>
    <t>01826</t>
  </si>
  <si>
    <t>Hollier</t>
  </si>
  <si>
    <t>232 Lieb Court</t>
  </si>
  <si>
    <t>Longmeadow</t>
  </si>
  <si>
    <t>01106</t>
  </si>
  <si>
    <t>Juana</t>
  </si>
  <si>
    <t>Darden</t>
  </si>
  <si>
    <t>952 Ellen Street</t>
  </si>
  <si>
    <t>Hayes</t>
  </si>
  <si>
    <t>460 Ellen Avenue</t>
  </si>
  <si>
    <t>Shepard</t>
  </si>
  <si>
    <t>401 Delaware Avenue</t>
  </si>
  <si>
    <t>02453</t>
  </si>
  <si>
    <t>280 Scott Way</t>
  </si>
  <si>
    <t>Shay</t>
  </si>
  <si>
    <t>829 Lee Boulevard</t>
  </si>
  <si>
    <t>Holyoke</t>
  </si>
  <si>
    <t>01040</t>
  </si>
  <si>
    <t>389 4th Way</t>
  </si>
  <si>
    <t>Wendi</t>
  </si>
  <si>
    <t>311 West Hart Street</t>
  </si>
  <si>
    <t>East Falmouth</t>
  </si>
  <si>
    <t>02536</t>
  </si>
  <si>
    <t>858 Nashville Avenue</t>
  </si>
  <si>
    <t>Ben</t>
  </si>
  <si>
    <t>Pence</t>
  </si>
  <si>
    <t>774 Roscoe Avenue</t>
  </si>
  <si>
    <t>Williamstown</t>
  </si>
  <si>
    <t>01267</t>
  </si>
  <si>
    <t>757 Federal Way</t>
  </si>
  <si>
    <t>02114</t>
  </si>
  <si>
    <t>52 Otto Street</t>
  </si>
  <si>
    <t>Linares</t>
  </si>
  <si>
    <t>835 Dower Street</t>
  </si>
  <si>
    <t>Seekonk</t>
  </si>
  <si>
    <t>02771</t>
  </si>
  <si>
    <t>Jonell</t>
  </si>
  <si>
    <t>687 Logan Street</t>
  </si>
  <si>
    <t>Ashland</t>
  </si>
  <si>
    <t>01721</t>
  </si>
  <si>
    <t>Heather</t>
  </si>
  <si>
    <t>Adelson</t>
  </si>
  <si>
    <t>143 Lakely Avenue</t>
  </si>
  <si>
    <t>Orleans</t>
  </si>
  <si>
    <t>02653</t>
  </si>
  <si>
    <t>581 Niwot Lane</t>
  </si>
  <si>
    <t>West Roxbury</t>
  </si>
  <si>
    <t>02132</t>
  </si>
  <si>
    <t>515 Monterey Street</t>
  </si>
  <si>
    <t>Dominique</t>
  </si>
  <si>
    <t>Lohmann</t>
  </si>
  <si>
    <t>214 Kenwood Avenue</t>
  </si>
  <si>
    <t>Theodore</t>
  </si>
  <si>
    <t>957 North Artesian Way</t>
  </si>
  <si>
    <t>West Bridgewater</t>
  </si>
  <si>
    <t>02379</t>
  </si>
  <si>
    <t>889 Kamerling Street</t>
  </si>
  <si>
    <t>01440</t>
  </si>
  <si>
    <t>Blackburn</t>
  </si>
  <si>
    <t>651 Washington Boulevard</t>
  </si>
  <si>
    <t>East Weymouth</t>
  </si>
  <si>
    <t>02189</t>
  </si>
  <si>
    <t>Dina</t>
  </si>
  <si>
    <t>174 Lynn White Lane</t>
  </si>
  <si>
    <t>Leicester</t>
  </si>
  <si>
    <t>01524</t>
  </si>
  <si>
    <t>Jeffrey</t>
  </si>
  <si>
    <t>Jacob</t>
  </si>
  <si>
    <t>266 Newcastle Lane</t>
  </si>
  <si>
    <t>Winthrop</t>
  </si>
  <si>
    <t>02152</t>
  </si>
  <si>
    <t>Janice</t>
  </si>
  <si>
    <t>Day</t>
  </si>
  <si>
    <t>633 North Crest Line Avenue</t>
  </si>
  <si>
    <t>Grigsby</t>
  </si>
  <si>
    <t>976 Senour Avenue</t>
  </si>
  <si>
    <t>Mcclain</t>
  </si>
  <si>
    <t>455 Cornelia Court</t>
  </si>
  <si>
    <t>Wales</t>
  </si>
  <si>
    <t>01081</t>
  </si>
  <si>
    <t>Juanita</t>
  </si>
  <si>
    <t>Khang</t>
  </si>
  <si>
    <t>113 East High Bridge Boulevard</t>
  </si>
  <si>
    <t>Larson</t>
  </si>
  <si>
    <t>569 Ford Avenue</t>
  </si>
  <si>
    <t>Israel</t>
  </si>
  <si>
    <t>Putnam</t>
  </si>
  <si>
    <t>628 Minnetonka Court</t>
  </si>
  <si>
    <t>Sudbury</t>
  </si>
  <si>
    <t>01776</t>
  </si>
  <si>
    <t>Houston</t>
  </si>
  <si>
    <t>49 East Hood Avenue</t>
  </si>
  <si>
    <t>Ina</t>
  </si>
  <si>
    <t>Stalter</t>
  </si>
  <si>
    <t>347 Summerdale Street</t>
  </si>
  <si>
    <t>Middleboro</t>
  </si>
  <si>
    <t>02346</t>
  </si>
  <si>
    <t>Anita</t>
  </si>
  <si>
    <t>Peres</t>
  </si>
  <si>
    <t>321 Wallace Street</t>
  </si>
  <si>
    <t>Cherie</t>
  </si>
  <si>
    <t>Coffey</t>
  </si>
  <si>
    <t>213 Palatine Street</t>
  </si>
  <si>
    <t>01851</t>
  </si>
  <si>
    <t>Alger</t>
  </si>
  <si>
    <t>74 Ferdinand Lane</t>
  </si>
  <si>
    <t>02139</t>
  </si>
  <si>
    <t>Tiffany</t>
  </si>
  <si>
    <t>Garner</t>
  </si>
  <si>
    <t>680 Clover Street</t>
  </si>
  <si>
    <t>Taunton</t>
  </si>
  <si>
    <t>02780</t>
  </si>
  <si>
    <t>Oldham</t>
  </si>
  <si>
    <t>522 East Jersey Boulevard</t>
  </si>
  <si>
    <t>Lorraine</t>
  </si>
  <si>
    <t>Gouge</t>
  </si>
  <si>
    <t>784 Hathon Avenue</t>
  </si>
  <si>
    <t>Barnett</t>
  </si>
  <si>
    <t>310 College Lane</t>
  </si>
  <si>
    <t>494 North Rockwell Avenue</t>
  </si>
  <si>
    <t>Webster</t>
  </si>
  <si>
    <t>01570</t>
  </si>
  <si>
    <t>Jenny</t>
  </si>
  <si>
    <t>632 East Mobile Street</t>
  </si>
  <si>
    <t>Winebarger</t>
  </si>
  <si>
    <t>667 Greenview Avenue</t>
  </si>
  <si>
    <t>Gunn</t>
  </si>
  <si>
    <t>294 East Union Avenue</t>
  </si>
  <si>
    <t>Sturbridge</t>
  </si>
  <si>
    <t>01566</t>
  </si>
  <si>
    <t>Marlene</t>
  </si>
  <si>
    <t>Goodman</t>
  </si>
  <si>
    <t>896 Prescott Street</t>
  </si>
  <si>
    <t>Danvers</t>
  </si>
  <si>
    <t>01923</t>
  </si>
  <si>
    <t>Earhart</t>
  </si>
  <si>
    <t>38 Kirkland Street</t>
  </si>
  <si>
    <t>748 Clarette Lane</t>
  </si>
  <si>
    <t>Christian</t>
  </si>
  <si>
    <t>Woods</t>
  </si>
  <si>
    <t>108 Raven Street</t>
  </si>
  <si>
    <t>02111</t>
  </si>
  <si>
    <t>Watkins</t>
  </si>
  <si>
    <t>918 Loyola Street</t>
  </si>
  <si>
    <t>Salazar</t>
  </si>
  <si>
    <t>887 Claremont Boulevard</t>
  </si>
  <si>
    <t>Shaner</t>
  </si>
  <si>
    <t>629 Grand Lane</t>
  </si>
  <si>
    <t>Canon</t>
  </si>
  <si>
    <t>177 North Randolph Boulevard</t>
  </si>
  <si>
    <t>Glen Burnie</t>
  </si>
  <si>
    <t>MD</t>
  </si>
  <si>
    <t>21061</t>
  </si>
  <si>
    <t>Harmon</t>
  </si>
  <si>
    <t>305 Rimond Avenue</t>
  </si>
  <si>
    <t>Ellsworth</t>
  </si>
  <si>
    <t>ME</t>
  </si>
  <si>
    <t>04605</t>
  </si>
  <si>
    <t>Graham</t>
  </si>
  <si>
    <t>586 Webster Way</t>
  </si>
  <si>
    <t>Trumbull</t>
  </si>
  <si>
    <t>CT</t>
  </si>
  <si>
    <t>06611</t>
  </si>
  <si>
    <t>Mcpherson</t>
  </si>
  <si>
    <t>955 Gate Way</t>
  </si>
  <si>
    <t>Standish</t>
  </si>
  <si>
    <t>04084</t>
  </si>
  <si>
    <t>Powers</t>
  </si>
  <si>
    <t>444 West Promontory Street</t>
  </si>
  <si>
    <t>Newtown</t>
  </si>
  <si>
    <t>PA</t>
  </si>
  <si>
    <t>18940</t>
  </si>
  <si>
    <t>Danielle</t>
  </si>
  <si>
    <t>323 Leavenworth Avenue</t>
  </si>
  <si>
    <t>Nobleboro</t>
  </si>
  <si>
    <t>04555</t>
  </si>
  <si>
    <t>Watson</t>
  </si>
  <si>
    <t>324 Gratten Boulevard</t>
  </si>
  <si>
    <t>Wappingers Falls</t>
  </si>
  <si>
    <t>NY</t>
  </si>
  <si>
    <t>12590</t>
  </si>
  <si>
    <t>Tuttle</t>
  </si>
  <si>
    <t>842 West Emmett Lane</t>
  </si>
  <si>
    <t>Catonsville</t>
  </si>
  <si>
    <t>21228</t>
  </si>
  <si>
    <t>Rivas</t>
  </si>
  <si>
    <t>113 East Butler Lane</t>
  </si>
  <si>
    <t>Harrisville</t>
  </si>
  <si>
    <t>16038</t>
  </si>
  <si>
    <t>Gray</t>
  </si>
  <si>
    <t>586 Markham Way</t>
  </si>
  <si>
    <t>Bloomsburg</t>
  </si>
  <si>
    <t>17815</t>
  </si>
  <si>
    <t>Mccue</t>
  </si>
  <si>
    <t>268 Mautene Avenue</t>
  </si>
  <si>
    <t>Brooklyn</t>
  </si>
  <si>
    <t>11209</t>
  </si>
  <si>
    <t>Olive</t>
  </si>
  <si>
    <t>612 North Hayes Way</t>
  </si>
  <si>
    <t xml:space="preserve">Kirkwd Voorhs </t>
  </si>
  <si>
    <t>NJ</t>
  </si>
  <si>
    <t>08043</t>
  </si>
  <si>
    <t>Golub</t>
  </si>
  <si>
    <t>920 Grant Avenue</t>
  </si>
  <si>
    <t xml:space="preserve">Mahwah </t>
  </si>
  <si>
    <t>07430</t>
  </si>
  <si>
    <t>Godfrey</t>
  </si>
  <si>
    <t>194 5th Avenue</t>
  </si>
  <si>
    <t>Selden</t>
  </si>
  <si>
    <t>11784</t>
  </si>
  <si>
    <t>Imelda</t>
  </si>
  <si>
    <t>Godoy</t>
  </si>
  <si>
    <t>503 1st Court</t>
  </si>
  <si>
    <t>Buffalo</t>
  </si>
  <si>
    <t>14226</t>
  </si>
  <si>
    <t>Canada</t>
  </si>
  <si>
    <t>746 Washington Court</t>
  </si>
  <si>
    <t xml:space="preserve">Orange </t>
  </si>
  <si>
    <t>07050</t>
  </si>
  <si>
    <t>114 St Louis Street</t>
  </si>
  <si>
    <t xml:space="preserve">Lacey Township </t>
  </si>
  <si>
    <t>08734</t>
  </si>
  <si>
    <t>Domingo</t>
  </si>
  <si>
    <t>Mitchem</t>
  </si>
  <si>
    <t>23 Wallace Avenue</t>
  </si>
  <si>
    <t xml:space="preserve">Lionshead Lake </t>
  </si>
  <si>
    <t>07470</t>
  </si>
  <si>
    <t>Alvin</t>
  </si>
  <si>
    <t>116 Odell Avenue</t>
  </si>
  <si>
    <t>Baltimore</t>
  </si>
  <si>
    <t>21215</t>
  </si>
  <si>
    <t>Homer</t>
  </si>
  <si>
    <t>Rogers</t>
  </si>
  <si>
    <t>971 West Kewanee Court</t>
  </si>
  <si>
    <t>Bronx</t>
  </si>
  <si>
    <t>10451</t>
  </si>
  <si>
    <t>Bobby</t>
  </si>
  <si>
    <t>597 5th Street</t>
  </si>
  <si>
    <t>11205</t>
  </si>
  <si>
    <t>Champion</t>
  </si>
  <si>
    <t>34 South Union Street</t>
  </si>
  <si>
    <t>Madison Heights</t>
  </si>
  <si>
    <t>VA</t>
  </si>
  <si>
    <t>24572</t>
  </si>
  <si>
    <t>886 Hoyt Street</t>
  </si>
  <si>
    <t>Erie</t>
  </si>
  <si>
    <t>16505</t>
  </si>
  <si>
    <t>Hebert</t>
  </si>
  <si>
    <t>194 Willetts Street</t>
  </si>
  <si>
    <t xml:space="preserve">Bayville </t>
  </si>
  <si>
    <t>08721</t>
  </si>
  <si>
    <t>Seagraves</t>
  </si>
  <si>
    <t>249 Metron Way</t>
  </si>
  <si>
    <t>Doylestown</t>
  </si>
  <si>
    <t>18901</t>
  </si>
  <si>
    <t>Baxter</t>
  </si>
  <si>
    <t>789 West Lacey Avenue</t>
  </si>
  <si>
    <t>Louisa</t>
  </si>
  <si>
    <t>23093</t>
  </si>
  <si>
    <t>Louise</t>
  </si>
  <si>
    <t>Kuhlman</t>
  </si>
  <si>
    <t>324 North Post Avenue</t>
  </si>
  <si>
    <t>17098</t>
  </si>
  <si>
    <t>Neta</t>
  </si>
  <si>
    <t>761 Baltimore Street</t>
  </si>
  <si>
    <t xml:space="preserve">Pamrapo </t>
  </si>
  <si>
    <t>07002</t>
  </si>
  <si>
    <t>Lucas</t>
  </si>
  <si>
    <t>Whitmer</t>
  </si>
  <si>
    <t>715 Corbett Avenue</t>
  </si>
  <si>
    <t>Lorton</t>
  </si>
  <si>
    <t>22079</t>
  </si>
  <si>
    <t>Moira</t>
  </si>
  <si>
    <t>207 Mccormick Place Avenue</t>
  </si>
  <si>
    <t xml:space="preserve">Westmont </t>
  </si>
  <si>
    <t>08108</t>
  </si>
  <si>
    <t>Darla</t>
  </si>
  <si>
    <t>51 South Newbrough Street</t>
  </si>
  <si>
    <t xml:space="preserve">West New York </t>
  </si>
  <si>
    <t>07093</t>
  </si>
  <si>
    <t>Morton</t>
  </si>
  <si>
    <t>215 Beverly Lane</t>
  </si>
  <si>
    <t>11207</t>
  </si>
  <si>
    <t>681 Fletcher Avenue</t>
  </si>
  <si>
    <t>Deal Island</t>
  </si>
  <si>
    <t>21821</t>
  </si>
  <si>
    <t>822 Julia Avenue</t>
  </si>
  <si>
    <t>Du Bois</t>
  </si>
  <si>
    <t>15801</t>
  </si>
  <si>
    <t>549 Senour Boulevard</t>
  </si>
  <si>
    <t>Niagara Falls</t>
  </si>
  <si>
    <t>14301</t>
  </si>
  <si>
    <t>Mchugh</t>
  </si>
  <si>
    <t>371 Buena Street</t>
  </si>
  <si>
    <t>Philadelphia</t>
  </si>
  <si>
    <t>19133</t>
  </si>
  <si>
    <t>484 Virginia Way</t>
  </si>
  <si>
    <t>Cumberland</t>
  </si>
  <si>
    <t>RI</t>
  </si>
  <si>
    <t>02864</t>
  </si>
  <si>
    <t>Fowler</t>
  </si>
  <si>
    <t>442 Otsego Avenue</t>
  </si>
  <si>
    <t>Mountain Top</t>
  </si>
  <si>
    <t>18707</t>
  </si>
  <si>
    <t>Petersen</t>
  </si>
  <si>
    <t>553 Lake Shore Avenue</t>
  </si>
  <si>
    <t>Whitesboro</t>
  </si>
  <si>
    <t>13492</t>
  </si>
  <si>
    <t>Kevin</t>
  </si>
  <si>
    <t>Berry</t>
  </si>
  <si>
    <t>531 Lexington Street</t>
  </si>
  <si>
    <t>Chittenango</t>
  </si>
  <si>
    <t>13037</t>
  </si>
  <si>
    <t>Czapla</t>
  </si>
  <si>
    <t>49 Pulaski Avenue</t>
  </si>
  <si>
    <t>Hunlock Creek</t>
  </si>
  <si>
    <t>18621</t>
  </si>
  <si>
    <t>Laughlin</t>
  </si>
  <si>
    <t>463 Kirkland Street</t>
  </si>
  <si>
    <t>Iaeger</t>
  </si>
  <si>
    <t>WV</t>
  </si>
  <si>
    <t>24844</t>
  </si>
  <si>
    <t>Elaine</t>
  </si>
  <si>
    <t>776 Glenwood Avenue</t>
  </si>
  <si>
    <t>Laurel</t>
  </si>
  <si>
    <t>20723</t>
  </si>
  <si>
    <t>Stelly</t>
  </si>
  <si>
    <t>733 West Bell Street</t>
  </si>
  <si>
    <t xml:space="preserve">North Plainfield </t>
  </si>
  <si>
    <t>07060</t>
  </si>
  <si>
    <t>785 East Kenmore Street</t>
  </si>
  <si>
    <t>Elma</t>
  </si>
  <si>
    <t>14059</t>
  </si>
  <si>
    <t>Sergio</t>
  </si>
  <si>
    <t>348 East Birkhoff Boulevard</t>
  </si>
  <si>
    <t>Levittown</t>
  </si>
  <si>
    <t>19054</t>
  </si>
  <si>
    <t>279 West State Avenue</t>
  </si>
  <si>
    <t xml:space="preserve">Beach Haven West </t>
  </si>
  <si>
    <t>08050</t>
  </si>
  <si>
    <t>Stuart</t>
  </si>
  <si>
    <t>162 Waldron Lane</t>
  </si>
  <si>
    <t>Ringgold</t>
  </si>
  <si>
    <t>24586</t>
  </si>
  <si>
    <t>Coffman</t>
  </si>
  <si>
    <t>262 Elaine Street</t>
  </si>
  <si>
    <t xml:space="preserve">Wall </t>
  </si>
  <si>
    <t>08750</t>
  </si>
  <si>
    <t>Shannon</t>
  </si>
  <si>
    <t>446 Farroth Court</t>
  </si>
  <si>
    <t>Allentown</t>
  </si>
  <si>
    <t>18104</t>
  </si>
  <si>
    <t>271 Union Street</t>
  </si>
  <si>
    <t>Shippensburg</t>
  </si>
  <si>
    <t>17257</t>
  </si>
  <si>
    <t>Gearldine</t>
  </si>
  <si>
    <t>Grayson</t>
  </si>
  <si>
    <t>339 Minnetonka Lane</t>
  </si>
  <si>
    <t>Port Jervis</t>
  </si>
  <si>
    <t>12771</t>
  </si>
  <si>
    <t>Barlow</t>
  </si>
  <si>
    <t>37 Albany Boulevard</t>
  </si>
  <si>
    <t xml:space="preserve">Swainton </t>
  </si>
  <si>
    <t>08210</t>
  </si>
  <si>
    <t>510 Lawrence Wilson Lane</t>
  </si>
  <si>
    <t>Plainview</t>
  </si>
  <si>
    <t>11803</t>
  </si>
  <si>
    <t>Medina</t>
  </si>
  <si>
    <t>585 Jarvis Lane</t>
  </si>
  <si>
    <t>626 Leonard Street</t>
  </si>
  <si>
    <t>Meadowview</t>
  </si>
  <si>
    <t>24361</t>
  </si>
  <si>
    <t>257 East Farrell Avenue</t>
  </si>
  <si>
    <t>19087</t>
  </si>
  <si>
    <t>363 Iowa Avenue</t>
  </si>
  <si>
    <t>Norway</t>
  </si>
  <si>
    <t>04268</t>
  </si>
  <si>
    <t>100 Haussen Boulevard</t>
  </si>
  <si>
    <t xml:space="preserve">North Middletown </t>
  </si>
  <si>
    <t>07748</t>
  </si>
  <si>
    <t>394 West Potomac Street</t>
  </si>
  <si>
    <t>Souderton</t>
  </si>
  <si>
    <t>18964</t>
  </si>
  <si>
    <t>Beatriz</t>
  </si>
  <si>
    <t>734 Kimball Street</t>
  </si>
  <si>
    <t>Alexandria</t>
  </si>
  <si>
    <t>22306</t>
  </si>
  <si>
    <t>Valentine</t>
  </si>
  <si>
    <t>877 Nashville Way</t>
  </si>
  <si>
    <t xml:space="preserve">Monitor </t>
  </si>
  <si>
    <t>Ingrassia</t>
  </si>
  <si>
    <t>264 Scott Lane</t>
  </si>
  <si>
    <t xml:space="preserve">Lacey </t>
  </si>
  <si>
    <t>08731</t>
  </si>
  <si>
    <t>Chapman</t>
  </si>
  <si>
    <t>770 West Hollett Way</t>
  </si>
  <si>
    <t>Cranston</t>
  </si>
  <si>
    <t>02921</t>
  </si>
  <si>
    <t>Faith</t>
  </si>
  <si>
    <t>Carr</t>
  </si>
  <si>
    <t>571 Janssen Street</t>
  </si>
  <si>
    <t>Fresh Meadows</t>
  </si>
  <si>
    <t>11365</t>
  </si>
  <si>
    <t>Pina</t>
  </si>
  <si>
    <t>201 Brayton Lane</t>
  </si>
  <si>
    <t>New York</t>
  </si>
  <si>
    <t>10029</t>
  </si>
  <si>
    <t>Dimple</t>
  </si>
  <si>
    <t>Leathers</t>
  </si>
  <si>
    <t>993 South Rutherford Avenue</t>
  </si>
  <si>
    <t>Stafford</t>
  </si>
  <si>
    <t>22554</t>
  </si>
  <si>
    <t>Negron</t>
  </si>
  <si>
    <t>64 Canal Lane</t>
  </si>
  <si>
    <t>11208</t>
  </si>
  <si>
    <t>Irvin</t>
  </si>
  <si>
    <t>Edge</t>
  </si>
  <si>
    <t>523 Kez Boulevard</t>
  </si>
  <si>
    <t>Princeton</t>
  </si>
  <si>
    <t>24740</t>
  </si>
  <si>
    <t>331 Kilmann Street</t>
  </si>
  <si>
    <t>Riverside</t>
  </si>
  <si>
    <t>02915</t>
  </si>
  <si>
    <t>Stacey</t>
  </si>
  <si>
    <t>907 Hartwell Lane</t>
  </si>
  <si>
    <t>Lanham</t>
  </si>
  <si>
    <t>20706</t>
  </si>
  <si>
    <t>Angel</t>
  </si>
  <si>
    <t>888 Park Street</t>
  </si>
  <si>
    <t>New Castle</t>
  </si>
  <si>
    <t>DE</t>
  </si>
  <si>
    <t>19720</t>
  </si>
  <si>
    <t>Dale</t>
  </si>
  <si>
    <t>208 Kolla Street</t>
  </si>
  <si>
    <t>17517</t>
  </si>
  <si>
    <t>Owens</t>
  </si>
  <si>
    <t>24 North Berwyn Street</t>
  </si>
  <si>
    <t>NH</t>
  </si>
  <si>
    <t>03079</t>
  </si>
  <si>
    <t>Knapp</t>
  </si>
  <si>
    <t>225 Hyacinth Street</t>
  </si>
  <si>
    <t>Saylorsburg</t>
  </si>
  <si>
    <t>18353</t>
  </si>
  <si>
    <t>134 Monitor Street</t>
  </si>
  <si>
    <t xml:space="preserve">Parsippany </t>
  </si>
  <si>
    <t>07054</t>
  </si>
  <si>
    <t>Jeremy</t>
  </si>
  <si>
    <t>Durden</t>
  </si>
  <si>
    <t>786 Hoyt Lane</t>
  </si>
  <si>
    <t>Biddeford</t>
  </si>
  <si>
    <t>04005</t>
  </si>
  <si>
    <t>294 Reserve Street</t>
  </si>
  <si>
    <t>South Richmond Hill</t>
  </si>
  <si>
    <t>11419</t>
  </si>
  <si>
    <t>Spears</t>
  </si>
  <si>
    <t>139 Kimball Street</t>
  </si>
  <si>
    <t>Astoria</t>
  </si>
  <si>
    <t>11103</t>
  </si>
  <si>
    <t>Liz</t>
  </si>
  <si>
    <t>Byron</t>
  </si>
  <si>
    <t>444 Liano Avenue</t>
  </si>
  <si>
    <t>854 Hazel Street</t>
  </si>
  <si>
    <t>Elmira</t>
  </si>
  <si>
    <t>14904</t>
  </si>
  <si>
    <t>Landers</t>
  </si>
  <si>
    <t>544 Maud Lane</t>
  </si>
  <si>
    <t>Saratoga Springs</t>
  </si>
  <si>
    <t>12866</t>
  </si>
  <si>
    <t>594 Besly Lane</t>
  </si>
  <si>
    <t>Virginia Beach</t>
  </si>
  <si>
    <t>23464</t>
  </si>
  <si>
    <t>561 North Sage Way</t>
  </si>
  <si>
    <t xml:space="preserve">Marlton </t>
  </si>
  <si>
    <t>08053</t>
  </si>
  <si>
    <t>166 North Winona Way</t>
  </si>
  <si>
    <t>22304</t>
  </si>
  <si>
    <t>Lebron</t>
  </si>
  <si>
    <t>98 Lemont Street</t>
  </si>
  <si>
    <t>Rosedale</t>
  </si>
  <si>
    <t>21237</t>
  </si>
  <si>
    <t>Cynthia</t>
  </si>
  <si>
    <t>557 Vernal Boulevard</t>
  </si>
  <si>
    <t>Moundsville</t>
  </si>
  <si>
    <t>26041</t>
  </si>
  <si>
    <t>791 Eberhart Street</t>
  </si>
  <si>
    <t>10025</t>
  </si>
  <si>
    <t>992 Sangley Avenue</t>
  </si>
  <si>
    <t xml:space="preserve">Braddock </t>
  </si>
  <si>
    <t>08037</t>
  </si>
  <si>
    <t>804 Newbrough Avenue</t>
  </si>
  <si>
    <t>Meriden</t>
  </si>
  <si>
    <t>06450</t>
  </si>
  <si>
    <t>Lile</t>
  </si>
  <si>
    <t>992 Lake Shore Way</t>
  </si>
  <si>
    <t>Hartford</t>
  </si>
  <si>
    <t>06106</t>
  </si>
  <si>
    <t>Adler</t>
  </si>
  <si>
    <t>496 Columbus Street</t>
  </si>
  <si>
    <t xml:space="preserve">Chesterfield </t>
  </si>
  <si>
    <t>08515</t>
  </si>
  <si>
    <t>Pam</t>
  </si>
  <si>
    <t>Greene</t>
  </si>
  <si>
    <t>641 Victoria Lane</t>
  </si>
  <si>
    <t xml:space="preserve">Cliffwood Beach </t>
  </si>
  <si>
    <t>07735</t>
  </si>
  <si>
    <t>Octavio</t>
  </si>
  <si>
    <t>812 Middleton Court</t>
  </si>
  <si>
    <t xml:space="preserve">Westwood </t>
  </si>
  <si>
    <t>07675</t>
  </si>
  <si>
    <t>Page</t>
  </si>
  <si>
    <t>929 Rochdale Court</t>
  </si>
  <si>
    <t>Brooks</t>
  </si>
  <si>
    <t>04921</t>
  </si>
  <si>
    <t>Rader</t>
  </si>
  <si>
    <t>638 Neenah Street</t>
  </si>
  <si>
    <t>06880</t>
  </si>
  <si>
    <t>Aldrich</t>
  </si>
  <si>
    <t>923 Monterey Lane</t>
  </si>
  <si>
    <t>19132</t>
  </si>
  <si>
    <t>804 Kezly Street</t>
  </si>
  <si>
    <t>21202</t>
  </si>
  <si>
    <t>Carla</t>
  </si>
  <si>
    <t>401 Bishop Court</t>
  </si>
  <si>
    <t xml:space="preserve">Asbury Park </t>
  </si>
  <si>
    <t>07712</t>
  </si>
  <si>
    <t>Joanne</t>
  </si>
  <si>
    <t>Blevins</t>
  </si>
  <si>
    <t>572 Le Moyne Avenue</t>
  </si>
  <si>
    <t>Wilmington</t>
  </si>
  <si>
    <t>19805</t>
  </si>
  <si>
    <t>Johnny</t>
  </si>
  <si>
    <t>Guinn</t>
  </si>
  <si>
    <t>676 Short Street</t>
  </si>
  <si>
    <t xml:space="preserve">Lawrence Township </t>
  </si>
  <si>
    <t>08648</t>
  </si>
  <si>
    <t>Jim</t>
  </si>
  <si>
    <t>Britton</t>
  </si>
  <si>
    <t>885 Leoti Way</t>
  </si>
  <si>
    <t>Sterling</t>
  </si>
  <si>
    <t>20164</t>
  </si>
  <si>
    <t>Edward</t>
  </si>
  <si>
    <t>Leclaire</t>
  </si>
  <si>
    <t>65 Edgebrook Avenue</t>
  </si>
  <si>
    <t>New Gloucester</t>
  </si>
  <si>
    <t>04260</t>
  </si>
  <si>
    <t>Ruth</t>
  </si>
  <si>
    <t>103 Wingate Boulevard</t>
  </si>
  <si>
    <t>Woodhaven</t>
  </si>
  <si>
    <t>11421</t>
  </si>
  <si>
    <t>Talbott</t>
  </si>
  <si>
    <t>831 Gettysburg Way</t>
  </si>
  <si>
    <t xml:space="preserve">New Brunswick </t>
  </si>
  <si>
    <t>08901</t>
  </si>
  <si>
    <t>Johns</t>
  </si>
  <si>
    <t>157 Serbian Lane</t>
  </si>
  <si>
    <t>23456</t>
  </si>
  <si>
    <t>Megan</t>
  </si>
  <si>
    <t>Cox</t>
  </si>
  <si>
    <t>217 Lee Court</t>
  </si>
  <si>
    <t>19963</t>
  </si>
  <si>
    <t>Isenberg</t>
  </si>
  <si>
    <t>652 Kilbourn Street</t>
  </si>
  <si>
    <t>10002</t>
  </si>
  <si>
    <t>610 Leonard Street</t>
  </si>
  <si>
    <t xml:space="preserve">Elmora </t>
  </si>
  <si>
    <t>07202</t>
  </si>
  <si>
    <t>Walling</t>
  </si>
  <si>
    <t>974 North Kinzua Lane</t>
  </si>
  <si>
    <t xml:space="preserve">Erlton </t>
  </si>
  <si>
    <t>08002</t>
  </si>
  <si>
    <t>Mullins</t>
  </si>
  <si>
    <t>425 Princeton Street</t>
  </si>
  <si>
    <t xml:space="preserve">Milltown </t>
  </si>
  <si>
    <t>08850</t>
  </si>
  <si>
    <t>Amy</t>
  </si>
  <si>
    <t>39 Lehmann Court</t>
  </si>
  <si>
    <t xml:space="preserve">East Brunswick </t>
  </si>
  <si>
    <t>08816</t>
  </si>
  <si>
    <t>Carmel</t>
  </si>
  <si>
    <t>Pendergrass</t>
  </si>
  <si>
    <t>770 Linden Way</t>
  </si>
  <si>
    <t>Staten Island</t>
  </si>
  <si>
    <t>10312</t>
  </si>
  <si>
    <t>Cody</t>
  </si>
  <si>
    <t>Shinn</t>
  </si>
  <si>
    <t>899 West St Paul Court</t>
  </si>
  <si>
    <t>Capitol Heights</t>
  </si>
  <si>
    <t>20743</t>
  </si>
  <si>
    <t>Maxine</t>
  </si>
  <si>
    <t>130 Locust Street</t>
  </si>
  <si>
    <t>Parkersburg</t>
  </si>
  <si>
    <t>26101</t>
  </si>
  <si>
    <t>Turner</t>
  </si>
  <si>
    <t>443 Maple Avenue</t>
  </si>
  <si>
    <t xml:space="preserve">Plainfield </t>
  </si>
  <si>
    <t>Melvin</t>
  </si>
  <si>
    <t>732 Loyola Street</t>
  </si>
  <si>
    <t>Rimersburg</t>
  </si>
  <si>
    <t>16248</t>
  </si>
  <si>
    <t>Michelle</t>
  </si>
  <si>
    <t>201 Albion Way</t>
  </si>
  <si>
    <t>Warfordsburg</t>
  </si>
  <si>
    <t>17267</t>
  </si>
  <si>
    <t>926 Canal Court</t>
  </si>
  <si>
    <t>19141</t>
  </si>
  <si>
    <t>Vallejos</t>
  </si>
  <si>
    <t>364 Lessing Avenue</t>
  </si>
  <si>
    <t>York</t>
  </si>
  <si>
    <t>03909</t>
  </si>
  <si>
    <t>Lesser</t>
  </si>
  <si>
    <t>633 Saginaw Street</t>
  </si>
  <si>
    <t>10034</t>
  </si>
  <si>
    <t>849 1st Avenue</t>
  </si>
  <si>
    <t>Blacksburg</t>
  </si>
  <si>
    <t>24060</t>
  </si>
  <si>
    <t>Dane</t>
  </si>
  <si>
    <t>Gay</t>
  </si>
  <si>
    <t>743 Justine Avenue</t>
  </si>
  <si>
    <t>Somers</t>
  </si>
  <si>
    <t>10589</t>
  </si>
  <si>
    <t>Graciela</t>
  </si>
  <si>
    <t>Starr</t>
  </si>
  <si>
    <t>39 Circle Way</t>
  </si>
  <si>
    <t>Lowville</t>
  </si>
  <si>
    <t>13367</t>
  </si>
  <si>
    <t>397 Seeley Court</t>
  </si>
  <si>
    <t>Danielson</t>
  </si>
  <si>
    <t>06239</t>
  </si>
  <si>
    <t>390 Wendell Way</t>
  </si>
  <si>
    <t>Pittsburgh</t>
  </si>
  <si>
    <t>15236</t>
  </si>
  <si>
    <t>972 North Patton Street</t>
  </si>
  <si>
    <t xml:space="preserve">Tabernacle </t>
  </si>
  <si>
    <t>08088</t>
  </si>
  <si>
    <t>Callaway</t>
  </si>
  <si>
    <t>805 Hamlin Avenue</t>
  </si>
  <si>
    <t>19601</t>
  </si>
  <si>
    <t>664 North Eggleston Avenue</t>
  </si>
  <si>
    <t>06850</t>
  </si>
  <si>
    <t>Earnest</t>
  </si>
  <si>
    <t>Collie</t>
  </si>
  <si>
    <t>691 South Grand Lane</t>
  </si>
  <si>
    <t>West Point</t>
  </si>
  <si>
    <t>10996</t>
  </si>
  <si>
    <t>Chester</t>
  </si>
  <si>
    <t>Ferguson</t>
  </si>
  <si>
    <t>271 Mcclellan Court</t>
  </si>
  <si>
    <t xml:space="preserve">Pine Grove </t>
  </si>
  <si>
    <t>628 East River Front Lane</t>
  </si>
  <si>
    <t xml:space="preserve">Woolwich Township </t>
  </si>
  <si>
    <t>08085</t>
  </si>
  <si>
    <t>424 Warren Street</t>
  </si>
  <si>
    <t>10452</t>
  </si>
  <si>
    <t>Max</t>
  </si>
  <si>
    <t>Larsen</t>
  </si>
  <si>
    <t>507 Statley Boulevard</t>
  </si>
  <si>
    <t>Halethorpe</t>
  </si>
  <si>
    <t>21227</t>
  </si>
  <si>
    <t>935 South Emma Street</t>
  </si>
  <si>
    <t>North Tonawanda</t>
  </si>
  <si>
    <t>14120</t>
  </si>
  <si>
    <t>Broadhead</t>
  </si>
  <si>
    <t>5 East Opal Street</t>
  </si>
  <si>
    <t xml:space="preserve">Folsom </t>
  </si>
  <si>
    <t>Erika</t>
  </si>
  <si>
    <t>Florian</t>
  </si>
  <si>
    <t>275 West Calumet Street</t>
  </si>
  <si>
    <t xml:space="preserve">Sharptown </t>
  </si>
  <si>
    <t>08098</t>
  </si>
  <si>
    <t>Markovich</t>
  </si>
  <si>
    <t>838 Baldwin Way</t>
  </si>
  <si>
    <t xml:space="preserve">Westampton </t>
  </si>
  <si>
    <t>08060</t>
  </si>
  <si>
    <t>Willie</t>
  </si>
  <si>
    <t>Romero</t>
  </si>
  <si>
    <t>717 Swann Way</t>
  </si>
  <si>
    <t xml:space="preserve">Ridgefield Park </t>
  </si>
  <si>
    <t>07660</t>
  </si>
  <si>
    <t>Paula</t>
  </si>
  <si>
    <t>Hawkins</t>
  </si>
  <si>
    <t>409 South Macleod Court</t>
  </si>
  <si>
    <t xml:space="preserve">Galloway Township </t>
  </si>
  <si>
    <t>08205</t>
  </si>
  <si>
    <t>Hart</t>
  </si>
  <si>
    <t>69 Coyle Lane</t>
  </si>
  <si>
    <t>Sanford</t>
  </si>
  <si>
    <t>04073</t>
  </si>
  <si>
    <t>Burgess</t>
  </si>
  <si>
    <t>960 Odette Avenue</t>
  </si>
  <si>
    <t>Ballston Spa</t>
  </si>
  <si>
    <t>12020</t>
  </si>
  <si>
    <t>992 5th Boulevard</t>
  </si>
  <si>
    <t>Amsterdam</t>
  </si>
  <si>
    <t>12010</t>
  </si>
  <si>
    <t>912 Dean Lane</t>
  </si>
  <si>
    <t xml:space="preserve">Pt Pleas Beach </t>
  </si>
  <si>
    <t>08742</t>
  </si>
  <si>
    <t>Faye</t>
  </si>
  <si>
    <t>Goodin</t>
  </si>
  <si>
    <t>626 Olive Boulevard</t>
  </si>
  <si>
    <t>Edgewood</t>
  </si>
  <si>
    <t>21040</t>
  </si>
  <si>
    <t>Evan</t>
  </si>
  <si>
    <t>837 Newberry Street</t>
  </si>
  <si>
    <t>High</t>
  </si>
  <si>
    <t>464 Millard Boulevard</t>
  </si>
  <si>
    <t xml:space="preserve">Rockaway Valley </t>
  </si>
  <si>
    <t>07005</t>
  </si>
  <si>
    <t>750 Carondolet Avenue</t>
  </si>
  <si>
    <t>Dover</t>
  </si>
  <si>
    <t>03820</t>
  </si>
  <si>
    <t>751 North Le Claire Avenue</t>
  </si>
  <si>
    <t>Newark</t>
  </si>
  <si>
    <t>19711</t>
  </si>
  <si>
    <t>Rudolph</t>
  </si>
  <si>
    <t>827 West Calley Court</t>
  </si>
  <si>
    <t>14225</t>
  </si>
  <si>
    <t>Leta</t>
  </si>
  <si>
    <t>Littlefield</t>
  </si>
  <si>
    <t>551 Payne Avenue</t>
  </si>
  <si>
    <t>Carter</t>
  </si>
  <si>
    <t>482 West Roosevelt Avenue</t>
  </si>
  <si>
    <t xml:space="preserve">Cinnaminson </t>
  </si>
  <si>
    <t>08077</t>
  </si>
  <si>
    <t>Merrie</t>
  </si>
  <si>
    <t>10 Wolcott Avenue</t>
  </si>
  <si>
    <t>DC</t>
  </si>
  <si>
    <t>20011</t>
  </si>
  <si>
    <t>Jonathan</t>
  </si>
  <si>
    <t>Glass</t>
  </si>
  <si>
    <t>640 Pool Way</t>
  </si>
  <si>
    <t>Silver Spring</t>
  </si>
  <si>
    <t>20904</t>
  </si>
  <si>
    <t>Mcgreevy</t>
  </si>
  <si>
    <t>588 Haddon Avenue</t>
  </si>
  <si>
    <t>West Chester</t>
  </si>
  <si>
    <t>19380</t>
  </si>
  <si>
    <t>159 Armitage Lane</t>
  </si>
  <si>
    <t>Roslyn Heights</t>
  </si>
  <si>
    <t>11577</t>
  </si>
  <si>
    <t>Tasha</t>
  </si>
  <si>
    <t>6 Kerfoot Street</t>
  </si>
  <si>
    <t>Charlottesville</t>
  </si>
  <si>
    <t>22902</t>
  </si>
  <si>
    <t>Carolyn</t>
  </si>
  <si>
    <t>Koonce</t>
  </si>
  <si>
    <t>343 East Hobbie Street</t>
  </si>
  <si>
    <t xml:space="preserve">Trenton </t>
  </si>
  <si>
    <t>08611</t>
  </si>
  <si>
    <t>Pablo</t>
  </si>
  <si>
    <t>Moses</t>
  </si>
  <si>
    <t>610 North Kirkland Street</t>
  </si>
  <si>
    <t xml:space="preserve">Ewing Township </t>
  </si>
  <si>
    <t>08638</t>
  </si>
  <si>
    <t>Jolie</t>
  </si>
  <si>
    <t>862 Nordica Avenue</t>
  </si>
  <si>
    <t>Larchmont</t>
  </si>
  <si>
    <t>10538</t>
  </si>
  <si>
    <t>Quarles</t>
  </si>
  <si>
    <t>621 West Monroe Avenue</t>
  </si>
  <si>
    <t xml:space="preserve">Toms River </t>
  </si>
  <si>
    <t>08753</t>
  </si>
  <si>
    <t>Piercy</t>
  </si>
  <si>
    <t>515 South Hortense Avenue</t>
  </si>
  <si>
    <t xml:space="preserve">Ancora </t>
  </si>
  <si>
    <t>Espinoza</t>
  </si>
  <si>
    <t>537 Nixon Avenue</t>
  </si>
  <si>
    <t>372 Julian Court</t>
  </si>
  <si>
    <t>19134</t>
  </si>
  <si>
    <t>765 Fullman Court</t>
  </si>
  <si>
    <t xml:space="preserve">Newark </t>
  </si>
  <si>
    <t>07107</t>
  </si>
  <si>
    <t>71 Kenneth Avenue</t>
  </si>
  <si>
    <t>Middleburgh</t>
  </si>
  <si>
    <t>12122</t>
  </si>
  <si>
    <t>Unger</t>
  </si>
  <si>
    <t>682 Kruger Lane</t>
  </si>
  <si>
    <t>Fredericksburg</t>
  </si>
  <si>
    <t>22407</t>
  </si>
  <si>
    <t>Palacios</t>
  </si>
  <si>
    <t>44 Forrestville Lane</t>
  </si>
  <si>
    <t>Bunting</t>
  </si>
  <si>
    <t>719 St Georges Street</t>
  </si>
  <si>
    <t>South Ozone Park</t>
  </si>
  <si>
    <t>11420</t>
  </si>
  <si>
    <t>Edna</t>
  </si>
  <si>
    <t>753 Crystal Creek Avenue</t>
  </si>
  <si>
    <t xml:space="preserve">Town Bank </t>
  </si>
  <si>
    <t>08204</t>
  </si>
  <si>
    <t>Dwight</t>
  </si>
  <si>
    <t>Kissee</t>
  </si>
  <si>
    <t>860 South Oneida Court</t>
  </si>
  <si>
    <t>15213</t>
  </si>
  <si>
    <t>Alonzo</t>
  </si>
  <si>
    <t>Shelton</t>
  </si>
  <si>
    <t>614 North River Front Street</t>
  </si>
  <si>
    <t>Hampton</t>
  </si>
  <si>
    <t>23669</t>
  </si>
  <si>
    <t>Tickle</t>
  </si>
  <si>
    <t>829 South Kilbourn Avenue</t>
  </si>
  <si>
    <t xml:space="preserve">New Milford </t>
  </si>
  <si>
    <t>07646</t>
  </si>
  <si>
    <t>Rhonda</t>
  </si>
  <si>
    <t>334 Luna Street</t>
  </si>
  <si>
    <t>Seaford</t>
  </si>
  <si>
    <t>11783</t>
  </si>
  <si>
    <t>148 Mcclellan Boulevard</t>
  </si>
  <si>
    <t>Geneva</t>
  </si>
  <si>
    <t>14456</t>
  </si>
  <si>
    <t>Edwards</t>
  </si>
  <si>
    <t>109 Loop Way</t>
  </si>
  <si>
    <t>Chesapeake</t>
  </si>
  <si>
    <t>23324</t>
  </si>
  <si>
    <t>436 Phillips Court</t>
  </si>
  <si>
    <t>Dundee</t>
  </si>
  <si>
    <t>14837</t>
  </si>
  <si>
    <t>Menard</t>
  </si>
  <si>
    <t>52 Rosemont Way</t>
  </si>
  <si>
    <t>582 Waters Lane</t>
  </si>
  <si>
    <t>22152</t>
  </si>
  <si>
    <t>Harper</t>
  </si>
  <si>
    <t>545 Lake Lower Street</t>
  </si>
  <si>
    <t>561 Pryor Way</t>
  </si>
  <si>
    <t>Woodbridge</t>
  </si>
  <si>
    <t>22193</t>
  </si>
  <si>
    <t>33 North Honore Street</t>
  </si>
  <si>
    <t>17401</t>
  </si>
  <si>
    <t>509 South Saginaw Way</t>
  </si>
  <si>
    <t xml:space="preserve">Summit Avenue </t>
  </si>
  <si>
    <t>07087</t>
  </si>
  <si>
    <t>Seim</t>
  </si>
  <si>
    <t>112 Rhodes Street</t>
  </si>
  <si>
    <t>Phoenicia</t>
  </si>
  <si>
    <t>12464</t>
  </si>
  <si>
    <t>Wittman</t>
  </si>
  <si>
    <t>892 East Dower Avenue</t>
  </si>
  <si>
    <t>22405</t>
  </si>
  <si>
    <t>Higdon</t>
  </si>
  <si>
    <t>961 Brompton Street</t>
  </si>
  <si>
    <t xml:space="preserve">North Haledon </t>
  </si>
  <si>
    <t>07508</t>
  </si>
  <si>
    <t>555 Lavergne Way</t>
  </si>
  <si>
    <t>Smithfield</t>
  </si>
  <si>
    <t>15478</t>
  </si>
  <si>
    <t>Hilario</t>
  </si>
  <si>
    <t>60 South Redfield Lane</t>
  </si>
  <si>
    <t xml:space="preserve">Denville </t>
  </si>
  <si>
    <t>07834</t>
  </si>
  <si>
    <t>Rita</t>
  </si>
  <si>
    <t>Burris</t>
  </si>
  <si>
    <t>290 South Baldwin Avenue</t>
  </si>
  <si>
    <t xml:space="preserve">Bayway </t>
  </si>
  <si>
    <t>Dean</t>
  </si>
  <si>
    <t>Apple</t>
  </si>
  <si>
    <t>185 Neenah Lane</t>
  </si>
  <si>
    <t>15241</t>
  </si>
  <si>
    <t>Baldwin</t>
  </si>
  <si>
    <t>369 Lipps Avenue</t>
  </si>
  <si>
    <t>11225</t>
  </si>
  <si>
    <t>Gretta</t>
  </si>
  <si>
    <t>Cudney</t>
  </si>
  <si>
    <t>880 Maxwell Avenue</t>
  </si>
  <si>
    <t>Harrison</t>
  </si>
  <si>
    <t>10528</t>
  </si>
  <si>
    <t>704 Eddy Avenue</t>
  </si>
  <si>
    <t>Quantico</t>
  </si>
  <si>
    <t>22134</t>
  </si>
  <si>
    <t>Maldonado</t>
  </si>
  <si>
    <t>436 Lessing Way</t>
  </si>
  <si>
    <t>Riverdale</t>
  </si>
  <si>
    <t>20737</t>
  </si>
  <si>
    <t>409 East Grand Avenue</t>
  </si>
  <si>
    <t xml:space="preserve">Cedar Bonnet Island </t>
  </si>
  <si>
    <t>Lindsay</t>
  </si>
  <si>
    <t>693 Somerset Court</t>
  </si>
  <si>
    <t>10453</t>
  </si>
  <si>
    <t>950 Keeley Avenue</t>
  </si>
  <si>
    <t xml:space="preserve">Brick </t>
  </si>
  <si>
    <t>08723</t>
  </si>
  <si>
    <t>Blank</t>
  </si>
  <si>
    <t>375 Catalpa Way</t>
  </si>
  <si>
    <t>Tonawanda</t>
  </si>
  <si>
    <t>14150</t>
  </si>
  <si>
    <t>101 Hutchinson Street</t>
  </si>
  <si>
    <t xml:space="preserve">Butler </t>
  </si>
  <si>
    <t>07405</t>
  </si>
  <si>
    <t>370 Farrar Lane</t>
  </si>
  <si>
    <t>77 Wolcott Lane</t>
  </si>
  <si>
    <t>Providence</t>
  </si>
  <si>
    <t>02907</t>
  </si>
  <si>
    <t>272 Gale Way</t>
  </si>
  <si>
    <t xml:space="preserve">Evesboro </t>
  </si>
  <si>
    <t>Lawson</t>
  </si>
  <si>
    <t>479 Burnham Avenue</t>
  </si>
  <si>
    <t>Davina</t>
  </si>
  <si>
    <t>444 Manton Avenue</t>
  </si>
  <si>
    <t>Muncy</t>
  </si>
  <si>
    <t>17756</t>
  </si>
  <si>
    <t>Croom</t>
  </si>
  <si>
    <t>504 East Seymour Boulevard</t>
  </si>
  <si>
    <t>Laramie</t>
  </si>
  <si>
    <t>345 Calumet Street</t>
  </si>
  <si>
    <t xml:space="preserve">Ellis Island </t>
  </si>
  <si>
    <t>07305</t>
  </si>
  <si>
    <t>Myrtle</t>
  </si>
  <si>
    <t>981 Ohio Street</t>
  </si>
  <si>
    <t xml:space="preserve">Wildwood </t>
  </si>
  <si>
    <t>08260</t>
  </si>
  <si>
    <t>147 Massasoit Boulevard</t>
  </si>
  <si>
    <t xml:space="preserve">Egg Harbor </t>
  </si>
  <si>
    <t>08215</t>
  </si>
  <si>
    <t>Marcia</t>
  </si>
  <si>
    <t>649 North Artesian Way</t>
  </si>
  <si>
    <t>14221</t>
  </si>
  <si>
    <t>Felipe</t>
  </si>
  <si>
    <t>Correa</t>
  </si>
  <si>
    <t>123 Franklin Lane</t>
  </si>
  <si>
    <t>Mystic</t>
  </si>
  <si>
    <t>06355</t>
  </si>
  <si>
    <t>Miguel</t>
  </si>
  <si>
    <t>Guerra</t>
  </si>
  <si>
    <t>793 Linder Street</t>
  </si>
  <si>
    <t>Georgetown</t>
  </si>
  <si>
    <t>19947</t>
  </si>
  <si>
    <t>Tedeschi</t>
  </si>
  <si>
    <t>95 Harvard Avenue</t>
  </si>
  <si>
    <t>Fierro</t>
  </si>
  <si>
    <t>258 Burkhardt Street</t>
  </si>
  <si>
    <t>11221</t>
  </si>
  <si>
    <t>Mitchum</t>
  </si>
  <si>
    <t>177 West Lundy Lane</t>
  </si>
  <si>
    <t>Lynchburg</t>
  </si>
  <si>
    <t>24503</t>
  </si>
  <si>
    <t>Charlotte</t>
  </si>
  <si>
    <t>457 Mackleport Avenue</t>
  </si>
  <si>
    <t xml:space="preserve">Lakeland </t>
  </si>
  <si>
    <t>08012</t>
  </si>
  <si>
    <t>Debose</t>
  </si>
  <si>
    <t>889 7th Lane</t>
  </si>
  <si>
    <t>Manchester</t>
  </si>
  <si>
    <t>03104</t>
  </si>
  <si>
    <t>937 South Shelby Street</t>
  </si>
  <si>
    <t>Torrington</t>
  </si>
  <si>
    <t>06790</t>
  </si>
  <si>
    <t>Franco</t>
  </si>
  <si>
    <t>762 Robinson Way</t>
  </si>
  <si>
    <t>10472</t>
  </si>
  <si>
    <t>825 East Wieland Street</t>
  </si>
  <si>
    <t>15239</t>
  </si>
  <si>
    <t>158 Maplewood Street</t>
  </si>
  <si>
    <t>Newport News</t>
  </si>
  <si>
    <t>23602</t>
  </si>
  <si>
    <t>Consuelo</t>
  </si>
  <si>
    <t>752 Mccormick Way</t>
  </si>
  <si>
    <t xml:space="preserve">U Saddle Riv </t>
  </si>
  <si>
    <t>07458</t>
  </si>
  <si>
    <t>Russell</t>
  </si>
  <si>
    <t>52 Leyden Avenue</t>
  </si>
  <si>
    <t xml:space="preserve">West Atco </t>
  </si>
  <si>
    <t>08004</t>
  </si>
  <si>
    <t>Field</t>
  </si>
  <si>
    <t>651 Lake Shore Avenue</t>
  </si>
  <si>
    <t>Ernest</t>
  </si>
  <si>
    <t>Leong</t>
  </si>
  <si>
    <t>692 Wilson Avenue</t>
  </si>
  <si>
    <t>Rockville</t>
  </si>
  <si>
    <t>20852</t>
  </si>
  <si>
    <t>531 Winneconna Avenue</t>
  </si>
  <si>
    <t>14172</t>
  </si>
  <si>
    <t>Bullard</t>
  </si>
  <si>
    <t>252 Otto Street</t>
  </si>
  <si>
    <t>Mc Donald</t>
  </si>
  <si>
    <t>15057</t>
  </si>
  <si>
    <t>Sid</t>
  </si>
  <si>
    <t>Jernigan</t>
  </si>
  <si>
    <t>781 East Kentucky Way</t>
  </si>
  <si>
    <t>Shana</t>
  </si>
  <si>
    <t>Fisher</t>
  </si>
  <si>
    <t>860 Park Avenue</t>
  </si>
  <si>
    <t xml:space="preserve">West Long Branch </t>
  </si>
  <si>
    <t>07764</t>
  </si>
  <si>
    <t>Weller</t>
  </si>
  <si>
    <t>866 Brodman Boulevard</t>
  </si>
  <si>
    <t>Ozone Park</t>
  </si>
  <si>
    <t>11416</t>
  </si>
  <si>
    <t>Sabina</t>
  </si>
  <si>
    <t>41 Eugenie Lane</t>
  </si>
  <si>
    <t xml:space="preserve">Princeton </t>
  </si>
  <si>
    <t>08540</t>
  </si>
  <si>
    <t>Carlton</t>
  </si>
  <si>
    <t>Pendleton</t>
  </si>
  <si>
    <t>434 Glenroy Street</t>
  </si>
  <si>
    <t>20850</t>
  </si>
  <si>
    <t>Rodgers</t>
  </si>
  <si>
    <t>373 Marion Street</t>
  </si>
  <si>
    <t>Elmhurst</t>
  </si>
  <si>
    <t>11373</t>
  </si>
  <si>
    <t>Bobbie</t>
  </si>
  <si>
    <t>Ricker</t>
  </si>
  <si>
    <t>946 Riverside Lane</t>
  </si>
  <si>
    <t>24538</t>
  </si>
  <si>
    <t>497 Seeley Street</t>
  </si>
  <si>
    <t>Edgewater</t>
  </si>
  <si>
    <t>21037</t>
  </si>
  <si>
    <t>Findley</t>
  </si>
  <si>
    <t>254 Delta Avenue</t>
  </si>
  <si>
    <t>Ellicott City</t>
  </si>
  <si>
    <t>21043</t>
  </si>
  <si>
    <t>680 Ozark Street</t>
  </si>
  <si>
    <t>19131</t>
  </si>
  <si>
    <t>Breeden</t>
  </si>
  <si>
    <t>930 Le Moyne Boulevard</t>
  </si>
  <si>
    <t xml:space="preserve">Fair Lawn </t>
  </si>
  <si>
    <t>07410</t>
  </si>
  <si>
    <t>Eddie</t>
  </si>
  <si>
    <t>Lee</t>
  </si>
  <si>
    <t>739 Chicora Avenue</t>
  </si>
  <si>
    <t>Bealeton</t>
  </si>
  <si>
    <t>22712</t>
  </si>
  <si>
    <t>Constance</t>
  </si>
  <si>
    <t>Bock</t>
  </si>
  <si>
    <t>350 Esmond Street</t>
  </si>
  <si>
    <t>Forest Hills</t>
  </si>
  <si>
    <t>11375</t>
  </si>
  <si>
    <t>Evans</t>
  </si>
  <si>
    <t>974 Van Buren Way</t>
  </si>
  <si>
    <t xml:space="preserve">Jerseyville </t>
  </si>
  <si>
    <t>07728</t>
  </si>
  <si>
    <t>Chamberlain</t>
  </si>
  <si>
    <t>197 Homan Street</t>
  </si>
  <si>
    <t>18109</t>
  </si>
  <si>
    <t>663 Jensen Way</t>
  </si>
  <si>
    <t xml:space="preserve">Clementon </t>
  </si>
  <si>
    <t>08021</t>
  </si>
  <si>
    <t>Ruby</t>
  </si>
  <si>
    <t>610 East Myrtle Boulevard</t>
  </si>
  <si>
    <t xml:space="preserve">VA Hospital </t>
  </si>
  <si>
    <t>07018</t>
  </si>
  <si>
    <t>Tang</t>
  </si>
  <si>
    <t>959 Zemke Way</t>
  </si>
  <si>
    <t>Swarthmore</t>
  </si>
  <si>
    <t>19081</t>
  </si>
  <si>
    <t>846 Champlain Lane</t>
  </si>
  <si>
    <t>Pennsboro</t>
  </si>
  <si>
    <t>26415</t>
  </si>
  <si>
    <t>Kane</t>
  </si>
  <si>
    <t>754 Whorle Way</t>
  </si>
  <si>
    <t xml:space="preserve">Woodland Park </t>
  </si>
  <si>
    <t>07424</t>
  </si>
  <si>
    <t>Land</t>
  </si>
  <si>
    <t>559 South Poplar Street</t>
  </si>
  <si>
    <t xml:space="preserve">Passaic </t>
  </si>
  <si>
    <t>07055</t>
  </si>
  <si>
    <t>Paulette</t>
  </si>
  <si>
    <t>Ricks</t>
  </si>
  <si>
    <t>685 East Kilpatrick Street</t>
  </si>
  <si>
    <t xml:space="preserve">Point Pleasant Beach </t>
  </si>
  <si>
    <t>Dolan</t>
  </si>
  <si>
    <t>222 South Shapland Avenue</t>
  </si>
  <si>
    <t xml:space="preserve">Union City </t>
  </si>
  <si>
    <t>Lauren</t>
  </si>
  <si>
    <t>Eaton</t>
  </si>
  <si>
    <t>150 Clarette Lane</t>
  </si>
  <si>
    <t xml:space="preserve">Paterson </t>
  </si>
  <si>
    <t>07503</t>
  </si>
  <si>
    <t>Darbonne</t>
  </si>
  <si>
    <t>481 Couch Lane</t>
  </si>
  <si>
    <t>Munnsville</t>
  </si>
  <si>
    <t>13409</t>
  </si>
  <si>
    <t>952 Gordon Avenue</t>
  </si>
  <si>
    <t xml:space="preserve">Menlo Park </t>
  </si>
  <si>
    <t>08837</t>
  </si>
  <si>
    <t>Karns</t>
  </si>
  <si>
    <t>695 Park Avenue</t>
  </si>
  <si>
    <t>Plainville</t>
  </si>
  <si>
    <t>06062</t>
  </si>
  <si>
    <t>77 3rd Street</t>
  </si>
  <si>
    <t>Glanz</t>
  </si>
  <si>
    <t>443 East Bishop Avenue</t>
  </si>
  <si>
    <t>Salisbury</t>
  </si>
  <si>
    <t>21801</t>
  </si>
  <si>
    <t>Emerson</t>
  </si>
  <si>
    <t>Ruiz</t>
  </si>
  <si>
    <t>513 Carondolet Street</t>
  </si>
  <si>
    <t>10310</t>
  </si>
  <si>
    <t>Frye</t>
  </si>
  <si>
    <t>757 Opal Street</t>
  </si>
  <si>
    <t>Centre Hall</t>
  </si>
  <si>
    <t>16828</t>
  </si>
  <si>
    <t>Lester</t>
  </si>
  <si>
    <t>Wilhite</t>
  </si>
  <si>
    <t>702 Sawyer Avenue</t>
  </si>
  <si>
    <t xml:space="preserve">Andover </t>
  </si>
  <si>
    <t>07821</t>
  </si>
  <si>
    <t>Bonds</t>
  </si>
  <si>
    <t>771 West Midtown Avenue</t>
  </si>
  <si>
    <t>East Setauket</t>
  </si>
  <si>
    <t>11733</t>
  </si>
  <si>
    <t>565 Elk Grove Boulevard</t>
  </si>
  <si>
    <t>Windsor Mill</t>
  </si>
  <si>
    <t>21244</t>
  </si>
  <si>
    <t>Schick</t>
  </si>
  <si>
    <t>415 Independence Street</t>
  </si>
  <si>
    <t>23607</t>
  </si>
  <si>
    <t>Floyd</t>
  </si>
  <si>
    <t>Chen</t>
  </si>
  <si>
    <t>663 South Hayford Street</t>
  </si>
  <si>
    <t>Zelienople</t>
  </si>
  <si>
    <t>16063</t>
  </si>
  <si>
    <t>Mandy</t>
  </si>
  <si>
    <t>Villa</t>
  </si>
  <si>
    <t>1 Cannon Avenue</t>
  </si>
  <si>
    <t xml:space="preserve">Somerset </t>
  </si>
  <si>
    <t>08873</t>
  </si>
  <si>
    <t>Ensign</t>
  </si>
  <si>
    <t>162 Summerdale Street</t>
  </si>
  <si>
    <t>Essex</t>
  </si>
  <si>
    <t>21221</t>
  </si>
  <si>
    <t>Gaylor</t>
  </si>
  <si>
    <t>132 Mann Court</t>
  </si>
  <si>
    <t>Prospect</t>
  </si>
  <si>
    <t>06712</t>
  </si>
  <si>
    <t>Alfred</t>
  </si>
  <si>
    <t>Zimmer</t>
  </si>
  <si>
    <t>86 Arthur Street</t>
  </si>
  <si>
    <t>Waldorf</t>
  </si>
  <si>
    <t>20603</t>
  </si>
  <si>
    <t>Ena</t>
  </si>
  <si>
    <t>Kahn</t>
  </si>
  <si>
    <t>205 East Nagle Lane</t>
  </si>
  <si>
    <t xml:space="preserve">Vineland </t>
  </si>
  <si>
    <t>08360</t>
  </si>
  <si>
    <t>Freeman</t>
  </si>
  <si>
    <t>367 Morris Avenue</t>
  </si>
  <si>
    <t xml:space="preserve">Passaic Park </t>
  </si>
  <si>
    <t>Hazelwood</t>
  </si>
  <si>
    <t>157 Winchester Avenue</t>
  </si>
  <si>
    <t>Huntington</t>
  </si>
  <si>
    <t>11743</t>
  </si>
  <si>
    <t>Fields</t>
  </si>
  <si>
    <t>59 North Kilbourn Way</t>
  </si>
  <si>
    <t xml:space="preserve">Belvidere </t>
  </si>
  <si>
    <t>07823</t>
  </si>
  <si>
    <t>Hines</t>
  </si>
  <si>
    <t>135 Jackie Street</t>
  </si>
  <si>
    <t>227 La Salle Boulevard</t>
  </si>
  <si>
    <t>Conneaut Lake</t>
  </si>
  <si>
    <t>16316</t>
  </si>
  <si>
    <t>Slayton</t>
  </si>
  <si>
    <t>353 South Brennan Street</t>
  </si>
  <si>
    <t>10468</t>
  </si>
  <si>
    <t>Fair</t>
  </si>
  <si>
    <t>242 South Hurlbut Avenue</t>
  </si>
  <si>
    <t xml:space="preserve">Palmyra </t>
  </si>
  <si>
    <t>08065</t>
  </si>
  <si>
    <t>Shields</t>
  </si>
  <si>
    <t>57 Springfield Avenue</t>
  </si>
  <si>
    <t>Pottsville</t>
  </si>
  <si>
    <t>17901</t>
  </si>
  <si>
    <t>Loren</t>
  </si>
  <si>
    <t>Bernardini</t>
  </si>
  <si>
    <t>759 Luna Street</t>
  </si>
  <si>
    <t>New Haven</t>
  </si>
  <si>
    <t>06511</t>
  </si>
  <si>
    <t>791 North 7th Avenue</t>
  </si>
  <si>
    <t>Setzer</t>
  </si>
  <si>
    <t>222 Sternes Street</t>
  </si>
  <si>
    <t>948 Bryn Mawr Street</t>
  </si>
  <si>
    <t xml:space="preserve">Evesham Township </t>
  </si>
  <si>
    <t>Joey</t>
  </si>
  <si>
    <t>Hudgens</t>
  </si>
  <si>
    <t>556 West May Street</t>
  </si>
  <si>
    <t>Linthicum Heights</t>
  </si>
  <si>
    <t>21090</t>
  </si>
  <si>
    <t>Peter</t>
  </si>
  <si>
    <t>576 Kint Boulevard</t>
  </si>
  <si>
    <t>03109</t>
  </si>
  <si>
    <t>Jeff</t>
  </si>
  <si>
    <t>Good</t>
  </si>
  <si>
    <t>830 Greenwood Court</t>
  </si>
  <si>
    <t>Williamsburg</t>
  </si>
  <si>
    <t>23188</t>
  </si>
  <si>
    <t>Maureen</t>
  </si>
  <si>
    <t>539 Wildwood Boulevard</t>
  </si>
  <si>
    <t>Bangor</t>
  </si>
  <si>
    <t>04401</t>
  </si>
  <si>
    <t>Nance</t>
  </si>
  <si>
    <t>127 Le Mai Avenue</t>
  </si>
  <si>
    <t>Camp Hill</t>
  </si>
  <si>
    <t>17011</t>
  </si>
  <si>
    <t>Darrel</t>
  </si>
  <si>
    <t>Mapp</t>
  </si>
  <si>
    <t>357 Montvale Boulevard</t>
  </si>
  <si>
    <t>790 Mccutcheon Street</t>
  </si>
  <si>
    <t>Sands</t>
  </si>
  <si>
    <t>321 Troy Street</t>
  </si>
  <si>
    <t>Fort Washington</t>
  </si>
  <si>
    <t>19034</t>
  </si>
  <si>
    <t>Iona</t>
  </si>
  <si>
    <t>Rayburn</t>
  </si>
  <si>
    <t>529 Scott Way</t>
  </si>
  <si>
    <t>Brunswick</t>
  </si>
  <si>
    <t>04011</t>
  </si>
  <si>
    <t>Sommer</t>
  </si>
  <si>
    <t>658 Shields Court</t>
  </si>
  <si>
    <t xml:space="preserve">Burleigh </t>
  </si>
  <si>
    <t>Mack</t>
  </si>
  <si>
    <t>Rice</t>
  </si>
  <si>
    <t>491 Financial Avenue</t>
  </si>
  <si>
    <t>Brentwood</t>
  </si>
  <si>
    <t>11717</t>
  </si>
  <si>
    <t>Garon</t>
  </si>
  <si>
    <t>333 Lovejoy Court</t>
  </si>
  <si>
    <t xml:space="preserve">Auburn </t>
  </si>
  <si>
    <t>Alvaro</t>
  </si>
  <si>
    <t>(626) 555-5323</t>
  </si>
  <si>
    <t>Cunha</t>
  </si>
  <si>
    <t>Doud</t>
  </si>
  <si>
    <t>Ankra</t>
  </si>
  <si>
    <t>Cortez</t>
  </si>
  <si>
    <t>Craves</t>
  </si>
  <si>
    <t>Garcia</t>
  </si>
  <si>
    <t>Julio</t>
  </si>
  <si>
    <t>Kyo</t>
  </si>
  <si>
    <t>Gorki</t>
  </si>
  <si>
    <t>Hasha</t>
  </si>
  <si>
    <t>Tirza</t>
  </si>
  <si>
    <t>Hogarth</t>
  </si>
  <si>
    <t>Wesely</t>
  </si>
  <si>
    <t>Kim</t>
  </si>
  <si>
    <t>Cho</t>
  </si>
  <si>
    <t>Alvarez</t>
  </si>
  <si>
    <t>Benito</t>
  </si>
  <si>
    <t>Ada</t>
  </si>
  <si>
    <t>Raul</t>
  </si>
  <si>
    <t>Wu</t>
  </si>
  <si>
    <t>Yao</t>
  </si>
  <si>
    <t>Z'Hong</t>
  </si>
  <si>
    <t>Ahrom</t>
  </si>
  <si>
    <t>Ono</t>
  </si>
  <si>
    <t>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</si>
</sst>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5" tint="-0.499984740745262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sz val="20"/>
      <color theme="3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1" fillId="4" borderId="0" applyNumberFormat="0" applyBorder="0" applyAlignment="0" applyProtection="0"/>
  </cellStyleXfs>
  <cellXfs count="35">
    <xf numFmtId="0" fontId="0" fillId="0" borderId="0" xfId="0"/>
    <xf numFmtId="0" fontId="2" fillId="0" borderId="0" xfId="2"/>
    <xf numFmtId="0" fontId="6" fillId="0" borderId="0" xfId="0" applyFont="1"/>
    <xf numFmtId="0" fontId="7" fillId="0" borderId="0" xfId="0" applyFont="1"/>
    <xf numFmtId="0" fontId="5" fillId="6" borderId="2" xfId="0" applyFont="1" applyFill="1" applyBorder="1"/>
    <xf numFmtId="0" fontId="5" fillId="5" borderId="2" xfId="0" applyFont="1" applyFill="1" applyBorder="1"/>
    <xf numFmtId="0" fontId="8" fillId="0" borderId="0" xfId="2" applyFont="1"/>
    <xf numFmtId="0" fontId="5" fillId="3" borderId="0" xfId="5"/>
    <xf numFmtId="0" fontId="5" fillId="2" borderId="0" xfId="4" applyAlignment="1">
      <alignment horizontal="center"/>
    </xf>
    <xf numFmtId="0" fontId="3" fillId="0" borderId="0" xfId="3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10" borderId="1" xfId="6" applyFont="1" applyFill="1" applyBorder="1" applyAlignment="1">
      <alignment horizontal="left" vertical="top"/>
    </xf>
    <xf numFmtId="0" fontId="3" fillId="0" borderId="0" xfId="3" applyFill="1" applyBorder="1" applyAlignment="1">
      <alignment horizontal="left" vertical="top"/>
    </xf>
    <xf numFmtId="0" fontId="0" fillId="0" borderId="1" xfId="0" applyBorder="1"/>
    <xf numFmtId="0" fontId="4" fillId="7" borderId="3" xfId="0" applyFont="1" applyFill="1" applyBorder="1" applyAlignment="1">
      <alignment horizontal="right"/>
    </xf>
    <xf numFmtId="6" fontId="4" fillId="7" borderId="3" xfId="0" applyNumberFormat="1" applyFont="1" applyFill="1" applyBorder="1"/>
    <xf numFmtId="165" fontId="0" fillId="0" borderId="1" xfId="0" applyNumberFormat="1" applyBorder="1"/>
    <xf numFmtId="1" fontId="0" fillId="0" borderId="1" xfId="0" applyNumberFormat="1" applyBorder="1"/>
    <xf numFmtId="164" fontId="0" fillId="0" borderId="1" xfId="0" applyNumberFormat="1" applyBorder="1"/>
    <xf numFmtId="6" fontId="0" fillId="0" borderId="1" xfId="0" applyNumberFormat="1" applyBorder="1"/>
    <xf numFmtId="0" fontId="4" fillId="7" borderId="1" xfId="0" applyFont="1" applyFill="1" applyBorder="1" applyAlignment="1">
      <alignment horizontal="right"/>
    </xf>
    <xf numFmtId="6" fontId="4" fillId="7" borderId="1" xfId="0" applyNumberFormat="1" applyFont="1" applyFill="1" applyBorder="1"/>
    <xf numFmtId="0" fontId="10" fillId="0" borderId="0" xfId="0" applyFont="1"/>
    <xf numFmtId="49" fontId="0" fillId="10" borderId="1" xfId="0" applyNumberFormat="1" applyFill="1" applyBorder="1"/>
    <xf numFmtId="0" fontId="4" fillId="10" borderId="1" xfId="0" applyFont="1" applyFill="1" applyBorder="1" applyAlignment="1">
      <alignment horizontal="right"/>
    </xf>
    <xf numFmtId="164" fontId="4" fillId="10" borderId="1" xfId="0" applyNumberFormat="1" applyFont="1" applyFill="1" applyBorder="1"/>
    <xf numFmtId="164" fontId="0" fillId="0" borderId="1" xfId="1" applyNumberFormat="1" applyFont="1" applyBorder="1"/>
    <xf numFmtId="0" fontId="4" fillId="8" borderId="1" xfId="0" applyFont="1" applyFill="1" applyBorder="1" applyAlignment="1">
      <alignment horizontal="right"/>
    </xf>
    <xf numFmtId="164" fontId="4" fillId="8" borderId="1" xfId="0" applyNumberFormat="1" applyFont="1" applyFill="1" applyBorder="1"/>
    <xf numFmtId="164" fontId="4" fillId="7" borderId="1" xfId="0" applyNumberFormat="1" applyFont="1" applyFill="1" applyBorder="1"/>
    <xf numFmtId="0" fontId="4" fillId="9" borderId="1" xfId="0" applyFont="1" applyFill="1" applyBorder="1" applyAlignment="1">
      <alignment horizontal="right"/>
    </xf>
    <xf numFmtId="164" fontId="4" fillId="0" borderId="1" xfId="0" applyNumberFormat="1" applyFont="1" applyFill="1" applyBorder="1"/>
    <xf numFmtId="0" fontId="5" fillId="3" borderId="0" xfId="5" applyAlignment="1">
      <alignment horizontal="center"/>
    </xf>
    <xf numFmtId="0" fontId="5" fillId="2" borderId="4" xfId="4" applyBorder="1" applyAlignment="1">
      <alignment horizontal="center"/>
    </xf>
    <xf numFmtId="0" fontId="5" fillId="2" borderId="0" xfId="4"/>
  </cellXfs>
  <cellStyles count="7">
    <cellStyle name="40% - Accent6" xfId="6" builtinId="51"/>
    <cellStyle name="Accent1" xfId="4" builtinId="29"/>
    <cellStyle name="Accent2" xfId="5" builtinId="33"/>
    <cellStyle name="Currency" xfId="1" builtinId="4"/>
    <cellStyle name="Heading 4" xfId="3" builtinId="19"/>
    <cellStyle name="Normal" xfId="0" builtinId="0"/>
    <cellStyle name="Title" xfId="2" builtinId="1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9568857307470712"/>
          <c:y val="0.20834619639487215"/>
          <c:w val="0.4190439024390244"/>
          <c:h val="0.70995041322314045"/>
        </c:manualLayout>
      </c:layout>
      <c:pieChart>
        <c:varyColors val="1"/>
        <c:ser>
          <c:idx val="0"/>
          <c:order val="0"/>
          <c:tx>
            <c:strRef>
              <c:f>Budget!$A$4</c:f>
              <c:strCache>
                <c:ptCount val="1"/>
                <c:pt idx="0">
                  <c:v>Revenue</c:v>
                </c:pt>
              </c:strCache>
            </c:strRef>
          </c:tx>
          <c:spPr>
            <a:effectLst>
              <a:outerShdw blurRad="57150" dist="19050" dir="6240000" algn="ctr" rotWithShape="0">
                <a:srgbClr val="000000">
                  <a:alpha val="63000"/>
                </a:srgbClr>
              </a:outerShdw>
            </a:effectLst>
          </c:spPr>
          <c:dPt>
            <c:idx val="0"/>
            <c:bubble3D val="0"/>
            <c:explosion val="21"/>
            <c:spPr>
              <a:gradFill rotWithShape="1">
                <a:gsLst>
                  <a:gs pos="0">
                    <a:schemeClr val="accent6">
                      <a:shade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hade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shade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117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951-458C-9706-515CA51E7AF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624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951-458C-9706-515CA51E7AF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tint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tint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tint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624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951-458C-9706-515CA51E7AF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951-458C-9706-515CA51E7AFD}"/>
                </c:ext>
              </c:extLst>
            </c:dLbl>
            <c:dLbl>
              <c:idx val="1"/>
              <c:layout>
                <c:manualLayout>
                  <c:x val="1.7149529479546774E-2"/>
                  <c:y val="3.797722392138987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r">
                      <a:defRPr sz="105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F0917A0-0616-4BC3-AE5B-4CD8ECE9248D}" type="CATEGORYNAME">
                      <a:rPr lang="en-US" sz="1050"/>
                      <a:pPr algn="r">
                        <a:defRPr sz="1050"/>
                      </a:pPr>
                      <a:t>[CATEGORY NAME]</a:t>
                    </a:fld>
                    <a:r>
                      <a:rPr lang="en-US" sz="1050" baseline="0"/>
                      <a:t>  </a:t>
                    </a:r>
                    <a:fld id="{E527AC55-8EA2-42A4-AE14-16EDA74A0AA4}" type="PERCENTAGE">
                      <a:rPr lang="en-US" sz="1050" baseline="0"/>
                      <a:pPr algn="r">
                        <a:defRPr sz="1050"/>
                      </a:pPr>
                      <a:t>[PERCENTAGE]</a:t>
                    </a:fld>
                    <a:endParaRPr lang="en-US" sz="105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r">
                    <a:defRPr sz="105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964401766852315"/>
                      <c:h val="0.2377973579748812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951-458C-9706-515CA51E7AFD}"/>
                </c:ext>
              </c:extLst>
            </c:dLbl>
            <c:dLbl>
              <c:idx val="2"/>
              <c:layout>
                <c:manualLayout>
                  <c:x val="-1.197157672364127E-2"/>
                  <c:y val="3.8940586972083035E-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r">
                      <a:defRPr sz="105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3297AF2-00C6-4394-8C08-0D084953263A}" type="CATEGORYNAME">
                      <a:rPr lang="en-US" sz="1050"/>
                      <a:pPr algn="r">
                        <a:defRPr sz="1050"/>
                      </a:pPr>
                      <a:t>[CATEGORY NAME]</a:t>
                    </a:fld>
                    <a:r>
                      <a:rPr lang="en-US" sz="1050" baseline="0"/>
                      <a:t>  </a:t>
                    </a:r>
                    <a:fld id="{D86A1EE1-0CBC-4630-89CD-6804B55285BB}" type="PERCENTAGE">
                      <a:rPr lang="en-US" sz="1050" baseline="0"/>
                      <a:pPr algn="r">
                        <a:defRPr sz="1050"/>
                      </a:pPr>
                      <a:t>[PERCENTAGE]</a:t>
                    </a:fld>
                    <a:endParaRPr lang="en-US" sz="105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r">
                    <a:defRPr sz="105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458083349337431"/>
                      <c:h val="0.264165549554239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5951-458C-9706-515CA51E7A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noFill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Budget!$B$6:$B$8</c:f>
              <c:strCache>
                <c:ptCount val="3"/>
                <c:pt idx="0">
                  <c:v>Individual</c:v>
                </c:pt>
                <c:pt idx="1">
                  <c:v>Corporate Sponsors</c:v>
                </c:pt>
                <c:pt idx="2">
                  <c:v>Vendor Exhibits</c:v>
                </c:pt>
              </c:strCache>
            </c:strRef>
          </c:cat>
          <c:val>
            <c:numRef>
              <c:f>Budget!$C$6:$C$8</c:f>
              <c:numCache>
                <c:formatCode>_("$"* #,##0_);_("$"* \(#,##0\);_("$"* "-"??_);_(@_)</c:formatCode>
                <c:ptCount val="3"/>
                <c:pt idx="0">
                  <c:v>211990</c:v>
                </c:pt>
                <c:pt idx="1">
                  <c:v>30000</c:v>
                </c:pt>
                <c:pt idx="2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E-471B-84A9-1F5FF156387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301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75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spc="100" baseline="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82796721703578E-2"/>
          <c:y val="0.19720524934383202"/>
          <c:w val="0.43487784475282282"/>
          <c:h val="0.74255380577427832"/>
        </c:manualLayout>
      </c:layout>
      <c:pieChart>
        <c:varyColors val="1"/>
        <c:ser>
          <c:idx val="0"/>
          <c:order val="0"/>
          <c:tx>
            <c:strRef>
              <c:f>Budget!$A$11</c:f>
              <c:strCache>
                <c:ptCount val="1"/>
                <c:pt idx="0">
                  <c:v>Expenses</c:v>
                </c:pt>
              </c:strCache>
            </c:strRef>
          </c:tx>
          <c:dPt>
            <c:idx val="0"/>
            <c:bubble3D val="0"/>
            <c:explosion val="13"/>
            <c:spPr>
              <a:solidFill>
                <a:schemeClr val="accent2">
                  <a:shade val="4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96-477C-8F3E-F447A5B206F8}"/>
              </c:ext>
            </c:extLst>
          </c:dPt>
          <c:dPt>
            <c:idx val="1"/>
            <c:bubble3D val="0"/>
            <c:spPr>
              <a:solidFill>
                <a:schemeClr val="accent2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96-477C-8F3E-F447A5B206F8}"/>
              </c:ext>
            </c:extLst>
          </c:dPt>
          <c:dPt>
            <c:idx val="2"/>
            <c:bubble3D val="0"/>
            <c:spPr>
              <a:solidFill>
                <a:schemeClr val="accent2">
                  <a:shade val="8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296-477C-8F3E-F447A5B206F8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2DF-4BD7-BA59-27AC5A1CECD4}"/>
              </c:ext>
            </c:extLst>
          </c:dPt>
          <c:dPt>
            <c:idx val="4"/>
            <c:bubble3D val="0"/>
            <c:spPr>
              <a:solidFill>
                <a:schemeClr val="accent2">
                  <a:tint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2DF-4BD7-BA59-27AC5A1CECD4}"/>
              </c:ext>
            </c:extLst>
          </c:dPt>
          <c:dPt>
            <c:idx val="5"/>
            <c:bubble3D val="0"/>
            <c:spPr>
              <a:solidFill>
                <a:schemeClr val="accent2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EEA-478E-BB96-3772B7FEF588}"/>
              </c:ext>
            </c:extLst>
          </c:dPt>
          <c:dPt>
            <c:idx val="6"/>
            <c:bubble3D val="0"/>
            <c:spPr>
              <a:solidFill>
                <a:schemeClr val="accent2">
                  <a:tint val="4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2DF-4BD7-BA59-27AC5A1CECD4}"/>
              </c:ext>
            </c:extLst>
          </c:dPt>
          <c:dLbls>
            <c:dLbl>
              <c:idx val="0"/>
              <c:layout>
                <c:manualLayout>
                  <c:x val="6.2469660632559092E-2"/>
                  <c:y val="-2.545433070866141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l">
                      <a:defRPr sz="10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DBDDDBF-80D3-4834-B5FE-650D80527B95}" type="CATEGORYNAME">
                      <a:rPr lang="en-US" sz="1000">
                        <a:solidFill>
                          <a:schemeClr val="bg1"/>
                        </a:solidFill>
                      </a:rPr>
                      <a:pPr algn="l">
                        <a:defRPr sz="1000">
                          <a:solidFill>
                            <a:schemeClr val="bg1"/>
                          </a:solidFill>
                        </a:defRPr>
                      </a:pPr>
                      <a:t>[CATEGORY NAME]</a:t>
                    </a:fld>
                    <a:r>
                      <a:rPr lang="en-US" sz="1000" baseline="0">
                        <a:solidFill>
                          <a:schemeClr val="bg1"/>
                        </a:solidFill>
                      </a:rPr>
                      <a:t> </a:t>
                    </a:r>
                    <a:fld id="{C9027A8E-5CEC-4E08-B747-BD357825187F}" type="PERCENTAGE">
                      <a:rPr lang="en-US" sz="1000" baseline="0">
                        <a:solidFill>
                          <a:schemeClr val="bg1"/>
                        </a:solidFill>
                      </a:rPr>
                      <a:pPr algn="l">
                        <a:defRPr sz="1000">
                          <a:solidFill>
                            <a:schemeClr val="bg1"/>
                          </a:solidFill>
                        </a:defRPr>
                      </a:pPr>
                      <a:t>[PERCENTAGE]</a:t>
                    </a:fld>
                    <a:endParaRPr lang="en-US" sz="1000" baseline="0">
                      <a:solidFill>
                        <a:schemeClr val="bg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l">
                    <a:defRPr sz="1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96929740557864"/>
                      <c:h val="0.1818181818181818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296-477C-8F3E-F447A5B206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Budget!$B$13:$B$19</c:f>
              <c:strCache>
                <c:ptCount val="7"/>
                <c:pt idx="0">
                  <c:v>Food</c:v>
                </c:pt>
                <c:pt idx="1">
                  <c:v>Conference Organizer</c:v>
                </c:pt>
                <c:pt idx="2">
                  <c:v>Speakers</c:v>
                </c:pt>
                <c:pt idx="3">
                  <c:v>Rooms</c:v>
                </c:pt>
                <c:pt idx="4">
                  <c:v>A/V/Network</c:v>
                </c:pt>
                <c:pt idx="5">
                  <c:v>Travel</c:v>
                </c:pt>
                <c:pt idx="6">
                  <c:v>Miscellaneous</c:v>
                </c:pt>
              </c:strCache>
            </c:strRef>
          </c:cat>
          <c:val>
            <c:numRef>
              <c:f>Budget!$C$13:$C$19</c:f>
              <c:numCache>
                <c:formatCode>_("$"* #,##0_);_("$"* \(#,##0\);_("$"* "-"??_);_(@_)</c:formatCode>
                <c:ptCount val="7"/>
                <c:pt idx="0">
                  <c:v>183573</c:v>
                </c:pt>
                <c:pt idx="1">
                  <c:v>15000</c:v>
                </c:pt>
                <c:pt idx="2">
                  <c:v>10000</c:v>
                </c:pt>
                <c:pt idx="3">
                  <c:v>26350</c:v>
                </c:pt>
                <c:pt idx="4">
                  <c:v>6000</c:v>
                </c:pt>
                <c:pt idx="5">
                  <c:v>10000</c:v>
                </c:pt>
                <c:pt idx="6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E-471B-84A9-1F5FF156387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139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69964402833632"/>
          <c:y val="0.25008780720591745"/>
          <c:w val="0.35957749462230398"/>
          <c:h val="0.67273299928418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MedIT Conference </a:t>
            </a:r>
            <a:r>
              <a:rPr lang="en-US" sz="2400" b="1" baseline="0"/>
              <a:t>History</a:t>
            </a:r>
            <a:endParaRPr lang="en-US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'Budget History'!$C$3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cat>
            <c:numRef>
              <c:f>'Budget History'!$A$4:$A$9</c:f>
              <c:numCache>
                <c:formatCode>@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numCache>
            </c:numRef>
          </c:cat>
          <c:val>
            <c:numRef>
              <c:f>'Budget History'!$C$4:$C$9</c:f>
              <c:numCache>
                <c:formatCode>_("$"* #,##0_);_("$"* \(#,##0\);_("$"* "-"??_);_(@_)</c:formatCode>
                <c:ptCount val="6"/>
                <c:pt idx="0">
                  <c:v>208310</c:v>
                </c:pt>
                <c:pt idx="1">
                  <c:v>237440</c:v>
                </c:pt>
                <c:pt idx="2">
                  <c:v>245120</c:v>
                </c:pt>
                <c:pt idx="3">
                  <c:v>235380</c:v>
                </c:pt>
                <c:pt idx="4">
                  <c:v>241150</c:v>
                </c:pt>
                <c:pt idx="5">
                  <c:v>261990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EF-477F-A1D8-FBDB56AEA365}"/>
            </c:ext>
          </c:extLst>
        </c:ser>
        <c:ser>
          <c:idx val="2"/>
          <c:order val="2"/>
          <c:tx>
            <c:strRef>
              <c:f>'Budget History'!$D$3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cat>
            <c:numRef>
              <c:f>'Budget History'!$A$4:$A$9</c:f>
              <c:numCache>
                <c:formatCode>@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numCache>
            </c:numRef>
          </c:cat>
          <c:val>
            <c:numRef>
              <c:f>'Budget History'!$D$4:$D$9</c:f>
              <c:numCache>
                <c:formatCode>_("$"* #,##0_);_("$"* \(#,##0\);_("$"* "-"??_);_(@_)</c:formatCode>
                <c:ptCount val="6"/>
                <c:pt idx="0">
                  <c:v>215420</c:v>
                </c:pt>
                <c:pt idx="1">
                  <c:v>233920</c:v>
                </c:pt>
                <c:pt idx="2">
                  <c:v>242150</c:v>
                </c:pt>
                <c:pt idx="3">
                  <c:v>257190</c:v>
                </c:pt>
                <c:pt idx="4">
                  <c:v>242890</c:v>
                </c:pt>
                <c:pt idx="5">
                  <c:v>259923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EF-477F-A1D8-FBDB56AEA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6"/>
        <c:axId val="326892863"/>
        <c:axId val="322916623"/>
      </c:barChart>
      <c:lineChart>
        <c:grouping val="standard"/>
        <c:varyColors val="0"/>
        <c:ser>
          <c:idx val="0"/>
          <c:order val="0"/>
          <c:tx>
            <c:strRef>
              <c:f>'Budget History'!$B$3</c:f>
              <c:strCache>
                <c:ptCount val="1"/>
                <c:pt idx="0">
                  <c:v>Attendees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152400" dist="317500" dir="5400000" sx="90000" sy="-19000" rotWithShape="0">
                <a:prstClr val="black">
                  <a:alpha val="15000"/>
                </a:prstClr>
              </a:outerShdw>
            </a:effectLst>
          </c:spPr>
          <c:marker>
            <c:symbol val="none"/>
          </c:marker>
          <c:cat>
            <c:numRef>
              <c:f>'Budget History'!$A$4:$A$9</c:f>
              <c:numCache>
                <c:formatCode>@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numCache>
            </c:numRef>
          </c:cat>
          <c:val>
            <c:numRef>
              <c:f>'Budget History'!$B$4:$B$9</c:f>
              <c:numCache>
                <c:formatCode>General</c:formatCode>
                <c:ptCount val="6"/>
                <c:pt idx="0">
                  <c:v>388</c:v>
                </c:pt>
                <c:pt idx="1">
                  <c:v>455</c:v>
                </c:pt>
                <c:pt idx="2">
                  <c:v>472</c:v>
                </c:pt>
                <c:pt idx="3">
                  <c:v>412</c:v>
                </c:pt>
                <c:pt idx="4">
                  <c:v>465</c:v>
                </c:pt>
                <c:pt idx="5" formatCode="0">
                  <c:v>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EF-477F-A1D8-FBDB56AEA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6883711"/>
        <c:axId val="322915327"/>
      </c:lineChart>
      <c:catAx>
        <c:axId val="32688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915327"/>
        <c:crosses val="autoZero"/>
        <c:auto val="1"/>
        <c:lblAlgn val="ctr"/>
        <c:lblOffset val="100"/>
        <c:noMultiLvlLbl val="0"/>
      </c:catAx>
      <c:valAx>
        <c:axId val="32291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accent1"/>
                    </a:solidFill>
                  </a:rPr>
                  <a:t>Attendees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883711"/>
        <c:crosses val="autoZero"/>
        <c:crossBetween val="between"/>
      </c:valAx>
      <c:valAx>
        <c:axId val="322916623"/>
        <c:scaling>
          <c:orientation val="minMax"/>
        </c:scaling>
        <c:delete val="0"/>
        <c:axPos val="r"/>
        <c:title>
          <c:tx>
            <c:rich>
              <a:bodyPr rot="0" spcFirstLastPara="1" vertOverflow="ellipsis" wrap="square" anchor="ctr" anchorCtr="1"/>
              <a:lstStyle/>
              <a:p>
                <a:pPr algn="l"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Revenue and </a:t>
                </a:r>
              </a:p>
              <a:p>
                <a:pPr algn="l">
                  <a:defRPr sz="1400"/>
                </a:pPr>
                <a:r>
                  <a:rPr lang="en-US" sz="1400"/>
                  <a:t>Expenses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 algn="l"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892863"/>
        <c:crosses val="max"/>
        <c:crossBetween val="between"/>
      </c:valAx>
      <c:catAx>
        <c:axId val="326892863"/>
        <c:scaling>
          <c:orientation val="minMax"/>
        </c:scaling>
        <c:delete val="1"/>
        <c:axPos val="b"/>
        <c:numFmt formatCode="@" sourceLinked="1"/>
        <c:majorTickMark val="out"/>
        <c:minorTickMark val="none"/>
        <c:tickLblPos val="nextTo"/>
        <c:crossAx val="322916623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6"/>
  <sheetViews>
    <sheetView zoomScale="7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8</xdr:col>
      <xdr:colOff>603250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6BC7CB-4795-4664-A3C7-AD80CC6D36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11</xdr:row>
      <xdr:rowOff>0</xdr:rowOff>
    </xdr:from>
    <xdr:to>
      <xdr:col>8</xdr:col>
      <xdr:colOff>601662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FE8146-C02B-4207-9B91-51D5E93D5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B3695A-8B50-4452-9C12-E724C752CF4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9"/>
  <sheetViews>
    <sheetView tabSelected="1" zoomScale="120" zoomScaleNormal="120" workbookViewId="0">
      <selection activeCell="A2" sqref="A2"/>
    </sheetView>
  </sheetViews>
  <sheetFormatPr defaultRowHeight="15" x14ac:dyDescent="0.25"/>
  <cols>
    <col min="1" max="1" width="14.5703125" customWidth="1"/>
    <col min="2" max="2" width="44.7109375" customWidth="1"/>
  </cols>
  <sheetData>
    <row r="1" spans="1:2" ht="26.25" x14ac:dyDescent="0.4">
      <c r="A1" s="6" t="s">
        <v>76</v>
      </c>
    </row>
    <row r="3" spans="1:2" x14ac:dyDescent="0.25">
      <c r="A3" s="9" t="s">
        <v>39</v>
      </c>
      <c r="B3" s="11" t="s">
        <v>42</v>
      </c>
    </row>
    <row r="4" spans="1:2" ht="45" x14ac:dyDescent="0.25">
      <c r="A4" s="9" t="s">
        <v>40</v>
      </c>
      <c r="B4" s="10" t="s">
        <v>1282</v>
      </c>
    </row>
    <row r="6" spans="1:2" x14ac:dyDescent="0.25">
      <c r="A6" s="9" t="s">
        <v>74</v>
      </c>
      <c r="B6" t="s">
        <v>75</v>
      </c>
    </row>
    <row r="7" spans="1:2" x14ac:dyDescent="0.25">
      <c r="A7" s="9" t="s">
        <v>56</v>
      </c>
      <c r="B7" s="10">
        <v>1</v>
      </c>
    </row>
    <row r="8" spans="1:2" x14ac:dyDescent="0.25">
      <c r="A8" s="12" t="s">
        <v>59</v>
      </c>
      <c r="B8" t="s">
        <v>56</v>
      </c>
    </row>
    <row r="9" spans="1:2" x14ac:dyDescent="0.25">
      <c r="A9" s="9" t="s">
        <v>57</v>
      </c>
      <c r="B9" s="10" t="s">
        <v>58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22"/>
  <sheetViews>
    <sheetView zoomScale="120" zoomScaleNormal="120" workbookViewId="0">
      <selection activeCell="A3" sqref="A3"/>
    </sheetView>
  </sheetViews>
  <sheetFormatPr defaultRowHeight="15" x14ac:dyDescent="0.25"/>
  <cols>
    <col min="1" max="1" width="12.28515625" customWidth="1"/>
    <col min="2" max="2" width="21.42578125" customWidth="1"/>
    <col min="3" max="3" width="12.5703125" bestFit="1" customWidth="1"/>
    <col min="4" max="4" width="3" customWidth="1"/>
    <col min="5" max="5" width="12.28515625" bestFit="1" customWidth="1"/>
    <col min="9" max="9" width="8.28515625" customWidth="1"/>
    <col min="10" max="10" width="7.85546875" customWidth="1"/>
    <col min="11" max="11" width="8.140625" customWidth="1"/>
  </cols>
  <sheetData>
    <row r="1" spans="1:3" ht="23.25" x14ac:dyDescent="0.35">
      <c r="A1" s="1" t="s">
        <v>78</v>
      </c>
    </row>
    <row r="2" spans="1:3" x14ac:dyDescent="0.25">
      <c r="A2" t="s">
        <v>90</v>
      </c>
    </row>
    <row r="4" spans="1:3" ht="15.75" x14ac:dyDescent="0.25">
      <c r="A4" s="3" t="s">
        <v>0</v>
      </c>
    </row>
    <row r="5" spans="1:3" x14ac:dyDescent="0.25">
      <c r="A5" s="4" t="s">
        <v>1</v>
      </c>
      <c r="B5" s="4" t="s">
        <v>2</v>
      </c>
      <c r="C5" s="4" t="s">
        <v>4</v>
      </c>
    </row>
    <row r="6" spans="1:3" x14ac:dyDescent="0.25">
      <c r="A6" s="13" t="s">
        <v>5</v>
      </c>
      <c r="B6" s="13" t="s">
        <v>35</v>
      </c>
      <c r="C6" s="18">
        <f>'Registration Revenue'!E4</f>
        <v>211990</v>
      </c>
    </row>
    <row r="7" spans="1:3" x14ac:dyDescent="0.25">
      <c r="A7" s="13" t="s">
        <v>8</v>
      </c>
      <c r="B7" s="13" t="s">
        <v>38</v>
      </c>
      <c r="C7" s="18">
        <f>'Registration Revenue'!E5</f>
        <v>30000</v>
      </c>
    </row>
    <row r="8" spans="1:3" x14ac:dyDescent="0.25">
      <c r="A8" s="13" t="s">
        <v>10</v>
      </c>
      <c r="B8" s="13" t="s">
        <v>37</v>
      </c>
      <c r="C8" s="18">
        <f>'Registration Revenue'!E6</f>
        <v>20000</v>
      </c>
    </row>
    <row r="9" spans="1:3" x14ac:dyDescent="0.25">
      <c r="B9" s="27" t="s">
        <v>11</v>
      </c>
      <c r="C9" s="28">
        <f>SUM(C6:C8)</f>
        <v>261990</v>
      </c>
    </row>
    <row r="11" spans="1:3" ht="15.75" x14ac:dyDescent="0.25">
      <c r="A11" s="2" t="s">
        <v>12</v>
      </c>
    </row>
    <row r="12" spans="1:3" x14ac:dyDescent="0.25">
      <c r="A12" s="5" t="s">
        <v>1</v>
      </c>
      <c r="B12" s="5" t="s">
        <v>2</v>
      </c>
      <c r="C12" s="5" t="s">
        <v>4</v>
      </c>
    </row>
    <row r="13" spans="1:3" x14ac:dyDescent="0.25">
      <c r="A13" s="13" t="s">
        <v>60</v>
      </c>
      <c r="B13" s="13" t="s">
        <v>30</v>
      </c>
      <c r="C13" s="18">
        <f>'Meal Costs'!E15</f>
        <v>183573</v>
      </c>
    </row>
    <row r="14" spans="1:3" x14ac:dyDescent="0.25">
      <c r="A14" s="13" t="s">
        <v>61</v>
      </c>
      <c r="B14" s="13" t="s">
        <v>940</v>
      </c>
      <c r="C14" s="18">
        <v>15000</v>
      </c>
    </row>
    <row r="15" spans="1:3" x14ac:dyDescent="0.25">
      <c r="A15" s="13" t="s">
        <v>62</v>
      </c>
      <c r="B15" s="13" t="s">
        <v>33</v>
      </c>
      <c r="C15" s="18">
        <v>10000</v>
      </c>
    </row>
    <row r="16" spans="1:3" x14ac:dyDescent="0.25">
      <c r="A16" s="13" t="s">
        <v>63</v>
      </c>
      <c r="B16" s="13" t="s">
        <v>32</v>
      </c>
      <c r="C16" s="18">
        <f>'Room Costs'!E14+'Room Costs'!F19</f>
        <v>26350</v>
      </c>
    </row>
    <row r="17" spans="1:3" x14ac:dyDescent="0.25">
      <c r="A17" s="13" t="s">
        <v>64</v>
      </c>
      <c r="B17" s="13" t="s">
        <v>34</v>
      </c>
      <c r="C17" s="18">
        <v>6000</v>
      </c>
    </row>
    <row r="18" spans="1:3" x14ac:dyDescent="0.25">
      <c r="A18" s="13" t="s">
        <v>65</v>
      </c>
      <c r="B18" s="13" t="s">
        <v>15</v>
      </c>
      <c r="C18" s="18">
        <v>10000</v>
      </c>
    </row>
    <row r="19" spans="1:3" x14ac:dyDescent="0.25">
      <c r="A19" s="13" t="s">
        <v>66</v>
      </c>
      <c r="B19" s="13" t="s">
        <v>14</v>
      </c>
      <c r="C19" s="18">
        <v>9000</v>
      </c>
    </row>
    <row r="20" spans="1:3" x14ac:dyDescent="0.25">
      <c r="B20" s="20" t="s">
        <v>11</v>
      </c>
      <c r="C20" s="29">
        <f>SUM(C13:C19)</f>
        <v>259923</v>
      </c>
    </row>
    <row r="22" spans="1:3" x14ac:dyDescent="0.25">
      <c r="B22" s="30" t="s">
        <v>16</v>
      </c>
      <c r="C22" s="31">
        <f>C9-C20</f>
        <v>2067</v>
      </c>
    </row>
  </sheetData>
  <conditionalFormatting sqref="C22"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7"/>
  <sheetViews>
    <sheetView zoomScale="120" zoomScaleNormal="120" workbookViewId="0">
      <selection activeCell="A2" sqref="A2"/>
    </sheetView>
  </sheetViews>
  <sheetFormatPr defaultRowHeight="15" x14ac:dyDescent="0.25"/>
  <cols>
    <col min="1" max="1" width="12.7109375" customWidth="1"/>
    <col min="2" max="2" width="21.7109375" customWidth="1"/>
    <col min="3" max="3" width="11" customWidth="1"/>
    <col min="5" max="5" width="14.42578125" customWidth="1"/>
  </cols>
  <sheetData>
    <row r="1" spans="1:5" ht="23.25" x14ac:dyDescent="0.35">
      <c r="A1" s="1" t="s">
        <v>443</v>
      </c>
    </row>
    <row r="3" spans="1:5" x14ac:dyDescent="0.25">
      <c r="A3" s="8" t="s">
        <v>1</v>
      </c>
      <c r="B3" s="8" t="s">
        <v>2</v>
      </c>
      <c r="C3" s="8" t="s">
        <v>6</v>
      </c>
      <c r="D3" s="8" t="s">
        <v>3</v>
      </c>
      <c r="E3" s="8" t="s">
        <v>4</v>
      </c>
    </row>
    <row r="4" spans="1:5" x14ac:dyDescent="0.25">
      <c r="A4" s="13" t="s">
        <v>5</v>
      </c>
      <c r="B4" s="13" t="s">
        <v>7</v>
      </c>
      <c r="C4" s="17">
        <f>COUNTA('Registration List'!A:A)-2</f>
        <v>493</v>
      </c>
      <c r="D4" s="18">
        <v>430</v>
      </c>
      <c r="E4" s="26">
        <f>D4*C4</f>
        <v>211990</v>
      </c>
    </row>
    <row r="5" spans="1:5" x14ac:dyDescent="0.25">
      <c r="A5" s="13" t="s">
        <v>8</v>
      </c>
      <c r="B5" s="13" t="s">
        <v>9</v>
      </c>
      <c r="C5" s="13">
        <v>5</v>
      </c>
      <c r="D5" s="18">
        <v>6000</v>
      </c>
      <c r="E5" s="26">
        <f>D5*C5</f>
        <v>30000</v>
      </c>
    </row>
    <row r="6" spans="1:5" x14ac:dyDescent="0.25">
      <c r="A6" s="13" t="s">
        <v>10</v>
      </c>
      <c r="B6" s="13" t="s">
        <v>37</v>
      </c>
      <c r="C6" s="13">
        <v>20</v>
      </c>
      <c r="D6" s="18">
        <v>1000</v>
      </c>
      <c r="E6" s="26">
        <f>D6*C6</f>
        <v>20000</v>
      </c>
    </row>
    <row r="7" spans="1:5" x14ac:dyDescent="0.25">
      <c r="D7" s="24" t="s">
        <v>11</v>
      </c>
      <c r="E7" s="25">
        <f>SUM(E4:E6)</f>
        <v>261990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15"/>
  <sheetViews>
    <sheetView zoomScale="120" zoomScaleNormal="120" workbookViewId="0">
      <selection activeCell="A2" sqref="A2"/>
    </sheetView>
  </sheetViews>
  <sheetFormatPr defaultRowHeight="15" x14ac:dyDescent="0.25"/>
  <cols>
    <col min="1" max="1" width="11.5703125" customWidth="1"/>
    <col min="2" max="2" width="16.140625" bestFit="1" customWidth="1"/>
    <col min="3" max="3" width="9.85546875" customWidth="1"/>
    <col min="4" max="4" width="15" customWidth="1"/>
    <col min="5" max="5" width="11" customWidth="1"/>
  </cols>
  <sheetData>
    <row r="1" spans="1:5" ht="23.25" x14ac:dyDescent="0.35">
      <c r="A1" s="1" t="s">
        <v>79</v>
      </c>
    </row>
    <row r="3" spans="1:5" x14ac:dyDescent="0.25">
      <c r="A3" s="7" t="s">
        <v>1</v>
      </c>
      <c r="B3" s="7" t="s">
        <v>17</v>
      </c>
      <c r="C3" s="7" t="s">
        <v>18</v>
      </c>
      <c r="D3" s="7" t="s">
        <v>19</v>
      </c>
      <c r="E3" s="7" t="s">
        <v>11</v>
      </c>
    </row>
    <row r="4" spans="1:5" x14ac:dyDescent="0.25">
      <c r="A4" s="13" t="s">
        <v>36</v>
      </c>
      <c r="B4" s="13" t="s">
        <v>20</v>
      </c>
      <c r="C4" s="17">
        <f>'Registration Revenue'!$C$4+'Room Costs'!$C$17+'Room Costs'!$C$18</f>
        <v>523</v>
      </c>
      <c r="D4" s="18">
        <v>20</v>
      </c>
      <c r="E4" s="19">
        <f t="shared" ref="E4:E14" si="0">C4*D4</f>
        <v>10460</v>
      </c>
    </row>
    <row r="5" spans="1:5" x14ac:dyDescent="0.25">
      <c r="A5" s="13" t="s">
        <v>67</v>
      </c>
      <c r="B5" s="13" t="s">
        <v>21</v>
      </c>
      <c r="C5" s="17">
        <f>'Registration Revenue'!$C$4+'Room Costs'!$C$17+'Room Costs'!$C$18</f>
        <v>523</v>
      </c>
      <c r="D5" s="18">
        <v>25</v>
      </c>
      <c r="E5" s="19">
        <f t="shared" si="0"/>
        <v>13075</v>
      </c>
    </row>
    <row r="6" spans="1:5" x14ac:dyDescent="0.25">
      <c r="A6" s="13" t="s">
        <v>68</v>
      </c>
      <c r="B6" s="13" t="s">
        <v>22</v>
      </c>
      <c r="C6" s="17">
        <f>'Registration Revenue'!$C$4+'Room Costs'!$C$17+'Room Costs'!$C$18</f>
        <v>523</v>
      </c>
      <c r="D6" s="18">
        <v>50</v>
      </c>
      <c r="E6" s="19">
        <f t="shared" si="0"/>
        <v>26150</v>
      </c>
    </row>
    <row r="7" spans="1:5" x14ac:dyDescent="0.25">
      <c r="A7" s="13" t="s">
        <v>36</v>
      </c>
      <c r="B7" s="13" t="s">
        <v>23</v>
      </c>
      <c r="C7" s="17">
        <f>'Registration Revenue'!$C$4+'Room Costs'!$C$17+'Room Costs'!$C$18</f>
        <v>523</v>
      </c>
      <c r="D7" s="18">
        <v>20</v>
      </c>
      <c r="E7" s="19">
        <f t="shared" si="0"/>
        <v>10460</v>
      </c>
    </row>
    <row r="8" spans="1:5" x14ac:dyDescent="0.25">
      <c r="A8" s="13" t="s">
        <v>67</v>
      </c>
      <c r="B8" s="13" t="s">
        <v>24</v>
      </c>
      <c r="C8" s="17">
        <f>'Registration Revenue'!$C$4+'Room Costs'!$C$17+'Room Costs'!$C$18</f>
        <v>523</v>
      </c>
      <c r="D8" s="18">
        <v>25</v>
      </c>
      <c r="E8" s="19">
        <f t="shared" si="0"/>
        <v>13075</v>
      </c>
    </row>
    <row r="9" spans="1:5" x14ac:dyDescent="0.25">
      <c r="A9" s="13" t="s">
        <v>69</v>
      </c>
      <c r="B9" s="13" t="s">
        <v>29</v>
      </c>
      <c r="C9" s="17">
        <f>'Registration Revenue'!$C$4+'Room Costs'!$C$17+'Room Costs'!$C$18</f>
        <v>523</v>
      </c>
      <c r="D9" s="18">
        <v>20</v>
      </c>
      <c r="E9" s="19">
        <f t="shared" si="0"/>
        <v>10460</v>
      </c>
    </row>
    <row r="10" spans="1:5" x14ac:dyDescent="0.25">
      <c r="A10" s="13" t="s">
        <v>68</v>
      </c>
      <c r="B10" s="13" t="s">
        <v>25</v>
      </c>
      <c r="C10" s="17">
        <f>'Registration Revenue'!$C$4+'Room Costs'!$C$17+'Room Costs'!$C$18</f>
        <v>523</v>
      </c>
      <c r="D10" s="18">
        <v>65</v>
      </c>
      <c r="E10" s="19">
        <f t="shared" si="0"/>
        <v>33995</v>
      </c>
    </row>
    <row r="11" spans="1:5" x14ac:dyDescent="0.25">
      <c r="A11" s="13" t="s">
        <v>36</v>
      </c>
      <c r="B11" s="13" t="s">
        <v>26</v>
      </c>
      <c r="C11" s="17">
        <f>'Registration Revenue'!$C$4+'Room Costs'!$C$17+'Room Costs'!$C$18</f>
        <v>523</v>
      </c>
      <c r="D11" s="18">
        <v>20</v>
      </c>
      <c r="E11" s="19">
        <f t="shared" si="0"/>
        <v>10460</v>
      </c>
    </row>
    <row r="12" spans="1:5" x14ac:dyDescent="0.25">
      <c r="A12" s="13" t="s">
        <v>67</v>
      </c>
      <c r="B12" s="13" t="s">
        <v>27</v>
      </c>
      <c r="C12" s="17">
        <f>'Registration Revenue'!$C$4+'Room Costs'!$C$17+'Room Costs'!$C$18</f>
        <v>523</v>
      </c>
      <c r="D12" s="18">
        <v>25</v>
      </c>
      <c r="E12" s="19">
        <f t="shared" si="0"/>
        <v>13075</v>
      </c>
    </row>
    <row r="13" spans="1:5" x14ac:dyDescent="0.25">
      <c r="A13" s="13" t="s">
        <v>68</v>
      </c>
      <c r="B13" s="13" t="s">
        <v>28</v>
      </c>
      <c r="C13" s="17">
        <f>'Registration Revenue'!$C$4+'Room Costs'!$C$17+'Room Costs'!$C$18</f>
        <v>523</v>
      </c>
      <c r="D13" s="18">
        <v>45</v>
      </c>
      <c r="E13" s="19">
        <f t="shared" si="0"/>
        <v>23535</v>
      </c>
    </row>
    <row r="14" spans="1:5" x14ac:dyDescent="0.25">
      <c r="A14" s="13" t="s">
        <v>70</v>
      </c>
      <c r="B14" s="13" t="s">
        <v>41</v>
      </c>
      <c r="C14" s="13">
        <f>3*('Registration Revenue'!$C$4+'Room Costs'!$C$17+'Room Costs'!$C$18)</f>
        <v>1569</v>
      </c>
      <c r="D14" s="18">
        <v>12</v>
      </c>
      <c r="E14" s="19">
        <f t="shared" si="0"/>
        <v>18828</v>
      </c>
    </row>
    <row r="15" spans="1:5" x14ac:dyDescent="0.25">
      <c r="D15" s="14" t="s">
        <v>11</v>
      </c>
      <c r="E15" s="15">
        <f>SUM(E4:E14)</f>
        <v>183573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19"/>
  <sheetViews>
    <sheetView zoomScale="120" zoomScaleNormal="120" workbookViewId="0">
      <selection activeCell="A2" sqref="A2"/>
    </sheetView>
  </sheetViews>
  <sheetFormatPr defaultRowHeight="15" x14ac:dyDescent="0.25"/>
  <cols>
    <col min="1" max="1" width="14.42578125" customWidth="1"/>
    <col min="2" max="2" width="18.7109375" bestFit="1" customWidth="1"/>
    <col min="3" max="3" width="10" customWidth="1"/>
    <col min="4" max="4" width="11.42578125" customWidth="1"/>
  </cols>
  <sheetData>
    <row r="1" spans="1:6" ht="23.25" x14ac:dyDescent="0.35">
      <c r="A1" s="1" t="s">
        <v>80</v>
      </c>
    </row>
    <row r="3" spans="1:6" x14ac:dyDescent="0.25">
      <c r="A3" s="22" t="s">
        <v>88</v>
      </c>
    </row>
    <row r="4" spans="1:6" x14ac:dyDescent="0.25">
      <c r="A4" s="32" t="s">
        <v>1</v>
      </c>
      <c r="B4" s="32" t="s">
        <v>43</v>
      </c>
      <c r="C4" s="32" t="s">
        <v>44</v>
      </c>
      <c r="D4" s="32" t="s">
        <v>45</v>
      </c>
      <c r="E4" s="32" t="s">
        <v>11</v>
      </c>
    </row>
    <row r="5" spans="1:6" x14ac:dyDescent="0.25">
      <c r="A5" s="13" t="s">
        <v>71</v>
      </c>
      <c r="B5" s="13" t="s">
        <v>13</v>
      </c>
      <c r="C5" s="16">
        <v>70</v>
      </c>
      <c r="D5" s="17">
        <v>12</v>
      </c>
      <c r="E5" s="18">
        <f t="shared" ref="E5:E13" si="0">C5*D5</f>
        <v>840</v>
      </c>
    </row>
    <row r="6" spans="1:6" x14ac:dyDescent="0.25">
      <c r="A6" s="13" t="s">
        <v>31</v>
      </c>
      <c r="B6" s="13" t="s">
        <v>46</v>
      </c>
      <c r="C6" s="16">
        <v>55</v>
      </c>
      <c r="D6" s="17">
        <v>24</v>
      </c>
      <c r="E6" s="18">
        <f t="shared" si="0"/>
        <v>1320</v>
      </c>
    </row>
    <row r="7" spans="1:6" x14ac:dyDescent="0.25">
      <c r="A7" s="13" t="s">
        <v>31</v>
      </c>
      <c r="B7" s="13" t="s">
        <v>47</v>
      </c>
      <c r="C7" s="16">
        <v>55</v>
      </c>
      <c r="D7" s="17">
        <v>24</v>
      </c>
      <c r="E7" s="18">
        <f t="shared" si="0"/>
        <v>1320</v>
      </c>
    </row>
    <row r="8" spans="1:6" x14ac:dyDescent="0.25">
      <c r="A8" s="13" t="s">
        <v>31</v>
      </c>
      <c r="B8" s="13" t="s">
        <v>48</v>
      </c>
      <c r="C8" s="16">
        <v>40</v>
      </c>
      <c r="D8" s="17">
        <v>24</v>
      </c>
      <c r="E8" s="18">
        <f t="shared" ref="E8:E11" si="1">C8*D8</f>
        <v>960</v>
      </c>
    </row>
    <row r="9" spans="1:6" x14ac:dyDescent="0.25">
      <c r="A9" s="13" t="s">
        <v>31</v>
      </c>
      <c r="B9" s="13" t="s">
        <v>49</v>
      </c>
      <c r="C9" s="16">
        <v>40</v>
      </c>
      <c r="D9" s="17">
        <v>24</v>
      </c>
      <c r="E9" s="18">
        <f t="shared" si="1"/>
        <v>960</v>
      </c>
    </row>
    <row r="10" spans="1:6" x14ac:dyDescent="0.25">
      <c r="A10" s="13" t="s">
        <v>31</v>
      </c>
      <c r="B10" s="13" t="s">
        <v>52</v>
      </c>
      <c r="C10" s="16">
        <v>40</v>
      </c>
      <c r="D10" s="17">
        <v>24</v>
      </c>
      <c r="E10" s="18">
        <f t="shared" si="1"/>
        <v>960</v>
      </c>
    </row>
    <row r="11" spans="1:6" x14ac:dyDescent="0.25">
      <c r="A11" s="13" t="s">
        <v>31</v>
      </c>
      <c r="B11" s="13" t="s">
        <v>53</v>
      </c>
      <c r="C11" s="16">
        <v>40</v>
      </c>
      <c r="D11" s="17">
        <v>24</v>
      </c>
      <c r="E11" s="18">
        <f t="shared" si="1"/>
        <v>960</v>
      </c>
    </row>
    <row r="12" spans="1:6" x14ac:dyDescent="0.25">
      <c r="A12" s="13" t="s">
        <v>72</v>
      </c>
      <c r="B12" s="13" t="s">
        <v>50</v>
      </c>
      <c r="C12" s="16">
        <v>50</v>
      </c>
      <c r="D12" s="17">
        <v>18</v>
      </c>
      <c r="E12" s="18">
        <f t="shared" si="0"/>
        <v>900</v>
      </c>
    </row>
    <row r="13" spans="1:6" x14ac:dyDescent="0.25">
      <c r="A13" s="13" t="s">
        <v>73</v>
      </c>
      <c r="B13" s="13" t="s">
        <v>51</v>
      </c>
      <c r="C13" s="16">
        <v>35</v>
      </c>
      <c r="D13" s="17">
        <v>18</v>
      </c>
      <c r="E13" s="18">
        <f t="shared" si="0"/>
        <v>630</v>
      </c>
    </row>
    <row r="14" spans="1:6" x14ac:dyDescent="0.25">
      <c r="D14" s="20" t="s">
        <v>11</v>
      </c>
      <c r="E14" s="21">
        <f>SUM(E5:E13)</f>
        <v>8850</v>
      </c>
    </row>
    <row r="15" spans="1:6" x14ac:dyDescent="0.25">
      <c r="A15" s="22" t="s">
        <v>89</v>
      </c>
    </row>
    <row r="16" spans="1:6" x14ac:dyDescent="0.25">
      <c r="A16" s="32" t="s">
        <v>1</v>
      </c>
      <c r="B16" s="32" t="s">
        <v>43</v>
      </c>
      <c r="C16" s="32" t="s">
        <v>84</v>
      </c>
      <c r="D16" s="32" t="s">
        <v>82</v>
      </c>
      <c r="E16" s="32" t="s">
        <v>83</v>
      </c>
      <c r="F16" s="32" t="s">
        <v>11</v>
      </c>
    </row>
    <row r="17" spans="1:6" x14ac:dyDescent="0.25">
      <c r="A17" s="13" t="s">
        <v>81</v>
      </c>
      <c r="B17" s="13" t="s">
        <v>87</v>
      </c>
      <c r="C17" s="13">
        <v>25</v>
      </c>
      <c r="D17" s="19">
        <v>125</v>
      </c>
      <c r="E17" s="13">
        <v>5</v>
      </c>
      <c r="F17" s="19">
        <f>C17*D17*E17</f>
        <v>15625</v>
      </c>
    </row>
    <row r="18" spans="1:6" x14ac:dyDescent="0.25">
      <c r="A18" s="13" t="s">
        <v>85</v>
      </c>
      <c r="B18" s="13" t="s">
        <v>86</v>
      </c>
      <c r="C18" s="13">
        <v>5</v>
      </c>
      <c r="D18" s="19">
        <v>125</v>
      </c>
      <c r="E18" s="13">
        <v>3</v>
      </c>
      <c r="F18" s="19">
        <f>C18*D18*E18</f>
        <v>1875</v>
      </c>
    </row>
    <row r="19" spans="1:6" x14ac:dyDescent="0.25">
      <c r="E19" s="20" t="s">
        <v>11</v>
      </c>
      <c r="F19" s="21">
        <f>SUM(F17:F18)</f>
        <v>17500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9"/>
  <sheetViews>
    <sheetView zoomScale="120" zoomScaleNormal="120" workbookViewId="0">
      <selection activeCell="A2" sqref="A2"/>
    </sheetView>
  </sheetViews>
  <sheetFormatPr defaultRowHeight="15" x14ac:dyDescent="0.25"/>
  <cols>
    <col min="1" max="1" width="8.5703125" customWidth="1"/>
    <col min="2" max="2" width="11.7109375" customWidth="1"/>
    <col min="3" max="3" width="11.5703125" customWidth="1"/>
    <col min="4" max="4" width="11.42578125" customWidth="1"/>
    <col min="5" max="5" width="11.140625" customWidth="1"/>
  </cols>
  <sheetData>
    <row r="1" spans="1:5" ht="23.25" x14ac:dyDescent="0.35">
      <c r="A1" s="1" t="s">
        <v>77</v>
      </c>
    </row>
    <row r="3" spans="1:5" x14ac:dyDescent="0.25">
      <c r="A3" s="33" t="s">
        <v>54</v>
      </c>
      <c r="B3" s="33" t="s">
        <v>55</v>
      </c>
      <c r="C3" s="33" t="s">
        <v>0</v>
      </c>
      <c r="D3" s="33" t="s">
        <v>12</v>
      </c>
      <c r="E3" s="33" t="s">
        <v>16</v>
      </c>
    </row>
    <row r="4" spans="1:5" x14ac:dyDescent="0.25">
      <c r="A4" s="23">
        <v>2016</v>
      </c>
      <c r="B4" s="13">
        <v>388</v>
      </c>
      <c r="C4" s="18">
        <v>208310</v>
      </c>
      <c r="D4" s="18">
        <v>215420</v>
      </c>
      <c r="E4" s="18">
        <f t="shared" ref="E4:E8" si="0">C4-D4</f>
        <v>-7110</v>
      </c>
    </row>
    <row r="5" spans="1:5" x14ac:dyDescent="0.25">
      <c r="A5" s="23">
        <v>2017</v>
      </c>
      <c r="B5" s="13">
        <v>455</v>
      </c>
      <c r="C5" s="18">
        <v>237440</v>
      </c>
      <c r="D5" s="18">
        <v>233920</v>
      </c>
      <c r="E5" s="18">
        <f t="shared" si="0"/>
        <v>3520</v>
      </c>
    </row>
    <row r="6" spans="1:5" x14ac:dyDescent="0.25">
      <c r="A6" s="23">
        <v>2018</v>
      </c>
      <c r="B6" s="13">
        <v>472</v>
      </c>
      <c r="C6" s="18">
        <v>245120</v>
      </c>
      <c r="D6" s="18">
        <v>242150</v>
      </c>
      <c r="E6" s="18">
        <f t="shared" si="0"/>
        <v>2970</v>
      </c>
    </row>
    <row r="7" spans="1:5" x14ac:dyDescent="0.25">
      <c r="A7" s="23">
        <v>2019</v>
      </c>
      <c r="B7" s="13">
        <v>412</v>
      </c>
      <c r="C7" s="18">
        <v>235380</v>
      </c>
      <c r="D7" s="18">
        <v>257190</v>
      </c>
      <c r="E7" s="18">
        <f t="shared" si="0"/>
        <v>-21810</v>
      </c>
    </row>
    <row r="8" spans="1:5" x14ac:dyDescent="0.25">
      <c r="A8" s="23">
        <v>2020</v>
      </c>
      <c r="B8" s="13">
        <v>465</v>
      </c>
      <c r="C8" s="18">
        <v>241150</v>
      </c>
      <c r="D8" s="18">
        <v>242890</v>
      </c>
      <c r="E8" s="18">
        <f t="shared" si="0"/>
        <v>-1740</v>
      </c>
    </row>
    <row r="9" spans="1:5" x14ac:dyDescent="0.25">
      <c r="A9" s="23">
        <v>2021</v>
      </c>
      <c r="B9" s="17">
        <f>'Registration Revenue'!$C$4</f>
        <v>493</v>
      </c>
      <c r="C9" s="18">
        <f>Budget!C9</f>
        <v>261990</v>
      </c>
      <c r="D9" s="18">
        <f>Budget!C20</f>
        <v>259923</v>
      </c>
      <c r="E9" s="18">
        <f>C9-D9</f>
        <v>2067</v>
      </c>
    </row>
  </sheetData>
  <conditionalFormatting sqref="E4:E9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496"/>
  <sheetViews>
    <sheetView zoomScale="120" zoomScaleNormal="120" workbookViewId="0">
      <selection activeCell="A2" sqref="A2"/>
    </sheetView>
  </sheetViews>
  <sheetFormatPr defaultRowHeight="15" x14ac:dyDescent="0.25"/>
  <cols>
    <col min="1" max="1" width="14.140625" bestFit="1" customWidth="1"/>
    <col min="2" max="2" width="11.42578125" bestFit="1" customWidth="1"/>
    <col min="3" max="3" width="12.42578125" bestFit="1" customWidth="1"/>
    <col min="4" max="4" width="29.7109375" bestFit="1" customWidth="1"/>
    <col min="5" max="5" width="17.42578125" bestFit="1" customWidth="1"/>
    <col min="6" max="6" width="5.5703125" bestFit="1" customWidth="1"/>
    <col min="7" max="7" width="10.7109375" bestFit="1" customWidth="1"/>
    <col min="8" max="8" width="16.85546875" customWidth="1"/>
  </cols>
  <sheetData>
    <row r="1" spans="1:8" ht="23.25" x14ac:dyDescent="0.35">
      <c r="A1" s="1" t="s">
        <v>444</v>
      </c>
    </row>
    <row r="3" spans="1:8" x14ac:dyDescent="0.25">
      <c r="A3" s="34" t="s">
        <v>445</v>
      </c>
      <c r="B3" s="34" t="s">
        <v>91</v>
      </c>
      <c r="C3" s="34" t="s">
        <v>92</v>
      </c>
      <c r="D3" s="34" t="s">
        <v>93</v>
      </c>
      <c r="E3" s="34" t="s">
        <v>94</v>
      </c>
      <c r="F3" s="34" t="s">
        <v>95</v>
      </c>
      <c r="G3" s="34" t="s">
        <v>939</v>
      </c>
      <c r="H3" s="34" t="s">
        <v>96</v>
      </c>
    </row>
    <row r="4" spans="1:8" x14ac:dyDescent="0.25">
      <c r="A4" t="s">
        <v>457</v>
      </c>
      <c r="B4" t="s">
        <v>3075</v>
      </c>
      <c r="C4" t="s">
        <v>3074</v>
      </c>
      <c r="D4" t="s">
        <v>1751</v>
      </c>
      <c r="E4" t="s">
        <v>1396</v>
      </c>
      <c r="F4" t="s">
        <v>1285</v>
      </c>
      <c r="G4" t="s">
        <v>1397</v>
      </c>
      <c r="H4" t="s">
        <v>1178</v>
      </c>
    </row>
    <row r="5" spans="1:8" x14ac:dyDescent="0.25">
      <c r="A5" t="s">
        <v>498</v>
      </c>
      <c r="B5" t="s">
        <v>1881</v>
      </c>
      <c r="C5" t="s">
        <v>1882</v>
      </c>
      <c r="D5" t="s">
        <v>1883</v>
      </c>
      <c r="E5" t="s">
        <v>1884</v>
      </c>
      <c r="F5" t="s">
        <v>1285</v>
      </c>
      <c r="G5" t="s">
        <v>1885</v>
      </c>
      <c r="H5" t="s">
        <v>1161</v>
      </c>
    </row>
    <row r="6" spans="1:8" x14ac:dyDescent="0.25">
      <c r="A6" t="s">
        <v>614</v>
      </c>
      <c r="B6" t="s">
        <v>293</v>
      </c>
      <c r="C6" t="s">
        <v>2337</v>
      </c>
      <c r="D6" t="s">
        <v>2338</v>
      </c>
      <c r="E6" t="s">
        <v>2339</v>
      </c>
      <c r="F6" t="s">
        <v>2041</v>
      </c>
      <c r="G6" t="s">
        <v>2340</v>
      </c>
      <c r="H6" t="s">
        <v>1183</v>
      </c>
    </row>
    <row r="7" spans="1:8" x14ac:dyDescent="0.25">
      <c r="A7" t="s">
        <v>766</v>
      </c>
      <c r="B7" t="s">
        <v>152</v>
      </c>
      <c r="C7" t="s">
        <v>2357</v>
      </c>
      <c r="D7" t="s">
        <v>2358</v>
      </c>
      <c r="E7" t="s">
        <v>2135</v>
      </c>
      <c r="F7" t="s">
        <v>2011</v>
      </c>
      <c r="G7" t="s">
        <v>2359</v>
      </c>
      <c r="H7" t="s">
        <v>230</v>
      </c>
    </row>
    <row r="8" spans="1:8" x14ac:dyDescent="0.25">
      <c r="A8" t="s">
        <v>876</v>
      </c>
      <c r="B8" t="s">
        <v>270</v>
      </c>
      <c r="C8" t="s">
        <v>1945</v>
      </c>
      <c r="D8" t="s">
        <v>1946</v>
      </c>
      <c r="E8" t="s">
        <v>1581</v>
      </c>
      <c r="F8" t="s">
        <v>1285</v>
      </c>
      <c r="G8" t="s">
        <v>1947</v>
      </c>
      <c r="H8" t="s">
        <v>1001</v>
      </c>
    </row>
    <row r="9" spans="1:8" x14ac:dyDescent="0.25">
      <c r="A9" t="s">
        <v>520</v>
      </c>
      <c r="B9" t="s">
        <v>1296</v>
      </c>
      <c r="C9" t="s">
        <v>359</v>
      </c>
      <c r="D9" t="s">
        <v>2535</v>
      </c>
      <c r="E9" t="s">
        <v>2536</v>
      </c>
      <c r="F9" t="s">
        <v>2041</v>
      </c>
      <c r="G9" t="s">
        <v>2537</v>
      </c>
      <c r="H9" t="s">
        <v>1207</v>
      </c>
    </row>
    <row r="10" spans="1:8" x14ac:dyDescent="0.25">
      <c r="A10" t="s">
        <v>554</v>
      </c>
      <c r="B10" t="s">
        <v>2875</v>
      </c>
      <c r="C10" t="s">
        <v>359</v>
      </c>
      <c r="D10" t="s">
        <v>2876</v>
      </c>
      <c r="E10" t="s">
        <v>2877</v>
      </c>
      <c r="F10" t="s">
        <v>2041</v>
      </c>
      <c r="G10" t="s">
        <v>2878</v>
      </c>
      <c r="H10" t="s">
        <v>1064</v>
      </c>
    </row>
    <row r="11" spans="1:8" x14ac:dyDescent="0.25">
      <c r="A11" t="s">
        <v>453</v>
      </c>
      <c r="B11" t="s">
        <v>3073</v>
      </c>
      <c r="C11" t="s">
        <v>3072</v>
      </c>
      <c r="D11" t="s">
        <v>2210</v>
      </c>
      <c r="E11" t="s">
        <v>2211</v>
      </c>
      <c r="F11" t="s">
        <v>2083</v>
      </c>
      <c r="G11" t="s">
        <v>2212</v>
      </c>
      <c r="H11" t="s">
        <v>232</v>
      </c>
    </row>
    <row r="12" spans="1:8" x14ac:dyDescent="0.25">
      <c r="A12" t="s">
        <v>822</v>
      </c>
      <c r="B12" t="s">
        <v>188</v>
      </c>
      <c r="C12" t="s">
        <v>120</v>
      </c>
      <c r="D12" t="s">
        <v>2939</v>
      </c>
      <c r="E12" t="s">
        <v>2940</v>
      </c>
      <c r="F12" t="s">
        <v>1992</v>
      </c>
      <c r="G12" t="s">
        <v>2941</v>
      </c>
      <c r="H12" t="s">
        <v>1061</v>
      </c>
    </row>
    <row r="13" spans="1:8" x14ac:dyDescent="0.25">
      <c r="A13" t="s">
        <v>938</v>
      </c>
      <c r="B13" t="s">
        <v>1063</v>
      </c>
      <c r="C13" t="s">
        <v>1566</v>
      </c>
      <c r="D13" t="s">
        <v>1567</v>
      </c>
      <c r="E13" t="s">
        <v>1568</v>
      </c>
      <c r="F13" t="s">
        <v>1285</v>
      </c>
      <c r="G13" t="s">
        <v>1569</v>
      </c>
      <c r="H13" t="s">
        <v>976</v>
      </c>
    </row>
    <row r="14" spans="1:8" x14ac:dyDescent="0.25">
      <c r="A14" t="s">
        <v>481</v>
      </c>
      <c r="B14" t="s">
        <v>2693</v>
      </c>
      <c r="C14" t="s">
        <v>2694</v>
      </c>
      <c r="D14" t="s">
        <v>2695</v>
      </c>
      <c r="E14" t="s">
        <v>2470</v>
      </c>
      <c r="F14" t="s">
        <v>2011</v>
      </c>
      <c r="G14" t="s">
        <v>2696</v>
      </c>
      <c r="H14" t="s">
        <v>1030</v>
      </c>
    </row>
    <row r="15" spans="1:8" x14ac:dyDescent="0.25">
      <c r="A15" t="s">
        <v>833</v>
      </c>
      <c r="B15" t="s">
        <v>135</v>
      </c>
      <c r="C15" t="s">
        <v>1492</v>
      </c>
      <c r="D15" t="s">
        <v>1493</v>
      </c>
      <c r="E15" t="s">
        <v>1494</v>
      </c>
      <c r="F15" t="s">
        <v>1285</v>
      </c>
      <c r="G15" t="s">
        <v>1495</v>
      </c>
      <c r="H15" t="s">
        <v>1016</v>
      </c>
    </row>
    <row r="16" spans="1:8" x14ac:dyDescent="0.25">
      <c r="A16" t="s">
        <v>801</v>
      </c>
      <c r="B16" t="s">
        <v>119</v>
      </c>
      <c r="C16" t="s">
        <v>1604</v>
      </c>
      <c r="D16" t="s">
        <v>1605</v>
      </c>
      <c r="E16" t="s">
        <v>1437</v>
      </c>
      <c r="F16" t="s">
        <v>1285</v>
      </c>
      <c r="G16" t="s">
        <v>1438</v>
      </c>
      <c r="H16" t="s">
        <v>1025</v>
      </c>
    </row>
    <row r="17" spans="1:8" x14ac:dyDescent="0.25">
      <c r="A17" t="s">
        <v>476</v>
      </c>
      <c r="B17" t="s">
        <v>1795</v>
      </c>
      <c r="C17" t="s">
        <v>1796</v>
      </c>
      <c r="D17" t="s">
        <v>1797</v>
      </c>
      <c r="E17" t="s">
        <v>1312</v>
      </c>
      <c r="F17" t="s">
        <v>1285</v>
      </c>
      <c r="G17" t="s">
        <v>1313</v>
      </c>
      <c r="H17" t="s">
        <v>1163</v>
      </c>
    </row>
    <row r="18" spans="1:8" x14ac:dyDescent="0.25">
      <c r="A18" t="s">
        <v>815</v>
      </c>
      <c r="B18" t="s">
        <v>278</v>
      </c>
      <c r="C18" t="s">
        <v>178</v>
      </c>
      <c r="D18" t="s">
        <v>1897</v>
      </c>
      <c r="E18" t="s">
        <v>1022</v>
      </c>
      <c r="F18" t="s">
        <v>1285</v>
      </c>
      <c r="G18" t="s">
        <v>1898</v>
      </c>
      <c r="H18" t="s">
        <v>1193</v>
      </c>
    </row>
    <row r="19" spans="1:8" x14ac:dyDescent="0.25">
      <c r="A19" t="s">
        <v>599</v>
      </c>
      <c r="B19" t="s">
        <v>1667</v>
      </c>
      <c r="C19" t="s">
        <v>178</v>
      </c>
      <c r="D19" t="s">
        <v>1668</v>
      </c>
      <c r="E19" t="s">
        <v>1669</v>
      </c>
      <c r="F19" t="s">
        <v>1285</v>
      </c>
      <c r="G19" t="s">
        <v>1670</v>
      </c>
      <c r="H19" t="s">
        <v>1203</v>
      </c>
    </row>
    <row r="20" spans="1:8" x14ac:dyDescent="0.25">
      <c r="A20" t="s">
        <v>814</v>
      </c>
      <c r="B20" t="s">
        <v>1024</v>
      </c>
      <c r="C20" t="s">
        <v>178</v>
      </c>
      <c r="D20" t="s">
        <v>2808</v>
      </c>
      <c r="E20" t="s">
        <v>128</v>
      </c>
      <c r="F20" t="s">
        <v>2020</v>
      </c>
      <c r="G20" t="s">
        <v>2809</v>
      </c>
      <c r="H20" t="s">
        <v>240</v>
      </c>
    </row>
    <row r="21" spans="1:8" x14ac:dyDescent="0.25">
      <c r="A21" t="s">
        <v>784</v>
      </c>
      <c r="B21" t="s">
        <v>196</v>
      </c>
      <c r="C21" t="s">
        <v>1051</v>
      </c>
      <c r="D21" t="s">
        <v>2178</v>
      </c>
      <c r="E21" t="s">
        <v>2179</v>
      </c>
      <c r="F21" t="s">
        <v>2041</v>
      </c>
      <c r="G21" t="s">
        <v>2180</v>
      </c>
      <c r="H21" t="s">
        <v>325</v>
      </c>
    </row>
    <row r="22" spans="1:8" x14ac:dyDescent="0.25">
      <c r="A22" t="s">
        <v>842</v>
      </c>
      <c r="B22" t="s">
        <v>130</v>
      </c>
      <c r="C22" t="s">
        <v>1051</v>
      </c>
      <c r="D22" t="s">
        <v>1872</v>
      </c>
      <c r="E22" t="s">
        <v>1613</v>
      </c>
      <c r="F22" t="s">
        <v>1285</v>
      </c>
      <c r="G22" t="s">
        <v>1614</v>
      </c>
      <c r="H22" t="s">
        <v>1111</v>
      </c>
    </row>
    <row r="23" spans="1:8" x14ac:dyDescent="0.25">
      <c r="A23" t="s">
        <v>716</v>
      </c>
      <c r="B23" t="s">
        <v>158</v>
      </c>
      <c r="C23" t="s">
        <v>2697</v>
      </c>
      <c r="D23" t="s">
        <v>2698</v>
      </c>
      <c r="E23" t="s">
        <v>2036</v>
      </c>
      <c r="F23" t="s">
        <v>2020</v>
      </c>
      <c r="G23" t="s">
        <v>2699</v>
      </c>
      <c r="H23" t="s">
        <v>980</v>
      </c>
    </row>
    <row r="24" spans="1:8" x14ac:dyDescent="0.25">
      <c r="A24" t="s">
        <v>829</v>
      </c>
      <c r="B24" t="s">
        <v>421</v>
      </c>
      <c r="C24" t="s">
        <v>2201</v>
      </c>
      <c r="D24" t="s">
        <v>2202</v>
      </c>
      <c r="E24" t="s">
        <v>2203</v>
      </c>
      <c r="F24" t="s">
        <v>2041</v>
      </c>
      <c r="G24" t="s">
        <v>2204</v>
      </c>
      <c r="H24" t="s">
        <v>1169</v>
      </c>
    </row>
    <row r="25" spans="1:8" x14ac:dyDescent="0.25">
      <c r="A25" t="s">
        <v>521</v>
      </c>
      <c r="B25" t="s">
        <v>1187</v>
      </c>
      <c r="C25" t="s">
        <v>1958</v>
      </c>
      <c r="D25" t="s">
        <v>1959</v>
      </c>
      <c r="E25" t="s">
        <v>1936</v>
      </c>
      <c r="F25" t="s">
        <v>1285</v>
      </c>
      <c r="G25" t="s">
        <v>1937</v>
      </c>
      <c r="H25" t="s">
        <v>1213</v>
      </c>
    </row>
    <row r="26" spans="1:8" x14ac:dyDescent="0.25">
      <c r="A26" t="s">
        <v>882</v>
      </c>
      <c r="B26" t="s">
        <v>160</v>
      </c>
      <c r="C26" t="s">
        <v>1798</v>
      </c>
      <c r="D26" t="s">
        <v>1799</v>
      </c>
      <c r="E26" t="s">
        <v>1800</v>
      </c>
      <c r="F26" t="s">
        <v>1285</v>
      </c>
      <c r="G26" t="s">
        <v>1801</v>
      </c>
      <c r="H26" t="s">
        <v>1096</v>
      </c>
    </row>
    <row r="27" spans="1:8" x14ac:dyDescent="0.25">
      <c r="A27" t="s">
        <v>894</v>
      </c>
      <c r="B27" t="s">
        <v>102</v>
      </c>
      <c r="C27" t="s">
        <v>2096</v>
      </c>
      <c r="D27" t="s">
        <v>2097</v>
      </c>
      <c r="E27" t="s">
        <v>2098</v>
      </c>
      <c r="F27" t="s">
        <v>2083</v>
      </c>
      <c r="G27" t="s">
        <v>2099</v>
      </c>
      <c r="H27" t="s">
        <v>998</v>
      </c>
    </row>
    <row r="28" spans="1:8" x14ac:dyDescent="0.25">
      <c r="A28" t="s">
        <v>785</v>
      </c>
      <c r="B28" t="s">
        <v>130</v>
      </c>
      <c r="C28" t="s">
        <v>1353</v>
      </c>
      <c r="D28" t="s">
        <v>1354</v>
      </c>
      <c r="E28" t="s">
        <v>1355</v>
      </c>
      <c r="F28" t="s">
        <v>1285</v>
      </c>
      <c r="G28" t="s">
        <v>1356</v>
      </c>
      <c r="H28" t="s">
        <v>1116</v>
      </c>
    </row>
    <row r="29" spans="1:8" x14ac:dyDescent="0.25">
      <c r="A29" t="s">
        <v>937</v>
      </c>
      <c r="B29" t="s">
        <v>191</v>
      </c>
      <c r="C29" t="s">
        <v>277</v>
      </c>
      <c r="D29" t="s">
        <v>2060</v>
      </c>
      <c r="E29" t="s">
        <v>2061</v>
      </c>
      <c r="F29" t="s">
        <v>2041</v>
      </c>
      <c r="G29" t="s">
        <v>2062</v>
      </c>
      <c r="H29" t="s">
        <v>1009</v>
      </c>
    </row>
    <row r="30" spans="1:8" x14ac:dyDescent="0.25">
      <c r="A30" t="s">
        <v>563</v>
      </c>
      <c r="B30" t="s">
        <v>259</v>
      </c>
      <c r="C30" t="s">
        <v>103</v>
      </c>
      <c r="D30" t="s">
        <v>2130</v>
      </c>
      <c r="E30" t="s">
        <v>2131</v>
      </c>
      <c r="F30" t="s">
        <v>2020</v>
      </c>
      <c r="G30" t="s">
        <v>2132</v>
      </c>
      <c r="H30" t="s">
        <v>380</v>
      </c>
    </row>
    <row r="31" spans="1:8" x14ac:dyDescent="0.25">
      <c r="A31" t="s">
        <v>586</v>
      </c>
      <c r="B31" t="s">
        <v>210</v>
      </c>
      <c r="C31" t="s">
        <v>103</v>
      </c>
      <c r="D31" t="s">
        <v>2315</v>
      </c>
      <c r="E31" t="s">
        <v>2226</v>
      </c>
      <c r="F31" t="s">
        <v>2083</v>
      </c>
      <c r="G31" t="s">
        <v>2316</v>
      </c>
      <c r="H31" t="s">
        <v>1066</v>
      </c>
    </row>
    <row r="32" spans="1:8" x14ac:dyDescent="0.25">
      <c r="A32" t="s">
        <v>935</v>
      </c>
      <c r="B32" t="s">
        <v>3000</v>
      </c>
      <c r="C32" t="s">
        <v>3001</v>
      </c>
      <c r="D32" t="s">
        <v>3002</v>
      </c>
      <c r="E32" t="s">
        <v>3003</v>
      </c>
      <c r="F32" t="s">
        <v>2002</v>
      </c>
      <c r="G32" t="s">
        <v>3004</v>
      </c>
      <c r="H32" t="s">
        <v>126</v>
      </c>
    </row>
    <row r="33" spans="1:8" x14ac:dyDescent="0.25">
      <c r="A33" t="s">
        <v>793</v>
      </c>
      <c r="B33" t="s">
        <v>2149</v>
      </c>
      <c r="C33" t="s">
        <v>2150</v>
      </c>
      <c r="D33" t="s">
        <v>2151</v>
      </c>
      <c r="E33" t="s">
        <v>2152</v>
      </c>
      <c r="F33" t="s">
        <v>2020</v>
      </c>
      <c r="G33" t="s">
        <v>2153</v>
      </c>
      <c r="H33" t="s">
        <v>330</v>
      </c>
    </row>
    <row r="34" spans="1:8" x14ac:dyDescent="0.25">
      <c r="A34" t="s">
        <v>613</v>
      </c>
      <c r="B34" t="s">
        <v>1162</v>
      </c>
      <c r="C34" t="s">
        <v>1899</v>
      </c>
      <c r="D34" t="s">
        <v>1900</v>
      </c>
      <c r="E34" t="s">
        <v>1901</v>
      </c>
      <c r="F34" t="s">
        <v>1285</v>
      </c>
      <c r="G34" t="s">
        <v>1902</v>
      </c>
      <c r="H34" t="s">
        <v>1181</v>
      </c>
    </row>
    <row r="35" spans="1:8" x14ac:dyDescent="0.25">
      <c r="A35" t="s">
        <v>805</v>
      </c>
      <c r="B35" t="s">
        <v>363</v>
      </c>
      <c r="C35" t="s">
        <v>1758</v>
      </c>
      <c r="D35" t="s">
        <v>1759</v>
      </c>
      <c r="E35" t="s">
        <v>1760</v>
      </c>
      <c r="F35" t="s">
        <v>1285</v>
      </c>
      <c r="G35" t="s">
        <v>1761</v>
      </c>
      <c r="H35" t="s">
        <v>1243</v>
      </c>
    </row>
    <row r="36" spans="1:8" x14ac:dyDescent="0.25">
      <c r="A36" t="s">
        <v>482</v>
      </c>
      <c r="B36" t="s">
        <v>1103</v>
      </c>
      <c r="C36" t="s">
        <v>2720</v>
      </c>
      <c r="D36" t="s">
        <v>2721</v>
      </c>
      <c r="E36" t="s">
        <v>2722</v>
      </c>
      <c r="F36" t="s">
        <v>2020</v>
      </c>
      <c r="G36" t="s">
        <v>2723</v>
      </c>
      <c r="H36" t="s">
        <v>430</v>
      </c>
    </row>
    <row r="37" spans="1:8" x14ac:dyDescent="0.25">
      <c r="A37" t="s">
        <v>455</v>
      </c>
      <c r="B37" t="s">
        <v>2366</v>
      </c>
      <c r="C37" t="s">
        <v>2367</v>
      </c>
      <c r="D37" t="s">
        <v>2368</v>
      </c>
      <c r="E37" t="s">
        <v>2369</v>
      </c>
      <c r="F37" t="s">
        <v>2271</v>
      </c>
      <c r="G37" t="s">
        <v>2370</v>
      </c>
      <c r="H37" t="s">
        <v>1190</v>
      </c>
    </row>
    <row r="38" spans="1:8" x14ac:dyDescent="0.25">
      <c r="A38" t="s">
        <v>451</v>
      </c>
      <c r="B38" t="s">
        <v>2860</v>
      </c>
      <c r="C38" t="s">
        <v>2861</v>
      </c>
      <c r="D38" t="s">
        <v>2862</v>
      </c>
      <c r="E38" t="s">
        <v>2863</v>
      </c>
      <c r="F38" t="s">
        <v>2020</v>
      </c>
      <c r="G38" t="s">
        <v>2864</v>
      </c>
      <c r="H38" t="s">
        <v>428</v>
      </c>
    </row>
    <row r="39" spans="1:8" x14ac:dyDescent="0.25">
      <c r="A39" t="s">
        <v>888</v>
      </c>
      <c r="B39" t="s">
        <v>1296</v>
      </c>
      <c r="C39" t="s">
        <v>1297</v>
      </c>
      <c r="D39" t="s">
        <v>1298</v>
      </c>
      <c r="E39" t="s">
        <v>1299</v>
      </c>
      <c r="F39" t="s">
        <v>1285</v>
      </c>
      <c r="G39" t="s">
        <v>1300</v>
      </c>
      <c r="H39" t="s">
        <v>985</v>
      </c>
    </row>
    <row r="40" spans="1:8" x14ac:dyDescent="0.25">
      <c r="A40" t="s">
        <v>757</v>
      </c>
      <c r="B40" t="s">
        <v>158</v>
      </c>
      <c r="C40" t="s">
        <v>2935</v>
      </c>
      <c r="D40" t="s">
        <v>2936</v>
      </c>
      <c r="E40" t="s">
        <v>2937</v>
      </c>
      <c r="F40" t="s">
        <v>2020</v>
      </c>
      <c r="G40" t="s">
        <v>2938</v>
      </c>
      <c r="H40" t="s">
        <v>1217</v>
      </c>
    </row>
    <row r="41" spans="1:8" x14ac:dyDescent="0.25">
      <c r="A41" t="s">
        <v>926</v>
      </c>
      <c r="B41" t="s">
        <v>367</v>
      </c>
      <c r="C41" t="s">
        <v>1671</v>
      </c>
      <c r="D41" t="s">
        <v>1672</v>
      </c>
      <c r="E41" t="s">
        <v>1673</v>
      </c>
      <c r="F41" t="s">
        <v>1285</v>
      </c>
      <c r="G41" t="s">
        <v>1674</v>
      </c>
      <c r="H41" t="s">
        <v>979</v>
      </c>
    </row>
    <row r="42" spans="1:8" x14ac:dyDescent="0.25">
      <c r="A42" t="s">
        <v>656</v>
      </c>
      <c r="B42" t="s">
        <v>1434</v>
      </c>
      <c r="C42" t="s">
        <v>1435</v>
      </c>
      <c r="D42" t="s">
        <v>1436</v>
      </c>
      <c r="E42" t="s">
        <v>1437</v>
      </c>
      <c r="F42" t="s">
        <v>1285</v>
      </c>
      <c r="G42" t="s">
        <v>1438</v>
      </c>
      <c r="H42" t="s">
        <v>1265</v>
      </c>
    </row>
    <row r="43" spans="1:8" x14ac:dyDescent="0.25">
      <c r="A43" t="s">
        <v>864</v>
      </c>
      <c r="B43" t="s">
        <v>1454</v>
      </c>
      <c r="C43" t="s">
        <v>1455</v>
      </c>
      <c r="D43" t="s">
        <v>1456</v>
      </c>
      <c r="E43" t="s">
        <v>1457</v>
      </c>
      <c r="F43" t="s">
        <v>1285</v>
      </c>
      <c r="G43" t="s">
        <v>1458</v>
      </c>
      <c r="H43" t="s">
        <v>1219</v>
      </c>
    </row>
    <row r="44" spans="1:8" x14ac:dyDescent="0.25">
      <c r="A44" t="s">
        <v>602</v>
      </c>
      <c r="B44" t="s">
        <v>1467</v>
      </c>
      <c r="C44" t="s">
        <v>1468</v>
      </c>
      <c r="D44" t="s">
        <v>1469</v>
      </c>
      <c r="E44" t="s">
        <v>1308</v>
      </c>
      <c r="F44" t="s">
        <v>1285</v>
      </c>
      <c r="G44" t="s">
        <v>1347</v>
      </c>
      <c r="H44" t="s">
        <v>1256</v>
      </c>
    </row>
    <row r="45" spans="1:8" x14ac:dyDescent="0.25">
      <c r="A45" t="s">
        <v>675</v>
      </c>
      <c r="B45" t="s">
        <v>201</v>
      </c>
      <c r="C45" t="s">
        <v>1301</v>
      </c>
      <c r="D45" t="s">
        <v>1302</v>
      </c>
      <c r="E45" t="s">
        <v>1303</v>
      </c>
      <c r="F45" t="s">
        <v>1285</v>
      </c>
      <c r="G45" t="s">
        <v>1304</v>
      </c>
      <c r="H45" t="s">
        <v>1277</v>
      </c>
    </row>
    <row r="46" spans="1:8" x14ac:dyDescent="0.25">
      <c r="A46" t="s">
        <v>679</v>
      </c>
      <c r="B46" t="s">
        <v>244</v>
      </c>
      <c r="C46" t="s">
        <v>2851</v>
      </c>
      <c r="D46" t="s">
        <v>2852</v>
      </c>
      <c r="E46" t="s">
        <v>2853</v>
      </c>
      <c r="F46" t="s">
        <v>2041</v>
      </c>
      <c r="G46" t="s">
        <v>2854</v>
      </c>
      <c r="H46" t="s">
        <v>140</v>
      </c>
    </row>
    <row r="47" spans="1:8" x14ac:dyDescent="0.25">
      <c r="A47" t="s">
        <v>741</v>
      </c>
      <c r="B47" t="s">
        <v>2376</v>
      </c>
      <c r="C47" t="s">
        <v>2377</v>
      </c>
      <c r="D47" t="s">
        <v>2378</v>
      </c>
      <c r="E47" t="s">
        <v>2379</v>
      </c>
      <c r="F47" t="s">
        <v>2083</v>
      </c>
      <c r="G47" t="s">
        <v>2380</v>
      </c>
      <c r="H47" t="s">
        <v>247</v>
      </c>
    </row>
    <row r="48" spans="1:8" x14ac:dyDescent="0.25">
      <c r="A48" t="s">
        <v>911</v>
      </c>
      <c r="B48" t="s">
        <v>390</v>
      </c>
      <c r="C48" t="s">
        <v>2502</v>
      </c>
      <c r="D48" t="s">
        <v>2503</v>
      </c>
      <c r="E48" t="s">
        <v>2504</v>
      </c>
      <c r="F48" t="s">
        <v>2041</v>
      </c>
      <c r="G48" t="s">
        <v>2329</v>
      </c>
      <c r="H48" t="s">
        <v>271</v>
      </c>
    </row>
    <row r="49" spans="1:8" x14ac:dyDescent="0.25">
      <c r="A49" t="s">
        <v>479</v>
      </c>
      <c r="B49" t="s">
        <v>1642</v>
      </c>
      <c r="C49" t="s">
        <v>1723</v>
      </c>
      <c r="D49" t="s">
        <v>1724</v>
      </c>
      <c r="E49" t="s">
        <v>1457</v>
      </c>
      <c r="F49" t="s">
        <v>1285</v>
      </c>
      <c r="G49" t="s">
        <v>1458</v>
      </c>
      <c r="H49" t="s">
        <v>984</v>
      </c>
    </row>
    <row r="50" spans="1:8" x14ac:dyDescent="0.25">
      <c r="A50" t="s">
        <v>885</v>
      </c>
      <c r="B50" t="s">
        <v>295</v>
      </c>
      <c r="C50" t="s">
        <v>154</v>
      </c>
      <c r="D50" t="s">
        <v>2312</v>
      </c>
      <c r="E50" t="s">
        <v>2313</v>
      </c>
      <c r="F50" t="s">
        <v>2041</v>
      </c>
      <c r="G50" t="s">
        <v>2314</v>
      </c>
      <c r="H50" t="s">
        <v>429</v>
      </c>
    </row>
    <row r="51" spans="1:8" x14ac:dyDescent="0.25">
      <c r="A51" t="s">
        <v>562</v>
      </c>
      <c r="B51" t="s">
        <v>215</v>
      </c>
      <c r="C51" t="s">
        <v>154</v>
      </c>
      <c r="D51" t="s">
        <v>1854</v>
      </c>
      <c r="E51" t="s">
        <v>1308</v>
      </c>
      <c r="F51" t="s">
        <v>1285</v>
      </c>
      <c r="G51" t="s">
        <v>1453</v>
      </c>
      <c r="H51" t="s">
        <v>1246</v>
      </c>
    </row>
    <row r="52" spans="1:8" x14ac:dyDescent="0.25">
      <c r="A52" t="s">
        <v>628</v>
      </c>
      <c r="B52" t="s">
        <v>125</v>
      </c>
      <c r="C52" t="s">
        <v>154</v>
      </c>
      <c r="D52" t="s">
        <v>2171</v>
      </c>
      <c r="E52" t="s">
        <v>2172</v>
      </c>
      <c r="F52" t="s">
        <v>2020</v>
      </c>
      <c r="G52" t="s">
        <v>2173</v>
      </c>
      <c r="H52" t="s">
        <v>206</v>
      </c>
    </row>
    <row r="53" spans="1:8" x14ac:dyDescent="0.25">
      <c r="A53" t="s">
        <v>662</v>
      </c>
      <c r="B53" t="s">
        <v>2429</v>
      </c>
      <c r="C53" t="s">
        <v>154</v>
      </c>
      <c r="D53" t="s">
        <v>2430</v>
      </c>
      <c r="E53" t="s">
        <v>2431</v>
      </c>
      <c r="F53" t="s">
        <v>2161</v>
      </c>
      <c r="G53" t="s">
        <v>2432</v>
      </c>
      <c r="H53" t="s">
        <v>1121</v>
      </c>
    </row>
    <row r="54" spans="1:8" x14ac:dyDescent="0.25">
      <c r="A54" t="s">
        <v>536</v>
      </c>
      <c r="B54" t="s">
        <v>2745</v>
      </c>
      <c r="C54" t="s">
        <v>154</v>
      </c>
      <c r="D54" t="s">
        <v>2746</v>
      </c>
      <c r="E54" t="s">
        <v>2747</v>
      </c>
      <c r="F54" t="s">
        <v>2041</v>
      </c>
      <c r="G54" t="s">
        <v>2748</v>
      </c>
      <c r="H54" t="s">
        <v>267</v>
      </c>
    </row>
    <row r="55" spans="1:8" x14ac:dyDescent="0.25">
      <c r="A55" t="s">
        <v>604</v>
      </c>
      <c r="B55" t="s">
        <v>1777</v>
      </c>
      <c r="C55" t="s">
        <v>154</v>
      </c>
      <c r="D55" t="s">
        <v>1778</v>
      </c>
      <c r="E55" t="s">
        <v>1750</v>
      </c>
      <c r="F55" t="s">
        <v>1285</v>
      </c>
      <c r="G55" t="s">
        <v>1779</v>
      </c>
      <c r="H55" t="s">
        <v>1197</v>
      </c>
    </row>
    <row r="56" spans="1:8" x14ac:dyDescent="0.25">
      <c r="A56" t="s">
        <v>933</v>
      </c>
      <c r="B56" t="s">
        <v>2793</v>
      </c>
      <c r="C56" t="s">
        <v>1031</v>
      </c>
      <c r="D56" t="s">
        <v>2794</v>
      </c>
      <c r="E56" t="s">
        <v>2795</v>
      </c>
      <c r="F56" t="s">
        <v>2041</v>
      </c>
      <c r="G56" t="s">
        <v>2796</v>
      </c>
      <c r="H56" t="s">
        <v>991</v>
      </c>
    </row>
    <row r="57" spans="1:8" x14ac:dyDescent="0.25">
      <c r="A57" t="s">
        <v>845</v>
      </c>
      <c r="B57" t="s">
        <v>1314</v>
      </c>
      <c r="C57" t="s">
        <v>1031</v>
      </c>
      <c r="D57" t="s">
        <v>1315</v>
      </c>
      <c r="E57" t="s">
        <v>1316</v>
      </c>
      <c r="F57" t="s">
        <v>1285</v>
      </c>
      <c r="G57" t="s">
        <v>1317</v>
      </c>
      <c r="H57" t="s">
        <v>986</v>
      </c>
    </row>
    <row r="58" spans="1:8" x14ac:dyDescent="0.25">
      <c r="A58" t="s">
        <v>619</v>
      </c>
      <c r="B58" t="s">
        <v>105</v>
      </c>
      <c r="C58" t="s">
        <v>2810</v>
      </c>
      <c r="D58" t="s">
        <v>2811</v>
      </c>
      <c r="E58" t="s">
        <v>2812</v>
      </c>
      <c r="F58" t="s">
        <v>2011</v>
      </c>
      <c r="G58" t="s">
        <v>2813</v>
      </c>
      <c r="H58" t="s">
        <v>292</v>
      </c>
    </row>
    <row r="59" spans="1:8" x14ac:dyDescent="0.25">
      <c r="A59" t="s">
        <v>786</v>
      </c>
      <c r="B59" t="s">
        <v>300</v>
      </c>
      <c r="C59" t="s">
        <v>2622</v>
      </c>
      <c r="D59" t="s">
        <v>2623</v>
      </c>
      <c r="E59" t="s">
        <v>2624</v>
      </c>
      <c r="F59" t="s">
        <v>2020</v>
      </c>
      <c r="G59" t="s">
        <v>2625</v>
      </c>
      <c r="H59" t="s">
        <v>378</v>
      </c>
    </row>
    <row r="60" spans="1:8" x14ac:dyDescent="0.25">
      <c r="A60" t="s">
        <v>929</v>
      </c>
      <c r="B60" t="s">
        <v>175</v>
      </c>
      <c r="C60" t="s">
        <v>2528</v>
      </c>
      <c r="D60" t="s">
        <v>2529</v>
      </c>
      <c r="E60" t="s">
        <v>2530</v>
      </c>
      <c r="F60" t="s">
        <v>2020</v>
      </c>
      <c r="G60" t="s">
        <v>2531</v>
      </c>
      <c r="H60" t="s">
        <v>1158</v>
      </c>
    </row>
    <row r="61" spans="1:8" x14ac:dyDescent="0.25">
      <c r="A61" t="s">
        <v>772</v>
      </c>
      <c r="B61" t="s">
        <v>1786</v>
      </c>
      <c r="C61" t="s">
        <v>1787</v>
      </c>
      <c r="D61" t="s">
        <v>1788</v>
      </c>
      <c r="E61" t="s">
        <v>1789</v>
      </c>
      <c r="F61" t="s">
        <v>1285</v>
      </c>
      <c r="G61" t="s">
        <v>1790</v>
      </c>
      <c r="H61" t="s">
        <v>1210</v>
      </c>
    </row>
    <row r="62" spans="1:8" x14ac:dyDescent="0.25">
      <c r="A62" t="s">
        <v>817</v>
      </c>
      <c r="B62" t="s">
        <v>2689</v>
      </c>
      <c r="C62" t="s">
        <v>2690</v>
      </c>
      <c r="D62" t="s">
        <v>2691</v>
      </c>
      <c r="E62" t="s">
        <v>2692</v>
      </c>
      <c r="F62" t="s">
        <v>2041</v>
      </c>
      <c r="G62" t="s">
        <v>2406</v>
      </c>
      <c r="H62" t="s">
        <v>242</v>
      </c>
    </row>
    <row r="63" spans="1:8" x14ac:dyDescent="0.25">
      <c r="A63" t="s">
        <v>516</v>
      </c>
      <c r="B63" t="s">
        <v>417</v>
      </c>
      <c r="C63" t="s">
        <v>1590</v>
      </c>
      <c r="D63" t="s">
        <v>1591</v>
      </c>
      <c r="E63" t="s">
        <v>1592</v>
      </c>
      <c r="F63" t="s">
        <v>1285</v>
      </c>
      <c r="G63" t="s">
        <v>1593</v>
      </c>
      <c r="H63" t="s">
        <v>1215</v>
      </c>
    </row>
    <row r="64" spans="1:8" x14ac:dyDescent="0.25">
      <c r="A64" t="s">
        <v>778</v>
      </c>
      <c r="B64" t="s">
        <v>2299</v>
      </c>
      <c r="C64" t="s">
        <v>2300</v>
      </c>
      <c r="D64" t="s">
        <v>2301</v>
      </c>
      <c r="E64" t="s">
        <v>2246</v>
      </c>
      <c r="F64" t="s">
        <v>2020</v>
      </c>
      <c r="G64" t="s">
        <v>2247</v>
      </c>
      <c r="H64" t="s">
        <v>324</v>
      </c>
    </row>
    <row r="65" spans="1:8" x14ac:dyDescent="0.25">
      <c r="A65" t="s">
        <v>798</v>
      </c>
      <c r="B65" t="s">
        <v>152</v>
      </c>
      <c r="C65" t="s">
        <v>1579</v>
      </c>
      <c r="D65" t="s">
        <v>1580</v>
      </c>
      <c r="E65" t="s">
        <v>1581</v>
      </c>
      <c r="F65" t="s">
        <v>1285</v>
      </c>
      <c r="G65" t="s">
        <v>1582</v>
      </c>
      <c r="H65" t="s">
        <v>993</v>
      </c>
    </row>
    <row r="66" spans="1:8" x14ac:dyDescent="0.25">
      <c r="A66" t="s">
        <v>767</v>
      </c>
      <c r="B66" t="s">
        <v>1429</v>
      </c>
      <c r="C66" t="s">
        <v>1430</v>
      </c>
      <c r="D66" t="s">
        <v>1431</v>
      </c>
      <c r="E66" t="s">
        <v>1432</v>
      </c>
      <c r="F66" t="s">
        <v>1285</v>
      </c>
      <c r="G66" t="s">
        <v>1433</v>
      </c>
      <c r="H66" t="s">
        <v>1206</v>
      </c>
    </row>
    <row r="67" spans="1:8" x14ac:dyDescent="0.25">
      <c r="A67" t="s">
        <v>713</v>
      </c>
      <c r="B67" t="s">
        <v>259</v>
      </c>
      <c r="C67" t="s">
        <v>2475</v>
      </c>
      <c r="D67" t="s">
        <v>2476</v>
      </c>
      <c r="E67" t="s">
        <v>1366</v>
      </c>
      <c r="F67" t="s">
        <v>2011</v>
      </c>
      <c r="G67" t="s">
        <v>2477</v>
      </c>
      <c r="H67" t="s">
        <v>435</v>
      </c>
    </row>
    <row r="68" spans="1:8" x14ac:dyDescent="0.25">
      <c r="A68" t="s">
        <v>743</v>
      </c>
      <c r="B68" t="s">
        <v>228</v>
      </c>
      <c r="C68" t="s">
        <v>348</v>
      </c>
      <c r="D68" t="s">
        <v>1870</v>
      </c>
      <c r="E68" t="s">
        <v>1308</v>
      </c>
      <c r="F68" t="s">
        <v>1285</v>
      </c>
      <c r="G68" t="s">
        <v>1871</v>
      </c>
      <c r="H68" t="s">
        <v>1083</v>
      </c>
    </row>
    <row r="69" spans="1:8" x14ac:dyDescent="0.25">
      <c r="A69" t="s">
        <v>721</v>
      </c>
      <c r="B69" t="s">
        <v>342</v>
      </c>
      <c r="C69" t="s">
        <v>2056</v>
      </c>
      <c r="D69" t="s">
        <v>2057</v>
      </c>
      <c r="E69" t="s">
        <v>2058</v>
      </c>
      <c r="F69" t="s">
        <v>2041</v>
      </c>
      <c r="G69" t="s">
        <v>2059</v>
      </c>
      <c r="H69" t="s">
        <v>1038</v>
      </c>
    </row>
    <row r="70" spans="1:8" x14ac:dyDescent="0.25">
      <c r="A70" t="s">
        <v>658</v>
      </c>
      <c r="B70" t="s">
        <v>1093</v>
      </c>
      <c r="C70" t="s">
        <v>1989</v>
      </c>
      <c r="D70" t="s">
        <v>1990</v>
      </c>
      <c r="E70" t="s">
        <v>1991</v>
      </c>
      <c r="F70" t="s">
        <v>1992</v>
      </c>
      <c r="G70" t="s">
        <v>1993</v>
      </c>
      <c r="H70" t="s">
        <v>243</v>
      </c>
    </row>
    <row r="71" spans="1:8" x14ac:dyDescent="0.25">
      <c r="A71" t="s">
        <v>483</v>
      </c>
      <c r="B71" t="s">
        <v>2239</v>
      </c>
      <c r="C71" t="s">
        <v>2240</v>
      </c>
      <c r="D71" t="s">
        <v>2241</v>
      </c>
      <c r="E71" t="s">
        <v>2242</v>
      </c>
      <c r="F71" t="s">
        <v>2020</v>
      </c>
      <c r="G71" t="s">
        <v>2243</v>
      </c>
      <c r="H71" t="s">
        <v>1068</v>
      </c>
    </row>
    <row r="72" spans="1:8" x14ac:dyDescent="0.25">
      <c r="A72" t="s">
        <v>708</v>
      </c>
      <c r="B72" t="s">
        <v>125</v>
      </c>
      <c r="C72" t="s">
        <v>2561</v>
      </c>
      <c r="D72" t="s">
        <v>2562</v>
      </c>
      <c r="E72" t="s">
        <v>2563</v>
      </c>
      <c r="F72" t="s">
        <v>2041</v>
      </c>
      <c r="G72" t="s">
        <v>2564</v>
      </c>
      <c r="H72" t="s">
        <v>218</v>
      </c>
    </row>
    <row r="73" spans="1:8" x14ac:dyDescent="0.25">
      <c r="A73" t="s">
        <v>797</v>
      </c>
      <c r="B73" t="s">
        <v>1811</v>
      </c>
      <c r="C73" t="s">
        <v>1812</v>
      </c>
      <c r="D73" t="s">
        <v>1813</v>
      </c>
      <c r="E73" t="s">
        <v>1814</v>
      </c>
      <c r="F73" t="s">
        <v>1285</v>
      </c>
      <c r="G73" t="s">
        <v>1815</v>
      </c>
      <c r="H73" t="s">
        <v>1073</v>
      </c>
    </row>
    <row r="74" spans="1:8" x14ac:dyDescent="0.25">
      <c r="A74" t="s">
        <v>617</v>
      </c>
      <c r="B74" t="s">
        <v>1561</v>
      </c>
      <c r="C74" t="s">
        <v>1562</v>
      </c>
      <c r="D74" t="s">
        <v>1563</v>
      </c>
      <c r="E74" t="s">
        <v>1564</v>
      </c>
      <c r="F74" t="s">
        <v>1285</v>
      </c>
      <c r="G74" t="s">
        <v>1565</v>
      </c>
      <c r="H74" t="s">
        <v>1214</v>
      </c>
    </row>
    <row r="75" spans="1:8" x14ac:dyDescent="0.25">
      <c r="A75" t="s">
        <v>464</v>
      </c>
      <c r="B75" t="s">
        <v>424</v>
      </c>
      <c r="C75" t="s">
        <v>1709</v>
      </c>
      <c r="D75" t="s">
        <v>1710</v>
      </c>
      <c r="E75" t="s">
        <v>1323</v>
      </c>
      <c r="F75" t="s">
        <v>1285</v>
      </c>
      <c r="G75" t="s">
        <v>1711</v>
      </c>
      <c r="H75" t="s">
        <v>1220</v>
      </c>
    </row>
    <row r="76" spans="1:8" x14ac:dyDescent="0.25">
      <c r="A76" t="s">
        <v>742</v>
      </c>
      <c r="B76" t="s">
        <v>303</v>
      </c>
      <c r="C76" t="s">
        <v>2869</v>
      </c>
      <c r="D76" t="s">
        <v>2870</v>
      </c>
      <c r="E76" t="s">
        <v>2191</v>
      </c>
      <c r="F76" t="s">
        <v>2011</v>
      </c>
      <c r="G76" t="s">
        <v>2871</v>
      </c>
      <c r="H76" t="s">
        <v>425</v>
      </c>
    </row>
    <row r="77" spans="1:8" x14ac:dyDescent="0.25">
      <c r="A77" t="s">
        <v>726</v>
      </c>
      <c r="B77" t="s">
        <v>197</v>
      </c>
      <c r="C77" t="s">
        <v>2080</v>
      </c>
      <c r="D77" t="s">
        <v>2081</v>
      </c>
      <c r="E77" t="s">
        <v>2082</v>
      </c>
      <c r="F77" t="s">
        <v>2083</v>
      </c>
      <c r="G77" t="s">
        <v>2084</v>
      </c>
      <c r="H77" t="s">
        <v>108</v>
      </c>
    </row>
    <row r="78" spans="1:8" x14ac:dyDescent="0.25">
      <c r="A78" t="s">
        <v>904</v>
      </c>
      <c r="B78" t="s">
        <v>1764</v>
      </c>
      <c r="C78" t="s">
        <v>2235</v>
      </c>
      <c r="D78" t="s">
        <v>2236</v>
      </c>
      <c r="E78" t="s">
        <v>2237</v>
      </c>
      <c r="F78" t="s">
        <v>2139</v>
      </c>
      <c r="G78" t="s">
        <v>2238</v>
      </c>
      <c r="H78" t="s">
        <v>411</v>
      </c>
    </row>
    <row r="79" spans="1:8" x14ac:dyDescent="0.25">
      <c r="A79" t="s">
        <v>496</v>
      </c>
      <c r="B79" t="s">
        <v>274</v>
      </c>
      <c r="C79" t="s">
        <v>2235</v>
      </c>
      <c r="D79" t="s">
        <v>3008</v>
      </c>
      <c r="E79" t="s">
        <v>3009</v>
      </c>
      <c r="F79" t="s">
        <v>2041</v>
      </c>
      <c r="G79" t="s">
        <v>2314</v>
      </c>
      <c r="H79" t="s">
        <v>250</v>
      </c>
    </row>
    <row r="80" spans="1:8" x14ac:dyDescent="0.25">
      <c r="A80" t="s">
        <v>515</v>
      </c>
      <c r="B80" t="s">
        <v>1903</v>
      </c>
      <c r="C80" t="s">
        <v>314</v>
      </c>
      <c r="D80" t="s">
        <v>1904</v>
      </c>
      <c r="E80" t="s">
        <v>1905</v>
      </c>
      <c r="F80" t="s">
        <v>1285</v>
      </c>
      <c r="G80" t="s">
        <v>1906</v>
      </c>
      <c r="H80" t="s">
        <v>1060</v>
      </c>
    </row>
    <row r="81" spans="1:8" x14ac:dyDescent="0.25">
      <c r="A81" t="s">
        <v>677</v>
      </c>
      <c r="B81" t="s">
        <v>403</v>
      </c>
      <c r="C81" t="s">
        <v>1420</v>
      </c>
      <c r="D81" t="s">
        <v>1421</v>
      </c>
      <c r="E81" t="s">
        <v>1422</v>
      </c>
      <c r="F81" t="s">
        <v>1285</v>
      </c>
      <c r="G81" t="s">
        <v>1423</v>
      </c>
      <c r="H81" t="s">
        <v>1141</v>
      </c>
    </row>
    <row r="82" spans="1:8" x14ac:dyDescent="0.25">
      <c r="A82" t="s">
        <v>550</v>
      </c>
      <c r="B82" t="s">
        <v>2945</v>
      </c>
      <c r="C82" t="s">
        <v>2946</v>
      </c>
      <c r="D82" t="s">
        <v>2947</v>
      </c>
      <c r="E82" t="s">
        <v>2948</v>
      </c>
      <c r="F82" t="s">
        <v>2011</v>
      </c>
      <c r="G82" t="s">
        <v>2949</v>
      </c>
      <c r="H82" t="s">
        <v>1080</v>
      </c>
    </row>
    <row r="83" spans="1:8" x14ac:dyDescent="0.25">
      <c r="A83" t="s">
        <v>872</v>
      </c>
      <c r="B83" t="s">
        <v>3070</v>
      </c>
      <c r="C83" t="s">
        <v>3071</v>
      </c>
      <c r="D83" t="s">
        <v>1831</v>
      </c>
      <c r="E83" t="s">
        <v>1832</v>
      </c>
      <c r="F83" t="s">
        <v>1285</v>
      </c>
      <c r="G83" t="s">
        <v>1833</v>
      </c>
      <c r="H83" t="s">
        <v>1166</v>
      </c>
    </row>
    <row r="84" spans="1:8" x14ac:dyDescent="0.25">
      <c r="A84" t="s">
        <v>545</v>
      </c>
      <c r="B84" t="s">
        <v>1764</v>
      </c>
      <c r="C84" t="s">
        <v>223</v>
      </c>
      <c r="D84" t="s">
        <v>2842</v>
      </c>
      <c r="E84" t="s">
        <v>2843</v>
      </c>
      <c r="F84" t="s">
        <v>1992</v>
      </c>
      <c r="G84" t="s">
        <v>2844</v>
      </c>
      <c r="H84" t="s">
        <v>280</v>
      </c>
    </row>
    <row r="85" spans="1:8" x14ac:dyDescent="0.25">
      <c r="A85" t="s">
        <v>637</v>
      </c>
      <c r="B85" t="s">
        <v>227</v>
      </c>
      <c r="C85" t="s">
        <v>223</v>
      </c>
      <c r="D85" t="s">
        <v>2788</v>
      </c>
      <c r="E85" t="s">
        <v>2470</v>
      </c>
      <c r="F85" t="s">
        <v>2011</v>
      </c>
      <c r="G85" t="s">
        <v>2789</v>
      </c>
      <c r="H85" t="s">
        <v>405</v>
      </c>
    </row>
    <row r="86" spans="1:8" x14ac:dyDescent="0.25">
      <c r="A86" t="s">
        <v>765</v>
      </c>
      <c r="B86" t="s">
        <v>1893</v>
      </c>
      <c r="C86" t="s">
        <v>223</v>
      </c>
      <c r="D86" t="s">
        <v>1894</v>
      </c>
      <c r="E86" t="s">
        <v>1895</v>
      </c>
      <c r="F86" t="s">
        <v>1285</v>
      </c>
      <c r="G86" t="s">
        <v>1896</v>
      </c>
      <c r="H86" t="s">
        <v>1106</v>
      </c>
    </row>
    <row r="87" spans="1:8" x14ac:dyDescent="0.25">
      <c r="A87" t="s">
        <v>852</v>
      </c>
      <c r="B87" t="s">
        <v>1941</v>
      </c>
      <c r="C87" t="s">
        <v>1942</v>
      </c>
      <c r="D87" t="s">
        <v>1943</v>
      </c>
      <c r="E87" t="s">
        <v>1809</v>
      </c>
      <c r="F87" t="s">
        <v>1285</v>
      </c>
      <c r="G87" t="s">
        <v>1944</v>
      </c>
      <c r="H87" t="s">
        <v>1072</v>
      </c>
    </row>
    <row r="88" spans="1:8" x14ac:dyDescent="0.25">
      <c r="A88" t="s">
        <v>666</v>
      </c>
      <c r="B88" t="s">
        <v>150</v>
      </c>
      <c r="C88" t="s">
        <v>2185</v>
      </c>
      <c r="D88" t="s">
        <v>2186</v>
      </c>
      <c r="E88" t="s">
        <v>2187</v>
      </c>
      <c r="F88" t="s">
        <v>2041</v>
      </c>
      <c r="G88" t="s">
        <v>2188</v>
      </c>
      <c r="H88" t="s">
        <v>385</v>
      </c>
    </row>
    <row r="89" spans="1:8" x14ac:dyDescent="0.25">
      <c r="A89" t="s">
        <v>707</v>
      </c>
      <c r="B89" t="s">
        <v>2480</v>
      </c>
      <c r="C89" t="s">
        <v>2481</v>
      </c>
      <c r="D89" t="s">
        <v>2482</v>
      </c>
      <c r="E89" t="s">
        <v>2483</v>
      </c>
      <c r="F89" t="s">
        <v>2020</v>
      </c>
      <c r="G89" t="s">
        <v>2484</v>
      </c>
      <c r="H89" t="s">
        <v>161</v>
      </c>
    </row>
    <row r="90" spans="1:8" x14ac:dyDescent="0.25">
      <c r="A90" t="s">
        <v>925</v>
      </c>
      <c r="B90" t="s">
        <v>1694</v>
      </c>
      <c r="C90" t="s">
        <v>1695</v>
      </c>
      <c r="D90" t="s">
        <v>1696</v>
      </c>
      <c r="E90" t="s">
        <v>1697</v>
      </c>
      <c r="F90" t="s">
        <v>1285</v>
      </c>
      <c r="G90" t="s">
        <v>1698</v>
      </c>
      <c r="H90" t="s">
        <v>1160</v>
      </c>
    </row>
    <row r="91" spans="1:8" x14ac:dyDescent="0.25">
      <c r="A91" t="s">
        <v>886</v>
      </c>
      <c r="B91" t="s">
        <v>342</v>
      </c>
      <c r="C91" t="s">
        <v>1310</v>
      </c>
      <c r="D91" t="s">
        <v>1311</v>
      </c>
      <c r="E91" t="s">
        <v>1312</v>
      </c>
      <c r="F91" t="s">
        <v>1285</v>
      </c>
      <c r="G91" t="s">
        <v>1313</v>
      </c>
      <c r="H91" t="s">
        <v>1278</v>
      </c>
    </row>
    <row r="92" spans="1:8" x14ac:dyDescent="0.25">
      <c r="A92" t="s">
        <v>909</v>
      </c>
      <c r="B92" t="s">
        <v>2755</v>
      </c>
      <c r="C92" t="s">
        <v>2756</v>
      </c>
      <c r="D92" t="s">
        <v>2757</v>
      </c>
      <c r="E92" t="s">
        <v>2758</v>
      </c>
      <c r="F92" t="s">
        <v>2002</v>
      </c>
      <c r="G92" t="s">
        <v>2759</v>
      </c>
      <c r="H92" t="s">
        <v>1113</v>
      </c>
    </row>
    <row r="93" spans="1:8" x14ac:dyDescent="0.25">
      <c r="A93" t="s">
        <v>603</v>
      </c>
      <c r="B93" t="s">
        <v>1712</v>
      </c>
      <c r="C93" t="s">
        <v>3060</v>
      </c>
      <c r="D93" t="s">
        <v>2466</v>
      </c>
      <c r="E93" t="s">
        <v>2467</v>
      </c>
      <c r="F93" t="s">
        <v>2002</v>
      </c>
      <c r="G93" t="s">
        <v>2468</v>
      </c>
      <c r="H93" t="s">
        <v>118</v>
      </c>
    </row>
    <row r="94" spans="1:8" x14ac:dyDescent="0.25">
      <c r="A94" t="s">
        <v>597</v>
      </c>
      <c r="B94" t="s">
        <v>364</v>
      </c>
      <c r="C94" t="s">
        <v>1660</v>
      </c>
      <c r="D94" t="s">
        <v>1661</v>
      </c>
      <c r="E94" t="s">
        <v>1406</v>
      </c>
      <c r="F94" t="s">
        <v>1285</v>
      </c>
      <c r="G94" t="s">
        <v>1407</v>
      </c>
      <c r="H94" t="s">
        <v>1252</v>
      </c>
    </row>
    <row r="95" spans="1:8" x14ac:dyDescent="0.25">
      <c r="A95" t="s">
        <v>510</v>
      </c>
      <c r="B95" t="s">
        <v>109</v>
      </c>
      <c r="C95" t="s">
        <v>2398</v>
      </c>
      <c r="D95" t="s">
        <v>2682</v>
      </c>
      <c r="E95" t="s">
        <v>2683</v>
      </c>
      <c r="F95" t="s">
        <v>2011</v>
      </c>
      <c r="G95" t="s">
        <v>2684</v>
      </c>
      <c r="H95" t="s">
        <v>989</v>
      </c>
    </row>
    <row r="96" spans="1:8" x14ac:dyDescent="0.25">
      <c r="A96" t="s">
        <v>478</v>
      </c>
      <c r="B96" t="s">
        <v>2397</v>
      </c>
      <c r="C96" t="s">
        <v>2398</v>
      </c>
      <c r="D96" t="s">
        <v>2399</v>
      </c>
      <c r="E96" t="s">
        <v>1494</v>
      </c>
      <c r="F96" t="s">
        <v>2271</v>
      </c>
      <c r="G96" t="s">
        <v>2400</v>
      </c>
      <c r="H96" t="s">
        <v>1186</v>
      </c>
    </row>
    <row r="97" spans="1:8" x14ac:dyDescent="0.25">
      <c r="A97" t="s">
        <v>693</v>
      </c>
      <c r="B97" t="s">
        <v>2341</v>
      </c>
      <c r="C97" t="s">
        <v>3061</v>
      </c>
      <c r="D97" t="s">
        <v>1307</v>
      </c>
      <c r="E97" t="s">
        <v>1308</v>
      </c>
      <c r="F97" t="s">
        <v>1285</v>
      </c>
      <c r="G97" t="s">
        <v>1309</v>
      </c>
      <c r="H97" t="s">
        <v>1276</v>
      </c>
    </row>
    <row r="98" spans="1:8" x14ac:dyDescent="0.25">
      <c r="A98" t="s">
        <v>581</v>
      </c>
      <c r="B98" t="s">
        <v>353</v>
      </c>
      <c r="C98" t="s">
        <v>1824</v>
      </c>
      <c r="D98" t="s">
        <v>1825</v>
      </c>
      <c r="E98" t="s">
        <v>1826</v>
      </c>
      <c r="F98" t="s">
        <v>1285</v>
      </c>
      <c r="G98" t="s">
        <v>1827</v>
      </c>
      <c r="H98" t="s">
        <v>1205</v>
      </c>
    </row>
    <row r="99" spans="1:8" x14ac:dyDescent="0.25">
      <c r="A99" t="s">
        <v>812</v>
      </c>
      <c r="B99" t="s">
        <v>259</v>
      </c>
      <c r="C99" t="s">
        <v>2739</v>
      </c>
      <c r="D99" t="s">
        <v>2740</v>
      </c>
      <c r="E99" t="s">
        <v>2179</v>
      </c>
      <c r="F99" t="s">
        <v>2041</v>
      </c>
      <c r="G99" t="s">
        <v>2180</v>
      </c>
      <c r="H99" t="s">
        <v>410</v>
      </c>
    </row>
    <row r="100" spans="1:8" x14ac:dyDescent="0.25">
      <c r="A100" t="s">
        <v>768</v>
      </c>
      <c r="B100" t="s">
        <v>1281</v>
      </c>
      <c r="C100" t="s">
        <v>3057</v>
      </c>
      <c r="D100" t="s">
        <v>2727</v>
      </c>
      <c r="E100" t="s">
        <v>1396</v>
      </c>
      <c r="F100" t="s">
        <v>1285</v>
      </c>
      <c r="G100" t="s">
        <v>1397</v>
      </c>
      <c r="H100" t="s">
        <v>3056</v>
      </c>
    </row>
    <row r="101" spans="1:8" x14ac:dyDescent="0.25">
      <c r="A101" t="s">
        <v>813</v>
      </c>
      <c r="B101" t="s">
        <v>215</v>
      </c>
      <c r="C101" t="s">
        <v>213</v>
      </c>
      <c r="D101" t="s">
        <v>2712</v>
      </c>
      <c r="E101" t="s">
        <v>2713</v>
      </c>
      <c r="F101" t="s">
        <v>2041</v>
      </c>
      <c r="G101" t="s">
        <v>2180</v>
      </c>
      <c r="H101" t="s">
        <v>216</v>
      </c>
    </row>
    <row r="102" spans="1:8" x14ac:dyDescent="0.25">
      <c r="A102" t="s">
        <v>607</v>
      </c>
      <c r="B102" t="s">
        <v>3055</v>
      </c>
      <c r="C102" t="s">
        <v>213</v>
      </c>
      <c r="D102" t="s">
        <v>1716</v>
      </c>
      <c r="E102" t="s">
        <v>1717</v>
      </c>
      <c r="F102" t="s">
        <v>1285</v>
      </c>
      <c r="G102" t="s">
        <v>1718</v>
      </c>
      <c r="H102" t="s">
        <v>943</v>
      </c>
    </row>
    <row r="103" spans="1:8" x14ac:dyDescent="0.25">
      <c r="A103" t="s">
        <v>477</v>
      </c>
      <c r="B103" t="s">
        <v>2700</v>
      </c>
      <c r="C103" t="s">
        <v>2701</v>
      </c>
      <c r="D103" t="s">
        <v>2702</v>
      </c>
      <c r="E103" t="s">
        <v>2703</v>
      </c>
      <c r="F103" t="s">
        <v>2020</v>
      </c>
      <c r="G103" t="s">
        <v>2704</v>
      </c>
      <c r="H103" t="s">
        <v>131</v>
      </c>
    </row>
    <row r="104" spans="1:8" x14ac:dyDescent="0.25">
      <c r="A104" t="s">
        <v>752</v>
      </c>
      <c r="B104" t="s">
        <v>1618</v>
      </c>
      <c r="C104" t="s">
        <v>1619</v>
      </c>
      <c r="D104" t="s">
        <v>1620</v>
      </c>
      <c r="E104" t="s">
        <v>1621</v>
      </c>
      <c r="F104" t="s">
        <v>1285</v>
      </c>
      <c r="G104" t="s">
        <v>1622</v>
      </c>
      <c r="H104" t="s">
        <v>1029</v>
      </c>
    </row>
    <row r="105" spans="1:8" x14ac:dyDescent="0.25">
      <c r="A105" t="s">
        <v>874</v>
      </c>
      <c r="B105" t="s">
        <v>188</v>
      </c>
      <c r="C105" t="s">
        <v>1619</v>
      </c>
      <c r="D105" t="s">
        <v>1623</v>
      </c>
      <c r="E105" t="s">
        <v>1555</v>
      </c>
      <c r="F105" t="s">
        <v>1285</v>
      </c>
      <c r="G105" t="s">
        <v>1556</v>
      </c>
      <c r="H105" t="s">
        <v>946</v>
      </c>
    </row>
    <row r="106" spans="1:8" x14ac:dyDescent="0.25">
      <c r="A106" t="s">
        <v>621</v>
      </c>
      <c r="B106" t="s">
        <v>434</v>
      </c>
      <c r="C106" t="s">
        <v>252</v>
      </c>
      <c r="D106" t="s">
        <v>1615</v>
      </c>
      <c r="E106" t="s">
        <v>1616</v>
      </c>
      <c r="F106" t="s">
        <v>1285</v>
      </c>
      <c r="G106" t="s">
        <v>1617</v>
      </c>
      <c r="H106" t="s">
        <v>1053</v>
      </c>
    </row>
    <row r="107" spans="1:8" x14ac:dyDescent="0.25">
      <c r="A107" t="s">
        <v>759</v>
      </c>
      <c r="B107" t="s">
        <v>402</v>
      </c>
      <c r="C107" t="s">
        <v>2154</v>
      </c>
      <c r="D107" t="s">
        <v>2155</v>
      </c>
      <c r="E107" t="s">
        <v>2156</v>
      </c>
      <c r="F107" t="s">
        <v>2011</v>
      </c>
      <c r="G107" t="s">
        <v>2157</v>
      </c>
      <c r="H107" t="s">
        <v>365</v>
      </c>
    </row>
    <row r="108" spans="1:8" x14ac:dyDescent="0.25">
      <c r="A108" t="s">
        <v>672</v>
      </c>
      <c r="B108" t="s">
        <v>210</v>
      </c>
      <c r="C108" t="s">
        <v>2906</v>
      </c>
      <c r="D108" t="s">
        <v>2907</v>
      </c>
      <c r="E108" t="s">
        <v>2908</v>
      </c>
      <c r="F108" t="s">
        <v>2020</v>
      </c>
      <c r="G108" t="s">
        <v>2909</v>
      </c>
      <c r="H108" t="s">
        <v>155</v>
      </c>
    </row>
    <row r="109" spans="1:8" x14ac:dyDescent="0.25">
      <c r="A109" t="s">
        <v>896</v>
      </c>
      <c r="B109" t="s">
        <v>1846</v>
      </c>
      <c r="C109" t="s">
        <v>1847</v>
      </c>
      <c r="D109" t="s">
        <v>1848</v>
      </c>
      <c r="E109" t="s">
        <v>1621</v>
      </c>
      <c r="F109" t="s">
        <v>1285</v>
      </c>
      <c r="G109" t="s">
        <v>1622</v>
      </c>
      <c r="H109" t="s">
        <v>1233</v>
      </c>
    </row>
    <row r="110" spans="1:8" x14ac:dyDescent="0.25">
      <c r="A110" t="s">
        <v>663</v>
      </c>
      <c r="B110" t="s">
        <v>207</v>
      </c>
      <c r="C110" t="s">
        <v>368</v>
      </c>
      <c r="D110" t="s">
        <v>1329</v>
      </c>
      <c r="E110" t="s">
        <v>1330</v>
      </c>
      <c r="F110" t="s">
        <v>1285</v>
      </c>
      <c r="G110" t="s">
        <v>1331</v>
      </c>
      <c r="H110" t="s">
        <v>1052</v>
      </c>
    </row>
    <row r="111" spans="1:8" x14ac:dyDescent="0.25">
      <c r="A111" t="s">
        <v>843</v>
      </c>
      <c r="B111" t="s">
        <v>1394</v>
      </c>
      <c r="C111" t="s">
        <v>368</v>
      </c>
      <c r="D111" t="s">
        <v>1395</v>
      </c>
      <c r="E111" t="s">
        <v>1396</v>
      </c>
      <c r="F111" t="s">
        <v>1285</v>
      </c>
      <c r="G111" t="s">
        <v>1397</v>
      </c>
      <c r="H111" t="s">
        <v>1149</v>
      </c>
    </row>
    <row r="112" spans="1:8" x14ac:dyDescent="0.25">
      <c r="A112" t="s">
        <v>674</v>
      </c>
      <c r="B112" t="s">
        <v>169</v>
      </c>
      <c r="C112" t="s">
        <v>368</v>
      </c>
      <c r="D112" t="s">
        <v>2647</v>
      </c>
      <c r="E112" t="s">
        <v>2648</v>
      </c>
      <c r="F112" t="s">
        <v>2020</v>
      </c>
      <c r="G112" t="s">
        <v>2649</v>
      </c>
      <c r="H112" t="s">
        <v>352</v>
      </c>
    </row>
    <row r="113" spans="1:8" x14ac:dyDescent="0.25">
      <c r="A113" t="s">
        <v>458</v>
      </c>
      <c r="B113" t="s">
        <v>2104</v>
      </c>
      <c r="C113" t="s">
        <v>368</v>
      </c>
      <c r="D113" t="s">
        <v>2105</v>
      </c>
      <c r="E113" t="s">
        <v>2106</v>
      </c>
      <c r="F113" t="s">
        <v>2041</v>
      </c>
      <c r="G113" t="s">
        <v>2107</v>
      </c>
      <c r="H113" t="s">
        <v>432</v>
      </c>
    </row>
    <row r="114" spans="1:8" x14ac:dyDescent="0.25">
      <c r="A114" t="s">
        <v>616</v>
      </c>
      <c r="B114" t="s">
        <v>2581</v>
      </c>
      <c r="C114" t="s">
        <v>368</v>
      </c>
      <c r="D114" t="s">
        <v>2582</v>
      </c>
      <c r="E114" t="s">
        <v>2583</v>
      </c>
      <c r="F114" t="s">
        <v>2083</v>
      </c>
      <c r="G114" t="s">
        <v>2584</v>
      </c>
      <c r="H114" t="s">
        <v>1264</v>
      </c>
    </row>
    <row r="115" spans="1:8" x14ac:dyDescent="0.25">
      <c r="A115" t="s">
        <v>827</v>
      </c>
      <c r="B115" t="s">
        <v>192</v>
      </c>
      <c r="C115" t="s">
        <v>368</v>
      </c>
      <c r="D115" t="s">
        <v>2663</v>
      </c>
      <c r="E115" t="s">
        <v>2664</v>
      </c>
      <c r="F115" t="s">
        <v>2083</v>
      </c>
      <c r="G115" t="s">
        <v>2665</v>
      </c>
      <c r="H115" t="s">
        <v>969</v>
      </c>
    </row>
    <row r="116" spans="1:8" x14ac:dyDescent="0.25">
      <c r="A116" t="s">
        <v>880</v>
      </c>
      <c r="B116" t="s">
        <v>1912</v>
      </c>
      <c r="C116" t="s">
        <v>1913</v>
      </c>
      <c r="D116" t="s">
        <v>1914</v>
      </c>
      <c r="E116" t="s">
        <v>1355</v>
      </c>
      <c r="F116" t="s">
        <v>1285</v>
      </c>
      <c r="G116" t="s">
        <v>1356</v>
      </c>
      <c r="H116" t="s">
        <v>168</v>
      </c>
    </row>
    <row r="117" spans="1:8" x14ac:dyDescent="0.25">
      <c r="A117" t="s">
        <v>659</v>
      </c>
      <c r="B117" t="s">
        <v>1000</v>
      </c>
      <c r="C117" t="s">
        <v>2778</v>
      </c>
      <c r="D117" t="s">
        <v>2779</v>
      </c>
      <c r="E117" t="s">
        <v>2780</v>
      </c>
      <c r="F117" t="s">
        <v>2278</v>
      </c>
      <c r="G117" t="s">
        <v>2781</v>
      </c>
      <c r="H117" t="s">
        <v>319</v>
      </c>
    </row>
    <row r="118" spans="1:8" x14ac:dyDescent="0.25">
      <c r="A118" t="s">
        <v>857</v>
      </c>
      <c r="B118" t="s">
        <v>1542</v>
      </c>
      <c r="C118" t="s">
        <v>1543</v>
      </c>
      <c r="D118" t="s">
        <v>1544</v>
      </c>
      <c r="E118" t="s">
        <v>1323</v>
      </c>
      <c r="F118" t="s">
        <v>1285</v>
      </c>
      <c r="G118" t="s">
        <v>1545</v>
      </c>
      <c r="H118" t="s">
        <v>1157</v>
      </c>
    </row>
    <row r="119" spans="1:8" x14ac:dyDescent="0.25">
      <c r="A119" t="s">
        <v>723</v>
      </c>
      <c r="B119" t="s">
        <v>415</v>
      </c>
      <c r="C119" t="s">
        <v>2898</v>
      </c>
      <c r="D119" t="s">
        <v>2899</v>
      </c>
      <c r="E119" t="s">
        <v>2900</v>
      </c>
      <c r="F119" t="s">
        <v>2041</v>
      </c>
      <c r="G119" t="s">
        <v>2670</v>
      </c>
      <c r="H119" t="s">
        <v>1170</v>
      </c>
    </row>
    <row r="120" spans="1:8" x14ac:dyDescent="0.25">
      <c r="A120" t="s">
        <v>715</v>
      </c>
      <c r="B120" t="s">
        <v>3059</v>
      </c>
      <c r="C120" t="s">
        <v>3058</v>
      </c>
      <c r="D120" t="s">
        <v>1745</v>
      </c>
      <c r="E120" t="s">
        <v>1427</v>
      </c>
      <c r="F120" t="s">
        <v>1285</v>
      </c>
      <c r="G120" t="s">
        <v>1428</v>
      </c>
      <c r="H120" t="s">
        <v>1078</v>
      </c>
    </row>
    <row r="121" spans="1:8" x14ac:dyDescent="0.25">
      <c r="A121" t="s">
        <v>572</v>
      </c>
      <c r="B121" t="s">
        <v>1501</v>
      </c>
      <c r="C121" t="s">
        <v>1502</v>
      </c>
      <c r="D121" t="s">
        <v>1503</v>
      </c>
      <c r="E121" t="s">
        <v>1299</v>
      </c>
      <c r="F121" t="s">
        <v>1285</v>
      </c>
      <c r="G121" t="s">
        <v>1300</v>
      </c>
      <c r="H121" t="s">
        <v>1043</v>
      </c>
    </row>
    <row r="122" spans="1:8" x14ac:dyDescent="0.25">
      <c r="A122" t="s">
        <v>491</v>
      </c>
      <c r="B122" t="s">
        <v>1332</v>
      </c>
      <c r="C122" t="s">
        <v>1333</v>
      </c>
      <c r="D122" t="s">
        <v>1334</v>
      </c>
      <c r="E122" t="s">
        <v>1335</v>
      </c>
      <c r="F122" t="s">
        <v>1285</v>
      </c>
      <c r="G122" t="s">
        <v>1336</v>
      </c>
      <c r="H122" t="s">
        <v>1245</v>
      </c>
    </row>
    <row r="123" spans="1:8" x14ac:dyDescent="0.25">
      <c r="A123" t="s">
        <v>469</v>
      </c>
      <c r="B123" t="s">
        <v>1752</v>
      </c>
      <c r="C123" t="s">
        <v>1753</v>
      </c>
      <c r="D123" t="s">
        <v>1754</v>
      </c>
      <c r="E123" t="s">
        <v>1508</v>
      </c>
      <c r="F123" t="s">
        <v>1285</v>
      </c>
      <c r="G123" t="s">
        <v>1509</v>
      </c>
      <c r="H123" t="s">
        <v>983</v>
      </c>
    </row>
    <row r="124" spans="1:8" x14ac:dyDescent="0.25">
      <c r="A124" t="s">
        <v>645</v>
      </c>
      <c r="B124" t="s">
        <v>2287</v>
      </c>
      <c r="C124" t="s">
        <v>2288</v>
      </c>
      <c r="D124" t="s">
        <v>2289</v>
      </c>
      <c r="E124" t="s">
        <v>2290</v>
      </c>
      <c r="F124" t="s">
        <v>1997</v>
      </c>
      <c r="G124" t="s">
        <v>2291</v>
      </c>
      <c r="H124" t="s">
        <v>183</v>
      </c>
    </row>
    <row r="125" spans="1:8" x14ac:dyDescent="0.25">
      <c r="A125" t="s">
        <v>537</v>
      </c>
      <c r="B125" t="s">
        <v>374</v>
      </c>
      <c r="C125" t="s">
        <v>1976</v>
      </c>
      <c r="D125" t="s">
        <v>1977</v>
      </c>
      <c r="E125" t="s">
        <v>1717</v>
      </c>
      <c r="F125" t="s">
        <v>1285</v>
      </c>
      <c r="G125" t="s">
        <v>1718</v>
      </c>
      <c r="H125" t="s">
        <v>1091</v>
      </c>
    </row>
    <row r="126" spans="1:8" x14ac:dyDescent="0.25">
      <c r="A126" t="s">
        <v>460</v>
      </c>
      <c r="B126" t="s">
        <v>2901</v>
      </c>
      <c r="C126" t="s">
        <v>2902</v>
      </c>
      <c r="D126" t="s">
        <v>2903</v>
      </c>
      <c r="E126" t="s">
        <v>2904</v>
      </c>
      <c r="F126" t="s">
        <v>2041</v>
      </c>
      <c r="G126" t="s">
        <v>2905</v>
      </c>
      <c r="H126" t="s">
        <v>124</v>
      </c>
    </row>
    <row r="127" spans="1:8" x14ac:dyDescent="0.25">
      <c r="A127" t="s">
        <v>644</v>
      </c>
      <c r="B127" t="s">
        <v>2256</v>
      </c>
      <c r="C127" t="s">
        <v>2257</v>
      </c>
      <c r="D127" t="s">
        <v>2258</v>
      </c>
      <c r="E127" t="s">
        <v>2259</v>
      </c>
      <c r="F127" t="s">
        <v>2161</v>
      </c>
      <c r="G127" t="s">
        <v>2260</v>
      </c>
      <c r="H127" t="s">
        <v>439</v>
      </c>
    </row>
    <row r="128" spans="1:8" x14ac:dyDescent="0.25">
      <c r="A128" t="s">
        <v>598</v>
      </c>
      <c r="B128" t="s">
        <v>367</v>
      </c>
      <c r="C128" t="s">
        <v>2650</v>
      </c>
      <c r="D128" t="s">
        <v>2651</v>
      </c>
      <c r="E128" t="s">
        <v>2652</v>
      </c>
      <c r="F128" t="s">
        <v>2083</v>
      </c>
      <c r="G128" t="s">
        <v>2653</v>
      </c>
      <c r="H128" t="s">
        <v>951</v>
      </c>
    </row>
    <row r="129" spans="1:8" x14ac:dyDescent="0.25">
      <c r="A129" t="s">
        <v>761</v>
      </c>
      <c r="B129" t="s">
        <v>2685</v>
      </c>
      <c r="C129" t="s">
        <v>1013</v>
      </c>
      <c r="D129" t="s">
        <v>2686</v>
      </c>
      <c r="E129" t="s">
        <v>2687</v>
      </c>
      <c r="F129" t="s">
        <v>2041</v>
      </c>
      <c r="G129" t="s">
        <v>2688</v>
      </c>
      <c r="H129" t="s">
        <v>238</v>
      </c>
    </row>
    <row r="130" spans="1:8" x14ac:dyDescent="0.25">
      <c r="A130" t="s">
        <v>890</v>
      </c>
      <c r="B130" t="s">
        <v>158</v>
      </c>
      <c r="C130" t="s">
        <v>1013</v>
      </c>
      <c r="D130" t="s">
        <v>1960</v>
      </c>
      <c r="E130" t="s">
        <v>1961</v>
      </c>
      <c r="F130" t="s">
        <v>1285</v>
      </c>
      <c r="G130" t="s">
        <v>1962</v>
      </c>
      <c r="H130" t="s">
        <v>321</v>
      </c>
    </row>
    <row r="131" spans="1:8" x14ac:dyDescent="0.25">
      <c r="A131" t="s">
        <v>624</v>
      </c>
      <c r="B131" t="s">
        <v>1755</v>
      </c>
      <c r="C131" t="s">
        <v>1756</v>
      </c>
      <c r="D131" t="s">
        <v>1757</v>
      </c>
      <c r="E131" t="s">
        <v>1688</v>
      </c>
      <c r="F131" t="s">
        <v>1285</v>
      </c>
      <c r="G131" t="s">
        <v>1689</v>
      </c>
      <c r="H131" t="s">
        <v>1211</v>
      </c>
    </row>
    <row r="132" spans="1:8" x14ac:dyDescent="0.25">
      <c r="A132" t="s">
        <v>524</v>
      </c>
      <c r="B132" t="s">
        <v>277</v>
      </c>
      <c r="C132" t="s">
        <v>2955</v>
      </c>
      <c r="D132" t="s">
        <v>2956</v>
      </c>
      <c r="E132" t="s">
        <v>2957</v>
      </c>
      <c r="F132" t="s">
        <v>1992</v>
      </c>
      <c r="G132" t="s">
        <v>2958</v>
      </c>
      <c r="H132" t="s">
        <v>332</v>
      </c>
    </row>
    <row r="133" spans="1:8" x14ac:dyDescent="0.25">
      <c r="A133" t="s">
        <v>497</v>
      </c>
      <c r="B133" t="s">
        <v>295</v>
      </c>
      <c r="C133" t="s">
        <v>1656</v>
      </c>
      <c r="D133" t="s">
        <v>1657</v>
      </c>
      <c r="E133" t="s">
        <v>1658</v>
      </c>
      <c r="F133" t="s">
        <v>1285</v>
      </c>
      <c r="G133" t="s">
        <v>1659</v>
      </c>
      <c r="H133" t="s">
        <v>958</v>
      </c>
    </row>
    <row r="134" spans="1:8" x14ac:dyDescent="0.25">
      <c r="A134" t="s">
        <v>879</v>
      </c>
      <c r="B134" t="s">
        <v>160</v>
      </c>
      <c r="C134" t="s">
        <v>2606</v>
      </c>
      <c r="D134" t="s">
        <v>2607</v>
      </c>
      <c r="E134" t="s">
        <v>2187</v>
      </c>
      <c r="F134" t="s">
        <v>2041</v>
      </c>
      <c r="G134" t="s">
        <v>2188</v>
      </c>
      <c r="H134" t="s">
        <v>1273</v>
      </c>
    </row>
    <row r="135" spans="1:8" x14ac:dyDescent="0.25">
      <c r="A135" t="s">
        <v>528</v>
      </c>
      <c r="B135" t="s">
        <v>119</v>
      </c>
      <c r="C135" t="s">
        <v>2865</v>
      </c>
      <c r="D135" t="s">
        <v>2866</v>
      </c>
      <c r="E135" t="s">
        <v>2867</v>
      </c>
      <c r="F135" t="s">
        <v>2041</v>
      </c>
      <c r="G135" t="s">
        <v>2868</v>
      </c>
      <c r="H135" t="s">
        <v>350</v>
      </c>
    </row>
    <row r="136" spans="1:8" x14ac:dyDescent="0.25">
      <c r="A136" t="s">
        <v>910</v>
      </c>
      <c r="B136" t="s">
        <v>210</v>
      </c>
      <c r="C136" t="s">
        <v>1427</v>
      </c>
      <c r="D136" t="s">
        <v>2790</v>
      </c>
      <c r="E136" t="s">
        <v>2791</v>
      </c>
      <c r="F136" t="s">
        <v>2083</v>
      </c>
      <c r="G136" t="s">
        <v>2792</v>
      </c>
      <c r="H136" t="s">
        <v>304</v>
      </c>
    </row>
    <row r="137" spans="1:8" x14ac:dyDescent="0.25">
      <c r="A137" t="s">
        <v>641</v>
      </c>
      <c r="B137" t="s">
        <v>2189</v>
      </c>
      <c r="C137" t="s">
        <v>2992</v>
      </c>
      <c r="D137" t="s">
        <v>2993</v>
      </c>
      <c r="E137" t="s">
        <v>2994</v>
      </c>
      <c r="F137" t="s">
        <v>2041</v>
      </c>
      <c r="G137" t="s">
        <v>2995</v>
      </c>
      <c r="H137" t="s">
        <v>179</v>
      </c>
    </row>
    <row r="138" spans="1:8" x14ac:dyDescent="0.25">
      <c r="A138" t="s">
        <v>699</v>
      </c>
      <c r="B138" t="s">
        <v>2485</v>
      </c>
      <c r="C138" t="s">
        <v>2486</v>
      </c>
      <c r="D138" t="s">
        <v>2487</v>
      </c>
      <c r="E138" t="s">
        <v>2488</v>
      </c>
      <c r="F138" t="s">
        <v>2041</v>
      </c>
      <c r="G138" t="s">
        <v>2314</v>
      </c>
      <c r="H138" t="s">
        <v>145</v>
      </c>
    </row>
    <row r="139" spans="1:8" x14ac:dyDescent="0.25">
      <c r="A139" t="s">
        <v>906</v>
      </c>
      <c r="B139" t="s">
        <v>125</v>
      </c>
      <c r="C139" t="s">
        <v>1611</v>
      </c>
      <c r="D139" t="s">
        <v>1612</v>
      </c>
      <c r="E139" t="s">
        <v>1613</v>
      </c>
      <c r="F139" t="s">
        <v>1285</v>
      </c>
      <c r="G139" t="s">
        <v>1614</v>
      </c>
      <c r="H139" t="s">
        <v>1023</v>
      </c>
    </row>
    <row r="140" spans="1:8" x14ac:dyDescent="0.25">
      <c r="A140" t="s">
        <v>480</v>
      </c>
      <c r="B140" t="s">
        <v>147</v>
      </c>
      <c r="C140" t="s">
        <v>2801</v>
      </c>
      <c r="D140" t="s">
        <v>2802</v>
      </c>
      <c r="E140" t="s">
        <v>2075</v>
      </c>
      <c r="F140" t="s">
        <v>2020</v>
      </c>
      <c r="G140" t="s">
        <v>2493</v>
      </c>
      <c r="H140" t="s">
        <v>1202</v>
      </c>
    </row>
    <row r="141" spans="1:8" x14ac:dyDescent="0.25">
      <c r="A141" t="s">
        <v>718</v>
      </c>
      <c r="B141" t="s">
        <v>229</v>
      </c>
      <c r="C141" t="s">
        <v>2980</v>
      </c>
      <c r="D141" t="s">
        <v>2981</v>
      </c>
      <c r="E141" t="s">
        <v>2982</v>
      </c>
      <c r="F141" t="s">
        <v>2041</v>
      </c>
      <c r="G141" t="s">
        <v>2983</v>
      </c>
      <c r="H141" t="s">
        <v>317</v>
      </c>
    </row>
    <row r="142" spans="1:8" x14ac:dyDescent="0.25">
      <c r="A142" t="s">
        <v>667</v>
      </c>
      <c r="B142" t="s">
        <v>150</v>
      </c>
      <c r="C142" t="s">
        <v>2767</v>
      </c>
      <c r="D142" t="s">
        <v>2768</v>
      </c>
      <c r="E142" t="s">
        <v>2036</v>
      </c>
      <c r="F142" t="s">
        <v>2020</v>
      </c>
      <c r="G142" t="s">
        <v>2769</v>
      </c>
      <c r="H142" t="s">
        <v>1227</v>
      </c>
    </row>
    <row r="143" spans="1:8" x14ac:dyDescent="0.25">
      <c r="A143" t="s">
        <v>588</v>
      </c>
      <c r="B143" t="s">
        <v>127</v>
      </c>
      <c r="C143" t="s">
        <v>2845</v>
      </c>
      <c r="D143" t="s">
        <v>2846</v>
      </c>
      <c r="E143" t="s">
        <v>2847</v>
      </c>
      <c r="F143" t="s">
        <v>1992</v>
      </c>
      <c r="G143" t="s">
        <v>2848</v>
      </c>
      <c r="H143" t="s">
        <v>316</v>
      </c>
    </row>
    <row r="144" spans="1:8" x14ac:dyDescent="0.25">
      <c r="A144" t="s">
        <v>522</v>
      </c>
      <c r="B144" t="s">
        <v>314</v>
      </c>
      <c r="C144" t="s">
        <v>1538</v>
      </c>
      <c r="D144" t="s">
        <v>1539</v>
      </c>
      <c r="E144" t="s">
        <v>1540</v>
      </c>
      <c r="F144" t="s">
        <v>1285</v>
      </c>
      <c r="G144" t="s">
        <v>1541</v>
      </c>
      <c r="H144" t="s">
        <v>975</v>
      </c>
    </row>
    <row r="145" spans="1:8" x14ac:dyDescent="0.25">
      <c r="A145" t="s">
        <v>753</v>
      </c>
      <c r="B145" t="s">
        <v>2817</v>
      </c>
      <c r="C145" t="s">
        <v>2818</v>
      </c>
      <c r="D145" t="s">
        <v>2819</v>
      </c>
      <c r="E145" t="s">
        <v>2820</v>
      </c>
      <c r="F145" t="s">
        <v>2041</v>
      </c>
      <c r="G145" t="s">
        <v>2821</v>
      </c>
      <c r="H145" t="s">
        <v>136</v>
      </c>
    </row>
    <row r="146" spans="1:8" x14ac:dyDescent="0.25">
      <c r="A146" t="s">
        <v>820</v>
      </c>
      <c r="B146" t="s">
        <v>2505</v>
      </c>
      <c r="C146" t="s">
        <v>2506</v>
      </c>
      <c r="D146" t="s">
        <v>2507</v>
      </c>
      <c r="E146" t="s">
        <v>2508</v>
      </c>
      <c r="F146" t="s">
        <v>2041</v>
      </c>
      <c r="G146" t="s">
        <v>2509</v>
      </c>
      <c r="H146" t="s">
        <v>1005</v>
      </c>
    </row>
    <row r="147" spans="1:8" x14ac:dyDescent="0.25">
      <c r="A147" t="s">
        <v>810</v>
      </c>
      <c r="B147" t="s">
        <v>424</v>
      </c>
      <c r="C147" t="s">
        <v>2141</v>
      </c>
      <c r="D147" t="s">
        <v>2142</v>
      </c>
      <c r="E147" t="s">
        <v>2143</v>
      </c>
      <c r="F147" t="s">
        <v>2011</v>
      </c>
      <c r="G147" t="s">
        <v>2144</v>
      </c>
      <c r="H147" t="s">
        <v>344</v>
      </c>
    </row>
    <row r="148" spans="1:8" x14ac:dyDescent="0.25">
      <c r="A148" t="s">
        <v>919</v>
      </c>
      <c r="B148" t="s">
        <v>1769</v>
      </c>
      <c r="C148" t="s">
        <v>1770</v>
      </c>
      <c r="D148" t="s">
        <v>1771</v>
      </c>
      <c r="E148" t="s">
        <v>1772</v>
      </c>
      <c r="F148" t="s">
        <v>1285</v>
      </c>
      <c r="G148" t="s">
        <v>1773</v>
      </c>
      <c r="H148" t="s">
        <v>990</v>
      </c>
    </row>
    <row r="149" spans="1:8" x14ac:dyDescent="0.25">
      <c r="A149" t="s">
        <v>632</v>
      </c>
      <c r="B149" t="s">
        <v>119</v>
      </c>
      <c r="C149" t="s">
        <v>1770</v>
      </c>
      <c r="D149" t="s">
        <v>2731</v>
      </c>
      <c r="E149" t="s">
        <v>2732</v>
      </c>
      <c r="F149" t="s">
        <v>2041</v>
      </c>
      <c r="G149" t="s">
        <v>2314</v>
      </c>
      <c r="H149" t="s">
        <v>294</v>
      </c>
    </row>
    <row r="150" spans="1:8" x14ac:dyDescent="0.25">
      <c r="A150" t="s">
        <v>860</v>
      </c>
      <c r="B150" t="s">
        <v>314</v>
      </c>
      <c r="C150" t="s">
        <v>2785</v>
      </c>
      <c r="D150" t="s">
        <v>2786</v>
      </c>
      <c r="E150" t="s">
        <v>2075</v>
      </c>
      <c r="F150" t="s">
        <v>2020</v>
      </c>
      <c r="G150" t="s">
        <v>2787</v>
      </c>
      <c r="H150" t="s">
        <v>144</v>
      </c>
    </row>
    <row r="151" spans="1:8" x14ac:dyDescent="0.25">
      <c r="A151" t="s">
        <v>646</v>
      </c>
      <c r="B151" t="s">
        <v>1624</v>
      </c>
      <c r="C151" t="s">
        <v>1625</v>
      </c>
      <c r="D151" t="s">
        <v>1626</v>
      </c>
      <c r="E151" t="s">
        <v>1627</v>
      </c>
      <c r="F151" t="s">
        <v>1285</v>
      </c>
      <c r="G151" t="s">
        <v>1628</v>
      </c>
      <c r="H151" t="s">
        <v>1077</v>
      </c>
    </row>
    <row r="152" spans="1:8" x14ac:dyDescent="0.25">
      <c r="A152" t="s">
        <v>488</v>
      </c>
      <c r="B152" t="s">
        <v>162</v>
      </c>
      <c r="C152" t="s">
        <v>2973</v>
      </c>
      <c r="D152" t="s">
        <v>2974</v>
      </c>
      <c r="E152" t="s">
        <v>2975</v>
      </c>
      <c r="F152" t="s">
        <v>2041</v>
      </c>
      <c r="G152" t="s">
        <v>2893</v>
      </c>
      <c r="H152" t="s">
        <v>129</v>
      </c>
    </row>
    <row r="153" spans="1:8" x14ac:dyDescent="0.25">
      <c r="A153" t="s">
        <v>657</v>
      </c>
      <c r="B153" t="s">
        <v>1642</v>
      </c>
      <c r="C153" t="s">
        <v>1173</v>
      </c>
      <c r="D153" t="s">
        <v>2724</v>
      </c>
      <c r="E153" t="s">
        <v>2725</v>
      </c>
      <c r="F153" t="s">
        <v>2041</v>
      </c>
      <c r="G153" t="s">
        <v>2726</v>
      </c>
      <c r="H153" t="s">
        <v>269</v>
      </c>
    </row>
    <row r="154" spans="1:8" x14ac:dyDescent="0.25">
      <c r="A154" t="s">
        <v>908</v>
      </c>
      <c r="B154" t="s">
        <v>2745</v>
      </c>
      <c r="C154" t="s">
        <v>2926</v>
      </c>
      <c r="D154" t="s">
        <v>2927</v>
      </c>
      <c r="E154" t="s">
        <v>2928</v>
      </c>
      <c r="F154" t="s">
        <v>2011</v>
      </c>
      <c r="G154" t="s">
        <v>2929</v>
      </c>
      <c r="H154" t="s">
        <v>1153</v>
      </c>
    </row>
    <row r="155" spans="1:8" x14ac:dyDescent="0.25">
      <c r="A155" t="s">
        <v>648</v>
      </c>
      <c r="B155" t="s">
        <v>1485</v>
      </c>
      <c r="C155" t="s">
        <v>1486</v>
      </c>
      <c r="D155" t="s">
        <v>1487</v>
      </c>
      <c r="E155" t="s">
        <v>1445</v>
      </c>
      <c r="F155" t="s">
        <v>1285</v>
      </c>
      <c r="G155" t="s">
        <v>1446</v>
      </c>
      <c r="H155" t="s">
        <v>1244</v>
      </c>
    </row>
    <row r="156" spans="1:8" x14ac:dyDescent="0.25">
      <c r="A156" t="s">
        <v>816</v>
      </c>
      <c r="B156" t="s">
        <v>3063</v>
      </c>
      <c r="C156" t="s">
        <v>3062</v>
      </c>
      <c r="D156" t="s">
        <v>2330</v>
      </c>
      <c r="E156" t="s">
        <v>2331</v>
      </c>
      <c r="F156" t="s">
        <v>2002</v>
      </c>
      <c r="G156" t="s">
        <v>2332</v>
      </c>
      <c r="H156" t="s">
        <v>1134</v>
      </c>
    </row>
    <row r="157" spans="1:8" x14ac:dyDescent="0.25">
      <c r="A157" t="s">
        <v>446</v>
      </c>
      <c r="B157" t="s">
        <v>3064</v>
      </c>
      <c r="C157" t="s">
        <v>3062</v>
      </c>
      <c r="D157" t="s">
        <v>1864</v>
      </c>
      <c r="E157" t="s">
        <v>1303</v>
      </c>
      <c r="F157" t="s">
        <v>1285</v>
      </c>
      <c r="G157" t="s">
        <v>1304</v>
      </c>
      <c r="H157" t="s">
        <v>1226</v>
      </c>
    </row>
    <row r="158" spans="1:8" x14ac:dyDescent="0.25">
      <c r="A158" t="s">
        <v>471</v>
      </c>
      <c r="B158" t="s">
        <v>1948</v>
      </c>
      <c r="C158" t="s">
        <v>1949</v>
      </c>
      <c r="D158" t="s">
        <v>1950</v>
      </c>
      <c r="E158" t="s">
        <v>1951</v>
      </c>
      <c r="F158" t="s">
        <v>1285</v>
      </c>
      <c r="G158" t="s">
        <v>1952</v>
      </c>
      <c r="H158" t="s">
        <v>195</v>
      </c>
    </row>
    <row r="159" spans="1:8" x14ac:dyDescent="0.25">
      <c r="A159" t="s">
        <v>472</v>
      </c>
      <c r="B159" t="s">
        <v>1137</v>
      </c>
      <c r="C159" t="s">
        <v>3052</v>
      </c>
      <c r="D159" t="s">
        <v>3053</v>
      </c>
      <c r="E159" t="s">
        <v>3054</v>
      </c>
      <c r="F159" t="s">
        <v>2041</v>
      </c>
      <c r="G159" t="s">
        <v>2491</v>
      </c>
      <c r="H159" t="s">
        <v>1280</v>
      </c>
    </row>
    <row r="160" spans="1:8" x14ac:dyDescent="0.25">
      <c r="A160" t="s">
        <v>728</v>
      </c>
      <c r="B160" t="s">
        <v>197</v>
      </c>
      <c r="C160" t="s">
        <v>1283</v>
      </c>
      <c r="D160" t="s">
        <v>1284</v>
      </c>
      <c r="E160" t="s">
        <v>1138</v>
      </c>
      <c r="F160" t="s">
        <v>1285</v>
      </c>
      <c r="G160" t="s">
        <v>1286</v>
      </c>
      <c r="H160" t="s">
        <v>1151</v>
      </c>
    </row>
    <row r="161" spans="1:8" x14ac:dyDescent="0.25">
      <c r="A161" t="s">
        <v>462</v>
      </c>
      <c r="B161" t="s">
        <v>2456</v>
      </c>
      <c r="C161" t="s">
        <v>2457</v>
      </c>
      <c r="D161" t="s">
        <v>2458</v>
      </c>
      <c r="E161" t="s">
        <v>2459</v>
      </c>
      <c r="F161" t="s">
        <v>2020</v>
      </c>
      <c r="G161" t="s">
        <v>2460</v>
      </c>
      <c r="H161" t="s">
        <v>1104</v>
      </c>
    </row>
    <row r="162" spans="1:8" x14ac:dyDescent="0.25">
      <c r="A162" t="s">
        <v>923</v>
      </c>
      <c r="B162" t="s">
        <v>366</v>
      </c>
      <c r="C162" t="s">
        <v>2959</v>
      </c>
      <c r="D162" t="s">
        <v>2960</v>
      </c>
      <c r="E162" t="s">
        <v>2961</v>
      </c>
      <c r="F162" t="s">
        <v>2002</v>
      </c>
      <c r="G162" t="s">
        <v>2962</v>
      </c>
      <c r="H162" t="s">
        <v>226</v>
      </c>
    </row>
    <row r="163" spans="1:8" x14ac:dyDescent="0.25">
      <c r="A163" t="s">
        <v>486</v>
      </c>
      <c r="B163" t="s">
        <v>239</v>
      </c>
      <c r="C163" t="s">
        <v>127</v>
      </c>
      <c r="D163" t="s">
        <v>2215</v>
      </c>
      <c r="E163" t="s">
        <v>2216</v>
      </c>
      <c r="F163" t="s">
        <v>1997</v>
      </c>
      <c r="G163" t="s">
        <v>2217</v>
      </c>
      <c r="H163" t="s">
        <v>1033</v>
      </c>
    </row>
    <row r="164" spans="1:8" x14ac:dyDescent="0.25">
      <c r="A164" t="s">
        <v>855</v>
      </c>
      <c r="B164" t="s">
        <v>204</v>
      </c>
      <c r="C164" t="s">
        <v>2918</v>
      </c>
      <c r="D164" t="s">
        <v>2919</v>
      </c>
      <c r="E164" t="s">
        <v>2920</v>
      </c>
      <c r="F164" t="s">
        <v>1992</v>
      </c>
      <c r="G164" t="s">
        <v>2921</v>
      </c>
      <c r="H164" t="s">
        <v>1164</v>
      </c>
    </row>
    <row r="165" spans="1:8" x14ac:dyDescent="0.25">
      <c r="A165" t="s">
        <v>501</v>
      </c>
      <c r="B165" t="s">
        <v>2569</v>
      </c>
      <c r="C165" t="s">
        <v>2570</v>
      </c>
      <c r="D165" t="s">
        <v>2571</v>
      </c>
      <c r="E165" t="s">
        <v>2572</v>
      </c>
      <c r="F165" t="s">
        <v>1992</v>
      </c>
      <c r="G165" t="s">
        <v>2573</v>
      </c>
      <c r="H165" t="s">
        <v>1204</v>
      </c>
    </row>
    <row r="166" spans="1:8" x14ac:dyDescent="0.25">
      <c r="A166" t="s">
        <v>811</v>
      </c>
      <c r="B166" t="s">
        <v>266</v>
      </c>
      <c r="C166" t="s">
        <v>2047</v>
      </c>
      <c r="D166" t="s">
        <v>2048</v>
      </c>
      <c r="E166" t="s">
        <v>2049</v>
      </c>
      <c r="F166" t="s">
        <v>2020</v>
      </c>
      <c r="G166" t="s">
        <v>2050</v>
      </c>
      <c r="H166" t="s">
        <v>1105</v>
      </c>
    </row>
    <row r="167" spans="1:8" x14ac:dyDescent="0.25">
      <c r="A167" t="s">
        <v>754</v>
      </c>
      <c r="B167" t="s">
        <v>2051</v>
      </c>
      <c r="C167" t="s">
        <v>2052</v>
      </c>
      <c r="D167" t="s">
        <v>2053</v>
      </c>
      <c r="E167" t="s">
        <v>2054</v>
      </c>
      <c r="F167" t="s">
        <v>2020</v>
      </c>
      <c r="G167" t="s">
        <v>2055</v>
      </c>
      <c r="H167" t="s">
        <v>967</v>
      </c>
    </row>
    <row r="168" spans="1:8" x14ac:dyDescent="0.25">
      <c r="A168" t="s">
        <v>493</v>
      </c>
      <c r="B168" t="s">
        <v>278</v>
      </c>
      <c r="C168" t="s">
        <v>2043</v>
      </c>
      <c r="D168" t="s">
        <v>2044</v>
      </c>
      <c r="E168" t="s">
        <v>2045</v>
      </c>
      <c r="F168" t="s">
        <v>2041</v>
      </c>
      <c r="G168" t="s">
        <v>2046</v>
      </c>
      <c r="H168" t="s">
        <v>992</v>
      </c>
    </row>
    <row r="169" spans="1:8" x14ac:dyDescent="0.25">
      <c r="A169" t="s">
        <v>758</v>
      </c>
      <c r="B169" t="s">
        <v>239</v>
      </c>
      <c r="C169" t="s">
        <v>329</v>
      </c>
      <c r="D169" t="s">
        <v>1978</v>
      </c>
      <c r="E169" t="s">
        <v>1649</v>
      </c>
      <c r="F169" t="s">
        <v>1285</v>
      </c>
      <c r="G169" t="s">
        <v>1650</v>
      </c>
      <c r="H169" t="s">
        <v>336</v>
      </c>
    </row>
    <row r="170" spans="1:8" x14ac:dyDescent="0.25">
      <c r="A170" t="s">
        <v>740</v>
      </c>
      <c r="B170" t="s">
        <v>1321</v>
      </c>
      <c r="C170" t="s">
        <v>329</v>
      </c>
      <c r="D170" t="s">
        <v>1322</v>
      </c>
      <c r="E170" t="s">
        <v>1323</v>
      </c>
      <c r="F170" t="s">
        <v>1285</v>
      </c>
      <c r="G170" t="s">
        <v>1324</v>
      </c>
      <c r="H170" t="s">
        <v>1271</v>
      </c>
    </row>
    <row r="171" spans="1:8" x14ac:dyDescent="0.25">
      <c r="A171" t="s">
        <v>846</v>
      </c>
      <c r="B171" t="s">
        <v>192</v>
      </c>
      <c r="C171" t="s">
        <v>329</v>
      </c>
      <c r="D171" t="s">
        <v>2552</v>
      </c>
      <c r="E171" t="s">
        <v>2553</v>
      </c>
      <c r="F171" t="s">
        <v>2271</v>
      </c>
      <c r="G171" t="s">
        <v>2554</v>
      </c>
      <c r="H171" t="s">
        <v>1070</v>
      </c>
    </row>
    <row r="172" spans="1:8" x14ac:dyDescent="0.25">
      <c r="A172" t="s">
        <v>701</v>
      </c>
      <c r="B172" t="s">
        <v>3018</v>
      </c>
      <c r="C172" t="s">
        <v>3019</v>
      </c>
      <c r="D172" t="s">
        <v>3020</v>
      </c>
      <c r="E172" t="s">
        <v>3021</v>
      </c>
      <c r="F172" t="s">
        <v>2083</v>
      </c>
      <c r="G172" t="s">
        <v>3022</v>
      </c>
      <c r="H172" t="s">
        <v>381</v>
      </c>
    </row>
    <row r="173" spans="1:8" x14ac:dyDescent="0.25">
      <c r="A173" t="s">
        <v>532</v>
      </c>
      <c r="B173" t="s">
        <v>2538</v>
      </c>
      <c r="C173" t="s">
        <v>2539</v>
      </c>
      <c r="D173" t="s">
        <v>2540</v>
      </c>
      <c r="E173" t="s">
        <v>2541</v>
      </c>
      <c r="F173" t="s">
        <v>1992</v>
      </c>
      <c r="G173" t="s">
        <v>2542</v>
      </c>
      <c r="H173" t="s">
        <v>301</v>
      </c>
    </row>
    <row r="174" spans="1:8" x14ac:dyDescent="0.25">
      <c r="A174" t="s">
        <v>709</v>
      </c>
      <c r="B174" t="s">
        <v>1971</v>
      </c>
      <c r="C174" t="s">
        <v>1972</v>
      </c>
      <c r="D174" t="s">
        <v>1973</v>
      </c>
      <c r="E174" t="s">
        <v>1974</v>
      </c>
      <c r="F174" t="s">
        <v>1285</v>
      </c>
      <c r="G174" t="s">
        <v>1975</v>
      </c>
      <c r="H174" t="s">
        <v>291</v>
      </c>
    </row>
    <row r="175" spans="1:8" x14ac:dyDescent="0.25">
      <c r="A175" t="s">
        <v>555</v>
      </c>
      <c r="B175" t="s">
        <v>1510</v>
      </c>
      <c r="C175" t="s">
        <v>1557</v>
      </c>
      <c r="D175" t="s">
        <v>1558</v>
      </c>
      <c r="E175" t="s">
        <v>1559</v>
      </c>
      <c r="F175" t="s">
        <v>1285</v>
      </c>
      <c r="G175" t="s">
        <v>1560</v>
      </c>
      <c r="H175" t="s">
        <v>1014</v>
      </c>
    </row>
    <row r="176" spans="1:8" x14ac:dyDescent="0.25">
      <c r="A176" t="s">
        <v>502</v>
      </c>
      <c r="B176" t="s">
        <v>2174</v>
      </c>
      <c r="C176" t="s">
        <v>3065</v>
      </c>
      <c r="D176" t="s">
        <v>2453</v>
      </c>
      <c r="E176" t="s">
        <v>2454</v>
      </c>
      <c r="F176" t="s">
        <v>2083</v>
      </c>
      <c r="G176" t="s">
        <v>2455</v>
      </c>
      <c r="H176" t="s">
        <v>138</v>
      </c>
    </row>
    <row r="177" spans="1:8" x14ac:dyDescent="0.25">
      <c r="A177" t="s">
        <v>688</v>
      </c>
      <c r="B177" t="s">
        <v>1955</v>
      </c>
      <c r="C177" t="s">
        <v>1956</v>
      </c>
      <c r="D177" t="s">
        <v>1957</v>
      </c>
      <c r="E177" t="s">
        <v>1494</v>
      </c>
      <c r="F177" t="s">
        <v>1285</v>
      </c>
      <c r="G177" t="s">
        <v>1495</v>
      </c>
      <c r="H177" t="s">
        <v>199</v>
      </c>
    </row>
    <row r="178" spans="1:8" x14ac:dyDescent="0.25">
      <c r="A178" t="s">
        <v>593</v>
      </c>
      <c r="B178" t="s">
        <v>1050</v>
      </c>
      <c r="C178" t="s">
        <v>2030</v>
      </c>
      <c r="D178" t="s">
        <v>2031</v>
      </c>
      <c r="E178" t="s">
        <v>2032</v>
      </c>
      <c r="F178" t="s">
        <v>2011</v>
      </c>
      <c r="G178" t="s">
        <v>2033</v>
      </c>
      <c r="H178" t="s">
        <v>320</v>
      </c>
    </row>
    <row r="179" spans="1:8" x14ac:dyDescent="0.25">
      <c r="A179" t="s">
        <v>591</v>
      </c>
      <c r="B179" t="s">
        <v>2196</v>
      </c>
      <c r="C179" t="s">
        <v>2197</v>
      </c>
      <c r="D179" t="s">
        <v>2198</v>
      </c>
      <c r="E179" t="s">
        <v>2199</v>
      </c>
      <c r="F179" t="s">
        <v>2020</v>
      </c>
      <c r="G179" t="s">
        <v>2200</v>
      </c>
      <c r="H179" t="s">
        <v>203</v>
      </c>
    </row>
    <row r="180" spans="1:8" x14ac:dyDescent="0.25">
      <c r="A180" t="s">
        <v>652</v>
      </c>
      <c r="B180" t="s">
        <v>1522</v>
      </c>
      <c r="C180" t="s">
        <v>1523</v>
      </c>
      <c r="D180" t="s">
        <v>1524</v>
      </c>
      <c r="E180" t="s">
        <v>1525</v>
      </c>
      <c r="F180" t="s">
        <v>1285</v>
      </c>
      <c r="G180" t="s">
        <v>1526</v>
      </c>
      <c r="H180" t="s">
        <v>1212</v>
      </c>
    </row>
    <row r="181" spans="1:8" x14ac:dyDescent="0.25">
      <c r="A181" t="s">
        <v>755</v>
      </c>
      <c r="B181" t="s">
        <v>2386</v>
      </c>
      <c r="C181" t="s">
        <v>1523</v>
      </c>
      <c r="D181" t="s">
        <v>2532</v>
      </c>
      <c r="E181" t="s">
        <v>2533</v>
      </c>
      <c r="F181" t="s">
        <v>2020</v>
      </c>
      <c r="G181" t="s">
        <v>2534</v>
      </c>
      <c r="H181" t="s">
        <v>388</v>
      </c>
    </row>
    <row r="182" spans="1:8" x14ac:dyDescent="0.25">
      <c r="A182" t="s">
        <v>922</v>
      </c>
      <c r="B182" t="s">
        <v>2341</v>
      </c>
      <c r="C182" t="s">
        <v>2342</v>
      </c>
      <c r="D182" t="s">
        <v>2343</v>
      </c>
      <c r="E182" t="s">
        <v>2344</v>
      </c>
      <c r="F182" t="s">
        <v>2041</v>
      </c>
      <c r="G182" t="s">
        <v>2345</v>
      </c>
      <c r="H182" t="s">
        <v>261</v>
      </c>
    </row>
    <row r="183" spans="1:8" x14ac:dyDescent="0.25">
      <c r="A183" t="s">
        <v>559</v>
      </c>
      <c r="B183" t="s">
        <v>308</v>
      </c>
      <c r="C183" t="s">
        <v>1915</v>
      </c>
      <c r="D183" t="s">
        <v>1916</v>
      </c>
      <c r="E183" t="s">
        <v>1308</v>
      </c>
      <c r="F183" t="s">
        <v>1285</v>
      </c>
      <c r="G183" t="s">
        <v>1453</v>
      </c>
      <c r="H183" t="s">
        <v>281</v>
      </c>
    </row>
    <row r="184" spans="1:8" x14ac:dyDescent="0.25">
      <c r="A184" t="s">
        <v>851</v>
      </c>
      <c r="B184" t="s">
        <v>2760</v>
      </c>
      <c r="C184" t="s">
        <v>2761</v>
      </c>
      <c r="D184" t="s">
        <v>2762</v>
      </c>
      <c r="E184" t="s">
        <v>2763</v>
      </c>
      <c r="F184" t="s">
        <v>2271</v>
      </c>
      <c r="G184" t="s">
        <v>2764</v>
      </c>
      <c r="H184" t="s">
        <v>335</v>
      </c>
    </row>
    <row r="185" spans="1:8" x14ac:dyDescent="0.25">
      <c r="A185" t="s">
        <v>629</v>
      </c>
      <c r="B185" t="s">
        <v>2371</v>
      </c>
      <c r="C185" t="s">
        <v>2372</v>
      </c>
      <c r="D185" t="s">
        <v>2373</v>
      </c>
      <c r="E185" t="s">
        <v>2374</v>
      </c>
      <c r="F185" t="s">
        <v>2041</v>
      </c>
      <c r="G185" t="s">
        <v>2375</v>
      </c>
      <c r="H185" t="s">
        <v>268</v>
      </c>
    </row>
    <row r="186" spans="1:8" x14ac:dyDescent="0.25">
      <c r="A186" t="s">
        <v>573</v>
      </c>
      <c r="B186" t="s">
        <v>999</v>
      </c>
      <c r="C186" t="s">
        <v>1967</v>
      </c>
      <c r="D186" t="s">
        <v>1968</v>
      </c>
      <c r="E186" t="s">
        <v>1969</v>
      </c>
      <c r="F186" t="s">
        <v>1285</v>
      </c>
      <c r="G186" t="s">
        <v>1970</v>
      </c>
      <c r="H186" t="s">
        <v>406</v>
      </c>
    </row>
    <row r="187" spans="1:8" x14ac:dyDescent="0.25">
      <c r="A187" t="s">
        <v>577</v>
      </c>
      <c r="B187" t="s">
        <v>1712</v>
      </c>
      <c r="C187" t="s">
        <v>255</v>
      </c>
      <c r="D187" t="s">
        <v>1713</v>
      </c>
      <c r="E187" t="s">
        <v>1714</v>
      </c>
      <c r="F187" t="s">
        <v>1285</v>
      </c>
      <c r="G187" t="s">
        <v>1715</v>
      </c>
      <c r="H187" t="s">
        <v>942</v>
      </c>
    </row>
    <row r="188" spans="1:8" x14ac:dyDescent="0.25">
      <c r="A188" t="s">
        <v>920</v>
      </c>
      <c r="B188" t="s">
        <v>1585</v>
      </c>
      <c r="C188" t="s">
        <v>1586</v>
      </c>
      <c r="D188" t="s">
        <v>1587</v>
      </c>
      <c r="E188" t="s">
        <v>1588</v>
      </c>
      <c r="F188" t="s">
        <v>1285</v>
      </c>
      <c r="G188" t="s">
        <v>1589</v>
      </c>
      <c r="H188" t="s">
        <v>1261</v>
      </c>
    </row>
    <row r="189" spans="1:8" x14ac:dyDescent="0.25">
      <c r="A189" t="s">
        <v>531</v>
      </c>
      <c r="B189" t="s">
        <v>210</v>
      </c>
      <c r="C189" t="s">
        <v>1994</v>
      </c>
      <c r="D189" t="s">
        <v>1995</v>
      </c>
      <c r="E189" t="s">
        <v>1996</v>
      </c>
      <c r="F189" t="s">
        <v>1997</v>
      </c>
      <c r="G189" t="s">
        <v>1998</v>
      </c>
      <c r="H189" t="s">
        <v>115</v>
      </c>
    </row>
    <row r="190" spans="1:8" x14ac:dyDescent="0.25">
      <c r="A190" t="s">
        <v>601</v>
      </c>
      <c r="B190" t="s">
        <v>314</v>
      </c>
      <c r="C190" t="s">
        <v>2661</v>
      </c>
      <c r="D190" t="s">
        <v>2662</v>
      </c>
      <c r="E190" t="s">
        <v>2246</v>
      </c>
      <c r="F190" t="s">
        <v>2020</v>
      </c>
      <c r="G190" t="s">
        <v>2452</v>
      </c>
      <c r="H190" t="s">
        <v>1237</v>
      </c>
    </row>
    <row r="191" spans="1:8" x14ac:dyDescent="0.25">
      <c r="A191" t="s">
        <v>475</v>
      </c>
      <c r="B191" t="s">
        <v>297</v>
      </c>
      <c r="C191" t="s">
        <v>1122</v>
      </c>
      <c r="D191" t="s">
        <v>2668</v>
      </c>
      <c r="E191" t="s">
        <v>2669</v>
      </c>
      <c r="F191" t="s">
        <v>2041</v>
      </c>
      <c r="G191" t="s">
        <v>2670</v>
      </c>
      <c r="H191" t="s">
        <v>1176</v>
      </c>
    </row>
    <row r="192" spans="1:8" x14ac:dyDescent="0.25">
      <c r="A192" t="s">
        <v>684</v>
      </c>
      <c r="B192" t="s">
        <v>374</v>
      </c>
      <c r="C192" t="s">
        <v>305</v>
      </c>
      <c r="D192" t="s">
        <v>1859</v>
      </c>
      <c r="E192" t="s">
        <v>1530</v>
      </c>
      <c r="F192" t="s">
        <v>1285</v>
      </c>
      <c r="G192" t="s">
        <v>1531</v>
      </c>
      <c r="H192" t="s">
        <v>957</v>
      </c>
    </row>
    <row r="193" spans="1:8" x14ac:dyDescent="0.25">
      <c r="A193" t="s">
        <v>719</v>
      </c>
      <c r="B193" t="s">
        <v>3067</v>
      </c>
      <c r="C193" t="s">
        <v>3066</v>
      </c>
      <c r="D193" t="s">
        <v>2261</v>
      </c>
      <c r="E193" t="s">
        <v>2262</v>
      </c>
      <c r="F193" t="s">
        <v>2139</v>
      </c>
      <c r="G193" t="s">
        <v>2263</v>
      </c>
      <c r="H193" t="s">
        <v>1119</v>
      </c>
    </row>
    <row r="194" spans="1:8" x14ac:dyDescent="0.25">
      <c r="A194" t="s">
        <v>875</v>
      </c>
      <c r="B194" t="s">
        <v>239</v>
      </c>
      <c r="C194" t="s">
        <v>2524</v>
      </c>
      <c r="D194" t="s">
        <v>2525</v>
      </c>
      <c r="E194" t="s">
        <v>2526</v>
      </c>
      <c r="F194" t="s">
        <v>1997</v>
      </c>
      <c r="G194" t="s">
        <v>2527</v>
      </c>
      <c r="H194" t="s">
        <v>1258</v>
      </c>
    </row>
    <row r="195" spans="1:8" x14ac:dyDescent="0.25">
      <c r="A195" t="s">
        <v>696</v>
      </c>
      <c r="B195" t="s">
        <v>176</v>
      </c>
      <c r="C195" t="s">
        <v>2524</v>
      </c>
      <c r="D195" t="s">
        <v>2613</v>
      </c>
      <c r="E195" t="s">
        <v>2614</v>
      </c>
      <c r="F195" t="s">
        <v>2020</v>
      </c>
      <c r="G195" t="s">
        <v>2615</v>
      </c>
      <c r="H195" t="s">
        <v>217</v>
      </c>
    </row>
    <row r="196" spans="1:8" x14ac:dyDescent="0.25">
      <c r="A196" t="s">
        <v>542</v>
      </c>
      <c r="B196" t="s">
        <v>1488</v>
      </c>
      <c r="C196" t="s">
        <v>1489</v>
      </c>
      <c r="D196" t="s">
        <v>1490</v>
      </c>
      <c r="E196" t="s">
        <v>1308</v>
      </c>
      <c r="F196" t="s">
        <v>1285</v>
      </c>
      <c r="G196" t="s">
        <v>1491</v>
      </c>
      <c r="H196" t="s">
        <v>941</v>
      </c>
    </row>
    <row r="197" spans="1:8" x14ac:dyDescent="0.25">
      <c r="A197" t="s">
        <v>661</v>
      </c>
      <c r="B197" t="s">
        <v>2519</v>
      </c>
      <c r="C197" t="s">
        <v>2520</v>
      </c>
      <c r="D197" t="s">
        <v>2521</v>
      </c>
      <c r="E197" t="s">
        <v>2522</v>
      </c>
      <c r="F197" t="s">
        <v>2041</v>
      </c>
      <c r="G197" t="s">
        <v>2523</v>
      </c>
      <c r="H197" t="s">
        <v>220</v>
      </c>
    </row>
    <row r="198" spans="1:8" x14ac:dyDescent="0.25">
      <c r="A198" t="s">
        <v>660</v>
      </c>
      <c r="B198" t="s">
        <v>2068</v>
      </c>
      <c r="C198" t="s">
        <v>1470</v>
      </c>
      <c r="D198" t="s">
        <v>2069</v>
      </c>
      <c r="E198" t="s">
        <v>2070</v>
      </c>
      <c r="F198" t="s">
        <v>1992</v>
      </c>
      <c r="G198" t="s">
        <v>2071</v>
      </c>
      <c r="H198" t="s">
        <v>339</v>
      </c>
    </row>
    <row r="199" spans="1:8" x14ac:dyDescent="0.25">
      <c r="A199" t="s">
        <v>495</v>
      </c>
      <c r="B199" t="s">
        <v>239</v>
      </c>
      <c r="C199" t="s">
        <v>1470</v>
      </c>
      <c r="D199" t="s">
        <v>1471</v>
      </c>
      <c r="E199" t="s">
        <v>1396</v>
      </c>
      <c r="F199" t="s">
        <v>1285</v>
      </c>
      <c r="G199" t="s">
        <v>1472</v>
      </c>
      <c r="H199" t="s">
        <v>1018</v>
      </c>
    </row>
    <row r="200" spans="1:8" x14ac:dyDescent="0.25">
      <c r="A200" t="s">
        <v>620</v>
      </c>
      <c r="B200" t="s">
        <v>119</v>
      </c>
      <c r="C200" t="s">
        <v>1849</v>
      </c>
      <c r="D200" t="s">
        <v>1850</v>
      </c>
      <c r="E200" t="s">
        <v>1588</v>
      </c>
      <c r="F200" t="s">
        <v>1285</v>
      </c>
      <c r="G200" t="s">
        <v>1589</v>
      </c>
      <c r="H200" t="s">
        <v>1263</v>
      </c>
    </row>
    <row r="201" spans="1:8" x14ac:dyDescent="0.25">
      <c r="A201" t="s">
        <v>762</v>
      </c>
      <c r="B201" t="s">
        <v>1907</v>
      </c>
      <c r="C201" t="s">
        <v>2976</v>
      </c>
      <c r="D201" t="s">
        <v>2977</v>
      </c>
      <c r="E201" t="s">
        <v>2978</v>
      </c>
      <c r="F201" t="s">
        <v>2020</v>
      </c>
      <c r="G201" t="s">
        <v>2979</v>
      </c>
      <c r="H201" t="s">
        <v>302</v>
      </c>
    </row>
    <row r="202" spans="1:8" x14ac:dyDescent="0.25">
      <c r="A202" t="s">
        <v>899</v>
      </c>
      <c r="B202" t="s">
        <v>119</v>
      </c>
      <c r="C202" t="s">
        <v>2088</v>
      </c>
      <c r="D202" t="s">
        <v>2089</v>
      </c>
      <c r="E202" t="s">
        <v>2090</v>
      </c>
      <c r="F202" t="s">
        <v>2041</v>
      </c>
      <c r="G202" t="s">
        <v>2091</v>
      </c>
      <c r="H202" t="s">
        <v>952</v>
      </c>
    </row>
    <row r="203" spans="1:8" x14ac:dyDescent="0.25">
      <c r="A203" t="s">
        <v>770</v>
      </c>
      <c r="B203" t="s">
        <v>1389</v>
      </c>
      <c r="C203" t="s">
        <v>1390</v>
      </c>
      <c r="D203" t="s">
        <v>1391</v>
      </c>
      <c r="E203" t="s">
        <v>1392</v>
      </c>
      <c r="F203" t="s">
        <v>1285</v>
      </c>
      <c r="G203" t="s">
        <v>1393</v>
      </c>
      <c r="H203" t="s">
        <v>1140</v>
      </c>
    </row>
    <row r="204" spans="1:8" x14ac:dyDescent="0.25">
      <c r="A204" t="s">
        <v>746</v>
      </c>
      <c r="B204" t="s">
        <v>1690</v>
      </c>
      <c r="C204" t="s">
        <v>1045</v>
      </c>
      <c r="D204" t="s">
        <v>1691</v>
      </c>
      <c r="E204" t="s">
        <v>1692</v>
      </c>
      <c r="F204" t="s">
        <v>1285</v>
      </c>
      <c r="G204" t="s">
        <v>1693</v>
      </c>
      <c r="H204" t="s">
        <v>1123</v>
      </c>
    </row>
    <row r="205" spans="1:8" x14ac:dyDescent="0.25">
      <c r="A205" t="s">
        <v>756</v>
      </c>
      <c r="B205" t="s">
        <v>2595</v>
      </c>
      <c r="C205" t="s">
        <v>978</v>
      </c>
      <c r="D205" t="s">
        <v>2596</v>
      </c>
      <c r="E205" t="s">
        <v>2597</v>
      </c>
      <c r="F205" t="s">
        <v>2020</v>
      </c>
      <c r="G205" t="s">
        <v>2598</v>
      </c>
      <c r="H205" t="s">
        <v>234</v>
      </c>
    </row>
    <row r="206" spans="1:8" x14ac:dyDescent="0.25">
      <c r="A206" t="s">
        <v>625</v>
      </c>
      <c r="B206" t="s">
        <v>192</v>
      </c>
      <c r="C206" t="s">
        <v>1780</v>
      </c>
      <c r="D206" t="s">
        <v>1781</v>
      </c>
      <c r="E206" t="s">
        <v>1308</v>
      </c>
      <c r="F206" t="s">
        <v>1285</v>
      </c>
      <c r="G206" t="s">
        <v>1309</v>
      </c>
      <c r="H206" t="s">
        <v>1114</v>
      </c>
    </row>
    <row r="207" spans="1:8" x14ac:dyDescent="0.25">
      <c r="A207" t="s">
        <v>892</v>
      </c>
      <c r="B207" t="s">
        <v>2415</v>
      </c>
      <c r="C207" t="s">
        <v>387</v>
      </c>
      <c r="D207" t="s">
        <v>2416</v>
      </c>
      <c r="E207" t="s">
        <v>2417</v>
      </c>
      <c r="F207" t="s">
        <v>2041</v>
      </c>
      <c r="G207" t="s">
        <v>2418</v>
      </c>
      <c r="H207" t="s">
        <v>141</v>
      </c>
    </row>
    <row r="208" spans="1:8" x14ac:dyDescent="0.25">
      <c r="A208" t="s">
        <v>921</v>
      </c>
      <c r="B208" t="s">
        <v>1287</v>
      </c>
      <c r="C208" t="s">
        <v>1288</v>
      </c>
      <c r="D208" t="s">
        <v>1289</v>
      </c>
      <c r="E208" t="s">
        <v>353</v>
      </c>
      <c r="F208" t="s">
        <v>1285</v>
      </c>
      <c r="G208" t="s">
        <v>1290</v>
      </c>
      <c r="H208" t="s">
        <v>944</v>
      </c>
    </row>
    <row r="209" spans="1:8" x14ac:dyDescent="0.25">
      <c r="A209" t="s">
        <v>543</v>
      </c>
      <c r="B209" t="s">
        <v>224</v>
      </c>
      <c r="C209" t="s">
        <v>2678</v>
      </c>
      <c r="D209" t="s">
        <v>2679</v>
      </c>
      <c r="E209" t="s">
        <v>2680</v>
      </c>
      <c r="F209" t="s">
        <v>2041</v>
      </c>
      <c r="G209" t="s">
        <v>2681</v>
      </c>
      <c r="H209" t="s">
        <v>389</v>
      </c>
    </row>
    <row r="210" spans="1:8" x14ac:dyDescent="0.25">
      <c r="A210" t="s">
        <v>831</v>
      </c>
      <c r="B210" t="s">
        <v>1907</v>
      </c>
      <c r="C210" t="s">
        <v>2545</v>
      </c>
      <c r="D210" t="s">
        <v>2546</v>
      </c>
      <c r="E210" t="s">
        <v>2547</v>
      </c>
      <c r="F210" t="s">
        <v>2041</v>
      </c>
      <c r="G210" t="s">
        <v>2548</v>
      </c>
      <c r="H210" t="s">
        <v>1120</v>
      </c>
    </row>
    <row r="211" spans="1:8" x14ac:dyDescent="0.25">
      <c r="A211" t="s">
        <v>689</v>
      </c>
      <c r="B211" t="s">
        <v>1035</v>
      </c>
      <c r="C211" t="s">
        <v>2984</v>
      </c>
      <c r="D211" t="s">
        <v>2985</v>
      </c>
      <c r="E211" t="s">
        <v>2310</v>
      </c>
      <c r="F211" t="s">
        <v>2083</v>
      </c>
      <c r="G211" t="s">
        <v>2311</v>
      </c>
      <c r="H211" t="s">
        <v>1117</v>
      </c>
    </row>
    <row r="212" spans="1:8" x14ac:dyDescent="0.25">
      <c r="A212" t="s">
        <v>570</v>
      </c>
      <c r="B212" t="s">
        <v>165</v>
      </c>
      <c r="C212" t="s">
        <v>1364</v>
      </c>
      <c r="D212" t="s">
        <v>1365</v>
      </c>
      <c r="E212" t="s">
        <v>1366</v>
      </c>
      <c r="F212" t="s">
        <v>1285</v>
      </c>
      <c r="G212" t="s">
        <v>1367</v>
      </c>
      <c r="H212" t="s">
        <v>1085</v>
      </c>
    </row>
    <row r="213" spans="1:8" x14ac:dyDescent="0.25">
      <c r="A213" t="s">
        <v>695</v>
      </c>
      <c r="B213" t="s">
        <v>2386</v>
      </c>
      <c r="C213" t="s">
        <v>3068</v>
      </c>
      <c r="D213" t="s">
        <v>2608</v>
      </c>
      <c r="E213" t="s">
        <v>2135</v>
      </c>
      <c r="F213" t="s">
        <v>2011</v>
      </c>
      <c r="G213" t="s">
        <v>2609</v>
      </c>
      <c r="H213" t="s">
        <v>245</v>
      </c>
    </row>
    <row r="214" spans="1:8" x14ac:dyDescent="0.25">
      <c r="A214" t="s">
        <v>702</v>
      </c>
      <c r="B214" t="s">
        <v>167</v>
      </c>
      <c r="C214" t="s">
        <v>1842</v>
      </c>
      <c r="D214" t="s">
        <v>1843</v>
      </c>
      <c r="E214" t="s">
        <v>1844</v>
      </c>
      <c r="F214" t="s">
        <v>1285</v>
      </c>
      <c r="G214" t="s">
        <v>1845</v>
      </c>
      <c r="H214" t="s">
        <v>1180</v>
      </c>
    </row>
    <row r="215" spans="1:8" x14ac:dyDescent="0.25">
      <c r="A215" t="s">
        <v>698</v>
      </c>
      <c r="B215" t="s">
        <v>1476</v>
      </c>
      <c r="C215" t="s">
        <v>1477</v>
      </c>
      <c r="D215" t="s">
        <v>1478</v>
      </c>
      <c r="E215" t="s">
        <v>1479</v>
      </c>
      <c r="F215" t="s">
        <v>1285</v>
      </c>
      <c r="G215" t="s">
        <v>1480</v>
      </c>
      <c r="H215" t="s">
        <v>1133</v>
      </c>
    </row>
    <row r="216" spans="1:8" x14ac:dyDescent="0.25">
      <c r="A216" t="s">
        <v>773</v>
      </c>
      <c r="B216" t="s">
        <v>2774</v>
      </c>
      <c r="C216" t="s">
        <v>953</v>
      </c>
      <c r="D216" t="s">
        <v>2775</v>
      </c>
      <c r="E216" t="s">
        <v>2776</v>
      </c>
      <c r="F216" t="s">
        <v>2041</v>
      </c>
      <c r="G216" t="s">
        <v>2777</v>
      </c>
      <c r="H216" t="s">
        <v>1007</v>
      </c>
    </row>
    <row r="217" spans="1:8" x14ac:dyDescent="0.25">
      <c r="A217" t="s">
        <v>744</v>
      </c>
      <c r="B217" t="s">
        <v>1802</v>
      </c>
      <c r="C217" t="s">
        <v>1803</v>
      </c>
      <c r="D217" t="s">
        <v>1804</v>
      </c>
      <c r="E217" t="s">
        <v>1316</v>
      </c>
      <c r="F217" t="s">
        <v>1285</v>
      </c>
      <c r="G217" t="s">
        <v>1317</v>
      </c>
      <c r="H217" t="s">
        <v>997</v>
      </c>
    </row>
    <row r="218" spans="1:8" x14ac:dyDescent="0.25">
      <c r="A218" t="s">
        <v>802</v>
      </c>
      <c r="B218" t="s">
        <v>109</v>
      </c>
      <c r="C218" t="s">
        <v>1931</v>
      </c>
      <c r="D218" t="s">
        <v>1932</v>
      </c>
      <c r="E218" t="s">
        <v>1809</v>
      </c>
      <c r="F218" t="s">
        <v>1285</v>
      </c>
      <c r="G218" t="s">
        <v>1819</v>
      </c>
      <c r="H218" t="s">
        <v>151</v>
      </c>
    </row>
    <row r="219" spans="1:8" x14ac:dyDescent="0.25">
      <c r="A219" t="s">
        <v>580</v>
      </c>
      <c r="B219" t="s">
        <v>196</v>
      </c>
      <c r="C219" t="s">
        <v>1368</v>
      </c>
      <c r="D219" t="s">
        <v>1369</v>
      </c>
      <c r="E219" t="s">
        <v>1370</v>
      </c>
      <c r="F219" t="s">
        <v>1285</v>
      </c>
      <c r="G219" t="s">
        <v>1371</v>
      </c>
      <c r="H219" t="s">
        <v>1026</v>
      </c>
    </row>
    <row r="220" spans="1:8" x14ac:dyDescent="0.25">
      <c r="A220" t="s">
        <v>934</v>
      </c>
      <c r="B220" t="s">
        <v>3010</v>
      </c>
      <c r="C220" t="s">
        <v>3011</v>
      </c>
      <c r="D220" t="s">
        <v>3012</v>
      </c>
      <c r="E220" t="s">
        <v>3013</v>
      </c>
      <c r="F220" t="s">
        <v>1992</v>
      </c>
      <c r="G220" t="s">
        <v>3014</v>
      </c>
      <c r="H220" t="s">
        <v>372</v>
      </c>
    </row>
    <row r="221" spans="1:8" x14ac:dyDescent="0.25">
      <c r="A221" t="s">
        <v>862</v>
      </c>
      <c r="B221" t="s">
        <v>192</v>
      </c>
      <c r="C221" t="s">
        <v>1138</v>
      </c>
      <c r="D221" t="s">
        <v>3034</v>
      </c>
      <c r="E221" t="s">
        <v>2828</v>
      </c>
      <c r="F221" t="s">
        <v>2041</v>
      </c>
      <c r="G221" t="s">
        <v>2829</v>
      </c>
      <c r="H221" t="s">
        <v>241</v>
      </c>
    </row>
    <row r="222" spans="1:8" x14ac:dyDescent="0.25">
      <c r="A222" t="s">
        <v>927</v>
      </c>
      <c r="B222" t="s">
        <v>415</v>
      </c>
      <c r="C222" t="s">
        <v>1686</v>
      </c>
      <c r="D222" t="s">
        <v>1687</v>
      </c>
      <c r="E222" t="s">
        <v>1688</v>
      </c>
      <c r="F222" t="s">
        <v>1285</v>
      </c>
      <c r="G222" t="s">
        <v>1689</v>
      </c>
      <c r="H222" t="s">
        <v>1249</v>
      </c>
    </row>
    <row r="223" spans="1:8" x14ac:dyDescent="0.25">
      <c r="A223" t="s">
        <v>883</v>
      </c>
      <c r="B223" t="s">
        <v>275</v>
      </c>
      <c r="C223" t="s">
        <v>2231</v>
      </c>
      <c r="D223" t="s">
        <v>2232</v>
      </c>
      <c r="E223" t="s">
        <v>2233</v>
      </c>
      <c r="F223" t="s">
        <v>2041</v>
      </c>
      <c r="G223" t="s">
        <v>2234</v>
      </c>
      <c r="H223" t="s">
        <v>1044</v>
      </c>
    </row>
    <row r="224" spans="1:8" x14ac:dyDescent="0.25">
      <c r="A224" t="s">
        <v>747</v>
      </c>
      <c r="B224" t="s">
        <v>1154</v>
      </c>
      <c r="C224" t="s">
        <v>2401</v>
      </c>
      <c r="D224" t="s">
        <v>2402</v>
      </c>
      <c r="E224" t="s">
        <v>2246</v>
      </c>
      <c r="F224" t="s">
        <v>2020</v>
      </c>
      <c r="G224" t="s">
        <v>2403</v>
      </c>
      <c r="H224" t="s">
        <v>377</v>
      </c>
    </row>
    <row r="225" spans="1:8" x14ac:dyDescent="0.25">
      <c r="A225" t="s">
        <v>468</v>
      </c>
      <c r="B225" t="s">
        <v>172</v>
      </c>
      <c r="C225" t="s">
        <v>166</v>
      </c>
      <c r="D225" t="s">
        <v>1665</v>
      </c>
      <c r="E225" t="s">
        <v>1627</v>
      </c>
      <c r="F225" t="s">
        <v>1285</v>
      </c>
      <c r="G225" t="s">
        <v>1666</v>
      </c>
      <c r="H225" t="s">
        <v>1131</v>
      </c>
    </row>
    <row r="226" spans="1:8" x14ac:dyDescent="0.25">
      <c r="A226" t="s">
        <v>694</v>
      </c>
      <c r="B226" t="s">
        <v>1907</v>
      </c>
      <c r="C226" t="s">
        <v>1908</v>
      </c>
      <c r="D226" t="s">
        <v>1909</v>
      </c>
      <c r="E226" t="s">
        <v>1910</v>
      </c>
      <c r="F226" t="s">
        <v>1285</v>
      </c>
      <c r="G226" t="s">
        <v>1911</v>
      </c>
      <c r="H226" t="s">
        <v>1098</v>
      </c>
    </row>
    <row r="227" spans="1:8" x14ac:dyDescent="0.25">
      <c r="A227" t="s">
        <v>533</v>
      </c>
      <c r="B227" t="s">
        <v>175</v>
      </c>
      <c r="C227" t="s">
        <v>1679</v>
      </c>
      <c r="D227" t="s">
        <v>1680</v>
      </c>
      <c r="E227" t="s">
        <v>1323</v>
      </c>
      <c r="F227" t="s">
        <v>1285</v>
      </c>
      <c r="G227" t="s">
        <v>1681</v>
      </c>
      <c r="H227" t="s">
        <v>1232</v>
      </c>
    </row>
    <row r="228" spans="1:8" x14ac:dyDescent="0.25">
      <c r="A228" t="s">
        <v>804</v>
      </c>
      <c r="B228" t="s">
        <v>402</v>
      </c>
      <c r="C228" t="s">
        <v>1764</v>
      </c>
      <c r="D228" t="s">
        <v>1765</v>
      </c>
      <c r="E228" t="s">
        <v>1370</v>
      </c>
      <c r="F228" t="s">
        <v>1285</v>
      </c>
      <c r="G228" t="s">
        <v>1371</v>
      </c>
      <c r="H228" t="s">
        <v>1041</v>
      </c>
    </row>
    <row r="229" spans="1:8" x14ac:dyDescent="0.25">
      <c r="A229" t="s">
        <v>517</v>
      </c>
      <c r="B229" t="s">
        <v>1424</v>
      </c>
      <c r="C229" t="s">
        <v>1425</v>
      </c>
      <c r="D229" t="s">
        <v>1426</v>
      </c>
      <c r="E229" t="s">
        <v>1427</v>
      </c>
      <c r="F229" t="s">
        <v>1285</v>
      </c>
      <c r="G229" t="s">
        <v>1428</v>
      </c>
      <c r="H229" t="s">
        <v>959</v>
      </c>
    </row>
    <row r="230" spans="1:8" x14ac:dyDescent="0.25">
      <c r="A230" t="s">
        <v>523</v>
      </c>
      <c r="B230" t="s">
        <v>209</v>
      </c>
      <c r="C230" t="s">
        <v>1425</v>
      </c>
      <c r="D230" t="s">
        <v>1774</v>
      </c>
      <c r="E230" t="s">
        <v>1775</v>
      </c>
      <c r="F230" t="s">
        <v>1285</v>
      </c>
      <c r="G230" t="s">
        <v>1776</v>
      </c>
      <c r="H230" t="s">
        <v>1095</v>
      </c>
    </row>
    <row r="231" spans="1:8" x14ac:dyDescent="0.25">
      <c r="A231" t="s">
        <v>576</v>
      </c>
      <c r="B231" t="s">
        <v>2814</v>
      </c>
      <c r="C231" t="s">
        <v>2815</v>
      </c>
      <c r="D231" t="s">
        <v>2816</v>
      </c>
      <c r="E231" t="s">
        <v>2310</v>
      </c>
      <c r="F231" t="s">
        <v>2083</v>
      </c>
      <c r="G231" t="s">
        <v>2396</v>
      </c>
      <c r="H231" t="s">
        <v>237</v>
      </c>
    </row>
    <row r="232" spans="1:8" x14ac:dyDescent="0.25">
      <c r="A232" t="s">
        <v>881</v>
      </c>
      <c r="B232" t="s">
        <v>3069</v>
      </c>
      <c r="C232" t="s">
        <v>1585</v>
      </c>
      <c r="D232" t="s">
        <v>2472</v>
      </c>
      <c r="E232" t="s">
        <v>2473</v>
      </c>
      <c r="F232" t="s">
        <v>2041</v>
      </c>
      <c r="G232" t="s">
        <v>2474</v>
      </c>
      <c r="H232" t="s">
        <v>357</v>
      </c>
    </row>
    <row r="233" spans="1:8" x14ac:dyDescent="0.25">
      <c r="A233" t="s">
        <v>635</v>
      </c>
      <c r="B233" t="s">
        <v>286</v>
      </c>
      <c r="C233" t="s">
        <v>2394</v>
      </c>
      <c r="D233" t="s">
        <v>2395</v>
      </c>
      <c r="E233" t="s">
        <v>2310</v>
      </c>
      <c r="F233" t="s">
        <v>2083</v>
      </c>
      <c r="G233" t="s">
        <v>2396</v>
      </c>
      <c r="H233" t="s">
        <v>257</v>
      </c>
    </row>
    <row r="234" spans="1:8" x14ac:dyDescent="0.25">
      <c r="A234" t="s">
        <v>618</v>
      </c>
      <c r="B234" t="s">
        <v>110</v>
      </c>
      <c r="C234" t="s">
        <v>189</v>
      </c>
      <c r="D234" t="s">
        <v>2883</v>
      </c>
      <c r="E234" t="s">
        <v>2884</v>
      </c>
      <c r="F234" t="s">
        <v>2161</v>
      </c>
      <c r="G234" t="s">
        <v>2885</v>
      </c>
      <c r="H234" t="s">
        <v>1171</v>
      </c>
    </row>
    <row r="235" spans="1:8" x14ac:dyDescent="0.25">
      <c r="A235" t="s">
        <v>856</v>
      </c>
      <c r="B235" t="s">
        <v>97</v>
      </c>
      <c r="C235" t="s">
        <v>189</v>
      </c>
      <c r="D235" t="s">
        <v>1473</v>
      </c>
      <c r="E235" t="s">
        <v>1474</v>
      </c>
      <c r="F235" t="s">
        <v>1285</v>
      </c>
      <c r="G235" t="s">
        <v>1475</v>
      </c>
      <c r="H235" t="s">
        <v>1165</v>
      </c>
    </row>
    <row r="236" spans="1:8" x14ac:dyDescent="0.25">
      <c r="A236" t="s">
        <v>794</v>
      </c>
      <c r="B236" t="s">
        <v>295</v>
      </c>
      <c r="C236" t="s">
        <v>298</v>
      </c>
      <c r="D236" t="s">
        <v>2221</v>
      </c>
      <c r="E236" t="s">
        <v>2222</v>
      </c>
      <c r="F236" t="s">
        <v>2011</v>
      </c>
      <c r="G236" t="s">
        <v>2223</v>
      </c>
      <c r="H236" t="s">
        <v>1003</v>
      </c>
    </row>
    <row r="237" spans="1:8" x14ac:dyDescent="0.25">
      <c r="A237" t="s">
        <v>819</v>
      </c>
      <c r="B237" t="s">
        <v>1522</v>
      </c>
      <c r="C237" t="s">
        <v>298</v>
      </c>
      <c r="D237" t="s">
        <v>2327</v>
      </c>
      <c r="E237" t="s">
        <v>2328</v>
      </c>
      <c r="F237" t="s">
        <v>2041</v>
      </c>
      <c r="G237" t="s">
        <v>2329</v>
      </c>
      <c r="H237" t="s">
        <v>177</v>
      </c>
    </row>
    <row r="238" spans="1:8" x14ac:dyDescent="0.25">
      <c r="A238" t="s">
        <v>704</v>
      </c>
      <c r="B238" t="s">
        <v>2968</v>
      </c>
      <c r="C238" t="s">
        <v>2969</v>
      </c>
      <c r="D238" t="s">
        <v>2970</v>
      </c>
      <c r="E238" t="s">
        <v>2971</v>
      </c>
      <c r="F238" t="s">
        <v>2041</v>
      </c>
      <c r="G238" t="s">
        <v>2972</v>
      </c>
      <c r="H238" t="s">
        <v>208</v>
      </c>
    </row>
    <row r="239" spans="1:8" x14ac:dyDescent="0.25">
      <c r="A239" t="s">
        <v>751</v>
      </c>
      <c r="B239" t="s">
        <v>299</v>
      </c>
      <c r="C239" t="s">
        <v>2886</v>
      </c>
      <c r="D239" t="s">
        <v>2887</v>
      </c>
      <c r="E239" t="s">
        <v>2888</v>
      </c>
      <c r="F239" t="s">
        <v>2041</v>
      </c>
      <c r="G239" t="s">
        <v>2889</v>
      </c>
      <c r="H239" t="s">
        <v>1200</v>
      </c>
    </row>
    <row r="240" spans="1:8" x14ac:dyDescent="0.25">
      <c r="A240" t="s">
        <v>859</v>
      </c>
      <c r="B240" t="s">
        <v>299</v>
      </c>
      <c r="C240" t="s">
        <v>2913</v>
      </c>
      <c r="D240" t="s">
        <v>2914</v>
      </c>
      <c r="E240" t="s">
        <v>2915</v>
      </c>
      <c r="F240" t="s">
        <v>2002</v>
      </c>
      <c r="G240" t="s">
        <v>2916</v>
      </c>
      <c r="H240" t="s">
        <v>134</v>
      </c>
    </row>
    <row r="241" spans="1:8" x14ac:dyDescent="0.25">
      <c r="A241" t="s">
        <v>732</v>
      </c>
      <c r="B241" t="s">
        <v>2826</v>
      </c>
      <c r="C241" t="s">
        <v>1162</v>
      </c>
      <c r="D241" t="s">
        <v>2827</v>
      </c>
      <c r="E241" t="s">
        <v>2828</v>
      </c>
      <c r="F241" t="s">
        <v>2041</v>
      </c>
      <c r="G241" t="s">
        <v>2829</v>
      </c>
      <c r="H241" t="s">
        <v>401</v>
      </c>
    </row>
    <row r="242" spans="1:8" x14ac:dyDescent="0.25">
      <c r="A242" t="s">
        <v>848</v>
      </c>
      <c r="B242" t="s">
        <v>363</v>
      </c>
      <c r="C242" t="s">
        <v>1376</v>
      </c>
      <c r="D242" t="s">
        <v>1377</v>
      </c>
      <c r="E242" t="s">
        <v>1378</v>
      </c>
      <c r="F242" t="s">
        <v>1285</v>
      </c>
      <c r="G242" t="s">
        <v>1379</v>
      </c>
      <c r="H242" t="s">
        <v>963</v>
      </c>
    </row>
    <row r="243" spans="1:8" x14ac:dyDescent="0.25">
      <c r="A243" t="s">
        <v>459</v>
      </c>
      <c r="B243" t="s">
        <v>158</v>
      </c>
      <c r="C243" t="s">
        <v>295</v>
      </c>
      <c r="D243" t="s">
        <v>2302</v>
      </c>
      <c r="E243" t="s">
        <v>2303</v>
      </c>
      <c r="F243" t="s">
        <v>2020</v>
      </c>
      <c r="G243" t="s">
        <v>2304</v>
      </c>
      <c r="H243" t="s">
        <v>1071</v>
      </c>
    </row>
    <row r="244" spans="1:8" x14ac:dyDescent="0.25">
      <c r="A244" t="s">
        <v>861</v>
      </c>
      <c r="B244" t="s">
        <v>1921</v>
      </c>
      <c r="C244" t="s">
        <v>1922</v>
      </c>
      <c r="D244" t="s">
        <v>1923</v>
      </c>
      <c r="E244" t="s">
        <v>1355</v>
      </c>
      <c r="F244" t="s">
        <v>1285</v>
      </c>
      <c r="G244" t="s">
        <v>1356</v>
      </c>
      <c r="H244" t="s">
        <v>396</v>
      </c>
    </row>
    <row r="245" spans="1:8" x14ac:dyDescent="0.25">
      <c r="A245" t="s">
        <v>930</v>
      </c>
      <c r="B245" t="s">
        <v>207</v>
      </c>
      <c r="C245" t="s">
        <v>1463</v>
      </c>
      <c r="D245" t="s">
        <v>1464</v>
      </c>
      <c r="E245" t="s">
        <v>1465</v>
      </c>
      <c r="F245" t="s">
        <v>1285</v>
      </c>
      <c r="G245" t="s">
        <v>1466</v>
      </c>
      <c r="H245" t="s">
        <v>1208</v>
      </c>
    </row>
    <row r="246" spans="1:8" x14ac:dyDescent="0.25">
      <c r="A246" t="s">
        <v>589</v>
      </c>
      <c r="B246" t="s">
        <v>440</v>
      </c>
      <c r="C246" t="s">
        <v>1838</v>
      </c>
      <c r="D246" t="s">
        <v>1839</v>
      </c>
      <c r="E246" t="s">
        <v>1840</v>
      </c>
      <c r="F246" t="s">
        <v>1285</v>
      </c>
      <c r="G246" t="s">
        <v>1841</v>
      </c>
      <c r="H246" t="s">
        <v>1088</v>
      </c>
    </row>
    <row r="247" spans="1:8" x14ac:dyDescent="0.25">
      <c r="A247" t="s">
        <v>745</v>
      </c>
      <c r="B247" t="s">
        <v>227</v>
      </c>
      <c r="C247" t="s">
        <v>1075</v>
      </c>
      <c r="D247" t="s">
        <v>2728</v>
      </c>
      <c r="E247" t="s">
        <v>2729</v>
      </c>
      <c r="F247" t="s">
        <v>2139</v>
      </c>
      <c r="G247" t="s">
        <v>2730</v>
      </c>
      <c r="H247" t="s">
        <v>373</v>
      </c>
    </row>
    <row r="248" spans="1:8" x14ac:dyDescent="0.25">
      <c r="A248" t="s">
        <v>710</v>
      </c>
      <c r="B248" t="s">
        <v>2630</v>
      </c>
      <c r="C248" t="s">
        <v>2631</v>
      </c>
      <c r="D248" t="s">
        <v>2632</v>
      </c>
      <c r="E248" t="s">
        <v>2470</v>
      </c>
      <c r="F248" t="s">
        <v>2011</v>
      </c>
      <c r="G248" t="s">
        <v>2633</v>
      </c>
      <c r="H248" t="s">
        <v>1084</v>
      </c>
    </row>
    <row r="249" spans="1:8" x14ac:dyDescent="0.25">
      <c r="A249" t="s">
        <v>500</v>
      </c>
      <c r="B249" t="s">
        <v>384</v>
      </c>
      <c r="C249" t="s">
        <v>2280</v>
      </c>
      <c r="D249" t="s">
        <v>2281</v>
      </c>
      <c r="E249" t="s">
        <v>2282</v>
      </c>
      <c r="F249" t="s">
        <v>2011</v>
      </c>
      <c r="G249" t="s">
        <v>2283</v>
      </c>
      <c r="H249" t="s">
        <v>394</v>
      </c>
    </row>
    <row r="250" spans="1:8" x14ac:dyDescent="0.25">
      <c r="A250" t="s">
        <v>489</v>
      </c>
      <c r="B250" t="s">
        <v>191</v>
      </c>
      <c r="C250" t="s">
        <v>1451</v>
      </c>
      <c r="D250" t="s">
        <v>1452</v>
      </c>
      <c r="E250" t="s">
        <v>1308</v>
      </c>
      <c r="F250" t="s">
        <v>1285</v>
      </c>
      <c r="G250" t="s">
        <v>1453</v>
      </c>
      <c r="H250" t="s">
        <v>1225</v>
      </c>
    </row>
    <row r="251" spans="1:8" x14ac:dyDescent="0.25">
      <c r="A251" t="s">
        <v>792</v>
      </c>
      <c r="B251" t="s">
        <v>175</v>
      </c>
      <c r="C251" t="s">
        <v>1699</v>
      </c>
      <c r="D251" t="s">
        <v>1700</v>
      </c>
      <c r="E251" t="s">
        <v>1340</v>
      </c>
      <c r="F251" t="s">
        <v>1285</v>
      </c>
      <c r="G251" t="s">
        <v>1701</v>
      </c>
      <c r="H251" t="s">
        <v>994</v>
      </c>
    </row>
    <row r="252" spans="1:8" x14ac:dyDescent="0.25">
      <c r="A252" t="s">
        <v>893</v>
      </c>
      <c r="B252" t="s">
        <v>2585</v>
      </c>
      <c r="C252" t="s">
        <v>2586</v>
      </c>
      <c r="D252" t="s">
        <v>2587</v>
      </c>
      <c r="E252" t="s">
        <v>2588</v>
      </c>
      <c r="F252" t="s">
        <v>2041</v>
      </c>
      <c r="G252" t="s">
        <v>2589</v>
      </c>
      <c r="H252" t="s">
        <v>258</v>
      </c>
    </row>
    <row r="253" spans="1:8" x14ac:dyDescent="0.25">
      <c r="A253" t="s">
        <v>795</v>
      </c>
      <c r="B253" t="s">
        <v>2100</v>
      </c>
      <c r="C253" t="s">
        <v>2101</v>
      </c>
      <c r="D253" t="s">
        <v>2102</v>
      </c>
      <c r="E253" t="s">
        <v>1868</v>
      </c>
      <c r="F253" t="s">
        <v>2011</v>
      </c>
      <c r="G253" t="s">
        <v>2103</v>
      </c>
      <c r="H253" t="s">
        <v>1034</v>
      </c>
    </row>
    <row r="254" spans="1:8" x14ac:dyDescent="0.25">
      <c r="A254" t="s">
        <v>867</v>
      </c>
      <c r="B254" t="s">
        <v>1629</v>
      </c>
      <c r="C254" t="s">
        <v>1630</v>
      </c>
      <c r="D254" t="s">
        <v>1631</v>
      </c>
      <c r="E254" t="s">
        <v>1327</v>
      </c>
      <c r="F254" t="s">
        <v>1285</v>
      </c>
      <c r="G254" t="s">
        <v>1328</v>
      </c>
      <c r="H254" t="s">
        <v>1028</v>
      </c>
    </row>
    <row r="255" spans="1:8" x14ac:dyDescent="0.25">
      <c r="A255" t="s">
        <v>452</v>
      </c>
      <c r="B255" t="s">
        <v>434</v>
      </c>
      <c r="C255" t="s">
        <v>2890</v>
      </c>
      <c r="D255" t="s">
        <v>2891</v>
      </c>
      <c r="E255" t="s">
        <v>2892</v>
      </c>
      <c r="F255" t="s">
        <v>2041</v>
      </c>
      <c r="G255" t="s">
        <v>2893</v>
      </c>
      <c r="H255" t="s">
        <v>441</v>
      </c>
    </row>
    <row r="256" spans="1:8" x14ac:dyDescent="0.25">
      <c r="A256" t="s">
        <v>780</v>
      </c>
      <c r="B256" t="s">
        <v>184</v>
      </c>
      <c r="C256" t="s">
        <v>2305</v>
      </c>
      <c r="D256" t="s">
        <v>2306</v>
      </c>
      <c r="E256" t="s">
        <v>2307</v>
      </c>
      <c r="F256" t="s">
        <v>2020</v>
      </c>
      <c r="G256" t="s">
        <v>2308</v>
      </c>
      <c r="H256" t="s">
        <v>375</v>
      </c>
    </row>
    <row r="257" spans="1:8" x14ac:dyDescent="0.25">
      <c r="A257" t="s">
        <v>609</v>
      </c>
      <c r="B257" t="s">
        <v>210</v>
      </c>
      <c r="C257" t="s">
        <v>2741</v>
      </c>
      <c r="D257" t="s">
        <v>2742</v>
      </c>
      <c r="E257" t="s">
        <v>2743</v>
      </c>
      <c r="F257" t="s">
        <v>2041</v>
      </c>
      <c r="G257" t="s">
        <v>2744</v>
      </c>
      <c r="H257" t="s">
        <v>121</v>
      </c>
    </row>
    <row r="258" spans="1:8" x14ac:dyDescent="0.25">
      <c r="A258" t="s">
        <v>828</v>
      </c>
      <c r="B258" t="s">
        <v>1642</v>
      </c>
      <c r="C258" t="s">
        <v>1643</v>
      </c>
      <c r="D258" t="s">
        <v>1644</v>
      </c>
      <c r="E258" t="s">
        <v>1645</v>
      </c>
      <c r="F258" t="s">
        <v>1285</v>
      </c>
      <c r="G258" t="s">
        <v>1646</v>
      </c>
      <c r="H258" t="s">
        <v>964</v>
      </c>
    </row>
    <row r="259" spans="1:8" x14ac:dyDescent="0.25">
      <c r="A259" t="s">
        <v>782</v>
      </c>
      <c r="B259" t="s">
        <v>2494</v>
      </c>
      <c r="C259" t="s">
        <v>2495</v>
      </c>
      <c r="D259" t="s">
        <v>2496</v>
      </c>
      <c r="E259" t="s">
        <v>2497</v>
      </c>
      <c r="F259" t="s">
        <v>1992</v>
      </c>
      <c r="G259" t="s">
        <v>2498</v>
      </c>
      <c r="H259" t="s">
        <v>214</v>
      </c>
    </row>
    <row r="260" spans="1:8" x14ac:dyDescent="0.25">
      <c r="A260" t="s">
        <v>673</v>
      </c>
      <c r="B260" t="s">
        <v>415</v>
      </c>
      <c r="C260" t="s">
        <v>1924</v>
      </c>
      <c r="D260" t="s">
        <v>1925</v>
      </c>
      <c r="E260" t="s">
        <v>1441</v>
      </c>
      <c r="F260" t="s">
        <v>1285</v>
      </c>
      <c r="G260" t="s">
        <v>1442</v>
      </c>
      <c r="H260" t="s">
        <v>221</v>
      </c>
    </row>
    <row r="261" spans="1:8" x14ac:dyDescent="0.25">
      <c r="A261" t="s">
        <v>917</v>
      </c>
      <c r="B261" t="s">
        <v>130</v>
      </c>
      <c r="C261" t="s">
        <v>2158</v>
      </c>
      <c r="D261" t="s">
        <v>2159</v>
      </c>
      <c r="E261" t="s">
        <v>2160</v>
      </c>
      <c r="F261" t="s">
        <v>2161</v>
      </c>
      <c r="G261" t="s">
        <v>2162</v>
      </c>
      <c r="H261" t="s">
        <v>253</v>
      </c>
    </row>
    <row r="262" spans="1:8" x14ac:dyDescent="0.25">
      <c r="A262" t="s">
        <v>748</v>
      </c>
      <c r="B262" t="s">
        <v>314</v>
      </c>
      <c r="C262" t="s">
        <v>2733</v>
      </c>
      <c r="D262" t="s">
        <v>2734</v>
      </c>
      <c r="E262" t="s">
        <v>2618</v>
      </c>
      <c r="F262" t="s">
        <v>2083</v>
      </c>
      <c r="G262" t="s">
        <v>2619</v>
      </c>
      <c r="H262" t="s">
        <v>1039</v>
      </c>
    </row>
    <row r="263" spans="1:8" x14ac:dyDescent="0.25">
      <c r="A263" t="s">
        <v>915</v>
      </c>
      <c r="B263" t="s">
        <v>1384</v>
      </c>
      <c r="C263" t="s">
        <v>1385</v>
      </c>
      <c r="D263" t="s">
        <v>1386</v>
      </c>
      <c r="E263" t="s">
        <v>1387</v>
      </c>
      <c r="F263" t="s">
        <v>1285</v>
      </c>
      <c r="G263" t="s">
        <v>1388</v>
      </c>
      <c r="H263" t="s">
        <v>1058</v>
      </c>
    </row>
    <row r="264" spans="1:8" x14ac:dyDescent="0.25">
      <c r="A264" t="s">
        <v>558</v>
      </c>
      <c r="B264" t="s">
        <v>2248</v>
      </c>
      <c r="C264" t="s">
        <v>2249</v>
      </c>
      <c r="D264" t="s">
        <v>2250</v>
      </c>
      <c r="E264" t="s">
        <v>2251</v>
      </c>
      <c r="F264" t="s">
        <v>2083</v>
      </c>
      <c r="G264" t="s">
        <v>2252</v>
      </c>
      <c r="H264" t="s">
        <v>117</v>
      </c>
    </row>
    <row r="265" spans="1:8" x14ac:dyDescent="0.25">
      <c r="A265" t="s">
        <v>907</v>
      </c>
      <c r="B265" t="s">
        <v>412</v>
      </c>
      <c r="C265" t="s">
        <v>2317</v>
      </c>
      <c r="D265" t="s">
        <v>2318</v>
      </c>
      <c r="E265" t="s">
        <v>2319</v>
      </c>
      <c r="F265" t="s">
        <v>1992</v>
      </c>
      <c r="G265" t="s">
        <v>2320</v>
      </c>
      <c r="H265" t="s">
        <v>399</v>
      </c>
    </row>
    <row r="266" spans="1:8" x14ac:dyDescent="0.25">
      <c r="A266" t="s">
        <v>627</v>
      </c>
      <c r="B266" t="s">
        <v>2381</v>
      </c>
      <c r="C266" t="s">
        <v>2382</v>
      </c>
      <c r="D266" t="s">
        <v>2383</v>
      </c>
      <c r="E266" t="s">
        <v>2384</v>
      </c>
      <c r="F266" t="s">
        <v>1997</v>
      </c>
      <c r="G266" t="s">
        <v>2385</v>
      </c>
      <c r="H266" t="s">
        <v>265</v>
      </c>
    </row>
    <row r="267" spans="1:8" x14ac:dyDescent="0.25">
      <c r="A267" t="s">
        <v>720</v>
      </c>
      <c r="B267" t="s">
        <v>2855</v>
      </c>
      <c r="C267" t="s">
        <v>2856</v>
      </c>
      <c r="D267" t="s">
        <v>2857</v>
      </c>
      <c r="E267" t="s">
        <v>2858</v>
      </c>
      <c r="F267" t="s">
        <v>2083</v>
      </c>
      <c r="G267" t="s">
        <v>2859</v>
      </c>
      <c r="H267" t="s">
        <v>354</v>
      </c>
    </row>
    <row r="268" spans="1:8" x14ac:dyDescent="0.25">
      <c r="A268" t="s">
        <v>787</v>
      </c>
      <c r="B268" t="s">
        <v>2803</v>
      </c>
      <c r="C268" t="s">
        <v>2804</v>
      </c>
      <c r="D268" t="s">
        <v>2805</v>
      </c>
      <c r="E268" t="s">
        <v>2806</v>
      </c>
      <c r="F268" t="s">
        <v>1992</v>
      </c>
      <c r="G268" t="s">
        <v>2807</v>
      </c>
      <c r="H268" t="s">
        <v>146</v>
      </c>
    </row>
    <row r="269" spans="1:8" x14ac:dyDescent="0.25">
      <c r="A269" t="s">
        <v>853</v>
      </c>
      <c r="B269" t="s">
        <v>186</v>
      </c>
      <c r="C269" t="s">
        <v>2450</v>
      </c>
      <c r="D269" t="s">
        <v>2451</v>
      </c>
      <c r="E269" t="s">
        <v>2246</v>
      </c>
      <c r="F269" t="s">
        <v>2020</v>
      </c>
      <c r="G269" t="s">
        <v>2452</v>
      </c>
      <c r="H269" t="s">
        <v>337</v>
      </c>
    </row>
    <row r="270" spans="1:8" x14ac:dyDescent="0.25">
      <c r="A270" t="s">
        <v>567</v>
      </c>
      <c r="B270" t="s">
        <v>133</v>
      </c>
      <c r="C270" t="s">
        <v>1515</v>
      </c>
      <c r="D270" t="s">
        <v>1516</v>
      </c>
      <c r="E270" t="s">
        <v>1517</v>
      </c>
      <c r="F270" t="s">
        <v>1285</v>
      </c>
      <c r="G270" t="s">
        <v>1518</v>
      </c>
      <c r="H270" t="s">
        <v>1255</v>
      </c>
    </row>
    <row r="271" spans="1:8" x14ac:dyDescent="0.25">
      <c r="A271" t="s">
        <v>454</v>
      </c>
      <c r="B271" t="s">
        <v>2224</v>
      </c>
      <c r="C271" t="s">
        <v>235</v>
      </c>
      <c r="D271" t="s">
        <v>2225</v>
      </c>
      <c r="E271" t="s">
        <v>2226</v>
      </c>
      <c r="F271" t="s">
        <v>2083</v>
      </c>
      <c r="G271" t="s">
        <v>2227</v>
      </c>
      <c r="H271" t="s">
        <v>264</v>
      </c>
    </row>
    <row r="272" spans="1:8" x14ac:dyDescent="0.25">
      <c r="A272" t="s">
        <v>749</v>
      </c>
      <c r="B272" t="s">
        <v>1877</v>
      </c>
      <c r="C272" t="s">
        <v>235</v>
      </c>
      <c r="D272" t="s">
        <v>1878</v>
      </c>
      <c r="E272" t="s">
        <v>1879</v>
      </c>
      <c r="F272" t="s">
        <v>1285</v>
      </c>
      <c r="G272" t="s">
        <v>1880</v>
      </c>
      <c r="H272" t="s">
        <v>1260</v>
      </c>
    </row>
    <row r="273" spans="1:8" x14ac:dyDescent="0.25">
      <c r="A273" t="s">
        <v>776</v>
      </c>
      <c r="B273" t="s">
        <v>1162</v>
      </c>
      <c r="C273" t="s">
        <v>2333</v>
      </c>
      <c r="D273" t="s">
        <v>2334</v>
      </c>
      <c r="E273" t="s">
        <v>2335</v>
      </c>
      <c r="F273" t="s">
        <v>2002</v>
      </c>
      <c r="G273" t="s">
        <v>2336</v>
      </c>
      <c r="H273" t="s">
        <v>423</v>
      </c>
    </row>
    <row r="274" spans="1:8" x14ac:dyDescent="0.25">
      <c r="A274" t="s">
        <v>461</v>
      </c>
      <c r="B274" t="s">
        <v>322</v>
      </c>
      <c r="C274" t="s">
        <v>1873</v>
      </c>
      <c r="D274" t="s">
        <v>1874</v>
      </c>
      <c r="E274" t="s">
        <v>1875</v>
      </c>
      <c r="F274" t="s">
        <v>1285</v>
      </c>
      <c r="G274" t="s">
        <v>1876</v>
      </c>
      <c r="H274" t="s">
        <v>1270</v>
      </c>
    </row>
    <row r="275" spans="1:8" x14ac:dyDescent="0.25">
      <c r="A275" t="s">
        <v>579</v>
      </c>
      <c r="B275" t="s">
        <v>2163</v>
      </c>
      <c r="C275" t="s">
        <v>1714</v>
      </c>
      <c r="D275" t="s">
        <v>2164</v>
      </c>
      <c r="E275" t="s">
        <v>2165</v>
      </c>
      <c r="F275" t="s">
        <v>1992</v>
      </c>
      <c r="G275" t="s">
        <v>2166</v>
      </c>
      <c r="H275" t="s">
        <v>132</v>
      </c>
    </row>
    <row r="276" spans="1:8" x14ac:dyDescent="0.25">
      <c r="A276" t="s">
        <v>678</v>
      </c>
      <c r="B276" t="s">
        <v>167</v>
      </c>
      <c r="C276" t="s">
        <v>2714</v>
      </c>
      <c r="D276" t="s">
        <v>2715</v>
      </c>
      <c r="E276" t="s">
        <v>2075</v>
      </c>
      <c r="F276" t="s">
        <v>2020</v>
      </c>
      <c r="G276" t="s">
        <v>2716</v>
      </c>
      <c r="H276" t="s">
        <v>212</v>
      </c>
    </row>
    <row r="277" spans="1:8" x14ac:dyDescent="0.25">
      <c r="A277" t="s">
        <v>449</v>
      </c>
      <c r="B277" t="s">
        <v>1740</v>
      </c>
      <c r="C277" t="s">
        <v>1741</v>
      </c>
      <c r="D277" t="s">
        <v>1742</v>
      </c>
      <c r="E277" t="s">
        <v>1743</v>
      </c>
      <c r="F277" t="s">
        <v>1285</v>
      </c>
      <c r="G277" t="s">
        <v>1744</v>
      </c>
      <c r="H277" t="s">
        <v>1017</v>
      </c>
    </row>
    <row r="278" spans="1:8" x14ac:dyDescent="0.25">
      <c r="A278" t="s">
        <v>534</v>
      </c>
      <c r="B278" t="s">
        <v>2558</v>
      </c>
      <c r="C278" t="s">
        <v>2559</v>
      </c>
      <c r="D278" t="s">
        <v>2560</v>
      </c>
      <c r="E278" t="s">
        <v>2036</v>
      </c>
      <c r="F278" t="s">
        <v>2020</v>
      </c>
      <c r="G278" t="s">
        <v>2037</v>
      </c>
      <c r="H278" t="s">
        <v>153</v>
      </c>
    </row>
    <row r="279" spans="1:8" x14ac:dyDescent="0.25">
      <c r="A279" t="s">
        <v>712</v>
      </c>
      <c r="B279" t="s">
        <v>125</v>
      </c>
      <c r="C279" t="s">
        <v>1506</v>
      </c>
      <c r="D279" t="s">
        <v>1507</v>
      </c>
      <c r="E279" t="s">
        <v>1508</v>
      </c>
      <c r="F279" t="s">
        <v>1285</v>
      </c>
      <c r="G279" t="s">
        <v>1509</v>
      </c>
      <c r="H279" t="s">
        <v>1167</v>
      </c>
    </row>
    <row r="280" spans="1:8" x14ac:dyDescent="0.25">
      <c r="A280" t="s">
        <v>902</v>
      </c>
      <c r="B280" t="s">
        <v>1004</v>
      </c>
      <c r="C280" t="s">
        <v>1737</v>
      </c>
      <c r="D280" t="s">
        <v>1738</v>
      </c>
      <c r="E280" t="s">
        <v>1396</v>
      </c>
      <c r="F280" t="s">
        <v>1285</v>
      </c>
      <c r="G280" t="s">
        <v>1739</v>
      </c>
      <c r="H280" t="s">
        <v>1159</v>
      </c>
    </row>
    <row r="281" spans="1:8" x14ac:dyDescent="0.25">
      <c r="A281" t="s">
        <v>552</v>
      </c>
      <c r="B281" t="s">
        <v>1890</v>
      </c>
      <c r="C281" t="s">
        <v>1891</v>
      </c>
      <c r="D281" t="s">
        <v>1892</v>
      </c>
      <c r="E281" t="s">
        <v>1508</v>
      </c>
      <c r="F281" t="s">
        <v>1285</v>
      </c>
      <c r="G281" t="s">
        <v>1509</v>
      </c>
      <c r="H281" t="s">
        <v>1231</v>
      </c>
    </row>
    <row r="282" spans="1:8" x14ac:dyDescent="0.25">
      <c r="A282" t="s">
        <v>608</v>
      </c>
      <c r="B282" t="s">
        <v>200</v>
      </c>
      <c r="C282" t="s">
        <v>312</v>
      </c>
      <c r="D282" t="s">
        <v>2292</v>
      </c>
      <c r="E282" t="s">
        <v>2293</v>
      </c>
      <c r="F282" t="s">
        <v>2020</v>
      </c>
      <c r="G282" t="s">
        <v>2294</v>
      </c>
      <c r="H282" t="s">
        <v>427</v>
      </c>
    </row>
    <row r="283" spans="1:8" x14ac:dyDescent="0.25">
      <c r="A283" t="s">
        <v>903</v>
      </c>
      <c r="B283" t="s">
        <v>165</v>
      </c>
      <c r="C283" t="s">
        <v>1504</v>
      </c>
      <c r="D283" t="s">
        <v>1505</v>
      </c>
      <c r="E283" t="s">
        <v>1316</v>
      </c>
      <c r="F283" t="s">
        <v>1285</v>
      </c>
      <c r="G283" t="s">
        <v>1317</v>
      </c>
      <c r="H283" t="s">
        <v>1179</v>
      </c>
    </row>
    <row r="284" spans="1:8" x14ac:dyDescent="0.25">
      <c r="A284" t="s">
        <v>800</v>
      </c>
      <c r="B284" t="s">
        <v>1807</v>
      </c>
      <c r="C284" t="s">
        <v>1568</v>
      </c>
      <c r="D284" t="s">
        <v>1808</v>
      </c>
      <c r="E284" t="s">
        <v>1809</v>
      </c>
      <c r="F284" t="s">
        <v>1285</v>
      </c>
      <c r="G284" t="s">
        <v>1810</v>
      </c>
      <c r="H284" t="s">
        <v>1076</v>
      </c>
    </row>
    <row r="285" spans="1:8" x14ac:dyDescent="0.25">
      <c r="A285" t="s">
        <v>779</v>
      </c>
      <c r="B285" t="s">
        <v>968</v>
      </c>
      <c r="C285" t="s">
        <v>1568</v>
      </c>
      <c r="D285" t="s">
        <v>2085</v>
      </c>
      <c r="E285" t="s">
        <v>2086</v>
      </c>
      <c r="F285" t="s">
        <v>2011</v>
      </c>
      <c r="G285" t="s">
        <v>2087</v>
      </c>
      <c r="H285" t="s">
        <v>190</v>
      </c>
    </row>
    <row r="286" spans="1:8" x14ac:dyDescent="0.25">
      <c r="A286" t="s">
        <v>548</v>
      </c>
      <c r="B286" t="s">
        <v>1027</v>
      </c>
      <c r="C286" t="s">
        <v>1805</v>
      </c>
      <c r="D286" t="s">
        <v>1806</v>
      </c>
      <c r="E286" t="s">
        <v>1330</v>
      </c>
      <c r="F286" t="s">
        <v>1285</v>
      </c>
      <c r="G286" t="s">
        <v>1331</v>
      </c>
      <c r="H286" t="s">
        <v>1223</v>
      </c>
    </row>
    <row r="287" spans="1:8" x14ac:dyDescent="0.25">
      <c r="A287" t="s">
        <v>931</v>
      </c>
      <c r="B287" t="s">
        <v>314</v>
      </c>
      <c r="C287" t="s">
        <v>1682</v>
      </c>
      <c r="D287" t="s">
        <v>1683</v>
      </c>
      <c r="E287" t="s">
        <v>1684</v>
      </c>
      <c r="F287" t="s">
        <v>1285</v>
      </c>
      <c r="G287" t="s">
        <v>1685</v>
      </c>
      <c r="H287" t="s">
        <v>981</v>
      </c>
    </row>
    <row r="288" spans="1:8" x14ac:dyDescent="0.25">
      <c r="A288" t="s">
        <v>640</v>
      </c>
      <c r="B288" t="s">
        <v>2117</v>
      </c>
      <c r="C288" t="s">
        <v>1752</v>
      </c>
      <c r="D288" t="s">
        <v>2118</v>
      </c>
      <c r="E288" t="s">
        <v>2119</v>
      </c>
      <c r="F288" t="s">
        <v>2041</v>
      </c>
      <c r="G288" t="s">
        <v>2120</v>
      </c>
      <c r="H288" t="s">
        <v>947</v>
      </c>
    </row>
    <row r="289" spans="1:8" x14ac:dyDescent="0.25">
      <c r="A289" t="s">
        <v>722</v>
      </c>
      <c r="B289" t="s">
        <v>191</v>
      </c>
      <c r="C289" t="s">
        <v>2708</v>
      </c>
      <c r="D289" t="s">
        <v>2709</v>
      </c>
      <c r="E289" t="s">
        <v>2710</v>
      </c>
      <c r="F289" t="s">
        <v>1992</v>
      </c>
      <c r="G289" t="s">
        <v>2711</v>
      </c>
      <c r="H289" t="s">
        <v>123</v>
      </c>
    </row>
    <row r="290" spans="1:8" x14ac:dyDescent="0.25">
      <c r="A290" t="s">
        <v>557</v>
      </c>
      <c r="B290" t="s">
        <v>3031</v>
      </c>
      <c r="C290" t="s">
        <v>3032</v>
      </c>
      <c r="D290" t="s">
        <v>3033</v>
      </c>
      <c r="E290" t="s">
        <v>2282</v>
      </c>
      <c r="F290" t="s">
        <v>2011</v>
      </c>
      <c r="G290" t="s">
        <v>2283</v>
      </c>
      <c r="H290" t="s">
        <v>347</v>
      </c>
    </row>
    <row r="291" spans="1:8" x14ac:dyDescent="0.25">
      <c r="A291" t="s">
        <v>727</v>
      </c>
      <c r="B291" t="s">
        <v>98</v>
      </c>
      <c r="C291" t="s">
        <v>2510</v>
      </c>
      <c r="D291" t="s">
        <v>2511</v>
      </c>
      <c r="E291" t="s">
        <v>2512</v>
      </c>
      <c r="F291" t="s">
        <v>2041</v>
      </c>
      <c r="G291" t="s">
        <v>2513</v>
      </c>
      <c r="H291" t="s">
        <v>360</v>
      </c>
    </row>
    <row r="292" spans="1:8" x14ac:dyDescent="0.25">
      <c r="A292" t="s">
        <v>877</v>
      </c>
      <c r="B292" t="s">
        <v>1287</v>
      </c>
      <c r="C292" t="s">
        <v>1734</v>
      </c>
      <c r="D292" t="s">
        <v>1735</v>
      </c>
      <c r="E292" t="s">
        <v>104</v>
      </c>
      <c r="F292" t="s">
        <v>1285</v>
      </c>
      <c r="G292" t="s">
        <v>1736</v>
      </c>
      <c r="H292" t="s">
        <v>966</v>
      </c>
    </row>
    <row r="293" spans="1:8" x14ac:dyDescent="0.25">
      <c r="A293" t="s">
        <v>664</v>
      </c>
      <c r="B293" t="s">
        <v>1357</v>
      </c>
      <c r="C293" t="s">
        <v>1734</v>
      </c>
      <c r="D293" t="s">
        <v>2549</v>
      </c>
      <c r="E293" t="s">
        <v>2550</v>
      </c>
      <c r="F293" t="s">
        <v>2278</v>
      </c>
      <c r="G293" t="s">
        <v>2551</v>
      </c>
      <c r="H293" t="s">
        <v>433</v>
      </c>
    </row>
    <row r="294" spans="1:8" x14ac:dyDescent="0.25">
      <c r="A294" t="s">
        <v>565</v>
      </c>
      <c r="B294" t="s">
        <v>1268</v>
      </c>
      <c r="C294" t="s">
        <v>186</v>
      </c>
      <c r="D294" t="s">
        <v>2782</v>
      </c>
      <c r="E294" t="s">
        <v>2783</v>
      </c>
      <c r="F294" t="s">
        <v>2002</v>
      </c>
      <c r="G294" t="s">
        <v>2784</v>
      </c>
      <c r="H294" t="s">
        <v>414</v>
      </c>
    </row>
    <row r="295" spans="1:8" x14ac:dyDescent="0.25">
      <c r="A295" t="s">
        <v>612</v>
      </c>
      <c r="B295" t="s">
        <v>2735</v>
      </c>
      <c r="C295" t="s">
        <v>186</v>
      </c>
      <c r="D295" t="s">
        <v>2736</v>
      </c>
      <c r="E295" t="s">
        <v>2737</v>
      </c>
      <c r="F295" t="s">
        <v>2011</v>
      </c>
      <c r="G295" t="s">
        <v>2738</v>
      </c>
      <c r="H295" t="s">
        <v>376</v>
      </c>
    </row>
    <row r="296" spans="1:8" x14ac:dyDescent="0.25">
      <c r="A296" t="s">
        <v>807</v>
      </c>
      <c r="B296" t="s">
        <v>98</v>
      </c>
      <c r="C296" t="s">
        <v>1318</v>
      </c>
      <c r="D296" t="s">
        <v>1319</v>
      </c>
      <c r="E296" t="s">
        <v>1308</v>
      </c>
      <c r="F296" t="s">
        <v>1285</v>
      </c>
      <c r="G296" t="s">
        <v>1320</v>
      </c>
      <c r="H296" t="s">
        <v>956</v>
      </c>
    </row>
    <row r="297" spans="1:8" x14ac:dyDescent="0.25">
      <c r="A297" t="s">
        <v>583</v>
      </c>
      <c r="B297" t="s">
        <v>2643</v>
      </c>
      <c r="C297" t="s">
        <v>1318</v>
      </c>
      <c r="D297" t="s">
        <v>2644</v>
      </c>
      <c r="E297" t="s">
        <v>2645</v>
      </c>
      <c r="F297" t="s">
        <v>2020</v>
      </c>
      <c r="G297" t="s">
        <v>2646</v>
      </c>
      <c r="H297" t="s">
        <v>1257</v>
      </c>
    </row>
    <row r="298" spans="1:8" x14ac:dyDescent="0.25">
      <c r="A298" t="s">
        <v>526</v>
      </c>
      <c r="B298" t="s">
        <v>2268</v>
      </c>
      <c r="C298" t="s">
        <v>1325</v>
      </c>
      <c r="D298" t="s">
        <v>2269</v>
      </c>
      <c r="E298" t="s">
        <v>2270</v>
      </c>
      <c r="F298" t="s">
        <v>2271</v>
      </c>
      <c r="G298" t="s">
        <v>2272</v>
      </c>
      <c r="H298" t="s">
        <v>106</v>
      </c>
    </row>
    <row r="299" spans="1:8" x14ac:dyDescent="0.25">
      <c r="A299" t="s">
        <v>506</v>
      </c>
      <c r="B299" t="s">
        <v>210</v>
      </c>
      <c r="C299" t="s">
        <v>1325</v>
      </c>
      <c r="D299" t="s">
        <v>1326</v>
      </c>
      <c r="E299" t="s">
        <v>1327</v>
      </c>
      <c r="F299" t="s">
        <v>1285</v>
      </c>
      <c r="G299" t="s">
        <v>1328</v>
      </c>
      <c r="H299" t="s">
        <v>1015</v>
      </c>
    </row>
    <row r="300" spans="1:8" x14ac:dyDescent="0.25">
      <c r="A300" t="s">
        <v>823</v>
      </c>
      <c r="B300" t="s">
        <v>193</v>
      </c>
      <c r="C300" t="s">
        <v>1372</v>
      </c>
      <c r="D300" t="s">
        <v>1373</v>
      </c>
      <c r="E300" t="s">
        <v>1374</v>
      </c>
      <c r="F300" t="s">
        <v>1285</v>
      </c>
      <c r="G300" t="s">
        <v>1375</v>
      </c>
      <c r="H300" t="s">
        <v>1055</v>
      </c>
    </row>
    <row r="301" spans="1:8" x14ac:dyDescent="0.25">
      <c r="A301" t="s">
        <v>771</v>
      </c>
      <c r="B301" t="s">
        <v>239</v>
      </c>
      <c r="C301" t="s">
        <v>1602</v>
      </c>
      <c r="D301" t="s">
        <v>1603</v>
      </c>
      <c r="E301" t="s">
        <v>1530</v>
      </c>
      <c r="F301" t="s">
        <v>1285</v>
      </c>
      <c r="G301" t="s">
        <v>1595</v>
      </c>
      <c r="H301" t="s">
        <v>1174</v>
      </c>
    </row>
    <row r="302" spans="1:8" x14ac:dyDescent="0.25">
      <c r="A302" t="s">
        <v>530</v>
      </c>
      <c r="B302" t="s">
        <v>191</v>
      </c>
      <c r="C302" t="s">
        <v>1917</v>
      </c>
      <c r="D302" t="s">
        <v>1918</v>
      </c>
      <c r="E302" t="s">
        <v>1919</v>
      </c>
      <c r="F302" t="s">
        <v>1285</v>
      </c>
      <c r="G302" t="s">
        <v>1920</v>
      </c>
      <c r="H302" t="s">
        <v>287</v>
      </c>
    </row>
    <row r="303" spans="1:8" x14ac:dyDescent="0.25">
      <c r="A303" t="s">
        <v>638</v>
      </c>
      <c r="B303" t="s">
        <v>290</v>
      </c>
      <c r="C303" t="s">
        <v>2034</v>
      </c>
      <c r="D303" t="s">
        <v>2035</v>
      </c>
      <c r="E303" t="s">
        <v>2036</v>
      </c>
      <c r="F303" t="s">
        <v>2020</v>
      </c>
      <c r="G303" t="s">
        <v>2037</v>
      </c>
      <c r="H303" t="s">
        <v>418</v>
      </c>
    </row>
    <row r="304" spans="1:8" x14ac:dyDescent="0.25">
      <c r="A304" t="s">
        <v>587</v>
      </c>
      <c r="B304" t="s">
        <v>402</v>
      </c>
      <c r="C304" t="s">
        <v>1632</v>
      </c>
      <c r="D304" t="s">
        <v>1633</v>
      </c>
      <c r="E304" t="s">
        <v>1432</v>
      </c>
      <c r="F304" t="s">
        <v>1285</v>
      </c>
      <c r="G304" t="s">
        <v>1433</v>
      </c>
      <c r="H304" t="s">
        <v>1006</v>
      </c>
    </row>
    <row r="305" spans="1:8" x14ac:dyDescent="0.25">
      <c r="A305" t="s">
        <v>584</v>
      </c>
      <c r="B305" t="s">
        <v>1675</v>
      </c>
      <c r="C305" t="s">
        <v>1676</v>
      </c>
      <c r="D305" t="s">
        <v>1677</v>
      </c>
      <c r="E305" t="s">
        <v>1323</v>
      </c>
      <c r="F305" t="s">
        <v>1285</v>
      </c>
      <c r="G305" t="s">
        <v>1678</v>
      </c>
      <c r="H305" t="s">
        <v>1082</v>
      </c>
    </row>
    <row r="306" spans="1:8" x14ac:dyDescent="0.25">
      <c r="A306" t="s">
        <v>783</v>
      </c>
      <c r="B306" t="s">
        <v>119</v>
      </c>
      <c r="C306" t="s">
        <v>2574</v>
      </c>
      <c r="D306" t="s">
        <v>2575</v>
      </c>
      <c r="E306" t="s">
        <v>2576</v>
      </c>
      <c r="F306" t="s">
        <v>2011</v>
      </c>
      <c r="G306" t="s">
        <v>2577</v>
      </c>
      <c r="H306" t="s">
        <v>1092</v>
      </c>
    </row>
    <row r="307" spans="1:8" x14ac:dyDescent="0.25">
      <c r="A307" t="s">
        <v>799</v>
      </c>
      <c r="B307" t="s">
        <v>127</v>
      </c>
      <c r="C307" t="s">
        <v>2133</v>
      </c>
      <c r="D307" t="s">
        <v>2134</v>
      </c>
      <c r="E307" t="s">
        <v>2135</v>
      </c>
      <c r="F307" t="s">
        <v>2011</v>
      </c>
      <c r="G307" t="s">
        <v>2136</v>
      </c>
      <c r="H307" t="s">
        <v>1107</v>
      </c>
    </row>
    <row r="308" spans="1:8" x14ac:dyDescent="0.25">
      <c r="A308" t="s">
        <v>738</v>
      </c>
      <c r="B308" t="s">
        <v>135</v>
      </c>
      <c r="C308" t="s">
        <v>2004</v>
      </c>
      <c r="D308" t="s">
        <v>2005</v>
      </c>
      <c r="E308" t="s">
        <v>2006</v>
      </c>
      <c r="F308" t="s">
        <v>1997</v>
      </c>
      <c r="G308" t="s">
        <v>2007</v>
      </c>
      <c r="H308" t="s">
        <v>1129</v>
      </c>
    </row>
    <row r="309" spans="1:8" x14ac:dyDescent="0.25">
      <c r="A309" t="s">
        <v>605</v>
      </c>
      <c r="B309" t="s">
        <v>192</v>
      </c>
      <c r="C309" t="s">
        <v>2208</v>
      </c>
      <c r="D309" t="s">
        <v>2209</v>
      </c>
      <c r="E309" t="s">
        <v>2036</v>
      </c>
      <c r="F309" t="s">
        <v>2020</v>
      </c>
      <c r="G309" t="s">
        <v>2123</v>
      </c>
      <c r="H309" t="s">
        <v>974</v>
      </c>
    </row>
    <row r="310" spans="1:8" x14ac:dyDescent="0.25">
      <c r="A310" t="s">
        <v>789</v>
      </c>
      <c r="B310" t="s">
        <v>130</v>
      </c>
      <c r="C310" t="s">
        <v>2657</v>
      </c>
      <c r="D310" t="s">
        <v>2658</v>
      </c>
      <c r="E310" t="s">
        <v>2094</v>
      </c>
      <c r="F310" t="s">
        <v>2011</v>
      </c>
      <c r="G310" t="s">
        <v>2095</v>
      </c>
      <c r="H310" t="s">
        <v>1049</v>
      </c>
    </row>
    <row r="311" spans="1:8" x14ac:dyDescent="0.25">
      <c r="A311" t="s">
        <v>600</v>
      </c>
      <c r="B311" t="s">
        <v>114</v>
      </c>
      <c r="C311" t="s">
        <v>1820</v>
      </c>
      <c r="D311" t="s">
        <v>1821</v>
      </c>
      <c r="E311" t="s">
        <v>1822</v>
      </c>
      <c r="F311" t="s">
        <v>1285</v>
      </c>
      <c r="G311" t="s">
        <v>1823</v>
      </c>
      <c r="H311" t="s">
        <v>1021</v>
      </c>
    </row>
    <row r="312" spans="1:8" x14ac:dyDescent="0.25">
      <c r="A312" t="s">
        <v>549</v>
      </c>
      <c r="B312" t="s">
        <v>2273</v>
      </c>
      <c r="C312" t="s">
        <v>1059</v>
      </c>
      <c r="D312" t="s">
        <v>2274</v>
      </c>
      <c r="E312" t="s">
        <v>955</v>
      </c>
      <c r="F312" t="s">
        <v>2011</v>
      </c>
      <c r="G312" t="s">
        <v>2275</v>
      </c>
      <c r="H312" t="s">
        <v>1110</v>
      </c>
    </row>
    <row r="313" spans="1:8" x14ac:dyDescent="0.25">
      <c r="A313" t="s">
        <v>691</v>
      </c>
      <c r="B313" t="s">
        <v>1583</v>
      </c>
      <c r="C313" t="s">
        <v>1059</v>
      </c>
      <c r="D313" t="s">
        <v>1584</v>
      </c>
      <c r="E313" t="s">
        <v>1513</v>
      </c>
      <c r="F313" t="s">
        <v>1285</v>
      </c>
      <c r="G313" t="s">
        <v>1514</v>
      </c>
      <c r="H313" t="s">
        <v>1057</v>
      </c>
    </row>
    <row r="314" spans="1:8" x14ac:dyDescent="0.25">
      <c r="A314" t="s">
        <v>670</v>
      </c>
      <c r="B314" t="s">
        <v>1860</v>
      </c>
      <c r="C314" t="s">
        <v>1059</v>
      </c>
      <c r="D314" t="s">
        <v>1861</v>
      </c>
      <c r="E314" t="s">
        <v>1862</v>
      </c>
      <c r="F314" t="s">
        <v>1285</v>
      </c>
      <c r="G314" t="s">
        <v>1863</v>
      </c>
      <c r="H314" t="s">
        <v>1184</v>
      </c>
    </row>
    <row r="315" spans="1:8" x14ac:dyDescent="0.25">
      <c r="A315" t="s">
        <v>690</v>
      </c>
      <c r="B315" t="s">
        <v>2063</v>
      </c>
      <c r="C315" t="s">
        <v>2064</v>
      </c>
      <c r="D315" t="s">
        <v>2065</v>
      </c>
      <c r="E315" t="s">
        <v>2066</v>
      </c>
      <c r="F315" t="s">
        <v>2041</v>
      </c>
      <c r="G315" t="s">
        <v>2067</v>
      </c>
      <c r="H315" t="s">
        <v>327</v>
      </c>
    </row>
    <row r="316" spans="1:8" x14ac:dyDescent="0.25">
      <c r="A316" t="s">
        <v>730</v>
      </c>
      <c r="B316" t="s">
        <v>1455</v>
      </c>
      <c r="C316" t="s">
        <v>2770</v>
      </c>
      <c r="D316" t="s">
        <v>2771</v>
      </c>
      <c r="E316" t="s">
        <v>2772</v>
      </c>
      <c r="F316" t="s">
        <v>2083</v>
      </c>
      <c r="G316" t="s">
        <v>2773</v>
      </c>
      <c r="H316" t="s">
        <v>1011</v>
      </c>
    </row>
    <row r="317" spans="1:8" x14ac:dyDescent="0.25">
      <c r="A317" t="s">
        <v>487</v>
      </c>
      <c r="B317" t="s">
        <v>116</v>
      </c>
      <c r="C317" t="s">
        <v>1459</v>
      </c>
      <c r="D317" t="s">
        <v>1460</v>
      </c>
      <c r="E317" t="s">
        <v>1461</v>
      </c>
      <c r="F317" t="s">
        <v>1285</v>
      </c>
      <c r="G317" t="s">
        <v>1462</v>
      </c>
      <c r="H317" t="s">
        <v>988</v>
      </c>
    </row>
    <row r="318" spans="1:8" x14ac:dyDescent="0.25">
      <c r="A318" t="s">
        <v>686</v>
      </c>
      <c r="B318" t="s">
        <v>1618</v>
      </c>
      <c r="C318" t="s">
        <v>180</v>
      </c>
      <c r="D318" t="s">
        <v>2137</v>
      </c>
      <c r="E318" t="s">
        <v>2138</v>
      </c>
      <c r="F318" t="s">
        <v>2139</v>
      </c>
      <c r="G318" t="s">
        <v>2140</v>
      </c>
      <c r="H318" t="s">
        <v>977</v>
      </c>
    </row>
    <row r="319" spans="1:8" x14ac:dyDescent="0.25">
      <c r="A319" t="s">
        <v>724</v>
      </c>
      <c r="B319" t="s">
        <v>353</v>
      </c>
      <c r="C319" t="s">
        <v>180</v>
      </c>
      <c r="D319" t="s">
        <v>1594</v>
      </c>
      <c r="E319" t="s">
        <v>1530</v>
      </c>
      <c r="F319" t="s">
        <v>1285</v>
      </c>
      <c r="G319" t="s">
        <v>1595</v>
      </c>
      <c r="H319" t="s">
        <v>1175</v>
      </c>
    </row>
    <row r="320" spans="1:8" x14ac:dyDescent="0.25">
      <c r="A320" t="s">
        <v>547</v>
      </c>
      <c r="B320" t="s">
        <v>374</v>
      </c>
      <c r="C320" t="s">
        <v>1536</v>
      </c>
      <c r="D320" t="s">
        <v>2717</v>
      </c>
      <c r="E320" t="s">
        <v>2718</v>
      </c>
      <c r="F320" t="s">
        <v>2041</v>
      </c>
      <c r="G320" t="s">
        <v>2719</v>
      </c>
      <c r="H320" t="s">
        <v>426</v>
      </c>
    </row>
    <row r="321" spans="1:8" x14ac:dyDescent="0.25">
      <c r="A321" t="s">
        <v>634</v>
      </c>
      <c r="B321" t="s">
        <v>1535</v>
      </c>
      <c r="C321" t="s">
        <v>1536</v>
      </c>
      <c r="D321" t="s">
        <v>1537</v>
      </c>
      <c r="E321" t="s">
        <v>1370</v>
      </c>
      <c r="F321" t="s">
        <v>1285</v>
      </c>
      <c r="G321" t="s">
        <v>1371</v>
      </c>
      <c r="H321" t="s">
        <v>1172</v>
      </c>
    </row>
    <row r="322" spans="1:8" x14ac:dyDescent="0.25">
      <c r="A322" t="s">
        <v>631</v>
      </c>
      <c r="B322" t="s">
        <v>393</v>
      </c>
      <c r="C322" t="s">
        <v>1000</v>
      </c>
      <c r="D322" t="s">
        <v>1532</v>
      </c>
      <c r="E322" t="s">
        <v>1533</v>
      </c>
      <c r="F322" t="s">
        <v>1285</v>
      </c>
      <c r="G322" t="s">
        <v>1534</v>
      </c>
      <c r="H322" t="s">
        <v>1234</v>
      </c>
    </row>
    <row r="323" spans="1:8" x14ac:dyDescent="0.25">
      <c r="A323" t="s">
        <v>739</v>
      </c>
      <c r="B323" t="s">
        <v>210</v>
      </c>
      <c r="C323" t="s">
        <v>2121</v>
      </c>
      <c r="D323" t="s">
        <v>2122</v>
      </c>
      <c r="E323" t="s">
        <v>2036</v>
      </c>
      <c r="F323" t="s">
        <v>2020</v>
      </c>
      <c r="G323" t="s">
        <v>2123</v>
      </c>
      <c r="H323" t="s">
        <v>1253</v>
      </c>
    </row>
    <row r="324" spans="1:8" x14ac:dyDescent="0.25">
      <c r="A324" t="s">
        <v>518</v>
      </c>
      <c r="B324" t="s">
        <v>2590</v>
      </c>
      <c r="C324" t="s">
        <v>2591</v>
      </c>
      <c r="D324" t="s">
        <v>2592</v>
      </c>
      <c r="E324" t="s">
        <v>2593</v>
      </c>
      <c r="F324" t="s">
        <v>2041</v>
      </c>
      <c r="G324" t="s">
        <v>2594</v>
      </c>
      <c r="H324" t="s">
        <v>187</v>
      </c>
    </row>
    <row r="325" spans="1:8" x14ac:dyDescent="0.25">
      <c r="A325" t="s">
        <v>465</v>
      </c>
      <c r="B325" t="s">
        <v>101</v>
      </c>
      <c r="C325" t="s">
        <v>194</v>
      </c>
      <c r="D325" t="s">
        <v>2610</v>
      </c>
      <c r="E325" t="s">
        <v>2611</v>
      </c>
      <c r="F325" t="s">
        <v>2041</v>
      </c>
      <c r="G325" t="s">
        <v>2612</v>
      </c>
      <c r="H325" t="s">
        <v>1156</v>
      </c>
    </row>
    <row r="326" spans="1:8" x14ac:dyDescent="0.25">
      <c r="A326" t="s">
        <v>703</v>
      </c>
      <c r="B326" t="s">
        <v>191</v>
      </c>
      <c r="C326" t="s">
        <v>2411</v>
      </c>
      <c r="D326" t="s">
        <v>2412</v>
      </c>
      <c r="E326" t="s">
        <v>2413</v>
      </c>
      <c r="F326" t="s">
        <v>2041</v>
      </c>
      <c r="G326" t="s">
        <v>2414</v>
      </c>
      <c r="H326" t="s">
        <v>331</v>
      </c>
    </row>
    <row r="327" spans="1:8" x14ac:dyDescent="0.25">
      <c r="A327" t="s">
        <v>650</v>
      </c>
      <c r="B327" t="s">
        <v>191</v>
      </c>
      <c r="C327" t="s">
        <v>1705</v>
      </c>
      <c r="D327" t="s">
        <v>1706</v>
      </c>
      <c r="E327" t="s">
        <v>1707</v>
      </c>
      <c r="F327" t="s">
        <v>1285</v>
      </c>
      <c r="G327" t="s">
        <v>1708</v>
      </c>
      <c r="H327" t="s">
        <v>1046</v>
      </c>
    </row>
    <row r="328" spans="1:8" x14ac:dyDescent="0.25">
      <c r="A328" t="s">
        <v>725</v>
      </c>
      <c r="B328" t="s">
        <v>2321</v>
      </c>
      <c r="C328" t="s">
        <v>198</v>
      </c>
      <c r="D328" t="s">
        <v>2322</v>
      </c>
      <c r="E328" t="s">
        <v>2323</v>
      </c>
      <c r="F328" t="s">
        <v>2161</v>
      </c>
      <c r="G328" t="s">
        <v>2324</v>
      </c>
      <c r="H328" t="s">
        <v>315</v>
      </c>
    </row>
    <row r="329" spans="1:8" x14ac:dyDescent="0.25">
      <c r="A329" t="s">
        <v>803</v>
      </c>
      <c r="B329" t="s">
        <v>1510</v>
      </c>
      <c r="C329" t="s">
        <v>1036</v>
      </c>
      <c r="D329" t="s">
        <v>2124</v>
      </c>
      <c r="E329" t="s">
        <v>2125</v>
      </c>
      <c r="F329" t="s">
        <v>1992</v>
      </c>
      <c r="G329" t="s">
        <v>2126</v>
      </c>
      <c r="H329" t="s">
        <v>416</v>
      </c>
    </row>
    <row r="330" spans="1:8" x14ac:dyDescent="0.25">
      <c r="A330" t="s">
        <v>575</v>
      </c>
      <c r="B330" t="s">
        <v>1384</v>
      </c>
      <c r="C330" t="s">
        <v>1036</v>
      </c>
      <c r="D330" t="s">
        <v>2910</v>
      </c>
      <c r="E330" t="s">
        <v>2911</v>
      </c>
      <c r="F330" t="s">
        <v>2041</v>
      </c>
      <c r="G330" t="s">
        <v>2912</v>
      </c>
      <c r="H330" t="s">
        <v>1235</v>
      </c>
    </row>
    <row r="331" spans="1:8" x14ac:dyDescent="0.25">
      <c r="A331" t="s">
        <v>895</v>
      </c>
      <c r="B331" t="s">
        <v>105</v>
      </c>
      <c r="C331" t="s">
        <v>1036</v>
      </c>
      <c r="D331" t="s">
        <v>2205</v>
      </c>
      <c r="E331" t="s">
        <v>2206</v>
      </c>
      <c r="F331" t="s">
        <v>2020</v>
      </c>
      <c r="G331" t="s">
        <v>2207</v>
      </c>
      <c r="H331" t="s">
        <v>1218</v>
      </c>
    </row>
    <row r="332" spans="1:8" x14ac:dyDescent="0.25">
      <c r="A332" t="s">
        <v>887</v>
      </c>
      <c r="B332" t="s">
        <v>1162</v>
      </c>
      <c r="C332" t="s">
        <v>3027</v>
      </c>
      <c r="D332" t="s">
        <v>3028</v>
      </c>
      <c r="E332" t="s">
        <v>3029</v>
      </c>
      <c r="F332" t="s">
        <v>2011</v>
      </c>
      <c r="G332" t="s">
        <v>3030</v>
      </c>
      <c r="H332" t="s">
        <v>1089</v>
      </c>
    </row>
    <row r="333" spans="1:8" x14ac:dyDescent="0.25">
      <c r="A333" t="s">
        <v>511</v>
      </c>
      <c r="B333" t="s">
        <v>1177</v>
      </c>
      <c r="C333" t="s">
        <v>2253</v>
      </c>
      <c r="D333" t="s">
        <v>2254</v>
      </c>
      <c r="E333" t="s">
        <v>2036</v>
      </c>
      <c r="F333" t="s">
        <v>2020</v>
      </c>
      <c r="G333" t="s">
        <v>2255</v>
      </c>
      <c r="H333" t="s">
        <v>431</v>
      </c>
    </row>
    <row r="334" spans="1:8" x14ac:dyDescent="0.25">
      <c r="A334" t="s">
        <v>450</v>
      </c>
      <c r="B334" t="s">
        <v>2362</v>
      </c>
      <c r="C334" t="s">
        <v>436</v>
      </c>
      <c r="D334" t="s">
        <v>2363</v>
      </c>
      <c r="E334" t="s">
        <v>2364</v>
      </c>
      <c r="F334" t="s">
        <v>2041</v>
      </c>
      <c r="G334" t="s">
        <v>2365</v>
      </c>
      <c r="H334" t="s">
        <v>982</v>
      </c>
    </row>
    <row r="335" spans="1:8" x14ac:dyDescent="0.25">
      <c r="A335" t="s">
        <v>764</v>
      </c>
      <c r="B335" t="s">
        <v>98</v>
      </c>
      <c r="C335" t="s">
        <v>1762</v>
      </c>
      <c r="D335" t="s">
        <v>1763</v>
      </c>
      <c r="E335" t="s">
        <v>1299</v>
      </c>
      <c r="F335" t="s">
        <v>1285</v>
      </c>
      <c r="G335" t="s">
        <v>1300</v>
      </c>
      <c r="H335" t="s">
        <v>1240</v>
      </c>
    </row>
    <row r="336" spans="1:8" x14ac:dyDescent="0.25">
      <c r="A336" t="s">
        <v>714</v>
      </c>
      <c r="B336" t="s">
        <v>175</v>
      </c>
      <c r="C336" t="s">
        <v>1953</v>
      </c>
      <c r="D336" t="s">
        <v>1954</v>
      </c>
      <c r="E336" t="s">
        <v>1396</v>
      </c>
      <c r="F336" t="s">
        <v>1285</v>
      </c>
      <c r="G336" t="s">
        <v>1397</v>
      </c>
      <c r="H336" t="s">
        <v>1241</v>
      </c>
    </row>
    <row r="337" spans="1:8" x14ac:dyDescent="0.25">
      <c r="A337" t="s">
        <v>790</v>
      </c>
      <c r="B337" t="s">
        <v>1734</v>
      </c>
      <c r="C337" t="s">
        <v>2038</v>
      </c>
      <c r="D337" t="s">
        <v>2039</v>
      </c>
      <c r="E337" t="s">
        <v>2040</v>
      </c>
      <c r="F337" t="s">
        <v>2041</v>
      </c>
      <c r="G337" t="s">
        <v>2042</v>
      </c>
      <c r="H337" t="s">
        <v>310</v>
      </c>
    </row>
    <row r="338" spans="1:8" x14ac:dyDescent="0.25">
      <c r="A338" t="s">
        <v>525</v>
      </c>
      <c r="B338" t="s">
        <v>1568</v>
      </c>
      <c r="C338" t="s">
        <v>1782</v>
      </c>
      <c r="D338" t="s">
        <v>1783</v>
      </c>
      <c r="E338" t="s">
        <v>1784</v>
      </c>
      <c r="F338" t="s">
        <v>1285</v>
      </c>
      <c r="G338" t="s">
        <v>1785</v>
      </c>
      <c r="H338" t="s">
        <v>1236</v>
      </c>
    </row>
    <row r="339" spans="1:8" x14ac:dyDescent="0.25">
      <c r="A339" t="s">
        <v>508</v>
      </c>
      <c r="B339" t="s">
        <v>1729</v>
      </c>
      <c r="C339" t="s">
        <v>1730</v>
      </c>
      <c r="D339" t="s">
        <v>1731</v>
      </c>
      <c r="E339" t="s">
        <v>1732</v>
      </c>
      <c r="F339" t="s">
        <v>1285</v>
      </c>
      <c r="G339" t="s">
        <v>1733</v>
      </c>
      <c r="H339" t="s">
        <v>1127</v>
      </c>
    </row>
    <row r="340" spans="1:8" x14ac:dyDescent="0.25">
      <c r="A340" t="s">
        <v>633</v>
      </c>
      <c r="B340" t="s">
        <v>3081</v>
      </c>
      <c r="C340" t="s">
        <v>3080</v>
      </c>
      <c r="D340" t="s">
        <v>2193</v>
      </c>
      <c r="E340" t="s">
        <v>2194</v>
      </c>
      <c r="F340" t="s">
        <v>2011</v>
      </c>
      <c r="G340" t="s">
        <v>2195</v>
      </c>
      <c r="H340" t="s">
        <v>333</v>
      </c>
    </row>
    <row r="341" spans="1:8" x14ac:dyDescent="0.25">
      <c r="A341" t="s">
        <v>473</v>
      </c>
      <c r="B341" t="s">
        <v>142</v>
      </c>
      <c r="C341" t="s">
        <v>2276</v>
      </c>
      <c r="D341" t="s">
        <v>2277</v>
      </c>
      <c r="E341" t="s">
        <v>1760</v>
      </c>
      <c r="F341" t="s">
        <v>2278</v>
      </c>
      <c r="G341" t="s">
        <v>2279</v>
      </c>
      <c r="H341" t="s">
        <v>413</v>
      </c>
    </row>
    <row r="342" spans="1:8" x14ac:dyDescent="0.25">
      <c r="A342" t="s">
        <v>835</v>
      </c>
      <c r="B342" t="s">
        <v>239</v>
      </c>
      <c r="C342" t="s">
        <v>2350</v>
      </c>
      <c r="D342" t="s">
        <v>2351</v>
      </c>
      <c r="E342" t="s">
        <v>2352</v>
      </c>
      <c r="F342" t="s">
        <v>1997</v>
      </c>
      <c r="G342" t="s">
        <v>2353</v>
      </c>
      <c r="H342" t="s">
        <v>343</v>
      </c>
    </row>
    <row r="343" spans="1:8" x14ac:dyDescent="0.25">
      <c r="A343" t="s">
        <v>470</v>
      </c>
      <c r="B343" t="s">
        <v>192</v>
      </c>
      <c r="C343" t="s">
        <v>2620</v>
      </c>
      <c r="D343" t="s">
        <v>2621</v>
      </c>
      <c r="E343" t="s">
        <v>2553</v>
      </c>
      <c r="F343" t="s">
        <v>2271</v>
      </c>
      <c r="G343" t="s">
        <v>2554</v>
      </c>
      <c r="H343" t="s">
        <v>111</v>
      </c>
    </row>
    <row r="344" spans="1:8" x14ac:dyDescent="0.25">
      <c r="A344" t="s">
        <v>825</v>
      </c>
      <c r="B344" t="s">
        <v>1394</v>
      </c>
      <c r="C344" t="s">
        <v>1125</v>
      </c>
      <c r="D344" t="s">
        <v>1725</v>
      </c>
      <c r="E344" t="s">
        <v>1479</v>
      </c>
      <c r="F344" t="s">
        <v>1285</v>
      </c>
      <c r="G344" t="s">
        <v>1480</v>
      </c>
      <c r="H344" t="s">
        <v>954</v>
      </c>
    </row>
    <row r="345" spans="1:8" x14ac:dyDescent="0.25">
      <c r="A345" t="s">
        <v>808</v>
      </c>
      <c r="B345" t="s">
        <v>290</v>
      </c>
      <c r="C345" t="s">
        <v>107</v>
      </c>
      <c r="D345" t="s">
        <v>2404</v>
      </c>
      <c r="E345" t="s">
        <v>2405</v>
      </c>
      <c r="F345" t="s">
        <v>2041</v>
      </c>
      <c r="G345" t="s">
        <v>2406</v>
      </c>
      <c r="H345" t="s">
        <v>313</v>
      </c>
    </row>
    <row r="346" spans="1:8" x14ac:dyDescent="0.25">
      <c r="A346" t="s">
        <v>574</v>
      </c>
      <c r="B346" t="s">
        <v>1570</v>
      </c>
      <c r="C346" t="s">
        <v>1571</v>
      </c>
      <c r="D346" t="s">
        <v>1572</v>
      </c>
      <c r="E346" t="s">
        <v>1573</v>
      </c>
      <c r="F346" t="s">
        <v>1285</v>
      </c>
      <c r="G346" t="s">
        <v>1574</v>
      </c>
      <c r="H346" t="s">
        <v>961</v>
      </c>
    </row>
    <row r="347" spans="1:8" x14ac:dyDescent="0.25">
      <c r="A347" t="s">
        <v>671</v>
      </c>
      <c r="B347" t="s">
        <v>1865</v>
      </c>
      <c r="C347" t="s">
        <v>1866</v>
      </c>
      <c r="D347" t="s">
        <v>1867</v>
      </c>
      <c r="E347" t="s">
        <v>1868</v>
      </c>
      <c r="F347" t="s">
        <v>1285</v>
      </c>
      <c r="G347" t="s">
        <v>1869</v>
      </c>
      <c r="H347" t="s">
        <v>1272</v>
      </c>
    </row>
    <row r="348" spans="1:8" x14ac:dyDescent="0.25">
      <c r="A348" t="s">
        <v>916</v>
      </c>
      <c r="B348" t="s">
        <v>2419</v>
      </c>
      <c r="C348" t="s">
        <v>2420</v>
      </c>
      <c r="D348" t="s">
        <v>2421</v>
      </c>
      <c r="E348" t="s">
        <v>2422</v>
      </c>
      <c r="F348" t="s">
        <v>2020</v>
      </c>
      <c r="G348" t="s">
        <v>2423</v>
      </c>
      <c r="H348" t="s">
        <v>442</v>
      </c>
    </row>
    <row r="349" spans="1:8" x14ac:dyDescent="0.25">
      <c r="A349" t="s">
        <v>824</v>
      </c>
      <c r="B349" t="s">
        <v>2830</v>
      </c>
      <c r="C349" t="s">
        <v>2831</v>
      </c>
      <c r="D349" t="s">
        <v>2832</v>
      </c>
      <c r="E349" t="s">
        <v>2806</v>
      </c>
      <c r="F349" t="s">
        <v>1992</v>
      </c>
      <c r="G349" t="s">
        <v>2833</v>
      </c>
      <c r="H349" t="s">
        <v>311</v>
      </c>
    </row>
    <row r="350" spans="1:8" x14ac:dyDescent="0.25">
      <c r="A350" t="s">
        <v>868</v>
      </c>
      <c r="B350" t="s">
        <v>1938</v>
      </c>
      <c r="C350" t="s">
        <v>1939</v>
      </c>
      <c r="D350" t="s">
        <v>1940</v>
      </c>
      <c r="E350" t="s">
        <v>1308</v>
      </c>
      <c r="F350" t="s">
        <v>1285</v>
      </c>
      <c r="G350" t="s">
        <v>1320</v>
      </c>
      <c r="H350" t="s">
        <v>972</v>
      </c>
    </row>
    <row r="351" spans="1:8" x14ac:dyDescent="0.25">
      <c r="A351" t="s">
        <v>837</v>
      </c>
      <c r="B351" t="s">
        <v>359</v>
      </c>
      <c r="C351" t="s">
        <v>1380</v>
      </c>
      <c r="D351" t="s">
        <v>1381</v>
      </c>
      <c r="E351" t="s">
        <v>1382</v>
      </c>
      <c r="F351" t="s">
        <v>1285</v>
      </c>
      <c r="G351" t="s">
        <v>1383</v>
      </c>
      <c r="H351" t="s">
        <v>1100</v>
      </c>
    </row>
    <row r="352" spans="1:8" x14ac:dyDescent="0.25">
      <c r="A352" t="s">
        <v>590</v>
      </c>
      <c r="B352" t="s">
        <v>1168</v>
      </c>
      <c r="C352" t="s">
        <v>2145</v>
      </c>
      <c r="D352" t="s">
        <v>2146</v>
      </c>
      <c r="E352" t="s">
        <v>2147</v>
      </c>
      <c r="F352" t="s">
        <v>2020</v>
      </c>
      <c r="G352" t="s">
        <v>2148</v>
      </c>
      <c r="H352" t="s">
        <v>171</v>
      </c>
    </row>
    <row r="353" spans="1:8" x14ac:dyDescent="0.25">
      <c r="A353" t="s">
        <v>826</v>
      </c>
      <c r="B353" t="s">
        <v>1999</v>
      </c>
      <c r="C353" t="s">
        <v>272</v>
      </c>
      <c r="D353" t="s">
        <v>2000</v>
      </c>
      <c r="E353" t="s">
        <v>2001</v>
      </c>
      <c r="F353" t="s">
        <v>2002</v>
      </c>
      <c r="G353" t="s">
        <v>2003</v>
      </c>
      <c r="H353" t="s">
        <v>1019</v>
      </c>
    </row>
    <row r="354" spans="1:8" x14ac:dyDescent="0.25">
      <c r="A354" t="s">
        <v>448</v>
      </c>
      <c r="B354" t="s">
        <v>98</v>
      </c>
      <c r="C354" t="s">
        <v>170</v>
      </c>
      <c r="D354" t="s">
        <v>1405</v>
      </c>
      <c r="E354" t="s">
        <v>1406</v>
      </c>
      <c r="F354" t="s">
        <v>1285</v>
      </c>
      <c r="G354" t="s">
        <v>1407</v>
      </c>
      <c r="H354" t="s">
        <v>1242</v>
      </c>
    </row>
    <row r="355" spans="1:8" x14ac:dyDescent="0.25">
      <c r="A355" t="s">
        <v>682</v>
      </c>
      <c r="B355" t="s">
        <v>369</v>
      </c>
      <c r="C355" t="s">
        <v>2603</v>
      </c>
      <c r="D355" t="s">
        <v>2604</v>
      </c>
      <c r="E355" t="s">
        <v>2605</v>
      </c>
      <c r="F355" t="s">
        <v>2041</v>
      </c>
      <c r="G355" t="s">
        <v>2329</v>
      </c>
      <c r="H355" t="s">
        <v>1230</v>
      </c>
    </row>
    <row r="356" spans="1:8" x14ac:dyDescent="0.25">
      <c r="A356" t="s">
        <v>463</v>
      </c>
      <c r="B356" t="s">
        <v>210</v>
      </c>
      <c r="C356" t="s">
        <v>2244</v>
      </c>
      <c r="D356" t="s">
        <v>2245</v>
      </c>
      <c r="E356" t="s">
        <v>2246</v>
      </c>
      <c r="F356" t="s">
        <v>2020</v>
      </c>
      <c r="G356" t="s">
        <v>2247</v>
      </c>
      <c r="H356" t="s">
        <v>112</v>
      </c>
    </row>
    <row r="357" spans="1:8" x14ac:dyDescent="0.25">
      <c r="A357" t="s">
        <v>494</v>
      </c>
      <c r="B357" t="s">
        <v>210</v>
      </c>
      <c r="C357" t="s">
        <v>1647</v>
      </c>
      <c r="D357" t="s">
        <v>1648</v>
      </c>
      <c r="E357" t="s">
        <v>1649</v>
      </c>
      <c r="F357" t="s">
        <v>1285</v>
      </c>
      <c r="G357" t="s">
        <v>1650</v>
      </c>
      <c r="H357" t="s">
        <v>1067</v>
      </c>
    </row>
    <row r="358" spans="1:8" x14ac:dyDescent="0.25">
      <c r="A358" t="s">
        <v>806</v>
      </c>
      <c r="B358" t="s">
        <v>207</v>
      </c>
      <c r="C358" t="s">
        <v>1292</v>
      </c>
      <c r="D358" t="s">
        <v>2325</v>
      </c>
      <c r="E358" t="s">
        <v>2246</v>
      </c>
      <c r="F358" t="s">
        <v>2020</v>
      </c>
      <c r="G358" t="s">
        <v>2326</v>
      </c>
      <c r="H358" t="s">
        <v>202</v>
      </c>
    </row>
    <row r="359" spans="1:8" x14ac:dyDescent="0.25">
      <c r="A359" t="s">
        <v>546</v>
      </c>
      <c r="B359" t="s">
        <v>1291</v>
      </c>
      <c r="C359" t="s">
        <v>1292</v>
      </c>
      <c r="D359" t="s">
        <v>1293</v>
      </c>
      <c r="E359" t="s">
        <v>1294</v>
      </c>
      <c r="F359" t="s">
        <v>1285</v>
      </c>
      <c r="G359" t="s">
        <v>1295</v>
      </c>
      <c r="H359" t="s">
        <v>1128</v>
      </c>
    </row>
    <row r="360" spans="1:8" x14ac:dyDescent="0.25">
      <c r="A360" t="s">
        <v>680</v>
      </c>
      <c r="B360" t="s">
        <v>1024</v>
      </c>
      <c r="C360" t="s">
        <v>2008</v>
      </c>
      <c r="D360" t="s">
        <v>2009</v>
      </c>
      <c r="E360" t="s">
        <v>2010</v>
      </c>
      <c r="F360" t="s">
        <v>2011</v>
      </c>
      <c r="G360" t="s">
        <v>2012</v>
      </c>
      <c r="H360" t="s">
        <v>407</v>
      </c>
    </row>
    <row r="361" spans="1:8" x14ac:dyDescent="0.25">
      <c r="A361" t="s">
        <v>839</v>
      </c>
      <c r="B361" t="s">
        <v>98</v>
      </c>
      <c r="C361" t="s">
        <v>1640</v>
      </c>
      <c r="D361" t="s">
        <v>1641</v>
      </c>
      <c r="E361" t="s">
        <v>1555</v>
      </c>
      <c r="F361" t="s">
        <v>1285</v>
      </c>
      <c r="G361" t="s">
        <v>1556</v>
      </c>
      <c r="H361" t="s">
        <v>1145</v>
      </c>
    </row>
    <row r="362" spans="1:8" x14ac:dyDescent="0.25">
      <c r="A362" t="s">
        <v>788</v>
      </c>
      <c r="B362" t="s">
        <v>1510</v>
      </c>
      <c r="C362" t="s">
        <v>1511</v>
      </c>
      <c r="D362" t="s">
        <v>1512</v>
      </c>
      <c r="E362" t="s">
        <v>1513</v>
      </c>
      <c r="F362" t="s">
        <v>1285</v>
      </c>
      <c r="G362" t="s">
        <v>1514</v>
      </c>
      <c r="H362" t="s">
        <v>1155</v>
      </c>
    </row>
    <row r="363" spans="1:8" x14ac:dyDescent="0.25">
      <c r="A363" t="s">
        <v>594</v>
      </c>
      <c r="B363" t="s">
        <v>102</v>
      </c>
      <c r="C363" t="s">
        <v>1551</v>
      </c>
      <c r="D363" t="s">
        <v>1552</v>
      </c>
      <c r="E363" t="s">
        <v>1530</v>
      </c>
      <c r="F363" t="s">
        <v>1285</v>
      </c>
      <c r="G363" t="s">
        <v>1531</v>
      </c>
      <c r="H363" t="s">
        <v>1097</v>
      </c>
    </row>
    <row r="364" spans="1:8" x14ac:dyDescent="0.25">
      <c r="A364" t="s">
        <v>685</v>
      </c>
      <c r="B364" t="s">
        <v>1926</v>
      </c>
      <c r="C364" t="s">
        <v>1927</v>
      </c>
      <c r="D364" t="s">
        <v>1928</v>
      </c>
      <c r="E364" t="s">
        <v>1929</v>
      </c>
      <c r="F364" t="s">
        <v>1285</v>
      </c>
      <c r="G364" t="s">
        <v>1930</v>
      </c>
      <c r="H364" t="s">
        <v>181</v>
      </c>
    </row>
    <row r="365" spans="1:8" x14ac:dyDescent="0.25">
      <c r="A365" t="s">
        <v>836</v>
      </c>
      <c r="B365" t="s">
        <v>210</v>
      </c>
      <c r="C365" t="s">
        <v>2599</v>
      </c>
      <c r="D365" t="s">
        <v>2600</v>
      </c>
      <c r="E365" t="s">
        <v>2601</v>
      </c>
      <c r="F365" t="s">
        <v>2041</v>
      </c>
      <c r="G365" t="s">
        <v>2602</v>
      </c>
      <c r="H365" t="s">
        <v>159</v>
      </c>
    </row>
    <row r="366" spans="1:8" x14ac:dyDescent="0.25">
      <c r="A366" t="s">
        <v>611</v>
      </c>
      <c r="B366" t="s">
        <v>196</v>
      </c>
      <c r="C366" t="s">
        <v>2354</v>
      </c>
      <c r="D366" t="s">
        <v>2355</v>
      </c>
      <c r="E366" t="s">
        <v>1327</v>
      </c>
      <c r="F366" t="s">
        <v>2002</v>
      </c>
      <c r="G366" t="s">
        <v>2356</v>
      </c>
      <c r="H366" t="s">
        <v>351</v>
      </c>
    </row>
    <row r="367" spans="1:8" x14ac:dyDescent="0.25">
      <c r="A367" t="s">
        <v>485</v>
      </c>
      <c r="B367" t="s">
        <v>200</v>
      </c>
      <c r="C367" t="s">
        <v>1305</v>
      </c>
      <c r="D367" t="s">
        <v>1306</v>
      </c>
      <c r="E367" t="s">
        <v>1303</v>
      </c>
      <c r="F367" t="s">
        <v>1285</v>
      </c>
      <c r="G367" t="s">
        <v>1304</v>
      </c>
      <c r="H367" t="s">
        <v>1081</v>
      </c>
    </row>
    <row r="368" spans="1:8" x14ac:dyDescent="0.25">
      <c r="A368" t="s">
        <v>729</v>
      </c>
      <c r="B368" t="s">
        <v>1124</v>
      </c>
      <c r="C368" t="s">
        <v>1596</v>
      </c>
      <c r="D368" t="s">
        <v>1597</v>
      </c>
      <c r="E368" t="s">
        <v>1598</v>
      </c>
      <c r="F368" t="s">
        <v>1285</v>
      </c>
      <c r="G368" t="s">
        <v>1599</v>
      </c>
      <c r="H368" t="s">
        <v>1069</v>
      </c>
    </row>
    <row r="369" spans="1:8" x14ac:dyDescent="0.25">
      <c r="A369" t="s">
        <v>913</v>
      </c>
      <c r="B369" t="s">
        <v>2113</v>
      </c>
      <c r="C369" t="s">
        <v>263</v>
      </c>
      <c r="D369" t="s">
        <v>2114</v>
      </c>
      <c r="E369" t="s">
        <v>2115</v>
      </c>
      <c r="F369" t="s">
        <v>2041</v>
      </c>
      <c r="G369" t="s">
        <v>2116</v>
      </c>
      <c r="H369" t="s">
        <v>1115</v>
      </c>
    </row>
    <row r="370" spans="1:8" x14ac:dyDescent="0.25">
      <c r="A370" t="s">
        <v>900</v>
      </c>
      <c r="B370" t="s">
        <v>3039</v>
      </c>
      <c r="C370" t="s">
        <v>3040</v>
      </c>
      <c r="D370" t="s">
        <v>3041</v>
      </c>
      <c r="E370" t="s">
        <v>3042</v>
      </c>
      <c r="F370" t="s">
        <v>1997</v>
      </c>
      <c r="G370" t="s">
        <v>3043</v>
      </c>
      <c r="H370" t="s">
        <v>349</v>
      </c>
    </row>
    <row r="371" spans="1:8" x14ac:dyDescent="0.25">
      <c r="A371" t="s">
        <v>606</v>
      </c>
      <c r="B371" t="s">
        <v>2436</v>
      </c>
      <c r="C371" t="s">
        <v>1109</v>
      </c>
      <c r="D371" t="s">
        <v>2705</v>
      </c>
      <c r="E371" t="s">
        <v>2706</v>
      </c>
      <c r="F371" t="s">
        <v>2083</v>
      </c>
      <c r="G371" t="s">
        <v>2707</v>
      </c>
      <c r="H371" t="s">
        <v>1139</v>
      </c>
    </row>
    <row r="372" spans="1:8" x14ac:dyDescent="0.25">
      <c r="A372" t="s">
        <v>781</v>
      </c>
      <c r="B372" t="s">
        <v>3047</v>
      </c>
      <c r="C372" t="s">
        <v>3048</v>
      </c>
      <c r="D372" t="s">
        <v>3049</v>
      </c>
      <c r="E372" t="s">
        <v>3050</v>
      </c>
      <c r="F372" t="s">
        <v>2020</v>
      </c>
      <c r="G372" t="s">
        <v>3051</v>
      </c>
      <c r="H372" t="s">
        <v>276</v>
      </c>
    </row>
    <row r="373" spans="1:8" x14ac:dyDescent="0.25">
      <c r="A373" t="s">
        <v>568</v>
      </c>
      <c r="B373" t="s">
        <v>1746</v>
      </c>
      <c r="C373" t="s">
        <v>182</v>
      </c>
      <c r="D373" t="s">
        <v>1747</v>
      </c>
      <c r="E373" t="s">
        <v>1748</v>
      </c>
      <c r="F373" t="s">
        <v>1285</v>
      </c>
      <c r="G373" t="s">
        <v>1749</v>
      </c>
      <c r="H373" t="s">
        <v>1118</v>
      </c>
    </row>
    <row r="374" spans="1:8" x14ac:dyDescent="0.25">
      <c r="A374" t="s">
        <v>700</v>
      </c>
      <c r="B374" t="s">
        <v>2440</v>
      </c>
      <c r="C374" t="s">
        <v>182</v>
      </c>
      <c r="D374" t="s">
        <v>2441</v>
      </c>
      <c r="E374" t="s">
        <v>2442</v>
      </c>
      <c r="F374" t="s">
        <v>2011</v>
      </c>
      <c r="G374" t="s">
        <v>2443</v>
      </c>
      <c r="H374" t="s">
        <v>307</v>
      </c>
    </row>
    <row r="375" spans="1:8" x14ac:dyDescent="0.25">
      <c r="A375" t="s">
        <v>556</v>
      </c>
      <c r="B375" t="s">
        <v>2838</v>
      </c>
      <c r="C375" t="s">
        <v>2839</v>
      </c>
      <c r="D375" t="s">
        <v>2840</v>
      </c>
      <c r="E375" t="s">
        <v>1499</v>
      </c>
      <c r="F375" t="s">
        <v>2083</v>
      </c>
      <c r="G375" t="s">
        <v>2841</v>
      </c>
      <c r="H375" t="s">
        <v>246</v>
      </c>
    </row>
    <row r="376" spans="1:8" x14ac:dyDescent="0.25">
      <c r="A376" t="s">
        <v>681</v>
      </c>
      <c r="B376" t="s">
        <v>2894</v>
      </c>
      <c r="C376" t="s">
        <v>2895</v>
      </c>
      <c r="D376" t="s">
        <v>2896</v>
      </c>
      <c r="E376" t="s">
        <v>2897</v>
      </c>
      <c r="F376" t="s">
        <v>2041</v>
      </c>
      <c r="G376" t="s">
        <v>2537</v>
      </c>
      <c r="H376" t="s">
        <v>334</v>
      </c>
    </row>
    <row r="377" spans="1:8" x14ac:dyDescent="0.25">
      <c r="A377" t="s">
        <v>499</v>
      </c>
      <c r="B377" t="s">
        <v>224</v>
      </c>
      <c r="C377" t="s">
        <v>2026</v>
      </c>
      <c r="D377" t="s">
        <v>2027</v>
      </c>
      <c r="E377" t="s">
        <v>2028</v>
      </c>
      <c r="F377" t="s">
        <v>2011</v>
      </c>
      <c r="G377" t="s">
        <v>2029</v>
      </c>
      <c r="H377" t="s">
        <v>346</v>
      </c>
    </row>
    <row r="378" spans="1:8" x14ac:dyDescent="0.25">
      <c r="A378" t="s">
        <v>466</v>
      </c>
      <c r="B378" t="s">
        <v>2013</v>
      </c>
      <c r="C378" t="s">
        <v>1065</v>
      </c>
      <c r="D378" t="s">
        <v>2014</v>
      </c>
      <c r="E378" t="s">
        <v>2015</v>
      </c>
      <c r="F378" t="s">
        <v>1997</v>
      </c>
      <c r="G378" t="s">
        <v>2016</v>
      </c>
      <c r="H378" t="s">
        <v>318</v>
      </c>
    </row>
    <row r="379" spans="1:8" x14ac:dyDescent="0.25">
      <c r="A379" t="s">
        <v>626</v>
      </c>
      <c r="B379" t="s">
        <v>342</v>
      </c>
      <c r="C379" t="s">
        <v>1065</v>
      </c>
      <c r="D379" t="s">
        <v>2218</v>
      </c>
      <c r="E379" t="s">
        <v>2219</v>
      </c>
      <c r="F379" t="s">
        <v>2041</v>
      </c>
      <c r="G379" t="s">
        <v>2220</v>
      </c>
      <c r="H379" t="s">
        <v>1250</v>
      </c>
    </row>
    <row r="380" spans="1:8" x14ac:dyDescent="0.25">
      <c r="A380" t="s">
        <v>830</v>
      </c>
      <c r="B380" t="s">
        <v>1702</v>
      </c>
      <c r="C380" t="s">
        <v>397</v>
      </c>
      <c r="D380" t="s">
        <v>1703</v>
      </c>
      <c r="E380" t="s">
        <v>996</v>
      </c>
      <c r="F380" t="s">
        <v>1285</v>
      </c>
      <c r="G380" t="s">
        <v>1704</v>
      </c>
      <c r="H380" t="s">
        <v>1238</v>
      </c>
    </row>
    <row r="381" spans="1:8" x14ac:dyDescent="0.25">
      <c r="A381" t="s">
        <v>512</v>
      </c>
      <c r="B381" t="s">
        <v>205</v>
      </c>
      <c r="C381" t="s">
        <v>2834</v>
      </c>
      <c r="D381" t="s">
        <v>2835</v>
      </c>
      <c r="E381" t="s">
        <v>2836</v>
      </c>
      <c r="F381" t="s">
        <v>2020</v>
      </c>
      <c r="G381" t="s">
        <v>2837</v>
      </c>
      <c r="H381" t="s">
        <v>1002</v>
      </c>
    </row>
    <row r="382" spans="1:8" x14ac:dyDescent="0.25">
      <c r="A382" t="s">
        <v>540</v>
      </c>
      <c r="B382" t="s">
        <v>2072</v>
      </c>
      <c r="C382" t="s">
        <v>2073</v>
      </c>
      <c r="D382" t="s">
        <v>2074</v>
      </c>
      <c r="E382" t="s">
        <v>2075</v>
      </c>
      <c r="F382" t="s">
        <v>2020</v>
      </c>
      <c r="G382" t="s">
        <v>2076</v>
      </c>
      <c r="H382" t="s">
        <v>408</v>
      </c>
    </row>
    <row r="383" spans="1:8" x14ac:dyDescent="0.25">
      <c r="A383" t="s">
        <v>834</v>
      </c>
      <c r="B383" t="s">
        <v>2514</v>
      </c>
      <c r="C383" t="s">
        <v>2515</v>
      </c>
      <c r="D383" t="s">
        <v>2516</v>
      </c>
      <c r="E383" t="s">
        <v>2517</v>
      </c>
      <c r="F383" t="s">
        <v>2041</v>
      </c>
      <c r="G383" t="s">
        <v>2518</v>
      </c>
      <c r="H383" t="s">
        <v>1221</v>
      </c>
    </row>
    <row r="384" spans="1:8" x14ac:dyDescent="0.25">
      <c r="A384" t="s">
        <v>711</v>
      </c>
      <c r="B384" t="s">
        <v>1496</v>
      </c>
      <c r="C384" t="s">
        <v>1497</v>
      </c>
      <c r="D384" t="s">
        <v>1498</v>
      </c>
      <c r="E384" t="s">
        <v>1499</v>
      </c>
      <c r="F384" t="s">
        <v>1285</v>
      </c>
      <c r="G384" t="s">
        <v>1500</v>
      </c>
      <c r="H384" t="s">
        <v>1074</v>
      </c>
    </row>
    <row r="385" spans="1:8" x14ac:dyDescent="0.25">
      <c r="A385" t="s">
        <v>647</v>
      </c>
      <c r="B385" t="s">
        <v>999</v>
      </c>
      <c r="C385" t="s">
        <v>367</v>
      </c>
      <c r="D385" t="s">
        <v>1889</v>
      </c>
      <c r="E385" t="s">
        <v>1793</v>
      </c>
      <c r="F385" t="s">
        <v>1285</v>
      </c>
      <c r="G385" t="s">
        <v>1794</v>
      </c>
      <c r="H385" t="s">
        <v>965</v>
      </c>
    </row>
    <row r="386" spans="1:8" x14ac:dyDescent="0.25">
      <c r="A386" t="s">
        <v>527</v>
      </c>
      <c r="B386" t="s">
        <v>1054</v>
      </c>
      <c r="C386" t="s">
        <v>2555</v>
      </c>
      <c r="D386" t="s">
        <v>2556</v>
      </c>
      <c r="E386" t="s">
        <v>2054</v>
      </c>
      <c r="F386" t="s">
        <v>2020</v>
      </c>
      <c r="G386" t="s">
        <v>2557</v>
      </c>
      <c r="H386" t="s">
        <v>392</v>
      </c>
    </row>
    <row r="387" spans="1:8" x14ac:dyDescent="0.25">
      <c r="A387" t="s">
        <v>492</v>
      </c>
      <c r="B387" t="s">
        <v>2922</v>
      </c>
      <c r="C387" t="s">
        <v>2923</v>
      </c>
      <c r="D387" t="s">
        <v>2924</v>
      </c>
      <c r="E387" t="s">
        <v>2422</v>
      </c>
      <c r="F387" t="s">
        <v>2020</v>
      </c>
      <c r="G387" t="s">
        <v>2925</v>
      </c>
      <c r="H387" t="s">
        <v>1254</v>
      </c>
    </row>
    <row r="388" spans="1:8" x14ac:dyDescent="0.25">
      <c r="A388" t="s">
        <v>504</v>
      </c>
      <c r="B388" t="s">
        <v>97</v>
      </c>
      <c r="C388" t="s">
        <v>2797</v>
      </c>
      <c r="D388" t="s">
        <v>2798</v>
      </c>
      <c r="E388" t="s">
        <v>2799</v>
      </c>
      <c r="F388" t="s">
        <v>2041</v>
      </c>
      <c r="G388" t="s">
        <v>2800</v>
      </c>
      <c r="H388" t="s">
        <v>289</v>
      </c>
    </row>
    <row r="389" spans="1:8" x14ac:dyDescent="0.25">
      <c r="A389" t="s">
        <v>844</v>
      </c>
      <c r="B389" t="s">
        <v>1146</v>
      </c>
      <c r="C389" t="s">
        <v>2386</v>
      </c>
      <c r="D389" t="s">
        <v>2387</v>
      </c>
      <c r="E389" t="s">
        <v>2388</v>
      </c>
      <c r="F389" t="s">
        <v>2020</v>
      </c>
      <c r="G389" t="s">
        <v>2389</v>
      </c>
      <c r="H389" t="s">
        <v>251</v>
      </c>
    </row>
    <row r="390" spans="1:8" x14ac:dyDescent="0.25">
      <c r="A390" t="s">
        <v>878</v>
      </c>
      <c r="B390" t="s">
        <v>210</v>
      </c>
      <c r="C390" t="s">
        <v>322</v>
      </c>
      <c r="D390" t="s">
        <v>2444</v>
      </c>
      <c r="E390" t="s">
        <v>2135</v>
      </c>
      <c r="F390" t="s">
        <v>2011</v>
      </c>
      <c r="G390" t="s">
        <v>2445</v>
      </c>
      <c r="H390" t="s">
        <v>1209</v>
      </c>
    </row>
    <row r="391" spans="1:8" x14ac:dyDescent="0.25">
      <c r="A391" t="s">
        <v>683</v>
      </c>
      <c r="B391" t="s">
        <v>98</v>
      </c>
      <c r="C391" t="s">
        <v>1985</v>
      </c>
      <c r="D391" t="s">
        <v>1986</v>
      </c>
      <c r="E391" t="s">
        <v>1840</v>
      </c>
      <c r="F391" t="s">
        <v>1285</v>
      </c>
      <c r="G391" t="s">
        <v>1841</v>
      </c>
      <c r="H391" t="s">
        <v>1012</v>
      </c>
    </row>
    <row r="392" spans="1:8" x14ac:dyDescent="0.25">
      <c r="A392" t="s">
        <v>775</v>
      </c>
      <c r="B392" t="s">
        <v>231</v>
      </c>
      <c r="C392" t="s">
        <v>1553</v>
      </c>
      <c r="D392" t="s">
        <v>1554</v>
      </c>
      <c r="E392" t="s">
        <v>1555</v>
      </c>
      <c r="F392" t="s">
        <v>1285</v>
      </c>
      <c r="G392" t="s">
        <v>1556</v>
      </c>
      <c r="H392" t="s">
        <v>970</v>
      </c>
    </row>
    <row r="393" spans="1:8" x14ac:dyDescent="0.25">
      <c r="A393" t="s">
        <v>610</v>
      </c>
      <c r="B393" t="s">
        <v>192</v>
      </c>
      <c r="C393" t="s">
        <v>1408</v>
      </c>
      <c r="D393" t="s">
        <v>1409</v>
      </c>
      <c r="E393" t="s">
        <v>1410</v>
      </c>
      <c r="F393" t="s">
        <v>1285</v>
      </c>
      <c r="G393" t="s">
        <v>1411</v>
      </c>
      <c r="H393" t="s">
        <v>1251</v>
      </c>
    </row>
    <row r="394" spans="1:8" x14ac:dyDescent="0.25">
      <c r="A394" t="s">
        <v>731</v>
      </c>
      <c r="B394" t="s">
        <v>209</v>
      </c>
      <c r="C394" t="s">
        <v>256</v>
      </c>
      <c r="D394" t="s">
        <v>2749</v>
      </c>
      <c r="E394" t="s">
        <v>2750</v>
      </c>
      <c r="F394" t="s">
        <v>2041</v>
      </c>
      <c r="G394" t="s">
        <v>2751</v>
      </c>
      <c r="H394" t="s">
        <v>1224</v>
      </c>
    </row>
    <row r="395" spans="1:8" x14ac:dyDescent="0.25">
      <c r="A395" t="s">
        <v>535</v>
      </c>
      <c r="B395" t="s">
        <v>2436</v>
      </c>
      <c r="C395" t="s">
        <v>256</v>
      </c>
      <c r="D395" t="s">
        <v>2437</v>
      </c>
      <c r="E395" t="s">
        <v>2438</v>
      </c>
      <c r="F395" t="s">
        <v>2011</v>
      </c>
      <c r="G395" t="s">
        <v>2439</v>
      </c>
      <c r="H395" t="s">
        <v>1136</v>
      </c>
    </row>
    <row r="396" spans="1:8" x14ac:dyDescent="0.25">
      <c r="A396" t="s">
        <v>578</v>
      </c>
      <c r="B396" t="s">
        <v>1527</v>
      </c>
      <c r="C396" t="s">
        <v>1528</v>
      </c>
      <c r="D396" t="s">
        <v>1529</v>
      </c>
      <c r="E396" t="s">
        <v>1530</v>
      </c>
      <c r="F396" t="s">
        <v>1285</v>
      </c>
      <c r="G396" t="s">
        <v>1531</v>
      </c>
      <c r="H396" t="s">
        <v>1087</v>
      </c>
    </row>
    <row r="397" spans="1:8" x14ac:dyDescent="0.25">
      <c r="A397" t="s">
        <v>651</v>
      </c>
      <c r="B397" t="s">
        <v>209</v>
      </c>
      <c r="C397" t="s">
        <v>3035</v>
      </c>
      <c r="D397" t="s">
        <v>3036</v>
      </c>
      <c r="E397" t="s">
        <v>3037</v>
      </c>
      <c r="F397" t="s">
        <v>2011</v>
      </c>
      <c r="G397" t="s">
        <v>3038</v>
      </c>
      <c r="H397" t="s">
        <v>164</v>
      </c>
    </row>
    <row r="398" spans="1:8" x14ac:dyDescent="0.25">
      <c r="A398" t="s">
        <v>818</v>
      </c>
      <c r="B398" t="s">
        <v>1357</v>
      </c>
      <c r="C398" t="s">
        <v>1358</v>
      </c>
      <c r="D398" t="s">
        <v>1359</v>
      </c>
      <c r="E398" t="s">
        <v>1316</v>
      </c>
      <c r="F398" t="s">
        <v>1285</v>
      </c>
      <c r="G398" t="s">
        <v>1317</v>
      </c>
      <c r="H398" t="s">
        <v>1062</v>
      </c>
    </row>
    <row r="399" spans="1:8" x14ac:dyDescent="0.25">
      <c r="A399" t="s">
        <v>889</v>
      </c>
      <c r="B399" t="s">
        <v>345</v>
      </c>
      <c r="C399" t="s">
        <v>1443</v>
      </c>
      <c r="D399" t="s">
        <v>1444</v>
      </c>
      <c r="E399" t="s">
        <v>1445</v>
      </c>
      <c r="F399" t="s">
        <v>1285</v>
      </c>
      <c r="G399" t="s">
        <v>1446</v>
      </c>
      <c r="H399" t="s">
        <v>1267</v>
      </c>
    </row>
    <row r="400" spans="1:8" x14ac:dyDescent="0.25">
      <c r="A400" t="s">
        <v>841</v>
      </c>
      <c r="B400" t="s">
        <v>1010</v>
      </c>
      <c r="C400" t="s">
        <v>2942</v>
      </c>
      <c r="D400" t="s">
        <v>2943</v>
      </c>
      <c r="E400" t="s">
        <v>2791</v>
      </c>
      <c r="F400" t="s">
        <v>2083</v>
      </c>
      <c r="G400" t="s">
        <v>2944</v>
      </c>
      <c r="H400" t="s">
        <v>260</v>
      </c>
    </row>
    <row r="401" spans="1:8" x14ac:dyDescent="0.25">
      <c r="A401" t="s">
        <v>490</v>
      </c>
      <c r="B401" t="s">
        <v>201</v>
      </c>
      <c r="C401" t="s">
        <v>1416</v>
      </c>
      <c r="D401" t="s">
        <v>1417</v>
      </c>
      <c r="E401" t="s">
        <v>1418</v>
      </c>
      <c r="F401" t="s">
        <v>1285</v>
      </c>
      <c r="G401" t="s">
        <v>1419</v>
      </c>
      <c r="H401" t="s">
        <v>1275</v>
      </c>
    </row>
    <row r="402" spans="1:8" x14ac:dyDescent="0.25">
      <c r="A402" t="s">
        <v>854</v>
      </c>
      <c r="B402" t="s">
        <v>1912</v>
      </c>
      <c r="C402" t="s">
        <v>2092</v>
      </c>
      <c r="D402" t="s">
        <v>2093</v>
      </c>
      <c r="E402" t="s">
        <v>2094</v>
      </c>
      <c r="F402" t="s">
        <v>2011</v>
      </c>
      <c r="G402" t="s">
        <v>2095</v>
      </c>
      <c r="H402" t="s">
        <v>236</v>
      </c>
    </row>
    <row r="403" spans="1:8" x14ac:dyDescent="0.25">
      <c r="A403" t="s">
        <v>912</v>
      </c>
      <c r="B403" t="s">
        <v>1348</v>
      </c>
      <c r="C403" t="s">
        <v>1349</v>
      </c>
      <c r="D403" t="s">
        <v>1350</v>
      </c>
      <c r="E403" t="s">
        <v>1351</v>
      </c>
      <c r="F403" t="s">
        <v>1285</v>
      </c>
      <c r="G403" t="s">
        <v>1352</v>
      </c>
      <c r="H403" t="s">
        <v>1192</v>
      </c>
    </row>
    <row r="404" spans="1:8" x14ac:dyDescent="0.25">
      <c r="A404" t="s">
        <v>668</v>
      </c>
      <c r="B404" t="s">
        <v>143</v>
      </c>
      <c r="C404" t="s">
        <v>1575</v>
      </c>
      <c r="D404" t="s">
        <v>1576</v>
      </c>
      <c r="E404" t="s">
        <v>1577</v>
      </c>
      <c r="F404" t="s">
        <v>1285</v>
      </c>
      <c r="G404" t="s">
        <v>1578</v>
      </c>
      <c r="H404" t="s">
        <v>1182</v>
      </c>
    </row>
    <row r="405" spans="1:8" x14ac:dyDescent="0.25">
      <c r="A405" t="s">
        <v>737</v>
      </c>
      <c r="B405" t="s">
        <v>167</v>
      </c>
      <c r="C405" t="s">
        <v>2671</v>
      </c>
      <c r="D405" t="s">
        <v>2672</v>
      </c>
      <c r="E405" t="s">
        <v>2673</v>
      </c>
      <c r="F405" t="s">
        <v>2020</v>
      </c>
      <c r="G405" t="s">
        <v>2674</v>
      </c>
      <c r="H405" t="s">
        <v>149</v>
      </c>
    </row>
    <row r="406" spans="1:8" x14ac:dyDescent="0.25">
      <c r="A406" t="s">
        <v>838</v>
      </c>
      <c r="B406" t="s">
        <v>2381</v>
      </c>
      <c r="C406" t="s">
        <v>3006</v>
      </c>
      <c r="D406" t="s">
        <v>3007</v>
      </c>
      <c r="E406" t="s">
        <v>2328</v>
      </c>
      <c r="F406" t="s">
        <v>2041</v>
      </c>
      <c r="G406" t="s">
        <v>2329</v>
      </c>
      <c r="H406" t="s">
        <v>358</v>
      </c>
    </row>
    <row r="407" spans="1:8" x14ac:dyDescent="0.25">
      <c r="A407" t="s">
        <v>847</v>
      </c>
      <c r="B407" t="s">
        <v>102</v>
      </c>
      <c r="C407" t="s">
        <v>1987</v>
      </c>
      <c r="D407" t="s">
        <v>1988</v>
      </c>
      <c r="E407" t="s">
        <v>1308</v>
      </c>
      <c r="F407" t="s">
        <v>1285</v>
      </c>
      <c r="G407" t="s">
        <v>1320</v>
      </c>
      <c r="H407" t="s">
        <v>1191</v>
      </c>
    </row>
    <row r="408" spans="1:8" x14ac:dyDescent="0.25">
      <c r="A408" t="s">
        <v>796</v>
      </c>
      <c r="B408" t="s">
        <v>211</v>
      </c>
      <c r="C408" t="s">
        <v>2189</v>
      </c>
      <c r="D408" t="s">
        <v>2190</v>
      </c>
      <c r="E408" t="s">
        <v>2191</v>
      </c>
      <c r="F408" t="s">
        <v>2011</v>
      </c>
      <c r="G408" t="s">
        <v>2192</v>
      </c>
      <c r="H408" t="s">
        <v>285</v>
      </c>
    </row>
    <row r="409" spans="1:8" x14ac:dyDescent="0.25">
      <c r="A409" t="s">
        <v>569</v>
      </c>
      <c r="B409" t="s">
        <v>2174</v>
      </c>
      <c r="C409" t="s">
        <v>137</v>
      </c>
      <c r="D409" t="s">
        <v>2175</v>
      </c>
      <c r="E409" t="s">
        <v>2176</v>
      </c>
      <c r="F409" t="s">
        <v>2011</v>
      </c>
      <c r="G409" t="s">
        <v>2177</v>
      </c>
      <c r="H409" t="s">
        <v>284</v>
      </c>
    </row>
    <row r="410" spans="1:8" x14ac:dyDescent="0.25">
      <c r="A410" t="s">
        <v>653</v>
      </c>
      <c r="B410" t="s">
        <v>205</v>
      </c>
      <c r="C410" t="s">
        <v>1855</v>
      </c>
      <c r="D410" t="s">
        <v>1856</v>
      </c>
      <c r="E410" t="s">
        <v>1857</v>
      </c>
      <c r="F410" t="s">
        <v>1285</v>
      </c>
      <c r="G410" t="s">
        <v>1858</v>
      </c>
      <c r="H410" t="s">
        <v>1279</v>
      </c>
    </row>
    <row r="411" spans="1:8" x14ac:dyDescent="0.25">
      <c r="A411" t="s">
        <v>898</v>
      </c>
      <c r="B411" t="s">
        <v>2634</v>
      </c>
      <c r="C411" t="s">
        <v>2635</v>
      </c>
      <c r="D411" t="s">
        <v>2636</v>
      </c>
      <c r="E411" t="s">
        <v>2637</v>
      </c>
      <c r="F411" t="s">
        <v>2083</v>
      </c>
      <c r="G411" t="s">
        <v>2638</v>
      </c>
      <c r="H411" t="s">
        <v>340</v>
      </c>
    </row>
    <row r="412" spans="1:8" x14ac:dyDescent="0.25">
      <c r="A412" t="s">
        <v>655</v>
      </c>
      <c r="B412" t="s">
        <v>210</v>
      </c>
      <c r="C412" t="s">
        <v>1851</v>
      </c>
      <c r="D412" t="s">
        <v>1852</v>
      </c>
      <c r="E412" t="s">
        <v>1627</v>
      </c>
      <c r="F412" t="s">
        <v>1285</v>
      </c>
      <c r="G412" t="s">
        <v>1853</v>
      </c>
      <c r="H412" t="s">
        <v>1143</v>
      </c>
    </row>
    <row r="413" spans="1:8" x14ac:dyDescent="0.25">
      <c r="A413" t="s">
        <v>924</v>
      </c>
      <c r="B413" t="s">
        <v>1000</v>
      </c>
      <c r="C413" t="s">
        <v>2996</v>
      </c>
      <c r="D413" t="s">
        <v>2997</v>
      </c>
      <c r="E413" t="s">
        <v>2998</v>
      </c>
      <c r="F413" t="s">
        <v>2011</v>
      </c>
      <c r="G413" t="s">
        <v>2999</v>
      </c>
      <c r="H413" t="s">
        <v>99</v>
      </c>
    </row>
    <row r="414" spans="1:8" x14ac:dyDescent="0.25">
      <c r="A414" t="s">
        <v>561</v>
      </c>
      <c r="B414" t="s">
        <v>2424</v>
      </c>
      <c r="C414" t="s">
        <v>2425</v>
      </c>
      <c r="D414" t="s">
        <v>2426</v>
      </c>
      <c r="E414" t="s">
        <v>2427</v>
      </c>
      <c r="F414" t="s">
        <v>1992</v>
      </c>
      <c r="G414" t="s">
        <v>2428</v>
      </c>
      <c r="H414" t="s">
        <v>309</v>
      </c>
    </row>
    <row r="415" spans="1:8" x14ac:dyDescent="0.25">
      <c r="A415" t="s">
        <v>850</v>
      </c>
      <c r="B415" t="s">
        <v>1606</v>
      </c>
      <c r="C415" t="s">
        <v>1607</v>
      </c>
      <c r="D415" t="s">
        <v>1608</v>
      </c>
      <c r="E415" t="s">
        <v>1609</v>
      </c>
      <c r="F415" t="s">
        <v>1285</v>
      </c>
      <c r="G415" t="s">
        <v>1610</v>
      </c>
      <c r="H415" t="s">
        <v>1086</v>
      </c>
    </row>
    <row r="416" spans="1:8" x14ac:dyDescent="0.25">
      <c r="A416" t="s">
        <v>873</v>
      </c>
      <c r="B416" t="s">
        <v>282</v>
      </c>
      <c r="C416" t="s">
        <v>173</v>
      </c>
      <c r="D416" t="s">
        <v>2986</v>
      </c>
      <c r="E416" t="s">
        <v>2987</v>
      </c>
      <c r="F416" t="s">
        <v>2011</v>
      </c>
      <c r="G416" t="s">
        <v>2988</v>
      </c>
      <c r="H416" t="s">
        <v>995</v>
      </c>
    </row>
    <row r="417" spans="1:8" x14ac:dyDescent="0.25">
      <c r="A417" t="s">
        <v>585</v>
      </c>
      <c r="B417" t="s">
        <v>262</v>
      </c>
      <c r="C417" t="s">
        <v>2989</v>
      </c>
      <c r="D417" t="s">
        <v>2990</v>
      </c>
      <c r="E417" t="s">
        <v>2075</v>
      </c>
      <c r="F417" t="s">
        <v>2020</v>
      </c>
      <c r="G417" t="s">
        <v>2991</v>
      </c>
      <c r="H417" t="s">
        <v>1269</v>
      </c>
    </row>
    <row r="418" spans="1:8" x14ac:dyDescent="0.25">
      <c r="A418" t="s">
        <v>630</v>
      </c>
      <c r="B418" t="s">
        <v>2415</v>
      </c>
      <c r="C418" t="s">
        <v>219</v>
      </c>
      <c r="D418" t="s">
        <v>2469</v>
      </c>
      <c r="E418" t="s">
        <v>2470</v>
      </c>
      <c r="F418" t="s">
        <v>2011</v>
      </c>
      <c r="G418" t="s">
        <v>2471</v>
      </c>
      <c r="H418" t="s">
        <v>174</v>
      </c>
    </row>
    <row r="419" spans="1:8" x14ac:dyDescent="0.25">
      <c r="A419" t="s">
        <v>474</v>
      </c>
      <c r="B419" t="s">
        <v>1360</v>
      </c>
      <c r="C419" t="s">
        <v>219</v>
      </c>
      <c r="D419" t="s">
        <v>1361</v>
      </c>
      <c r="E419" t="s">
        <v>1362</v>
      </c>
      <c r="F419" t="s">
        <v>1285</v>
      </c>
      <c r="G419" t="s">
        <v>1363</v>
      </c>
      <c r="H419" t="s">
        <v>1266</v>
      </c>
    </row>
    <row r="420" spans="1:8" x14ac:dyDescent="0.25">
      <c r="A420" t="s">
        <v>639</v>
      </c>
      <c r="B420" t="s">
        <v>172</v>
      </c>
      <c r="C420" t="s">
        <v>219</v>
      </c>
      <c r="D420" t="s">
        <v>2213</v>
      </c>
      <c r="E420" t="s">
        <v>417</v>
      </c>
      <c r="F420" t="s">
        <v>2011</v>
      </c>
      <c r="G420" t="s">
        <v>2214</v>
      </c>
      <c r="H420" t="s">
        <v>422</v>
      </c>
    </row>
    <row r="421" spans="1:8" x14ac:dyDescent="0.25">
      <c r="A421" t="s">
        <v>840</v>
      </c>
      <c r="B421" t="s">
        <v>209</v>
      </c>
      <c r="C421" t="s">
        <v>219</v>
      </c>
      <c r="D421" t="s">
        <v>1637</v>
      </c>
      <c r="E421" t="s">
        <v>1638</v>
      </c>
      <c r="F421" t="s">
        <v>1285</v>
      </c>
      <c r="G421" t="s">
        <v>1639</v>
      </c>
      <c r="H421" t="s">
        <v>1262</v>
      </c>
    </row>
    <row r="422" spans="1:8" x14ac:dyDescent="0.25">
      <c r="A422" t="s">
        <v>539</v>
      </c>
      <c r="B422" t="s">
        <v>114</v>
      </c>
      <c r="C422" t="s">
        <v>219</v>
      </c>
      <c r="D422" t="s">
        <v>1398</v>
      </c>
      <c r="E422" t="s">
        <v>1399</v>
      </c>
      <c r="F422" t="s">
        <v>1285</v>
      </c>
      <c r="G422" t="s">
        <v>1400</v>
      </c>
      <c r="H422" t="s">
        <v>1032</v>
      </c>
    </row>
    <row r="423" spans="1:8" x14ac:dyDescent="0.25">
      <c r="A423" t="s">
        <v>733</v>
      </c>
      <c r="B423" t="s">
        <v>1027</v>
      </c>
      <c r="C423" t="s">
        <v>219</v>
      </c>
      <c r="D423" t="s">
        <v>2127</v>
      </c>
      <c r="E423" t="s">
        <v>2128</v>
      </c>
      <c r="F423" t="s">
        <v>2011</v>
      </c>
      <c r="G423" t="s">
        <v>2129</v>
      </c>
      <c r="H423" t="s">
        <v>273</v>
      </c>
    </row>
    <row r="424" spans="1:8" x14ac:dyDescent="0.25">
      <c r="A424" t="s">
        <v>636</v>
      </c>
      <c r="B424" t="s">
        <v>1828</v>
      </c>
      <c r="C424" t="s">
        <v>219</v>
      </c>
      <c r="D424" t="s">
        <v>1829</v>
      </c>
      <c r="E424" t="s">
        <v>338</v>
      </c>
      <c r="F424" t="s">
        <v>1285</v>
      </c>
      <c r="G424" t="s">
        <v>1830</v>
      </c>
      <c r="H424" t="s">
        <v>1247</v>
      </c>
    </row>
    <row r="425" spans="1:8" x14ac:dyDescent="0.25">
      <c r="A425" t="s">
        <v>566</v>
      </c>
      <c r="B425" t="s">
        <v>2440</v>
      </c>
      <c r="C425" t="s">
        <v>219</v>
      </c>
      <c r="D425" t="s">
        <v>2492</v>
      </c>
      <c r="E425" t="s">
        <v>2075</v>
      </c>
      <c r="F425" t="s">
        <v>2020</v>
      </c>
      <c r="G425" t="s">
        <v>2493</v>
      </c>
      <c r="H425" t="s">
        <v>960</v>
      </c>
    </row>
    <row r="426" spans="1:8" x14ac:dyDescent="0.25">
      <c r="A426" t="s">
        <v>791</v>
      </c>
      <c r="B426" t="s">
        <v>119</v>
      </c>
      <c r="C426" t="s">
        <v>219</v>
      </c>
      <c r="D426" t="s">
        <v>2578</v>
      </c>
      <c r="E426" t="s">
        <v>2579</v>
      </c>
      <c r="F426" t="s">
        <v>2020</v>
      </c>
      <c r="G426" t="s">
        <v>2580</v>
      </c>
      <c r="H426" t="s">
        <v>1195</v>
      </c>
    </row>
    <row r="427" spans="1:8" x14ac:dyDescent="0.25">
      <c r="A427" t="s">
        <v>884</v>
      </c>
      <c r="B427" t="s">
        <v>248</v>
      </c>
      <c r="C427" t="s">
        <v>219</v>
      </c>
      <c r="D427" t="s">
        <v>2478</v>
      </c>
      <c r="E427" t="s">
        <v>1040</v>
      </c>
      <c r="F427" t="s">
        <v>2002</v>
      </c>
      <c r="G427" t="s">
        <v>2479</v>
      </c>
      <c r="H427" t="s">
        <v>326</v>
      </c>
    </row>
    <row r="428" spans="1:8" x14ac:dyDescent="0.25">
      <c r="A428" t="s">
        <v>665</v>
      </c>
      <c r="B428" t="s">
        <v>1345</v>
      </c>
      <c r="C428" t="s">
        <v>391</v>
      </c>
      <c r="D428" t="s">
        <v>1346</v>
      </c>
      <c r="E428" t="s">
        <v>1308</v>
      </c>
      <c r="F428" t="s">
        <v>1285</v>
      </c>
      <c r="G428" t="s">
        <v>1347</v>
      </c>
      <c r="H428" t="s">
        <v>1228</v>
      </c>
    </row>
    <row r="429" spans="1:8" x14ac:dyDescent="0.25">
      <c r="A429" t="s">
        <v>734</v>
      </c>
      <c r="B429" t="s">
        <v>210</v>
      </c>
      <c r="C429" t="s">
        <v>3044</v>
      </c>
      <c r="D429" t="s">
        <v>3045</v>
      </c>
      <c r="E429" t="s">
        <v>3046</v>
      </c>
      <c r="F429" t="s">
        <v>2041</v>
      </c>
      <c r="G429" t="s">
        <v>2204</v>
      </c>
      <c r="H429" t="s">
        <v>420</v>
      </c>
    </row>
    <row r="430" spans="1:8" x14ac:dyDescent="0.25">
      <c r="A430" t="s">
        <v>863</v>
      </c>
      <c r="B430" t="s">
        <v>98</v>
      </c>
      <c r="C430" t="s">
        <v>2295</v>
      </c>
      <c r="D430" t="s">
        <v>2296</v>
      </c>
      <c r="E430" t="s">
        <v>2297</v>
      </c>
      <c r="F430" t="s">
        <v>2020</v>
      </c>
      <c r="G430" t="s">
        <v>2298</v>
      </c>
      <c r="H430" t="s">
        <v>361</v>
      </c>
    </row>
    <row r="431" spans="1:8" x14ac:dyDescent="0.25">
      <c r="A431" t="s">
        <v>717</v>
      </c>
      <c r="B431" t="s">
        <v>130</v>
      </c>
      <c r="C431" t="s">
        <v>2295</v>
      </c>
      <c r="D431" t="s">
        <v>2499</v>
      </c>
      <c r="E431" t="s">
        <v>2500</v>
      </c>
      <c r="F431" t="s">
        <v>2020</v>
      </c>
      <c r="G431" t="s">
        <v>2501</v>
      </c>
      <c r="H431" t="s">
        <v>404</v>
      </c>
    </row>
    <row r="432" spans="1:8" x14ac:dyDescent="0.25">
      <c r="A432" t="s">
        <v>809</v>
      </c>
      <c r="B432" t="s">
        <v>98</v>
      </c>
      <c r="C432" t="s">
        <v>2264</v>
      </c>
      <c r="D432" t="s">
        <v>2265</v>
      </c>
      <c r="E432" t="s">
        <v>2266</v>
      </c>
      <c r="F432" t="s">
        <v>1992</v>
      </c>
      <c r="G432" t="s">
        <v>2267</v>
      </c>
      <c r="H432" t="s">
        <v>945</v>
      </c>
    </row>
    <row r="433" spans="1:8" x14ac:dyDescent="0.25">
      <c r="A433" t="s">
        <v>564</v>
      </c>
      <c r="B433" t="s">
        <v>1933</v>
      </c>
      <c r="C433" t="s">
        <v>1934</v>
      </c>
      <c r="D433" t="s">
        <v>1935</v>
      </c>
      <c r="E433" t="s">
        <v>1936</v>
      </c>
      <c r="F433" t="s">
        <v>1285</v>
      </c>
      <c r="G433" t="s">
        <v>1937</v>
      </c>
      <c r="H433" t="s">
        <v>382</v>
      </c>
    </row>
    <row r="434" spans="1:8" x14ac:dyDescent="0.25">
      <c r="A434" t="s">
        <v>484</v>
      </c>
      <c r="B434" t="s">
        <v>2461</v>
      </c>
      <c r="C434" t="s">
        <v>2462</v>
      </c>
      <c r="D434" t="s">
        <v>2463</v>
      </c>
      <c r="E434" t="s">
        <v>2464</v>
      </c>
      <c r="F434" t="s">
        <v>2020</v>
      </c>
      <c r="G434" t="s">
        <v>2465</v>
      </c>
      <c r="H434" t="s">
        <v>362</v>
      </c>
    </row>
    <row r="435" spans="1:8" x14ac:dyDescent="0.25">
      <c r="A435" t="s">
        <v>447</v>
      </c>
      <c r="B435" t="s">
        <v>133</v>
      </c>
      <c r="C435" t="s">
        <v>2167</v>
      </c>
      <c r="D435" t="s">
        <v>2168</v>
      </c>
      <c r="E435" t="s">
        <v>2169</v>
      </c>
      <c r="F435" t="s">
        <v>2041</v>
      </c>
      <c r="G435" t="s">
        <v>2170</v>
      </c>
      <c r="H435" t="s">
        <v>254</v>
      </c>
    </row>
    <row r="436" spans="1:8" x14ac:dyDescent="0.25">
      <c r="A436" t="s">
        <v>676</v>
      </c>
      <c r="B436" t="s">
        <v>2752</v>
      </c>
      <c r="C436" t="s">
        <v>1229</v>
      </c>
      <c r="D436" t="s">
        <v>2753</v>
      </c>
      <c r="E436" t="s">
        <v>2054</v>
      </c>
      <c r="F436" t="s">
        <v>2020</v>
      </c>
      <c r="G436" t="s">
        <v>2754</v>
      </c>
      <c r="H436" t="s">
        <v>1020</v>
      </c>
    </row>
    <row r="437" spans="1:8" x14ac:dyDescent="0.25">
      <c r="A437" t="s">
        <v>858</v>
      </c>
      <c r="B437" t="s">
        <v>1816</v>
      </c>
      <c r="C437" t="s">
        <v>1817</v>
      </c>
      <c r="D437" t="s">
        <v>1818</v>
      </c>
      <c r="E437" t="s">
        <v>1809</v>
      </c>
      <c r="F437" t="s">
        <v>1285</v>
      </c>
      <c r="G437" t="s">
        <v>1819</v>
      </c>
      <c r="H437" t="s">
        <v>1196</v>
      </c>
    </row>
    <row r="438" spans="1:8" x14ac:dyDescent="0.25">
      <c r="A438" t="s">
        <v>538</v>
      </c>
      <c r="B438" t="s">
        <v>150</v>
      </c>
      <c r="C438" t="s">
        <v>1719</v>
      </c>
      <c r="D438" t="s">
        <v>1720</v>
      </c>
      <c r="E438" t="s">
        <v>1721</v>
      </c>
      <c r="F438" t="s">
        <v>1285</v>
      </c>
      <c r="G438" t="s">
        <v>1722</v>
      </c>
      <c r="H438" t="s">
        <v>1047</v>
      </c>
    </row>
    <row r="439" spans="1:8" x14ac:dyDescent="0.25">
      <c r="A439" t="s">
        <v>692</v>
      </c>
      <c r="B439" t="s">
        <v>130</v>
      </c>
      <c r="C439" t="s">
        <v>2181</v>
      </c>
      <c r="D439" t="s">
        <v>2182</v>
      </c>
      <c r="E439" t="s">
        <v>2183</v>
      </c>
      <c r="F439" t="s">
        <v>2083</v>
      </c>
      <c r="G439" t="s">
        <v>2184</v>
      </c>
      <c r="H439" t="s">
        <v>1099</v>
      </c>
    </row>
    <row r="440" spans="1:8" x14ac:dyDescent="0.25">
      <c r="A440" t="s">
        <v>615</v>
      </c>
      <c r="B440" t="s">
        <v>1546</v>
      </c>
      <c r="C440" t="s">
        <v>1547</v>
      </c>
      <c r="D440" t="s">
        <v>1548</v>
      </c>
      <c r="E440" t="s">
        <v>1549</v>
      </c>
      <c r="F440" t="s">
        <v>1285</v>
      </c>
      <c r="G440" t="s">
        <v>1550</v>
      </c>
      <c r="H440" t="s">
        <v>1201</v>
      </c>
    </row>
    <row r="441" spans="1:8" x14ac:dyDescent="0.25">
      <c r="A441" t="s">
        <v>643</v>
      </c>
      <c r="B441" t="s">
        <v>98</v>
      </c>
      <c r="C441" t="s">
        <v>2390</v>
      </c>
      <c r="D441" t="s">
        <v>2391</v>
      </c>
      <c r="E441" t="s">
        <v>2392</v>
      </c>
      <c r="F441" t="s">
        <v>2041</v>
      </c>
      <c r="G441" t="s">
        <v>2393</v>
      </c>
      <c r="H441" t="s">
        <v>1188</v>
      </c>
    </row>
    <row r="442" spans="1:8" x14ac:dyDescent="0.25">
      <c r="A442" t="s">
        <v>456</v>
      </c>
      <c r="B442" t="s">
        <v>306</v>
      </c>
      <c r="C442" t="s">
        <v>2879</v>
      </c>
      <c r="D442" t="s">
        <v>2880</v>
      </c>
      <c r="E442" t="s">
        <v>2881</v>
      </c>
      <c r="F442" t="s">
        <v>2011</v>
      </c>
      <c r="G442" t="s">
        <v>2882</v>
      </c>
      <c r="H442" t="s">
        <v>1216</v>
      </c>
    </row>
    <row r="443" spans="1:8" x14ac:dyDescent="0.25">
      <c r="A443" t="s">
        <v>760</v>
      </c>
      <c r="B443" t="s">
        <v>395</v>
      </c>
      <c r="C443" t="s">
        <v>1600</v>
      </c>
      <c r="D443" t="s">
        <v>1601</v>
      </c>
      <c r="E443" t="s">
        <v>1555</v>
      </c>
      <c r="F443" t="s">
        <v>1285</v>
      </c>
      <c r="G443" t="s">
        <v>1556</v>
      </c>
      <c r="H443" t="s">
        <v>1101</v>
      </c>
    </row>
    <row r="444" spans="1:8" x14ac:dyDescent="0.25">
      <c r="A444" t="s">
        <v>596</v>
      </c>
      <c r="B444" t="s">
        <v>2626</v>
      </c>
      <c r="C444" t="s">
        <v>148</v>
      </c>
      <c r="D444" t="s">
        <v>2627</v>
      </c>
      <c r="E444" t="s">
        <v>2628</v>
      </c>
      <c r="F444" t="s">
        <v>2041</v>
      </c>
      <c r="G444" t="s">
        <v>2629</v>
      </c>
      <c r="H444" t="s">
        <v>222</v>
      </c>
    </row>
    <row r="445" spans="1:8" x14ac:dyDescent="0.25">
      <c r="A445" t="s">
        <v>865</v>
      </c>
      <c r="B445" t="s">
        <v>160</v>
      </c>
      <c r="C445" t="s">
        <v>148</v>
      </c>
      <c r="D445" t="s">
        <v>2917</v>
      </c>
      <c r="E445" t="s">
        <v>2075</v>
      </c>
      <c r="F445" t="s">
        <v>2020</v>
      </c>
      <c r="G445" t="s">
        <v>2076</v>
      </c>
      <c r="H445" t="s">
        <v>1259</v>
      </c>
    </row>
    <row r="446" spans="1:8" x14ac:dyDescent="0.25">
      <c r="A446" t="s">
        <v>891</v>
      </c>
      <c r="B446" t="s">
        <v>3079</v>
      </c>
      <c r="C446" t="s">
        <v>2765</v>
      </c>
      <c r="D446" t="s">
        <v>2766</v>
      </c>
      <c r="E446" t="s">
        <v>2706</v>
      </c>
      <c r="F446" t="s">
        <v>2083</v>
      </c>
      <c r="G446" t="s">
        <v>2707</v>
      </c>
      <c r="H446" t="s">
        <v>379</v>
      </c>
    </row>
    <row r="447" spans="1:8" x14ac:dyDescent="0.25">
      <c r="A447" t="s">
        <v>866</v>
      </c>
      <c r="B447" t="s">
        <v>191</v>
      </c>
      <c r="C447" t="s">
        <v>130</v>
      </c>
      <c r="D447" t="s">
        <v>2666</v>
      </c>
      <c r="E447" t="s">
        <v>2448</v>
      </c>
      <c r="F447" t="s">
        <v>2011</v>
      </c>
      <c r="G447" t="s">
        <v>2667</v>
      </c>
      <c r="H447" t="s">
        <v>1130</v>
      </c>
    </row>
    <row r="448" spans="1:8" x14ac:dyDescent="0.25">
      <c r="A448" t="s">
        <v>622</v>
      </c>
      <c r="B448" t="s">
        <v>2346</v>
      </c>
      <c r="C448" t="s">
        <v>130</v>
      </c>
      <c r="D448" t="s">
        <v>2347</v>
      </c>
      <c r="E448" t="s">
        <v>2348</v>
      </c>
      <c r="F448" t="s">
        <v>2041</v>
      </c>
      <c r="G448" t="s">
        <v>2349</v>
      </c>
      <c r="H448" t="s">
        <v>1198</v>
      </c>
    </row>
    <row r="449" spans="1:8" x14ac:dyDescent="0.25">
      <c r="A449" t="s">
        <v>871</v>
      </c>
      <c r="B449" t="s">
        <v>1963</v>
      </c>
      <c r="C449" t="s">
        <v>122</v>
      </c>
      <c r="D449" t="s">
        <v>1964</v>
      </c>
      <c r="E449" t="s">
        <v>1875</v>
      </c>
      <c r="F449" t="s">
        <v>1285</v>
      </c>
      <c r="G449" t="s">
        <v>1876</v>
      </c>
      <c r="H449" t="s">
        <v>1037</v>
      </c>
    </row>
    <row r="450" spans="1:8" x14ac:dyDescent="0.25">
      <c r="A450" t="s">
        <v>928</v>
      </c>
      <c r="B450" t="s">
        <v>1337</v>
      </c>
      <c r="C450" t="s">
        <v>1338</v>
      </c>
      <c r="D450" t="s">
        <v>1339</v>
      </c>
      <c r="E450" t="s">
        <v>1340</v>
      </c>
      <c r="F450" t="s">
        <v>1285</v>
      </c>
      <c r="G450" t="s">
        <v>1341</v>
      </c>
      <c r="H450" t="s">
        <v>1152</v>
      </c>
    </row>
    <row r="451" spans="1:8" x14ac:dyDescent="0.25">
      <c r="A451" t="s">
        <v>541</v>
      </c>
      <c r="B451" t="s">
        <v>98</v>
      </c>
      <c r="C451" t="s">
        <v>2639</v>
      </c>
      <c r="D451" t="s">
        <v>2640</v>
      </c>
      <c r="E451" t="s">
        <v>2641</v>
      </c>
      <c r="F451" t="s">
        <v>2041</v>
      </c>
      <c r="G451" t="s">
        <v>2642</v>
      </c>
      <c r="H451" t="s">
        <v>100</v>
      </c>
    </row>
    <row r="452" spans="1:8" x14ac:dyDescent="0.25">
      <c r="A452" t="s">
        <v>936</v>
      </c>
      <c r="B452" t="s">
        <v>175</v>
      </c>
      <c r="C452" t="s">
        <v>1791</v>
      </c>
      <c r="D452" t="s">
        <v>1792</v>
      </c>
      <c r="E452" t="s">
        <v>1793</v>
      </c>
      <c r="F452" t="s">
        <v>1285</v>
      </c>
      <c r="G452" t="s">
        <v>1794</v>
      </c>
      <c r="H452" t="s">
        <v>1135</v>
      </c>
    </row>
    <row r="453" spans="1:8" x14ac:dyDescent="0.25">
      <c r="A453" t="s">
        <v>750</v>
      </c>
      <c r="B453" t="s">
        <v>2543</v>
      </c>
      <c r="C453" t="s">
        <v>409</v>
      </c>
      <c r="D453" t="s">
        <v>2544</v>
      </c>
      <c r="E453" t="s">
        <v>2058</v>
      </c>
      <c r="F453" t="s">
        <v>2041</v>
      </c>
      <c r="G453" t="s">
        <v>2059</v>
      </c>
      <c r="H453" t="s">
        <v>1008</v>
      </c>
    </row>
    <row r="454" spans="1:8" x14ac:dyDescent="0.25">
      <c r="A454" t="s">
        <v>513</v>
      </c>
      <c r="B454" t="s">
        <v>1651</v>
      </c>
      <c r="C454" t="s">
        <v>1652</v>
      </c>
      <c r="D454" t="s">
        <v>1653</v>
      </c>
      <c r="E454" t="s">
        <v>1654</v>
      </c>
      <c r="F454" t="s">
        <v>1285</v>
      </c>
      <c r="G454" t="s">
        <v>1655</v>
      </c>
      <c r="H454" t="s">
        <v>1056</v>
      </c>
    </row>
    <row r="455" spans="1:8" x14ac:dyDescent="0.25">
      <c r="A455" t="s">
        <v>529</v>
      </c>
      <c r="B455" t="s">
        <v>2565</v>
      </c>
      <c r="C455" t="s">
        <v>1112</v>
      </c>
      <c r="D455" t="s">
        <v>2566</v>
      </c>
      <c r="E455" t="s">
        <v>139</v>
      </c>
      <c r="F455" t="s">
        <v>2567</v>
      </c>
      <c r="G455" t="s">
        <v>2568</v>
      </c>
      <c r="H455" t="s">
        <v>113</v>
      </c>
    </row>
    <row r="456" spans="1:8" x14ac:dyDescent="0.25">
      <c r="A456" t="s">
        <v>832</v>
      </c>
      <c r="B456" t="s">
        <v>2381</v>
      </c>
      <c r="C456" t="s">
        <v>2433</v>
      </c>
      <c r="D456" t="s">
        <v>2434</v>
      </c>
      <c r="E456" t="s">
        <v>2435</v>
      </c>
      <c r="F456" t="s">
        <v>2041</v>
      </c>
      <c r="G456" t="s">
        <v>2170</v>
      </c>
      <c r="H456" t="s">
        <v>1079</v>
      </c>
    </row>
    <row r="457" spans="1:8" x14ac:dyDescent="0.25">
      <c r="A457" t="s">
        <v>869</v>
      </c>
      <c r="B457" t="s">
        <v>101</v>
      </c>
      <c r="C457" t="s">
        <v>2433</v>
      </c>
      <c r="D457" t="s">
        <v>3005</v>
      </c>
      <c r="E457" t="s">
        <v>1760</v>
      </c>
      <c r="F457" t="s">
        <v>2278</v>
      </c>
      <c r="G457" t="s">
        <v>2279</v>
      </c>
      <c r="H457" t="s">
        <v>383</v>
      </c>
    </row>
    <row r="458" spans="1:8" x14ac:dyDescent="0.25">
      <c r="A458" t="s">
        <v>514</v>
      </c>
      <c r="B458" t="s">
        <v>192</v>
      </c>
      <c r="C458" t="s">
        <v>2022</v>
      </c>
      <c r="D458" t="s">
        <v>2023</v>
      </c>
      <c r="E458" t="s">
        <v>2024</v>
      </c>
      <c r="F458" t="s">
        <v>1992</v>
      </c>
      <c r="G458" t="s">
        <v>2025</v>
      </c>
      <c r="H458" t="s">
        <v>438</v>
      </c>
    </row>
    <row r="459" spans="1:8" x14ac:dyDescent="0.25">
      <c r="A459" t="s">
        <v>763</v>
      </c>
      <c r="B459" t="s">
        <v>200</v>
      </c>
      <c r="C459" t="s">
        <v>2616</v>
      </c>
      <c r="D459" t="s">
        <v>2617</v>
      </c>
      <c r="E459" t="s">
        <v>2618</v>
      </c>
      <c r="F459" t="s">
        <v>2083</v>
      </c>
      <c r="G459" t="s">
        <v>2619</v>
      </c>
      <c r="H459" t="s">
        <v>973</v>
      </c>
    </row>
    <row r="460" spans="1:8" x14ac:dyDescent="0.25">
      <c r="A460" t="s">
        <v>697</v>
      </c>
      <c r="B460" t="s">
        <v>314</v>
      </c>
      <c r="C460" t="s">
        <v>2228</v>
      </c>
      <c r="D460" t="s">
        <v>2229</v>
      </c>
      <c r="E460" t="s">
        <v>2230</v>
      </c>
      <c r="F460" t="s">
        <v>2041</v>
      </c>
      <c r="G460" t="s">
        <v>2120</v>
      </c>
      <c r="H460" t="s">
        <v>341</v>
      </c>
    </row>
    <row r="461" spans="1:8" x14ac:dyDescent="0.25">
      <c r="A461" t="s">
        <v>870</v>
      </c>
      <c r="B461" t="s">
        <v>1629</v>
      </c>
      <c r="C461" t="s">
        <v>2446</v>
      </c>
      <c r="D461" t="s">
        <v>2447</v>
      </c>
      <c r="E461" t="s">
        <v>2448</v>
      </c>
      <c r="F461" t="s">
        <v>1997</v>
      </c>
      <c r="G461" t="s">
        <v>2449</v>
      </c>
      <c r="H461" t="s">
        <v>386</v>
      </c>
    </row>
    <row r="462" spans="1:8" x14ac:dyDescent="0.25">
      <c r="A462" t="s">
        <v>735</v>
      </c>
      <c r="B462" t="s">
        <v>2950</v>
      </c>
      <c r="C462" t="s">
        <v>2951</v>
      </c>
      <c r="D462" t="s">
        <v>2952</v>
      </c>
      <c r="E462" t="s">
        <v>2953</v>
      </c>
      <c r="F462" t="s">
        <v>2041</v>
      </c>
      <c r="G462" t="s">
        <v>2954</v>
      </c>
      <c r="H462" t="s">
        <v>971</v>
      </c>
    </row>
    <row r="463" spans="1:8" x14ac:dyDescent="0.25">
      <c r="A463" t="s">
        <v>582</v>
      </c>
      <c r="B463" t="s">
        <v>102</v>
      </c>
      <c r="C463" t="s">
        <v>1439</v>
      </c>
      <c r="D463" t="s">
        <v>1440</v>
      </c>
      <c r="E463" t="s">
        <v>1441</v>
      </c>
      <c r="F463" t="s">
        <v>1285</v>
      </c>
      <c r="G463" t="s">
        <v>1442</v>
      </c>
      <c r="H463" t="s">
        <v>1274</v>
      </c>
    </row>
    <row r="464" spans="1:8" x14ac:dyDescent="0.25">
      <c r="A464" t="s">
        <v>649</v>
      </c>
      <c r="B464" t="s">
        <v>400</v>
      </c>
      <c r="C464" t="s">
        <v>2407</v>
      </c>
      <c r="D464" t="s">
        <v>2408</v>
      </c>
      <c r="E464" t="s">
        <v>2409</v>
      </c>
      <c r="F464" t="s">
        <v>2041</v>
      </c>
      <c r="G464" t="s">
        <v>2410</v>
      </c>
      <c r="H464" t="s">
        <v>328</v>
      </c>
    </row>
    <row r="465" spans="1:8" x14ac:dyDescent="0.25">
      <c r="A465" t="s">
        <v>918</v>
      </c>
      <c r="B465" t="s">
        <v>1144</v>
      </c>
      <c r="C465" t="s">
        <v>1447</v>
      </c>
      <c r="D465" t="s">
        <v>1448</v>
      </c>
      <c r="E465" t="s">
        <v>1449</v>
      </c>
      <c r="F465" t="s">
        <v>1285</v>
      </c>
      <c r="G465" t="s">
        <v>1450</v>
      </c>
      <c r="H465" t="s">
        <v>1222</v>
      </c>
    </row>
    <row r="466" spans="1:8" x14ac:dyDescent="0.25">
      <c r="A466" t="s">
        <v>571</v>
      </c>
      <c r="B466" t="s">
        <v>201</v>
      </c>
      <c r="C466" t="s">
        <v>948</v>
      </c>
      <c r="D466" t="s">
        <v>2284</v>
      </c>
      <c r="E466" t="s">
        <v>2285</v>
      </c>
      <c r="F466" t="s">
        <v>2041</v>
      </c>
      <c r="G466" t="s">
        <v>2286</v>
      </c>
      <c r="H466" t="s">
        <v>1102</v>
      </c>
    </row>
    <row r="467" spans="1:8" x14ac:dyDescent="0.25">
      <c r="A467" t="s">
        <v>509</v>
      </c>
      <c r="B467" t="s">
        <v>1412</v>
      </c>
      <c r="C467" t="s">
        <v>139</v>
      </c>
      <c r="D467" t="s">
        <v>1413</v>
      </c>
      <c r="E467" t="s">
        <v>1414</v>
      </c>
      <c r="F467" t="s">
        <v>1285</v>
      </c>
      <c r="G467" t="s">
        <v>1415</v>
      </c>
      <c r="H467" t="s">
        <v>1108</v>
      </c>
    </row>
    <row r="468" spans="1:8" x14ac:dyDescent="0.25">
      <c r="A468" t="s">
        <v>505</v>
      </c>
      <c r="B468" t="s">
        <v>1177</v>
      </c>
      <c r="C468" t="s">
        <v>1983</v>
      </c>
      <c r="D468" t="s">
        <v>1984</v>
      </c>
      <c r="E468" t="s">
        <v>1445</v>
      </c>
      <c r="F468" t="s">
        <v>1285</v>
      </c>
      <c r="G468" t="s">
        <v>1446</v>
      </c>
      <c r="H468" t="s">
        <v>1132</v>
      </c>
    </row>
    <row r="469" spans="1:8" x14ac:dyDescent="0.25">
      <c r="A469" t="s">
        <v>551</v>
      </c>
      <c r="B469" t="s">
        <v>3023</v>
      </c>
      <c r="C469" t="s">
        <v>1983</v>
      </c>
      <c r="D469" t="s">
        <v>3024</v>
      </c>
      <c r="E469" t="s">
        <v>3025</v>
      </c>
      <c r="F469" t="s">
        <v>1997</v>
      </c>
      <c r="G469" t="s">
        <v>3026</v>
      </c>
      <c r="H469" t="s">
        <v>356</v>
      </c>
    </row>
    <row r="470" spans="1:8" x14ac:dyDescent="0.25">
      <c r="A470" t="s">
        <v>654</v>
      </c>
      <c r="B470" t="s">
        <v>1189</v>
      </c>
      <c r="C470" t="s">
        <v>2017</v>
      </c>
      <c r="D470" t="s">
        <v>2018</v>
      </c>
      <c r="E470" t="s">
        <v>2019</v>
      </c>
      <c r="F470" t="s">
        <v>2020</v>
      </c>
      <c r="G470" t="s">
        <v>2021</v>
      </c>
      <c r="H470" t="s">
        <v>1094</v>
      </c>
    </row>
    <row r="471" spans="1:8" x14ac:dyDescent="0.25">
      <c r="A471" t="s">
        <v>901</v>
      </c>
      <c r="B471" t="s">
        <v>205</v>
      </c>
      <c r="C471" t="s">
        <v>2017</v>
      </c>
      <c r="D471" t="s">
        <v>2489</v>
      </c>
      <c r="E471" t="s">
        <v>2490</v>
      </c>
      <c r="F471" t="s">
        <v>2041</v>
      </c>
      <c r="G471" t="s">
        <v>2491</v>
      </c>
      <c r="H471" t="s">
        <v>1248</v>
      </c>
    </row>
    <row r="472" spans="1:8" x14ac:dyDescent="0.25">
      <c r="A472" t="s">
        <v>467</v>
      </c>
      <c r="B472" t="s">
        <v>233</v>
      </c>
      <c r="C472" t="s">
        <v>1342</v>
      </c>
      <c r="D472" t="s">
        <v>1343</v>
      </c>
      <c r="E472" t="s">
        <v>1323</v>
      </c>
      <c r="F472" t="s">
        <v>1285</v>
      </c>
      <c r="G472" t="s">
        <v>1344</v>
      </c>
      <c r="H472" t="s">
        <v>1239</v>
      </c>
    </row>
    <row r="473" spans="1:8" x14ac:dyDescent="0.25">
      <c r="A473" t="s">
        <v>932</v>
      </c>
      <c r="B473" t="s">
        <v>197</v>
      </c>
      <c r="C473" t="s">
        <v>1961</v>
      </c>
      <c r="D473" t="s">
        <v>2654</v>
      </c>
      <c r="E473" t="s">
        <v>2655</v>
      </c>
      <c r="F473" t="s">
        <v>2020</v>
      </c>
      <c r="G473" t="s">
        <v>2656</v>
      </c>
      <c r="H473" t="s">
        <v>156</v>
      </c>
    </row>
    <row r="474" spans="1:8" x14ac:dyDescent="0.25">
      <c r="A474" t="s">
        <v>592</v>
      </c>
      <c r="B474" t="s">
        <v>1287</v>
      </c>
      <c r="C474" t="s">
        <v>2822</v>
      </c>
      <c r="D474" t="s">
        <v>2823</v>
      </c>
      <c r="E474" t="s">
        <v>2824</v>
      </c>
      <c r="F474" t="s">
        <v>2020</v>
      </c>
      <c r="G474" t="s">
        <v>2825</v>
      </c>
      <c r="H474" t="s">
        <v>950</v>
      </c>
    </row>
    <row r="475" spans="1:8" x14ac:dyDescent="0.25">
      <c r="A475" t="s">
        <v>706</v>
      </c>
      <c r="B475" t="s">
        <v>2108</v>
      </c>
      <c r="C475" t="s">
        <v>2109</v>
      </c>
      <c r="D475" t="s">
        <v>2110</v>
      </c>
      <c r="E475" t="s">
        <v>2111</v>
      </c>
      <c r="F475" t="s">
        <v>2083</v>
      </c>
      <c r="G475" t="s">
        <v>2112</v>
      </c>
      <c r="H475" t="s">
        <v>296</v>
      </c>
    </row>
    <row r="476" spans="1:8" x14ac:dyDescent="0.25">
      <c r="A476" t="s">
        <v>642</v>
      </c>
      <c r="B476" t="s">
        <v>2930</v>
      </c>
      <c r="C476" t="s">
        <v>2931</v>
      </c>
      <c r="D476" t="s">
        <v>2932</v>
      </c>
      <c r="E476" t="s">
        <v>2933</v>
      </c>
      <c r="F476" t="s">
        <v>2041</v>
      </c>
      <c r="G476" t="s">
        <v>2934</v>
      </c>
      <c r="H476" t="s">
        <v>288</v>
      </c>
    </row>
    <row r="477" spans="1:8" x14ac:dyDescent="0.25">
      <c r="A477" t="s">
        <v>777</v>
      </c>
      <c r="B477" t="s">
        <v>227</v>
      </c>
      <c r="C477" t="s">
        <v>225</v>
      </c>
      <c r="D477" t="s">
        <v>2309</v>
      </c>
      <c r="E477" t="s">
        <v>2310</v>
      </c>
      <c r="F477" t="s">
        <v>2083</v>
      </c>
      <c r="G477" t="s">
        <v>2311</v>
      </c>
      <c r="H477" t="s">
        <v>370</v>
      </c>
    </row>
    <row r="478" spans="1:8" x14ac:dyDescent="0.25">
      <c r="A478" t="s">
        <v>905</v>
      </c>
      <c r="B478" t="s">
        <v>417</v>
      </c>
      <c r="C478" t="s">
        <v>225</v>
      </c>
      <c r="D478" t="s">
        <v>1519</v>
      </c>
      <c r="E478" t="s">
        <v>1520</v>
      </c>
      <c r="F478" t="s">
        <v>1285</v>
      </c>
      <c r="G478" t="s">
        <v>1521</v>
      </c>
      <c r="H478" t="s">
        <v>1148</v>
      </c>
    </row>
    <row r="479" spans="1:8" x14ac:dyDescent="0.25">
      <c r="A479" t="s">
        <v>623</v>
      </c>
      <c r="B479" t="s">
        <v>185</v>
      </c>
      <c r="C479" t="s">
        <v>1726</v>
      </c>
      <c r="D479" t="s">
        <v>1727</v>
      </c>
      <c r="E479" t="s">
        <v>1568</v>
      </c>
      <c r="F479" t="s">
        <v>1285</v>
      </c>
      <c r="G479" t="s">
        <v>1728</v>
      </c>
      <c r="H479" t="s">
        <v>987</v>
      </c>
    </row>
    <row r="480" spans="1:8" x14ac:dyDescent="0.25">
      <c r="A480" t="s">
        <v>669</v>
      </c>
      <c r="B480" t="s">
        <v>2077</v>
      </c>
      <c r="C480" t="s">
        <v>128</v>
      </c>
      <c r="D480" t="s">
        <v>2078</v>
      </c>
      <c r="E480" t="s">
        <v>2036</v>
      </c>
      <c r="F480" t="s">
        <v>2020</v>
      </c>
      <c r="G480" t="s">
        <v>2079</v>
      </c>
      <c r="H480" t="s">
        <v>1126</v>
      </c>
    </row>
    <row r="481" spans="1:8" x14ac:dyDescent="0.25">
      <c r="A481" t="s">
        <v>687</v>
      </c>
      <c r="B481" t="s">
        <v>211</v>
      </c>
      <c r="C481" t="s">
        <v>1965</v>
      </c>
      <c r="D481" t="s">
        <v>1966</v>
      </c>
      <c r="E481" t="s">
        <v>1427</v>
      </c>
      <c r="F481" t="s">
        <v>1285</v>
      </c>
      <c r="G481" t="s">
        <v>1428</v>
      </c>
      <c r="H481" t="s">
        <v>1142</v>
      </c>
    </row>
    <row r="482" spans="1:8" x14ac:dyDescent="0.25">
      <c r="A482" t="s">
        <v>519</v>
      </c>
      <c r="B482" t="s">
        <v>185</v>
      </c>
      <c r="C482" t="s">
        <v>398</v>
      </c>
      <c r="D482" t="s">
        <v>1662</v>
      </c>
      <c r="E482" t="s">
        <v>1663</v>
      </c>
      <c r="F482" t="s">
        <v>1285</v>
      </c>
      <c r="G482" t="s">
        <v>1664</v>
      </c>
      <c r="H482" t="s">
        <v>1048</v>
      </c>
    </row>
    <row r="483" spans="1:8" x14ac:dyDescent="0.25">
      <c r="A483" t="s">
        <v>914</v>
      </c>
      <c r="B483" t="s">
        <v>215</v>
      </c>
      <c r="C483" t="s">
        <v>2675</v>
      </c>
      <c r="D483" t="s">
        <v>2676</v>
      </c>
      <c r="E483" t="s">
        <v>2618</v>
      </c>
      <c r="F483" t="s">
        <v>2083</v>
      </c>
      <c r="G483" t="s">
        <v>2677</v>
      </c>
      <c r="H483" t="s">
        <v>355</v>
      </c>
    </row>
    <row r="484" spans="1:8" x14ac:dyDescent="0.25">
      <c r="A484" t="s">
        <v>769</v>
      </c>
      <c r="B484" t="s">
        <v>175</v>
      </c>
      <c r="C484" t="s">
        <v>1401</v>
      </c>
      <c r="D484" t="s">
        <v>1402</v>
      </c>
      <c r="E484" t="s">
        <v>1403</v>
      </c>
      <c r="F484" t="s">
        <v>1285</v>
      </c>
      <c r="G484" t="s">
        <v>1404</v>
      </c>
      <c r="H484" t="s">
        <v>1199</v>
      </c>
    </row>
    <row r="485" spans="1:8" x14ac:dyDescent="0.25">
      <c r="A485" t="s">
        <v>821</v>
      </c>
      <c r="B485" t="s">
        <v>3015</v>
      </c>
      <c r="C485" t="s">
        <v>1401</v>
      </c>
      <c r="D485" t="s">
        <v>3016</v>
      </c>
      <c r="E485" t="s">
        <v>2780</v>
      </c>
      <c r="F485" t="s">
        <v>2278</v>
      </c>
      <c r="G485" t="s">
        <v>3017</v>
      </c>
      <c r="H485" t="s">
        <v>1090</v>
      </c>
    </row>
    <row r="486" spans="1:8" x14ac:dyDescent="0.25">
      <c r="A486" t="s">
        <v>897</v>
      </c>
      <c r="B486" t="s">
        <v>1979</v>
      </c>
      <c r="C486" t="s">
        <v>1980</v>
      </c>
      <c r="D486" t="s">
        <v>1981</v>
      </c>
      <c r="E486" t="s">
        <v>1308</v>
      </c>
      <c r="F486" t="s">
        <v>1285</v>
      </c>
      <c r="G486" t="s">
        <v>1982</v>
      </c>
      <c r="H486" t="s">
        <v>437</v>
      </c>
    </row>
    <row r="487" spans="1:8" x14ac:dyDescent="0.25">
      <c r="A487" t="s">
        <v>736</v>
      </c>
      <c r="B487" t="s">
        <v>210</v>
      </c>
      <c r="C487" t="s">
        <v>249</v>
      </c>
      <c r="D487" t="s">
        <v>2849</v>
      </c>
      <c r="E487" t="s">
        <v>2135</v>
      </c>
      <c r="F487" t="s">
        <v>2011</v>
      </c>
      <c r="G487" t="s">
        <v>2850</v>
      </c>
      <c r="H487" t="s">
        <v>949</v>
      </c>
    </row>
    <row r="488" spans="1:8" x14ac:dyDescent="0.25">
      <c r="A488" t="s">
        <v>553</v>
      </c>
      <c r="B488" t="s">
        <v>2108</v>
      </c>
      <c r="C488" t="s">
        <v>371</v>
      </c>
      <c r="D488" t="s">
        <v>2360</v>
      </c>
      <c r="E488" t="s">
        <v>2070</v>
      </c>
      <c r="F488" t="s">
        <v>1992</v>
      </c>
      <c r="G488" t="s">
        <v>2361</v>
      </c>
      <c r="H488" t="s">
        <v>283</v>
      </c>
    </row>
    <row r="489" spans="1:8" x14ac:dyDescent="0.25">
      <c r="A489" t="s">
        <v>507</v>
      </c>
      <c r="B489" t="s">
        <v>191</v>
      </c>
      <c r="C489" t="s">
        <v>3076</v>
      </c>
      <c r="D489" t="s">
        <v>1766</v>
      </c>
      <c r="E489" t="s">
        <v>1767</v>
      </c>
      <c r="F489" t="s">
        <v>1285</v>
      </c>
      <c r="G489" t="s">
        <v>1768</v>
      </c>
      <c r="H489" t="s">
        <v>1150</v>
      </c>
    </row>
    <row r="490" spans="1:8" x14ac:dyDescent="0.25">
      <c r="A490" t="s">
        <v>705</v>
      </c>
      <c r="B490" t="s">
        <v>3078</v>
      </c>
      <c r="C490" t="s">
        <v>3077</v>
      </c>
      <c r="D490" t="s">
        <v>1886</v>
      </c>
      <c r="E490" t="s">
        <v>1887</v>
      </c>
      <c r="F490" t="s">
        <v>1285</v>
      </c>
      <c r="G490" t="s">
        <v>1888</v>
      </c>
      <c r="H490" t="s">
        <v>1147</v>
      </c>
    </row>
    <row r="491" spans="1:8" x14ac:dyDescent="0.25">
      <c r="A491" t="s">
        <v>849</v>
      </c>
      <c r="B491" t="s">
        <v>165</v>
      </c>
      <c r="C491" t="s">
        <v>163</v>
      </c>
      <c r="D491" t="s">
        <v>2659</v>
      </c>
      <c r="E491" t="s">
        <v>1323</v>
      </c>
      <c r="F491" t="s">
        <v>2083</v>
      </c>
      <c r="G491" t="s">
        <v>2660</v>
      </c>
      <c r="H491" t="s">
        <v>323</v>
      </c>
    </row>
    <row r="492" spans="1:8" x14ac:dyDescent="0.25">
      <c r="A492" t="s">
        <v>595</v>
      </c>
      <c r="B492" t="s">
        <v>2300</v>
      </c>
      <c r="C492" t="s">
        <v>2448</v>
      </c>
      <c r="D492" t="s">
        <v>2872</v>
      </c>
      <c r="E492" t="s">
        <v>2873</v>
      </c>
      <c r="F492" t="s">
        <v>2041</v>
      </c>
      <c r="G492" t="s">
        <v>2874</v>
      </c>
      <c r="H492" t="s">
        <v>157</v>
      </c>
    </row>
    <row r="493" spans="1:8" x14ac:dyDescent="0.25">
      <c r="A493" t="s">
        <v>774</v>
      </c>
      <c r="B493" t="s">
        <v>1834</v>
      </c>
      <c r="C493" t="s">
        <v>419</v>
      </c>
      <c r="D493" t="s">
        <v>1835</v>
      </c>
      <c r="E493" t="s">
        <v>1836</v>
      </c>
      <c r="F493" t="s">
        <v>1285</v>
      </c>
      <c r="G493" t="s">
        <v>1837</v>
      </c>
      <c r="H493" t="s">
        <v>1042</v>
      </c>
    </row>
    <row r="494" spans="1:8" x14ac:dyDescent="0.25">
      <c r="A494" t="s">
        <v>560</v>
      </c>
      <c r="B494" t="s">
        <v>1476</v>
      </c>
      <c r="C494" t="s">
        <v>1634</v>
      </c>
      <c r="D494" t="s">
        <v>1635</v>
      </c>
      <c r="E494" t="s">
        <v>1457</v>
      </c>
      <c r="F494" t="s">
        <v>1285</v>
      </c>
      <c r="G494" t="s">
        <v>1636</v>
      </c>
      <c r="H494" t="s">
        <v>1185</v>
      </c>
    </row>
    <row r="495" spans="1:8" x14ac:dyDescent="0.25">
      <c r="A495" t="s">
        <v>503</v>
      </c>
      <c r="B495" t="s">
        <v>2963</v>
      </c>
      <c r="C495" t="s">
        <v>2964</v>
      </c>
      <c r="D495" t="s">
        <v>2965</v>
      </c>
      <c r="E495" t="s">
        <v>2966</v>
      </c>
      <c r="F495" t="s">
        <v>1992</v>
      </c>
      <c r="G495" t="s">
        <v>2967</v>
      </c>
      <c r="H495" t="s">
        <v>279</v>
      </c>
    </row>
    <row r="496" spans="1:8" x14ac:dyDescent="0.25">
      <c r="A496" t="s">
        <v>544</v>
      </c>
      <c r="B496" t="s">
        <v>1194</v>
      </c>
      <c r="C496" t="s">
        <v>1481</v>
      </c>
      <c r="D496" t="s">
        <v>1482</v>
      </c>
      <c r="E496" t="s">
        <v>1483</v>
      </c>
      <c r="F496" t="s">
        <v>1285</v>
      </c>
      <c r="G496" t="s">
        <v>1484</v>
      </c>
      <c r="H496" t="s">
        <v>962</v>
      </c>
    </row>
  </sheetData>
  <sortState ref="A4:H496">
    <sortCondition ref="C4:C496"/>
    <sortCondition ref="B4:B496"/>
    <sortCondition ref="A4:A4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Charts</vt:lpstr>
      </vt:variant>
      <vt:variant>
        <vt:i4>1</vt:i4>
      </vt:variant>
    </vt:vector>
  </HeadingPairs>
  <TitlesOfParts>
    <vt:vector size="8" baseType="lpstr">
      <vt:lpstr>Documentation</vt:lpstr>
      <vt:lpstr>Budget</vt:lpstr>
      <vt:lpstr>Registration Revenue</vt:lpstr>
      <vt:lpstr>Meal Costs</vt:lpstr>
      <vt:lpstr>Room Costs</vt:lpstr>
      <vt:lpstr>Budget History</vt:lpstr>
      <vt:lpstr>Registration List</vt:lpstr>
      <vt:lpstr>Conference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Excel, Module 1 Module Case</dc:title>
  <dc:creator>Your Name</dc:creator>
  <cp:lastModifiedBy>Your Name</cp:lastModifiedBy>
  <cp:lastPrinted>2018-04-24T22:50:56Z</cp:lastPrinted>
  <dcterms:created xsi:type="dcterms:W3CDTF">2018-04-20T19:00:07Z</dcterms:created>
  <dcterms:modified xsi:type="dcterms:W3CDTF">2018-06-21T05:46:26Z</dcterms:modified>
</cp:coreProperties>
</file>