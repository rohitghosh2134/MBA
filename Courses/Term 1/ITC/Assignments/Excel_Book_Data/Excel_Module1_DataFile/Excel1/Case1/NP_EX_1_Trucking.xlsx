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<sst xmlns="http://schemas.openxmlformats.org/spreadsheetml/2006/main" count="96" uniqueCount="74">
  <si>
    <t>Cross State Travel Log</t>
  </si>
  <si>
    <t>Mileage Table</t>
  </si>
  <si>
    <t>Expense Table</t>
  </si>
  <si>
    <t>Summary</t>
  </si>
  <si>
    <t>Date</t>
  </si>
  <si>
    <t>Starting Location</t>
  </si>
  <si>
    <t>Delivery Location</t>
  </si>
  <si>
    <t>Odometer Beginning</t>
  </si>
  <si>
    <t>Odometer Ending</t>
  </si>
  <si>
    <t>Miles</t>
  </si>
  <si>
    <t>Hours</t>
  </si>
  <si>
    <t>Gallons</t>
  </si>
  <si>
    <t>Price per Gallon</t>
  </si>
  <si>
    <t>Total Fuel Purchase</t>
  </si>
  <si>
    <t>Seller</t>
  </si>
  <si>
    <t>Tolls</t>
  </si>
  <si>
    <t>Misc</t>
  </si>
  <si>
    <t>Days of Driving</t>
  </si>
  <si>
    <t>Shipping Plant, Chicago IL</t>
  </si>
  <si>
    <t>Ace Foods,  Omaha NE</t>
  </si>
  <si>
    <t>HiTank Gas, Des Moines IA</t>
  </si>
  <si>
    <t>Hours of Driving</t>
  </si>
  <si>
    <t>Warehouse, Lincoln NE</t>
  </si>
  <si>
    <t>Millers Foods, Tulsa OK</t>
  </si>
  <si>
    <t>Starland Oasis, Tusla OK</t>
  </si>
  <si>
    <t>Average Hours per Day</t>
  </si>
  <si>
    <t>Dispatch Center, Tulsa OK</t>
  </si>
  <si>
    <t>Ace Foods, Shrevport LA</t>
  </si>
  <si>
    <t>TexMart, Dallas TX</t>
  </si>
  <si>
    <t>Dispatch Center, Shrevport, LA</t>
  </si>
  <si>
    <t>Arch Foods, St. Louis MO</t>
  </si>
  <si>
    <t>Gas Market, Little Rock AK</t>
  </si>
  <si>
    <t>Total Expenses</t>
  </si>
  <si>
    <t>Shipping Plant, St. Louis MO</t>
  </si>
  <si>
    <t>Food Warehouse, Chicago IL</t>
  </si>
  <si>
    <t>Steves Mart, Peoria IL</t>
  </si>
  <si>
    <t>Total Fuel Expenses</t>
  </si>
  <si>
    <t>Archway Gas, Rockford IL</t>
  </si>
  <si>
    <t>Other Expenses</t>
  </si>
  <si>
    <t>River Front Foods, La Crosse WI</t>
  </si>
  <si>
    <t>Prairie Market, Sun Prairie WI</t>
  </si>
  <si>
    <t>Distribution Center, Winona MN</t>
  </si>
  <si>
    <t>Dakota Brothers, Chamberlain SD</t>
  </si>
  <si>
    <t>Altono Mart, Chamberlain SD</t>
  </si>
  <si>
    <t>Total Gallons Consumed</t>
  </si>
  <si>
    <t>Central Warehouse, Chamberlain SD</t>
  </si>
  <si>
    <t>Mountain Foods, Greely CO</t>
  </si>
  <si>
    <t>Pioneer Plaza, North Platte NE</t>
  </si>
  <si>
    <t>Total Miles Driven</t>
  </si>
  <si>
    <t>Warehouse, Greely CO</t>
  </si>
  <si>
    <t>Ace Foods, Omaha NE</t>
  </si>
  <si>
    <t>Miles per Gallon</t>
  </si>
  <si>
    <t>Total Cost per Mile</t>
  </si>
  <si>
    <t>Taylor Foods, Dayton OH</t>
  </si>
  <si>
    <t>Plaza Oasis, Indianapolis, IN</t>
  </si>
  <si>
    <t>Distribution Center, Dayton OH</t>
  </si>
  <si>
    <t>Ohio Foods, Cleveland OH</t>
  </si>
  <si>
    <t>Median Mart, Columbus, OH</t>
  </si>
  <si>
    <t>Shipping Plant, Cleveland OH</t>
  </si>
  <si>
    <t>South Bend Gas, South Bend IN</t>
  </si>
  <si>
    <t>Overland Foods, Overland Park KS</t>
  </si>
  <si>
    <t>Warehouse, Kansas City, KS</t>
  </si>
  <si>
    <t>OK Foods, Oklahoma City, OK</t>
  </si>
  <si>
    <t>Plains Plaza, Wichita KS</t>
  </si>
  <si>
    <t>Central Warehouse, Oklahoma City, OK</t>
  </si>
  <si>
    <t>Ace Foods, Little Rock AR</t>
  </si>
  <si>
    <t>Fort Smith Plaza, Fort Smith AR</t>
  </si>
  <si>
    <t>Shipping Plant, Little Rock AR</t>
  </si>
  <si>
    <t>Arch Oasis, St. Louis MO</t>
  </si>
  <si>
    <t>Cross State Trucking</t>
  </si>
  <si>
    <t>Author</t>
  </si>
  <si>
    <t>ROHIT GHOSH</t>
  </si>
  <si>
    <t>Purpose</t>
  </si>
  <si>
    <t>To record the travel log for a truck carrier and calculate total mileage and 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</si>
</sst>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&quot;$&quot;#,##0.00_);[Red]\(&quot;$&quot;#,##0.00\)"/>
    <numFmt numFmtId="166" formatCode="&quot;$&quot;#,##0_);[Red]\(&quot;$&quot;#,##0\)"/>
    <numFmt numFmtId="167" formatCode="_(* #,##0.00_);_(* \(#,##0.00\);_(* &quot;-&quot;??_);_(@_)"/>
  </numFmts>
  <fonts count="6">
    <font>
      <sz val="11.0"/>
      <color theme="1"/>
      <name val="Calibri"/>
      <scheme val="minor"/>
    </font>
    <font>
      <sz val="28.0"/>
      <color theme="1"/>
      <name val="EB Garamond"/>
    </font>
    <font>
      <sz val="13.0"/>
      <color theme="1"/>
      <name val="EB Garamond"/>
    </font>
    <font>
      <sz val="18.0"/>
      <color theme="1"/>
      <name val="EB Garamond"/>
    </font>
    <font>
      <sz val="24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1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14" xfId="0" applyFont="1" applyNumberFormat="1"/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86"/>
    <col customWidth="1" min="2" max="2" width="13.14"/>
    <col customWidth="1" min="3" max="3" width="9.14"/>
    <col customWidth="1" min="4" max="4" width="19.29"/>
    <col customWidth="1" min="5" max="5" width="39.57"/>
    <col customWidth="1" min="6" max="6" width="34.14"/>
    <col customWidth="1" min="7" max="7" width="21.14"/>
    <col customWidth="1" min="8" max="8" width="18.43"/>
    <col customWidth="1" min="9" max="9" width="6.29"/>
    <col customWidth="1" min="10" max="10" width="7.29"/>
    <col customWidth="1" min="11" max="11" width="9.14"/>
    <col customWidth="1" min="12" max="12" width="19.86"/>
    <col customWidth="1" min="13" max="13" width="16.43"/>
    <col customWidth="1" min="14" max="14" width="19.71"/>
    <col customWidth="1" min="15" max="15" width="32.0"/>
    <col customWidth="1" min="16" max="16" width="5.71"/>
    <col customWidth="1" min="17" max="17" width="6.43"/>
    <col customWidth="1" min="18" max="28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2"/>
      <c r="B3" s="2"/>
      <c r="C3" s="2"/>
      <c r="D3" s="3" t="s">
        <v>1</v>
      </c>
      <c r="E3" s="2"/>
      <c r="F3" s="2"/>
      <c r="G3" s="2"/>
      <c r="H3" s="2"/>
      <c r="I3" s="2"/>
      <c r="J3" s="2"/>
      <c r="K3" s="2"/>
      <c r="L3" s="3" t="s">
        <v>2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2" t="s">
        <v>3</v>
      </c>
      <c r="B4" s="2" t="str">
        <f>IF(B16&gt;0.65,"Over Budget","On Budget")</f>
        <v>Over Budget</v>
      </c>
      <c r="C4" s="2"/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4" t="s">
        <v>9</v>
      </c>
      <c r="J4" s="2" t="s">
        <v>10</v>
      </c>
      <c r="K4" s="2"/>
      <c r="L4" s="2" t="s">
        <v>11</v>
      </c>
      <c r="M4" s="2" t="s">
        <v>12</v>
      </c>
      <c r="N4" s="4" t="s">
        <v>13</v>
      </c>
      <c r="O4" s="2" t="s">
        <v>14</v>
      </c>
      <c r="P4" s="2" t="s">
        <v>15</v>
      </c>
      <c r="Q4" s="2" t="s">
        <v>16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" t="s">
        <v>17</v>
      </c>
      <c r="B5" s="5">
        <f>COUNT(D5:D25)</f>
        <v>21</v>
      </c>
      <c r="C5" s="2"/>
      <c r="D5" s="6">
        <v>44410.0</v>
      </c>
      <c r="E5" s="2" t="s">
        <v>18</v>
      </c>
      <c r="F5" s="2" t="s">
        <v>19</v>
      </c>
      <c r="G5" s="2">
        <v>28249.0</v>
      </c>
      <c r="H5" s="2">
        <v>28725.0</v>
      </c>
      <c r="I5" s="2">
        <f t="shared" ref="I5:I25" si="1">H5-G5</f>
        <v>476</v>
      </c>
      <c r="J5" s="2">
        <v>9.5</v>
      </c>
      <c r="K5" s="2"/>
      <c r="L5" s="2">
        <v>87.23</v>
      </c>
      <c r="M5" s="2">
        <v>2.61</v>
      </c>
      <c r="N5" s="2">
        <f t="shared" ref="N5:N25" si="2">M5*L5</f>
        <v>227.6703</v>
      </c>
      <c r="O5" s="2" t="s">
        <v>20</v>
      </c>
      <c r="P5" s="2">
        <v>25.0</v>
      </c>
      <c r="Q5" s="2">
        <v>44.15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2" t="s">
        <v>21</v>
      </c>
      <c r="B6" s="5">
        <f>SUM(J5:J25)</f>
        <v>156.75</v>
      </c>
      <c r="C6" s="2"/>
      <c r="D6" s="6">
        <v>44411.0</v>
      </c>
      <c r="E6" s="2" t="s">
        <v>22</v>
      </c>
      <c r="F6" s="2" t="s">
        <v>23</v>
      </c>
      <c r="G6" s="2">
        <v>28801.0</v>
      </c>
      <c r="H6" s="2">
        <v>29186.0</v>
      </c>
      <c r="I6" s="2">
        <f t="shared" si="1"/>
        <v>385</v>
      </c>
      <c r="J6" s="2">
        <v>7.75</v>
      </c>
      <c r="K6" s="2"/>
      <c r="L6" s="2">
        <v>72.61</v>
      </c>
      <c r="M6" s="2">
        <v>2.83</v>
      </c>
      <c r="N6" s="2">
        <f t="shared" si="2"/>
        <v>205.4863</v>
      </c>
      <c r="O6" s="2" t="s">
        <v>24</v>
      </c>
      <c r="P6" s="2">
        <v>0.0</v>
      </c>
      <c r="Q6" s="2">
        <v>35.28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" t="s">
        <v>25</v>
      </c>
      <c r="B7" s="5">
        <f>B6/B5</f>
        <v>7.464285714</v>
      </c>
      <c r="C7" s="2"/>
      <c r="D7" s="6">
        <v>44412.0</v>
      </c>
      <c r="E7" s="2" t="s">
        <v>26</v>
      </c>
      <c r="F7" s="2" t="s">
        <v>27</v>
      </c>
      <c r="G7" s="2">
        <v>29198.0</v>
      </c>
      <c r="H7" s="2">
        <v>29661.0</v>
      </c>
      <c r="I7" s="2">
        <f t="shared" si="1"/>
        <v>463</v>
      </c>
      <c r="J7" s="2">
        <v>9.25</v>
      </c>
      <c r="K7" s="2"/>
      <c r="L7" s="2">
        <v>91.48</v>
      </c>
      <c r="M7" s="2">
        <v>2.42</v>
      </c>
      <c r="N7" s="2">
        <f t="shared" si="2"/>
        <v>221.3816</v>
      </c>
      <c r="O7" s="2" t="s">
        <v>28</v>
      </c>
      <c r="P7" s="2">
        <v>0.0</v>
      </c>
      <c r="Q7" s="2">
        <v>78.21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2"/>
      <c r="B8" s="2"/>
      <c r="C8" s="2"/>
      <c r="D8" s="6">
        <v>44413.0</v>
      </c>
      <c r="E8" s="2" t="s">
        <v>29</v>
      </c>
      <c r="F8" s="2" t="s">
        <v>30</v>
      </c>
      <c r="G8" s="2">
        <v>29695.0</v>
      </c>
      <c r="H8" s="2">
        <v>30296.0</v>
      </c>
      <c r="I8" s="2">
        <f t="shared" si="1"/>
        <v>601</v>
      </c>
      <c r="J8" s="2">
        <v>12.0</v>
      </c>
      <c r="K8" s="2"/>
      <c r="L8" s="2">
        <v>113.49</v>
      </c>
      <c r="M8" s="2">
        <v>2.81</v>
      </c>
      <c r="N8" s="2">
        <f t="shared" si="2"/>
        <v>318.9069</v>
      </c>
      <c r="O8" s="2" t="s">
        <v>31</v>
      </c>
      <c r="P8" s="2">
        <v>0.0</v>
      </c>
      <c r="Q8" s="2">
        <v>52.23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2" t="s">
        <v>32</v>
      </c>
      <c r="B9" s="7">
        <f>SUM(N5:N25,P5:Q25)</f>
        <v>5347.7204</v>
      </c>
      <c r="C9" s="2"/>
      <c r="D9" s="6">
        <v>44414.0</v>
      </c>
      <c r="E9" s="2" t="s">
        <v>33</v>
      </c>
      <c r="F9" s="2" t="s">
        <v>34</v>
      </c>
      <c r="G9" s="2">
        <v>30312.0</v>
      </c>
      <c r="H9" s="2">
        <v>30655.0</v>
      </c>
      <c r="I9" s="2">
        <f t="shared" si="1"/>
        <v>343</v>
      </c>
      <c r="J9" s="2">
        <v>6.75</v>
      </c>
      <c r="K9" s="2"/>
      <c r="L9" s="2">
        <v>71.46</v>
      </c>
      <c r="M9" s="2">
        <v>2.78</v>
      </c>
      <c r="N9" s="2">
        <f t="shared" si="2"/>
        <v>198.6588</v>
      </c>
      <c r="O9" s="2" t="s">
        <v>35</v>
      </c>
      <c r="P9" s="2">
        <v>25.0</v>
      </c>
      <c r="Q9" s="2">
        <v>49.28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2" t="s">
        <v>36</v>
      </c>
      <c r="B10" s="7">
        <f>SUM(N5:N25)</f>
        <v>4021.7304</v>
      </c>
      <c r="C10" s="2"/>
      <c r="D10" s="6">
        <v>44415.0</v>
      </c>
      <c r="E10" s="2" t="s">
        <v>18</v>
      </c>
      <c r="F10" s="2" t="s">
        <v>18</v>
      </c>
      <c r="G10" s="2">
        <v>30655.0</v>
      </c>
      <c r="H10" s="2">
        <v>30878.0</v>
      </c>
      <c r="I10" s="2">
        <f t="shared" si="1"/>
        <v>223</v>
      </c>
      <c r="J10" s="2">
        <v>4.25</v>
      </c>
      <c r="K10" s="2"/>
      <c r="L10" s="2">
        <v>37.28</v>
      </c>
      <c r="M10" s="2">
        <v>2.95</v>
      </c>
      <c r="N10" s="2">
        <f t="shared" si="2"/>
        <v>109.976</v>
      </c>
      <c r="O10" s="2" t="s">
        <v>37</v>
      </c>
      <c r="P10" s="2">
        <v>10.0</v>
      </c>
      <c r="Q10" s="2">
        <v>28.84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" t="s">
        <v>38</v>
      </c>
      <c r="B11" s="8">
        <f>sum(P5:Q25)</f>
        <v>1325.99</v>
      </c>
      <c r="C11" s="2"/>
      <c r="D11" s="6">
        <v>44417.0</v>
      </c>
      <c r="E11" s="2" t="s">
        <v>18</v>
      </c>
      <c r="F11" s="2" t="s">
        <v>39</v>
      </c>
      <c r="G11" s="2">
        <v>30889.0</v>
      </c>
      <c r="H11" s="2">
        <v>31251.0</v>
      </c>
      <c r="I11" s="2">
        <f t="shared" si="1"/>
        <v>362</v>
      </c>
      <c r="J11" s="2">
        <v>7.25</v>
      </c>
      <c r="K11" s="2"/>
      <c r="L11" s="2">
        <v>63.51</v>
      </c>
      <c r="M11" s="2">
        <v>2.65</v>
      </c>
      <c r="N11" s="2">
        <f t="shared" si="2"/>
        <v>168.3015</v>
      </c>
      <c r="O11" s="2" t="s">
        <v>40</v>
      </c>
      <c r="P11" s="2">
        <v>20.0</v>
      </c>
      <c r="Q11" s="2">
        <v>51.53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"/>
      <c r="B12" s="2"/>
      <c r="C12" s="2"/>
      <c r="D12" s="6">
        <v>44418.0</v>
      </c>
      <c r="E12" s="2" t="s">
        <v>41</v>
      </c>
      <c r="F12" s="2" t="s">
        <v>42</v>
      </c>
      <c r="G12" s="2">
        <v>31305.0</v>
      </c>
      <c r="H12" s="2">
        <v>31738.0</v>
      </c>
      <c r="I12" s="2">
        <f t="shared" si="1"/>
        <v>433</v>
      </c>
      <c r="J12" s="2">
        <v>8.25</v>
      </c>
      <c r="K12" s="2"/>
      <c r="L12" s="2">
        <v>84.93</v>
      </c>
      <c r="M12" s="2">
        <v>2.71</v>
      </c>
      <c r="N12" s="2">
        <f t="shared" si="2"/>
        <v>230.1603</v>
      </c>
      <c r="O12" s="2" t="s">
        <v>43</v>
      </c>
      <c r="P12" s="2">
        <v>0.0</v>
      </c>
      <c r="Q12" s="2">
        <v>61.45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" t="s">
        <v>44</v>
      </c>
      <c r="B13" s="9">
        <f>sum(L5:L25)</f>
        <v>1502.48</v>
      </c>
      <c r="C13" s="2"/>
      <c r="D13" s="6">
        <v>44419.0</v>
      </c>
      <c r="E13" s="2" t="s">
        <v>45</v>
      </c>
      <c r="F13" s="2" t="s">
        <v>46</v>
      </c>
      <c r="G13" s="2">
        <v>31742.0</v>
      </c>
      <c r="H13" s="2">
        <v>32223.0</v>
      </c>
      <c r="I13" s="2">
        <f t="shared" si="1"/>
        <v>481</v>
      </c>
      <c r="J13" s="2">
        <v>9.0</v>
      </c>
      <c r="K13" s="2"/>
      <c r="L13" s="2">
        <v>78.85</v>
      </c>
      <c r="M13" s="2">
        <v>2.44</v>
      </c>
      <c r="N13" s="2">
        <f t="shared" si="2"/>
        <v>192.394</v>
      </c>
      <c r="O13" s="2" t="s">
        <v>47</v>
      </c>
      <c r="P13" s="2">
        <v>0.0</v>
      </c>
      <c r="Q13" s="2">
        <v>72.41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" t="s">
        <v>48</v>
      </c>
      <c r="B14" s="5">
        <f>sum(I5:I25)</f>
        <v>8003</v>
      </c>
      <c r="C14" s="2"/>
      <c r="D14" s="6">
        <v>44420.0</v>
      </c>
      <c r="E14" s="2" t="s">
        <v>49</v>
      </c>
      <c r="F14" s="2" t="s">
        <v>50</v>
      </c>
      <c r="G14" s="2">
        <v>32231.0</v>
      </c>
      <c r="H14" s="2">
        <v>32753.0</v>
      </c>
      <c r="I14" s="2">
        <f t="shared" si="1"/>
        <v>522</v>
      </c>
      <c r="J14" s="2">
        <v>9.75</v>
      </c>
      <c r="K14" s="2"/>
      <c r="L14" s="2">
        <v>100.38</v>
      </c>
      <c r="M14" s="2">
        <v>2.44</v>
      </c>
      <c r="N14" s="2">
        <f t="shared" si="2"/>
        <v>244.9272</v>
      </c>
      <c r="O14" s="2" t="s">
        <v>47</v>
      </c>
      <c r="P14" s="2">
        <v>0.0</v>
      </c>
      <c r="Q14" s="2">
        <v>68.49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" t="s">
        <v>51</v>
      </c>
      <c r="B15" s="9">
        <f>B14/B13</f>
        <v>5.326526809</v>
      </c>
      <c r="C15" s="2"/>
      <c r="D15" s="6">
        <v>44421.0</v>
      </c>
      <c r="E15" s="2" t="s">
        <v>22</v>
      </c>
      <c r="F15" s="2" t="s">
        <v>18</v>
      </c>
      <c r="G15" s="2">
        <v>32803.0</v>
      </c>
      <c r="H15" s="2">
        <v>33269.0</v>
      </c>
      <c r="I15" s="2">
        <f t="shared" si="1"/>
        <v>466</v>
      </c>
      <c r="J15" s="2">
        <v>9.25</v>
      </c>
      <c r="K15" s="2"/>
      <c r="L15" s="2">
        <v>84.72</v>
      </c>
      <c r="M15" s="2">
        <v>2.69</v>
      </c>
      <c r="N15" s="2">
        <f t="shared" si="2"/>
        <v>227.8968</v>
      </c>
      <c r="O15" s="2" t="s">
        <v>20</v>
      </c>
      <c r="P15" s="2">
        <v>15.0</v>
      </c>
      <c r="Q15" s="2">
        <v>61.58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" t="s">
        <v>52</v>
      </c>
      <c r="B16" s="7">
        <f>B9/B14</f>
        <v>0.6682144696</v>
      </c>
      <c r="C16" s="2"/>
      <c r="D16" s="6">
        <v>44424.0</v>
      </c>
      <c r="E16" s="2" t="s">
        <v>18</v>
      </c>
      <c r="F16" s="2" t="s">
        <v>53</v>
      </c>
      <c r="G16" s="2">
        <v>33278.0</v>
      </c>
      <c r="H16" s="2">
        <v>33577.0</v>
      </c>
      <c r="I16" s="2">
        <f t="shared" si="1"/>
        <v>299</v>
      </c>
      <c r="J16" s="2">
        <v>5.5</v>
      </c>
      <c r="K16" s="2"/>
      <c r="L16" s="2">
        <v>63.63</v>
      </c>
      <c r="M16" s="2">
        <v>2.85</v>
      </c>
      <c r="N16" s="2">
        <f t="shared" si="2"/>
        <v>181.3455</v>
      </c>
      <c r="O16" s="2" t="s">
        <v>54</v>
      </c>
      <c r="P16" s="2">
        <v>32.0</v>
      </c>
      <c r="Q16" s="2">
        <v>48.28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"/>
      <c r="B17" s="2"/>
      <c r="C17" s="2"/>
      <c r="D17" s="6">
        <v>44425.0</v>
      </c>
      <c r="E17" s="2" t="s">
        <v>55</v>
      </c>
      <c r="F17" s="2" t="s">
        <v>56</v>
      </c>
      <c r="G17" s="2">
        <v>33598.0</v>
      </c>
      <c r="H17" s="2">
        <v>33835.0</v>
      </c>
      <c r="I17" s="2">
        <f t="shared" si="1"/>
        <v>237</v>
      </c>
      <c r="J17" s="2">
        <v>4.75</v>
      </c>
      <c r="K17" s="2"/>
      <c r="L17" s="2">
        <v>50.42</v>
      </c>
      <c r="M17" s="2">
        <v>2.79</v>
      </c>
      <c r="N17" s="2">
        <f t="shared" si="2"/>
        <v>140.6718</v>
      </c>
      <c r="O17" s="2" t="s">
        <v>57</v>
      </c>
      <c r="P17" s="2">
        <v>29.0</v>
      </c>
      <c r="Q17" s="2">
        <v>43.78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2"/>
      <c r="B18" s="2"/>
      <c r="C18" s="2"/>
      <c r="D18" s="6">
        <v>44426.0</v>
      </c>
      <c r="E18" s="2" t="s">
        <v>58</v>
      </c>
      <c r="F18" s="2" t="s">
        <v>18</v>
      </c>
      <c r="G18" s="2">
        <v>33849.0</v>
      </c>
      <c r="H18" s="2">
        <v>34186.0</v>
      </c>
      <c r="I18" s="2">
        <f t="shared" si="1"/>
        <v>337</v>
      </c>
      <c r="J18" s="2">
        <v>6.75</v>
      </c>
      <c r="K18" s="2"/>
      <c r="L18" s="2">
        <v>70.95</v>
      </c>
      <c r="M18" s="2">
        <v>2.83</v>
      </c>
      <c r="N18" s="2">
        <f t="shared" si="2"/>
        <v>200.7885</v>
      </c>
      <c r="O18" s="2" t="s">
        <v>59</v>
      </c>
      <c r="P18" s="2">
        <v>21.0</v>
      </c>
      <c r="Q18" s="2">
        <v>38.15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/>
      <c r="B19" s="2"/>
      <c r="C19" s="2"/>
      <c r="D19" s="6">
        <v>44427.0</v>
      </c>
      <c r="E19" s="2" t="s">
        <v>18</v>
      </c>
      <c r="F19" s="2" t="s">
        <v>18</v>
      </c>
      <c r="G19" s="2">
        <v>34197.0</v>
      </c>
      <c r="H19" s="2">
        <v>34426.0</v>
      </c>
      <c r="I19" s="2">
        <f t="shared" si="1"/>
        <v>229</v>
      </c>
      <c r="J19" s="2">
        <v>4.25</v>
      </c>
      <c r="K19" s="2"/>
      <c r="L19" s="2">
        <v>37.85</v>
      </c>
      <c r="M19" s="2">
        <v>2.95</v>
      </c>
      <c r="N19" s="2">
        <f t="shared" si="2"/>
        <v>111.6575</v>
      </c>
      <c r="O19" s="2" t="s">
        <v>37</v>
      </c>
      <c r="P19" s="2">
        <v>10.0</v>
      </c>
      <c r="Q19" s="2">
        <v>32.14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"/>
      <c r="C20" s="2"/>
      <c r="D20" s="6">
        <v>44431.0</v>
      </c>
      <c r="E20" s="2" t="s">
        <v>18</v>
      </c>
      <c r="F20" s="2" t="s">
        <v>60</v>
      </c>
      <c r="G20" s="2">
        <v>34449.0</v>
      </c>
      <c r="H20" s="2">
        <v>34969.0</v>
      </c>
      <c r="I20" s="2">
        <f t="shared" si="1"/>
        <v>520</v>
      </c>
      <c r="J20" s="2">
        <v>10.25</v>
      </c>
      <c r="K20" s="2"/>
      <c r="L20" s="2">
        <v>101.97</v>
      </c>
      <c r="M20" s="2">
        <v>2.83</v>
      </c>
      <c r="N20" s="2">
        <f t="shared" si="2"/>
        <v>288.5751</v>
      </c>
      <c r="O20" s="2" t="s">
        <v>35</v>
      </c>
      <c r="P20" s="2">
        <v>15.0</v>
      </c>
      <c r="Q20" s="2">
        <v>78.81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15.75" customHeight="1">
      <c r="A21" s="2"/>
      <c r="B21" s="2"/>
      <c r="C21" s="2"/>
      <c r="D21" s="6">
        <v>44432.0</v>
      </c>
      <c r="E21" s="2" t="s">
        <v>61</v>
      </c>
      <c r="F21" s="2" t="s">
        <v>62</v>
      </c>
      <c r="G21" s="2">
        <v>34978.0</v>
      </c>
      <c r="H21" s="2">
        <v>35322.0</v>
      </c>
      <c r="I21" s="2">
        <f t="shared" si="1"/>
        <v>344</v>
      </c>
      <c r="J21" s="2">
        <v>6.75</v>
      </c>
      <c r="K21" s="2"/>
      <c r="L21" s="2">
        <v>59.31</v>
      </c>
      <c r="M21" s="2">
        <v>2.41</v>
      </c>
      <c r="N21" s="2">
        <f t="shared" si="2"/>
        <v>142.9371</v>
      </c>
      <c r="O21" s="2" t="s">
        <v>63</v>
      </c>
      <c r="P21" s="2">
        <v>0.0</v>
      </c>
      <c r="Q21" s="2">
        <v>52.39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5.75" customHeight="1">
      <c r="A22" s="2"/>
      <c r="B22" s="2"/>
      <c r="C22" s="2"/>
      <c r="D22" s="6">
        <v>44433.0</v>
      </c>
      <c r="E22" s="2" t="s">
        <v>64</v>
      </c>
      <c r="F22" s="2" t="s">
        <v>65</v>
      </c>
      <c r="G22" s="2">
        <v>35328.0</v>
      </c>
      <c r="H22" s="2">
        <v>35659.0</v>
      </c>
      <c r="I22" s="2">
        <f t="shared" si="1"/>
        <v>331</v>
      </c>
      <c r="J22" s="2">
        <v>6.5</v>
      </c>
      <c r="K22" s="2"/>
      <c r="L22" s="2">
        <v>57.07</v>
      </c>
      <c r="M22" s="2">
        <v>2.49</v>
      </c>
      <c r="N22" s="2">
        <f t="shared" si="2"/>
        <v>142.1043</v>
      </c>
      <c r="O22" s="2" t="s">
        <v>66</v>
      </c>
      <c r="P22" s="2">
        <v>0.0</v>
      </c>
      <c r="Q22" s="2">
        <v>48.25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5.75" customHeight="1">
      <c r="A23" s="2"/>
      <c r="B23" s="2"/>
      <c r="C23" s="2"/>
      <c r="D23" s="6">
        <v>44434.0</v>
      </c>
      <c r="E23" s="2" t="s">
        <v>67</v>
      </c>
      <c r="F23" s="2" t="s">
        <v>30</v>
      </c>
      <c r="G23" s="2">
        <v>35668.0</v>
      </c>
      <c r="H23" s="2">
        <v>36046.0</v>
      </c>
      <c r="I23" s="2">
        <f t="shared" si="1"/>
        <v>378</v>
      </c>
      <c r="J23" s="2">
        <v>7.5</v>
      </c>
      <c r="K23" s="2"/>
      <c r="L23" s="2">
        <v>67.51</v>
      </c>
      <c r="M23" s="2">
        <v>2.53</v>
      </c>
      <c r="N23" s="2">
        <f t="shared" si="2"/>
        <v>170.8003</v>
      </c>
      <c r="O23" s="2" t="s">
        <v>68</v>
      </c>
      <c r="P23" s="2">
        <v>0.0</v>
      </c>
      <c r="Q23" s="2">
        <v>53.57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5.75" customHeight="1">
      <c r="A24" s="2"/>
      <c r="B24" s="2"/>
      <c r="C24" s="2"/>
      <c r="D24" s="6">
        <v>44435.0</v>
      </c>
      <c r="E24" s="2" t="s">
        <v>33</v>
      </c>
      <c r="F24" s="2" t="s">
        <v>34</v>
      </c>
      <c r="G24" s="2">
        <v>36051.0</v>
      </c>
      <c r="H24" s="2">
        <v>36399.0</v>
      </c>
      <c r="I24" s="2">
        <f t="shared" si="1"/>
        <v>348</v>
      </c>
      <c r="J24" s="2">
        <v>7.0</v>
      </c>
      <c r="K24" s="2"/>
      <c r="L24" s="2">
        <v>66.92</v>
      </c>
      <c r="M24" s="2">
        <v>2.74</v>
      </c>
      <c r="N24" s="2">
        <f t="shared" si="2"/>
        <v>183.3608</v>
      </c>
      <c r="O24" s="2" t="s">
        <v>35</v>
      </c>
      <c r="P24" s="2">
        <v>25.0</v>
      </c>
      <c r="Q24" s="2">
        <v>49.02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5.75" customHeight="1">
      <c r="A25" s="2"/>
      <c r="B25" s="2"/>
      <c r="C25" s="2"/>
      <c r="D25" s="6">
        <v>44436.0</v>
      </c>
      <c r="E25" s="2" t="s">
        <v>18</v>
      </c>
      <c r="F25" s="2" t="s">
        <v>18</v>
      </c>
      <c r="G25" s="2">
        <v>36405.0</v>
      </c>
      <c r="H25" s="2">
        <v>36630.0</v>
      </c>
      <c r="I25" s="2">
        <f t="shared" si="1"/>
        <v>225</v>
      </c>
      <c r="J25" s="2">
        <v>4.5</v>
      </c>
      <c r="K25" s="2"/>
      <c r="L25" s="2">
        <v>40.91</v>
      </c>
      <c r="M25" s="2">
        <v>2.78</v>
      </c>
      <c r="N25" s="2">
        <f t="shared" si="2"/>
        <v>113.7298</v>
      </c>
      <c r="O25" s="2" t="s">
        <v>37</v>
      </c>
      <c r="P25" s="2">
        <v>10.0</v>
      </c>
      <c r="Q25" s="2">
        <v>41.15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printOptions/>
  <pageMargins bottom="0.75" footer="0.0" header="0.0" left="0.7" right="0.7" top="0.75"/>
  <pageSetup scale="6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57"/>
    <col customWidth="1" min="2" max="2" width="38.86"/>
    <col customWidth="1" min="3" max="6" width="9.14"/>
    <col customWidth="1" min="7" max="26" width="8.71"/>
  </cols>
  <sheetData>
    <row r="1">
      <c r="A1" s="10" t="s">
        <v>69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 t="s">
        <v>70</v>
      </c>
      <c r="B3" s="12" t="s">
        <v>71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1" t="s">
        <v>4</v>
      </c>
      <c r="B4" s="13">
        <f>TODAY()</f>
        <v>45863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 t="s">
        <v>72</v>
      </c>
      <c r="B5" s="14" t="s">
        <v>73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75" footer="0.0" header="0.0" left="0.7" right="0.7" top="0.75"/>
  <pageSetup orientation="portrait"/>
  <drawing r:id="rId1"/>
</worksheet>
</file>