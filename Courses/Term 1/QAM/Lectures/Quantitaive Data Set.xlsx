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Sheet1!$B$1:$B$21</definedName>
    <definedName function="false" hidden="true" localSheetId="0" name="solver_eng" vbProcedure="false">1</definedName>
    <definedName function="false" hidden="true" localSheetId="0" name="solver_neg" vbProcedure="false">1</definedName>
    <definedName function="false" hidden="true" localSheetId="0" name="solver_num" vbProcedure="false">0</definedName>
    <definedName function="false" hidden="true" localSheetId="0" name="solver_opt" vbProcedure="false">Sheet1!$G$28</definedName>
    <definedName function="false" hidden="true" localSheetId="0" name="solver_typ" vbProcedure="false">1</definedName>
    <definedName function="false" hidden="true" localSheetId="0" name="solver_val" vbProcedure="false">0</definedName>
    <definedName function="false" hidden="true" localSheetId="0" name="solver_ver" vbProcedure="false">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<sst xmlns="http://schemas.openxmlformats.org/spreadsheetml/2006/main" count="35" uniqueCount="35">
  <si>
    <t xml:space="preserve">Cereal</t>
  </si>
  <si>
    <t xml:space="preserve">Sodium (mg)</t>
  </si>
  <si>
    <t xml:space="preserve">Sugar</t>
  </si>
  <si>
    <t xml:space="preserve">LOCATION</t>
  </si>
  <si>
    <t xml:space="preserve">Frosted mini wheats</t>
  </si>
  <si>
    <t xml:space="preserve">SODIUM</t>
  </si>
  <si>
    <t xml:space="preserve">SUGAR</t>
  </si>
  <si>
    <t xml:space="preserve">Honey Smacks</t>
  </si>
  <si>
    <t xml:space="preserve">MEAN</t>
  </si>
  <si>
    <t xml:space="preserve">Apple Jacks</t>
  </si>
  <si>
    <t xml:space="preserve">MEDIAN</t>
  </si>
  <si>
    <t xml:space="preserve">Froot Loops</t>
  </si>
  <si>
    <t xml:space="preserve">MODE SINGLE</t>
  </si>
  <si>
    <t xml:space="preserve">Crackling Oat Bran</t>
  </si>
  <si>
    <t xml:space="preserve">MODE MULTI</t>
  </si>
  <si>
    <t xml:space="preserve">Life</t>
  </si>
  <si>
    <t xml:space="preserve">Grape Nuts</t>
  </si>
  <si>
    <t xml:space="preserve">Oatmeal Raisin Crisp</t>
  </si>
  <si>
    <t xml:space="preserve">Honeycomb</t>
  </si>
  <si>
    <t xml:space="preserve">Frosted Flakes</t>
  </si>
  <si>
    <t xml:space="preserve">Wheaties</t>
  </si>
  <si>
    <t xml:space="preserve">Raisin bran</t>
  </si>
  <si>
    <t xml:space="preserve">MIN</t>
  </si>
  <si>
    <t xml:space="preserve">Cinnamon Toast Crunch</t>
  </si>
  <si>
    <t xml:space="preserve">PERCENTILE</t>
  </si>
  <si>
    <t xml:space="preserve">Capt Crunch</t>
  </si>
  <si>
    <t xml:space="preserve">Q1</t>
  </si>
  <si>
    <t xml:space="preserve">Crispix</t>
  </si>
  <si>
    <t xml:space="preserve">Q2</t>
  </si>
  <si>
    <t xml:space="preserve">Special K</t>
  </si>
  <si>
    <t xml:space="preserve">Q3</t>
  </si>
  <si>
    <t xml:space="preserve">Honey Nut Cheerios</t>
  </si>
  <si>
    <t xml:space="preserve">All bran</t>
  </si>
  <si>
    <t xml:space="preserve">Cheerios</t>
  </si>
  <si>
    <t xml:space="preserve">Corn flakes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</si>
</sst>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i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J34"/>
    </sheetView>
  </sheetViews>
  <sheetFormatPr defaultColWidth="8.54296875" defaultRowHeight="14.25" zeroHeight="false" outlineLevelRow="0" outlineLevelCol="0"/>
  <cols>
    <col collapsed="false" customWidth="true" hidden="false" outlineLevel="0" max="1" min="1" style="1" width="20.1"/>
    <col collapsed="false" customWidth="true" hidden="false" outlineLevel="0" max="2" min="2" style="1" width="15.44"/>
    <col collapsed="false" customWidth="true" hidden="false" outlineLevel="0" max="3" min="3" style="1" width="14.79"/>
    <col collapsed="false" customWidth="false" hidden="false" outlineLevel="0" max="4" min="4" style="1" width="8.54"/>
    <col collapsed="false" customWidth="true" hidden="false" outlineLevel="0" max="7" min="5" style="1" width="12.72"/>
    <col collapsed="false" customWidth="false" hidden="false" outlineLevel="0" max="16384" min="8" style="1" width="8.54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E1" s="3" t="s">
        <v>3</v>
      </c>
    </row>
    <row r="2" customFormat="false" ht="14.25" hidden="false" customHeight="false" outlineLevel="0" collapsed="false">
      <c r="A2" s="1" t="s">
        <v>4</v>
      </c>
      <c r="B2" s="1" t="n">
        <v>0</v>
      </c>
      <c r="C2" s="1" t="n">
        <v>7</v>
      </c>
      <c r="F2" s="1" t="s">
        <v>5</v>
      </c>
      <c r="G2" s="1" t="s">
        <v>6</v>
      </c>
    </row>
    <row r="3" customFormat="false" ht="14.25" hidden="false" customHeight="false" outlineLevel="0" collapsed="false">
      <c r="A3" s="1" t="s">
        <v>7</v>
      </c>
      <c r="B3" s="1" t="n">
        <v>70</v>
      </c>
      <c r="C3" s="1" t="n">
        <v>15</v>
      </c>
      <c r="E3" s="1" t="s">
        <v>8</v>
      </c>
      <c r="F3" s="1" t="n">
        <f aca="false">AVERAGE(B2:B21)</f>
        <v>185.5</v>
      </c>
      <c r="G3" s="1" t="n">
        <f aca="false">AVERAGE(C2:C21)</f>
        <v>8.2</v>
      </c>
    </row>
    <row r="4" customFormat="false" ht="14.25" hidden="false" customHeight="false" outlineLevel="0" collapsed="false">
      <c r="A4" s="1" t="s">
        <v>9</v>
      </c>
      <c r="B4" s="1" t="n">
        <v>125</v>
      </c>
      <c r="C4" s="1" t="n">
        <v>14</v>
      </c>
      <c r="E4" s="1" t="s">
        <v>10</v>
      </c>
      <c r="F4" s="1" t="n">
        <f aca="false">MEDIAN(B2:B21)</f>
        <v>200</v>
      </c>
      <c r="G4" s="1" t="n">
        <f aca="false">MEDIAN(C2:C21)</f>
        <v>10</v>
      </c>
    </row>
    <row r="5" customFormat="false" ht="14.25" hidden="false" customHeight="false" outlineLevel="0" collapsed="false">
      <c r="A5" s="1" t="s">
        <v>11</v>
      </c>
      <c r="B5" s="1" t="n">
        <v>125</v>
      </c>
      <c r="C5" s="1" t="n">
        <v>13</v>
      </c>
      <c r="E5" s="1" t="s">
        <v>12</v>
      </c>
      <c r="F5" s="1" t="n">
        <f aca="false">_xlfn.MODE.SNGL(B2:B21)</f>
        <v>125</v>
      </c>
      <c r="G5" s="1" t="n">
        <f aca="false">_xlfn.MODE.SNGL(C2:C21)</f>
        <v>3</v>
      </c>
    </row>
    <row r="6" customFormat="false" ht="14.25" hidden="false" customHeight="false" outlineLevel="0" collapsed="false">
      <c r="A6" s="1" t="s">
        <v>13</v>
      </c>
      <c r="B6" s="1" t="n">
        <v>140</v>
      </c>
      <c r="C6" s="1" t="n">
        <v>10</v>
      </c>
      <c r="E6" s="1" t="s">
        <v>14</v>
      </c>
      <c r="F6" s="1" t="n">
        <f aca="false" t="array" ref="F6:F11">_xlfn.MODE.MULT(B2:B21)</f>
        <v>125</v>
      </c>
      <c r="G6" s="1" t="n">
        <f aca="false" t="array" ref="G6:G6">_xlfn.MODE.MULT(C2:C21)</f>
        <v>3</v>
      </c>
    </row>
    <row r="7" customFormat="false" ht="14.25" hidden="false" customHeight="false" outlineLevel="0" collapsed="false">
      <c r="A7" s="1" t="s">
        <v>15</v>
      </c>
      <c r="B7" s="1" t="n">
        <v>150</v>
      </c>
      <c r="C7" s="1" t="n">
        <v>6</v>
      </c>
      <c r="F7" s="1" t="n">
        <v>170</v>
      </c>
    </row>
    <row r="8" customFormat="false" ht="14.25" hidden="false" customHeight="false" outlineLevel="0" collapsed="false">
      <c r="A8" s="1" t="s">
        <v>16</v>
      </c>
      <c r="B8" s="1" t="n">
        <v>170</v>
      </c>
      <c r="C8" s="1" t="n">
        <v>3</v>
      </c>
      <c r="F8" s="1" t="n">
        <v>200</v>
      </c>
    </row>
    <row r="9" customFormat="false" ht="14.25" hidden="false" customHeight="false" outlineLevel="0" collapsed="false">
      <c r="A9" s="1" t="s">
        <v>17</v>
      </c>
      <c r="B9" s="1" t="n">
        <v>170</v>
      </c>
      <c r="C9" s="1" t="n">
        <v>10</v>
      </c>
      <c r="F9" s="1" t="n">
        <v>210</v>
      </c>
    </row>
    <row r="10" customFormat="false" ht="14.25" hidden="false" customHeight="false" outlineLevel="0" collapsed="false">
      <c r="A10" s="1" t="s">
        <v>18</v>
      </c>
      <c r="B10" s="1" t="n">
        <v>180</v>
      </c>
      <c r="C10" s="1" t="n">
        <v>11</v>
      </c>
      <c r="F10" s="1" t="n">
        <v>220</v>
      </c>
    </row>
    <row r="11" customFormat="false" ht="14.25" hidden="false" customHeight="false" outlineLevel="0" collapsed="false">
      <c r="A11" s="1" t="s">
        <v>19</v>
      </c>
      <c r="B11" s="1" t="n">
        <v>200</v>
      </c>
      <c r="C11" s="1" t="n">
        <v>11</v>
      </c>
      <c r="F11" s="1" t="n">
        <v>290</v>
      </c>
    </row>
    <row r="12" customFormat="false" ht="14.25" hidden="false" customHeight="false" outlineLevel="0" collapsed="false">
      <c r="A12" s="1" t="s">
        <v>20</v>
      </c>
      <c r="B12" s="1" t="n">
        <v>200</v>
      </c>
      <c r="C12" s="1" t="n">
        <v>3</v>
      </c>
    </row>
    <row r="13" customFormat="false" ht="14.25" hidden="false" customHeight="false" outlineLevel="0" collapsed="false">
      <c r="A13" s="1" t="s">
        <v>21</v>
      </c>
      <c r="B13" s="1" t="n">
        <v>210</v>
      </c>
      <c r="C13" s="1" t="n">
        <v>12</v>
      </c>
      <c r="E13" s="4" t="s">
        <v>22</v>
      </c>
      <c r="F13" s="4" t="n">
        <f aca="false">MIN(B2:B21)</f>
        <v>0</v>
      </c>
      <c r="G13" s="4" t="n">
        <f aca="false">MIN(C2:C21)</f>
        <v>1</v>
      </c>
    </row>
    <row r="14" customFormat="false" ht="14.25" hidden="false" customHeight="false" outlineLevel="0" collapsed="false">
      <c r="A14" s="1" t="s">
        <v>23</v>
      </c>
      <c r="B14" s="1" t="n">
        <v>210</v>
      </c>
      <c r="C14" s="1" t="n">
        <v>13</v>
      </c>
      <c r="E14" s="1" t="s">
        <v>24</v>
      </c>
      <c r="F14" s="1" t="n">
        <f aca="false">_xlfn.PERCENTILE.EXC(B2:B21,0.1)</f>
        <v>75.5</v>
      </c>
      <c r="G14" s="1" t="n">
        <f aca="false">_xlfn.PERCENTILE.EXC(C2:C21,0.1)</f>
        <v>2.1</v>
      </c>
    </row>
    <row r="15" customFormat="false" ht="14.25" hidden="false" customHeight="false" outlineLevel="0" collapsed="false">
      <c r="A15" s="1" t="s">
        <v>25</v>
      </c>
      <c r="B15" s="1" t="n">
        <v>220</v>
      </c>
      <c r="C15" s="1" t="n">
        <v>12</v>
      </c>
      <c r="E15" s="1" t="s">
        <v>26</v>
      </c>
      <c r="F15" s="1" t="n">
        <f aca="false">_xlfn.QUARTILE.EXC(B2:B21,1)</f>
        <v>142.5</v>
      </c>
      <c r="G15" s="1" t="n">
        <f aca="false">_xlfn.QUARTILE.EXC(C2:C21,1)</f>
        <v>3</v>
      </c>
    </row>
    <row r="16" customFormat="false" ht="14.25" hidden="false" customHeight="false" outlineLevel="0" collapsed="false">
      <c r="A16" s="1" t="s">
        <v>27</v>
      </c>
      <c r="B16" s="1" t="n">
        <v>220</v>
      </c>
      <c r="C16" s="1" t="n">
        <v>3</v>
      </c>
      <c r="E16" s="1" t="s">
        <v>28</v>
      </c>
      <c r="F16" s="1" t="n">
        <f aca="false">_xlfn.QUARTILE.EXC(B2:B21,2)</f>
        <v>200</v>
      </c>
      <c r="G16" s="1" t="n">
        <f aca="false">_xlfn.QUARTILE.EXC(C2:C21,2)</f>
        <v>10</v>
      </c>
    </row>
    <row r="17" customFormat="false" ht="14.25" hidden="false" customHeight="false" outlineLevel="0" collapsed="false">
      <c r="A17" s="1" t="s">
        <v>29</v>
      </c>
      <c r="B17" s="1" t="n">
        <v>230</v>
      </c>
      <c r="C17" s="1" t="n">
        <v>3</v>
      </c>
      <c r="E17" s="1" t="s">
        <v>30</v>
      </c>
    </row>
    <row r="18" customFormat="false" ht="14.25" hidden="false" customHeight="false" outlineLevel="0" collapsed="false">
      <c r="A18" s="1" t="s">
        <v>31</v>
      </c>
      <c r="B18" s="1" t="n">
        <v>250</v>
      </c>
      <c r="C18" s="1" t="n">
        <v>10</v>
      </c>
    </row>
    <row r="19" customFormat="false" ht="14.25" hidden="false" customHeight="false" outlineLevel="0" collapsed="false">
      <c r="A19" s="1" t="s">
        <v>32</v>
      </c>
      <c r="B19" s="1" t="n">
        <v>260</v>
      </c>
      <c r="C19" s="1" t="n">
        <v>5</v>
      </c>
    </row>
    <row r="20" customFormat="false" ht="14.25" hidden="false" customHeight="false" outlineLevel="0" collapsed="false">
      <c r="A20" s="1" t="s">
        <v>33</v>
      </c>
      <c r="B20" s="1" t="n">
        <v>290</v>
      </c>
      <c r="C20" s="1" t="n">
        <v>1</v>
      </c>
    </row>
    <row r="21" customFormat="false" ht="14.25" hidden="false" customHeight="false" outlineLevel="0" collapsed="false">
      <c r="A21" s="1" t="s">
        <v>34</v>
      </c>
      <c r="B21" s="1" t="n">
        <v>290</v>
      </c>
      <c r="C21" s="1" t="n">
        <v>2</v>
      </c>
    </row>
    <row r="25" customFormat="false" ht="14.25" hidden="false" customHeight="false" outlineLevel="0" collapsed="false">
      <c r="I25" s="5"/>
      <c r="J25" s="5"/>
    </row>
    <row r="33" customFormat="false" ht="14.25" hidden="false" customHeight="false" outlineLevel="0" collapsed="false">
      <c r="I33" s="6"/>
      <c r="J33" s="6"/>
    </row>
  </sheetData>
  <autoFilter ref="B1:B21">
    <sortState ref="B2:B21">
      <sortCondition ref="A2:A21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212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2025-07-06T16:47:09Z</dcterms:created>
  <dc:creator>vandana rai</dc:creator>
  <dc:description/>
  <dc:language>en-GB</dc:language>
  <cp:lastModifiedBy/>
  <dcterms:modified xsi:type="dcterms:W3CDTF">2025-07-15T19:20:36Z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