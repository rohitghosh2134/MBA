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ation" sheetId="1" r:id="rId4"/>
    <sheet state="visible" name="Employees" sheetId="2" r:id="rId5"/>
  </sheets>
  <definedNames/>
  <calcPr/>
</workbook>
</file>

<file path=xl/sharedStrings.xml><?xml version="1.0" encoding="utf-8"?>
<sst xmlns="http://schemas.openxmlformats.org/spreadsheetml/2006/main" count="1765" uniqueCount="863">
  <si>
    <t>Meucci Digital, Inc.</t>
  </si>
  <si>
    <t>Author</t>
  </si>
  <si>
    <t>ROHIT GHOSH</t>
  </si>
  <si>
    <t>Date</t>
  </si>
  <si>
    <t>Purpose</t>
  </si>
  <si>
    <t>To summarize employee information for the HR Department at Meucci Digital, Inc.</t>
  </si>
  <si>
    <t>Meucci Digitan , Inc</t>
  </si>
  <si>
    <t>Employee  Summary</t>
  </si>
  <si>
    <t>Number of Employees</t>
  </si>
  <si>
    <t>First</t>
  </si>
  <si>
    <t>Last</t>
  </si>
  <si>
    <t>FULL NAME</t>
  </si>
  <si>
    <t>Department</t>
  </si>
  <si>
    <t>Report Date</t>
  </si>
  <si>
    <t>Hire Date</t>
  </si>
  <si>
    <t>Days of Employment</t>
  </si>
  <si>
    <t>Base Salary</t>
  </si>
  <si>
    <t>Bonus</t>
  </si>
  <si>
    <t>Sick Days</t>
  </si>
  <si>
    <t>Performance Rating</t>
  </si>
  <si>
    <t>Clay</t>
  </si>
  <si>
    <t>Aaron</t>
  </si>
  <si>
    <t>Customer Support</t>
  </si>
  <si>
    <t>Average Days of Employment</t>
  </si>
  <si>
    <t>Angel</t>
  </si>
  <si>
    <t>Abarca</t>
  </si>
  <si>
    <t>Marketing</t>
  </si>
  <si>
    <t>Average Years of Employment</t>
  </si>
  <si>
    <t>Janice</t>
  </si>
  <si>
    <t>Abdo</t>
  </si>
  <si>
    <t>Finance</t>
  </si>
  <si>
    <t>Edwin</t>
  </si>
  <si>
    <t>Adams</t>
  </si>
  <si>
    <t>IT</t>
  </si>
  <si>
    <t>Total Base Salary</t>
  </si>
  <si>
    <t>Faye</t>
  </si>
  <si>
    <t>Average Base Salary</t>
  </si>
  <si>
    <t>Kathleen</t>
  </si>
  <si>
    <t>Total Bonuses</t>
  </si>
  <si>
    <t>Rae</t>
  </si>
  <si>
    <t>Agee</t>
  </si>
  <si>
    <t>Average Bonuses</t>
  </si>
  <si>
    <t>Joan</t>
  </si>
  <si>
    <t>Aguila</t>
  </si>
  <si>
    <t>Total Compensation</t>
  </si>
  <si>
    <t>Julie</t>
  </si>
  <si>
    <t>Aguilar</t>
  </si>
  <si>
    <t>Sales</t>
  </si>
  <si>
    <t>Average Compensation</t>
  </si>
  <si>
    <t>Glenn</t>
  </si>
  <si>
    <t>Albright</t>
  </si>
  <si>
    <t>Paula</t>
  </si>
  <si>
    <t>Albury</t>
  </si>
  <si>
    <t>Total Sick Days</t>
  </si>
  <si>
    <t>Johnathan</t>
  </si>
  <si>
    <t>Allen</t>
  </si>
  <si>
    <t>Human Resources</t>
  </si>
  <si>
    <t>Average Sick Days</t>
  </si>
  <si>
    <t>Mary</t>
  </si>
  <si>
    <t>Victor</t>
  </si>
  <si>
    <t>Average Performance Rating</t>
  </si>
  <si>
    <t>Wade</t>
  </si>
  <si>
    <t>Almond</t>
  </si>
  <si>
    <t>Marc</t>
  </si>
  <si>
    <t>Alvarado</t>
  </si>
  <si>
    <t>Jennifer</t>
  </si>
  <si>
    <t>Anderson</t>
  </si>
  <si>
    <t>Tamara</t>
  </si>
  <si>
    <t>Vaughn</t>
  </si>
  <si>
    <t>Arruda</t>
  </si>
  <si>
    <t>R&amp;D</t>
  </si>
  <si>
    <t>Linda</t>
  </si>
  <si>
    <t>Ayala</t>
  </si>
  <si>
    <t>Abel</t>
  </si>
  <si>
    <t>Baker</t>
  </si>
  <si>
    <t>Nicolas</t>
  </si>
  <si>
    <t>Patricia</t>
  </si>
  <si>
    <t>Carl</t>
  </si>
  <si>
    <t>Ballard</t>
  </si>
  <si>
    <t>Ryan</t>
  </si>
  <si>
    <t>Barden</t>
  </si>
  <si>
    <t>Administration</t>
  </si>
  <si>
    <t>Kimberly</t>
  </si>
  <si>
    <t>Bass</t>
  </si>
  <si>
    <t>Rosa</t>
  </si>
  <si>
    <t>Becker</t>
  </si>
  <si>
    <t>Bryan</t>
  </si>
  <si>
    <t>Bell</t>
  </si>
  <si>
    <t>Melvin</t>
  </si>
  <si>
    <t>Kevin</t>
  </si>
  <si>
    <t>Bence</t>
  </si>
  <si>
    <t>Keith</t>
  </si>
  <si>
    <t>Benn</t>
  </si>
  <si>
    <t>Roy</t>
  </si>
  <si>
    <t>Bennett</t>
  </si>
  <si>
    <t>Laurie</t>
  </si>
  <si>
    <t>Berthiaume</t>
  </si>
  <si>
    <t>Anthony</t>
  </si>
  <si>
    <t>Berube</t>
  </si>
  <si>
    <t>John</t>
  </si>
  <si>
    <t>Bice</t>
  </si>
  <si>
    <t>Jimmie</t>
  </si>
  <si>
    <t>Bilbrey</t>
  </si>
  <si>
    <t>Jessica</t>
  </si>
  <si>
    <t>Blackwell</t>
  </si>
  <si>
    <t>Cliff</t>
  </si>
  <si>
    <t>Blair</t>
  </si>
  <si>
    <t>Elizabeth</t>
  </si>
  <si>
    <t>Blank</t>
  </si>
  <si>
    <t>Johnnie</t>
  </si>
  <si>
    <t>Blue</t>
  </si>
  <si>
    <t>Albina</t>
  </si>
  <si>
    <t>Bolanos</t>
  </si>
  <si>
    <t>Wendy</t>
  </si>
  <si>
    <t>Bolling</t>
  </si>
  <si>
    <t>Troy</t>
  </si>
  <si>
    <t>Bonilla</t>
  </si>
  <si>
    <t>James</t>
  </si>
  <si>
    <t>Bower</t>
  </si>
  <si>
    <t>Robert</t>
  </si>
  <si>
    <t>Boyles</t>
  </si>
  <si>
    <t>Ervin</t>
  </si>
  <si>
    <t>Brady</t>
  </si>
  <si>
    <t>Brandon</t>
  </si>
  <si>
    <t>Gloria</t>
  </si>
  <si>
    <t>Braunstein</t>
  </si>
  <si>
    <t>Juanita</t>
  </si>
  <si>
    <t>Brewer</t>
  </si>
  <si>
    <t>William</t>
  </si>
  <si>
    <t>Brinson</t>
  </si>
  <si>
    <t>Inez</t>
  </si>
  <si>
    <t>Britt</t>
  </si>
  <si>
    <t>Shirley</t>
  </si>
  <si>
    <t>Brodie</t>
  </si>
  <si>
    <t>Janeen</t>
  </si>
  <si>
    <t>Broman</t>
  </si>
  <si>
    <t>Alex</t>
  </si>
  <si>
    <t>Brown</t>
  </si>
  <si>
    <t>Bruce</t>
  </si>
  <si>
    <t>Maria</t>
  </si>
  <si>
    <t>Lisa</t>
  </si>
  <si>
    <t>Bryant</t>
  </si>
  <si>
    <t>Gretchen</t>
  </si>
  <si>
    <t>Burger</t>
  </si>
  <si>
    <t>Kasandra</t>
  </si>
  <si>
    <t>Burns</t>
  </si>
  <si>
    <t>Buss</t>
  </si>
  <si>
    <t>Charles</t>
  </si>
  <si>
    <t>Butler</t>
  </si>
  <si>
    <t>Ruth</t>
  </si>
  <si>
    <t>Byrd</t>
  </si>
  <si>
    <t>Michael</t>
  </si>
  <si>
    <t>Calloway</t>
  </si>
  <si>
    <t>Carlos</t>
  </si>
  <si>
    <t>Campbell</t>
  </si>
  <si>
    <t>Kenneth</t>
  </si>
  <si>
    <t>Jamie</t>
  </si>
  <si>
    <t>Cannon</t>
  </si>
  <si>
    <t>Timothy</t>
  </si>
  <si>
    <t>Canto</t>
  </si>
  <si>
    <t>Russell</t>
  </si>
  <si>
    <t>Cantrell</t>
  </si>
  <si>
    <t>Caraway</t>
  </si>
  <si>
    <t>Sean</t>
  </si>
  <si>
    <t>Cardenas</t>
  </si>
  <si>
    <t>Susan</t>
  </si>
  <si>
    <t>Carillo</t>
  </si>
  <si>
    <t>Phyllis</t>
  </si>
  <si>
    <t>Carolina</t>
  </si>
  <si>
    <t>Carr</t>
  </si>
  <si>
    <t>Carter</t>
  </si>
  <si>
    <t>Harry</t>
  </si>
  <si>
    <t>Cassel</t>
  </si>
  <si>
    <t>Caswell</t>
  </si>
  <si>
    <t>Misty</t>
  </si>
  <si>
    <t>Cervantez</t>
  </si>
  <si>
    <t>Chambers</t>
  </si>
  <si>
    <t>Barbara</t>
  </si>
  <si>
    <t>Chandler</t>
  </si>
  <si>
    <t>Elsa</t>
  </si>
  <si>
    <t>Cory</t>
  </si>
  <si>
    <t>Chavez</t>
  </si>
  <si>
    <t>Chiodo</t>
  </si>
  <si>
    <t>Michelle</t>
  </si>
  <si>
    <t>Choudhury</t>
  </si>
  <si>
    <t>Richard</t>
  </si>
  <si>
    <t>Claborn</t>
  </si>
  <si>
    <t>Buford</t>
  </si>
  <si>
    <t>Clark</t>
  </si>
  <si>
    <t>Corey</t>
  </si>
  <si>
    <t>Dana</t>
  </si>
  <si>
    <t>Joaquin</t>
  </si>
  <si>
    <t>Marguerite</t>
  </si>
  <si>
    <t>Clayborne</t>
  </si>
  <si>
    <t>Grace</t>
  </si>
  <si>
    <t>Clemons</t>
  </si>
  <si>
    <t>Elias</t>
  </si>
  <si>
    <t>Cobb</t>
  </si>
  <si>
    <t>Ray</t>
  </si>
  <si>
    <t>Coe</t>
  </si>
  <si>
    <t>Bonnie</t>
  </si>
  <si>
    <t>Cole</t>
  </si>
  <si>
    <t>Keli</t>
  </si>
  <si>
    <t>Donald</t>
  </si>
  <si>
    <t>Coleman</t>
  </si>
  <si>
    <t>Collier</t>
  </si>
  <si>
    <t>Nick</t>
  </si>
  <si>
    <t>Colon</t>
  </si>
  <si>
    <t>Mildred</t>
  </si>
  <si>
    <t>Colvin</t>
  </si>
  <si>
    <t>Eldon</t>
  </si>
  <si>
    <t>Conway</t>
  </si>
  <si>
    <t>Ismael</t>
  </si>
  <si>
    <t>Jude</t>
  </si>
  <si>
    <t>Cooper</t>
  </si>
  <si>
    <t>Carma</t>
  </si>
  <si>
    <t>Cordero</t>
  </si>
  <si>
    <t>Cornelius</t>
  </si>
  <si>
    <t>Howard</t>
  </si>
  <si>
    <t>Cotter</t>
  </si>
  <si>
    <t>Craig</t>
  </si>
  <si>
    <t>Sandra</t>
  </si>
  <si>
    <t>Crain</t>
  </si>
  <si>
    <t>Crawley</t>
  </si>
  <si>
    <t>Crozier</t>
  </si>
  <si>
    <t>Cruise</t>
  </si>
  <si>
    <t>Marie</t>
  </si>
  <si>
    <t>Culley</t>
  </si>
  <si>
    <t>Culligan</t>
  </si>
  <si>
    <t>Mario</t>
  </si>
  <si>
    <t>Cully</t>
  </si>
  <si>
    <t>Betty</t>
  </si>
  <si>
    <t>Cushing</t>
  </si>
  <si>
    <t>Dahle</t>
  </si>
  <si>
    <t>Donna</t>
  </si>
  <si>
    <t>Dailey</t>
  </si>
  <si>
    <t>Willie</t>
  </si>
  <si>
    <t>Dale</t>
  </si>
  <si>
    <t>Florence</t>
  </si>
  <si>
    <t>Daniel</t>
  </si>
  <si>
    <t>Davidson</t>
  </si>
  <si>
    <t>Christopher</t>
  </si>
  <si>
    <t>Davila</t>
  </si>
  <si>
    <t>Alice</t>
  </si>
  <si>
    <t>Davis</t>
  </si>
  <si>
    <t>Dedra</t>
  </si>
  <si>
    <t>Frank</t>
  </si>
  <si>
    <t>Leticia</t>
  </si>
  <si>
    <t>Mabel</t>
  </si>
  <si>
    <t>Samantha</t>
  </si>
  <si>
    <t>Steven</t>
  </si>
  <si>
    <t>Matthew</t>
  </si>
  <si>
    <t>Dawson</t>
  </si>
  <si>
    <t>David</t>
  </si>
  <si>
    <t>Decoteau</t>
  </si>
  <si>
    <t>Eva</t>
  </si>
  <si>
    <t>Deleon</t>
  </si>
  <si>
    <t>Celia</t>
  </si>
  <si>
    <t>Dennison</t>
  </si>
  <si>
    <t>Frances</t>
  </si>
  <si>
    <t>Denny</t>
  </si>
  <si>
    <t>Arthur</t>
  </si>
  <si>
    <t>Depp</t>
  </si>
  <si>
    <t>Lucy</t>
  </si>
  <si>
    <t>Derosa</t>
  </si>
  <si>
    <t>Gene</t>
  </si>
  <si>
    <t>Diamond</t>
  </si>
  <si>
    <t>Jason</t>
  </si>
  <si>
    <t>Diaz</t>
  </si>
  <si>
    <t>Dixon</t>
  </si>
  <si>
    <t>Devon</t>
  </si>
  <si>
    <t>Dones</t>
  </si>
  <si>
    <t>Doran</t>
  </si>
  <si>
    <t>Doucette</t>
  </si>
  <si>
    <t>Leora</t>
  </si>
  <si>
    <t>Downs</t>
  </si>
  <si>
    <t>Doyle</t>
  </si>
  <si>
    <t>Stephan</t>
  </si>
  <si>
    <t>Dupuy</t>
  </si>
  <si>
    <t>Martin</t>
  </si>
  <si>
    <t>Dye</t>
  </si>
  <si>
    <t>Helen</t>
  </si>
  <si>
    <t>Thomas</t>
  </si>
  <si>
    <t>Ely</t>
  </si>
  <si>
    <t>Engelhardt</t>
  </si>
  <si>
    <t>Erickson</t>
  </si>
  <si>
    <t>Evans</t>
  </si>
  <si>
    <t>Jean</t>
  </si>
  <si>
    <t>Katie</t>
  </si>
  <si>
    <t>Facer</t>
  </si>
  <si>
    <t>Kristen</t>
  </si>
  <si>
    <t>Farias</t>
  </si>
  <si>
    <t>Fay</t>
  </si>
  <si>
    <t>Fenske</t>
  </si>
  <si>
    <t>Wayne</t>
  </si>
  <si>
    <t>Ferro</t>
  </si>
  <si>
    <t>Billy</t>
  </si>
  <si>
    <t>Fielding</t>
  </si>
  <si>
    <t>Pamela</t>
  </si>
  <si>
    <t>Files</t>
  </si>
  <si>
    <t>Henry</t>
  </si>
  <si>
    <t>Fischer</t>
  </si>
  <si>
    <t>Stanley</t>
  </si>
  <si>
    <t>Fleeman</t>
  </si>
  <si>
    <t>Mark</t>
  </si>
  <si>
    <t>Fletcher</t>
  </si>
  <si>
    <t>Dorothy</t>
  </si>
  <si>
    <t>Flores</t>
  </si>
  <si>
    <t>Ingrid</t>
  </si>
  <si>
    <t>Judy</t>
  </si>
  <si>
    <t>Fontaine</t>
  </si>
  <si>
    <t>Douglas</t>
  </si>
  <si>
    <t>Foster</t>
  </si>
  <si>
    <t>Randy</t>
  </si>
  <si>
    <t>Fowler</t>
  </si>
  <si>
    <t>Fox</t>
  </si>
  <si>
    <t>Benjamin</t>
  </si>
  <si>
    <t>Franco</t>
  </si>
  <si>
    <t>Erica</t>
  </si>
  <si>
    <t>Franklin</t>
  </si>
  <si>
    <t>Andrea</t>
  </si>
  <si>
    <t>Frazier</t>
  </si>
  <si>
    <t>Philip</t>
  </si>
  <si>
    <t>Fredericks</t>
  </si>
  <si>
    <t>Connie</t>
  </si>
  <si>
    <t>Frick</t>
  </si>
  <si>
    <t>Everett</t>
  </si>
  <si>
    <t>Fritts</t>
  </si>
  <si>
    <t>Pearline</t>
  </si>
  <si>
    <t>Galvan</t>
  </si>
  <si>
    <t>Laura</t>
  </si>
  <si>
    <t>Garcia</t>
  </si>
  <si>
    <t>Amy</t>
  </si>
  <si>
    <t>Garrett</t>
  </si>
  <si>
    <t>Camille</t>
  </si>
  <si>
    <t>Gibson</t>
  </si>
  <si>
    <t>Cathy</t>
  </si>
  <si>
    <t>Golding</t>
  </si>
  <si>
    <t>Cordell</t>
  </si>
  <si>
    <t>Gomez</t>
  </si>
  <si>
    <t>Caroll</t>
  </si>
  <si>
    <t>Gonzalez</t>
  </si>
  <si>
    <t>Vincent</t>
  </si>
  <si>
    <t>Gooden</t>
  </si>
  <si>
    <t>Arnita</t>
  </si>
  <si>
    <t>Goodin</t>
  </si>
  <si>
    <t>Goodman</t>
  </si>
  <si>
    <t>Traci</t>
  </si>
  <si>
    <t>Goodson</t>
  </si>
  <si>
    <t>Gordon</t>
  </si>
  <si>
    <t>Lucille</t>
  </si>
  <si>
    <t>Grantham</t>
  </si>
  <si>
    <t>Marian</t>
  </si>
  <si>
    <t>Gray</t>
  </si>
  <si>
    <t>Melissa</t>
  </si>
  <si>
    <t>Clayton</t>
  </si>
  <si>
    <t>Green</t>
  </si>
  <si>
    <t>Crystal</t>
  </si>
  <si>
    <t>Paul</t>
  </si>
  <si>
    <t>Greenawalt</t>
  </si>
  <si>
    <t>Noel</t>
  </si>
  <si>
    <t>Greve</t>
  </si>
  <si>
    <t>Jeffrey</t>
  </si>
  <si>
    <t>Grey</t>
  </si>
  <si>
    <t>Lois</t>
  </si>
  <si>
    <t>Griffin</t>
  </si>
  <si>
    <t>Griswold</t>
  </si>
  <si>
    <t>Gutierrez</t>
  </si>
  <si>
    <t>Joseph</t>
  </si>
  <si>
    <t>Gwynn</t>
  </si>
  <si>
    <t>Nicholas</t>
  </si>
  <si>
    <t>Haggard</t>
  </si>
  <si>
    <t>Haggins</t>
  </si>
  <si>
    <t>Hall</t>
  </si>
  <si>
    <t>Reyes</t>
  </si>
  <si>
    <t>Hamilton</t>
  </si>
  <si>
    <t>Lawrence</t>
  </si>
  <si>
    <t>Hammond</t>
  </si>
  <si>
    <t>Nancy</t>
  </si>
  <si>
    <t>Hamrick</t>
  </si>
  <si>
    <t>Lorenzo</t>
  </si>
  <si>
    <t>Hansen</t>
  </si>
  <si>
    <t>Hardy</t>
  </si>
  <si>
    <t>Mike</t>
  </si>
  <si>
    <t>Hargis</t>
  </si>
  <si>
    <t>Raymond</t>
  </si>
  <si>
    <t>Harper</t>
  </si>
  <si>
    <t>Carrie</t>
  </si>
  <si>
    <t>Harrington</t>
  </si>
  <si>
    <t>Peggy</t>
  </si>
  <si>
    <t>Hart</t>
  </si>
  <si>
    <t>Hawk</t>
  </si>
  <si>
    <t>Hayes</t>
  </si>
  <si>
    <t>Amanda</t>
  </si>
  <si>
    <t>Hearn</t>
  </si>
  <si>
    <t>Natasha</t>
  </si>
  <si>
    <t>Heath</t>
  </si>
  <si>
    <t>Heger</t>
  </si>
  <si>
    <t>Constance</t>
  </si>
  <si>
    <t>Henderson</t>
  </si>
  <si>
    <t>Freddie</t>
  </si>
  <si>
    <t>Katherine</t>
  </si>
  <si>
    <t>Hernandez</t>
  </si>
  <si>
    <t>Ralph</t>
  </si>
  <si>
    <t>Heather</t>
  </si>
  <si>
    <t>Hill</t>
  </si>
  <si>
    <t>Julio</t>
  </si>
  <si>
    <t>Himes</t>
  </si>
  <si>
    <t>Janette</t>
  </si>
  <si>
    <t>Hird</t>
  </si>
  <si>
    <t>Darline</t>
  </si>
  <si>
    <t>Hobbs</t>
  </si>
  <si>
    <t>Wilfred</t>
  </si>
  <si>
    <t>Hoffer</t>
  </si>
  <si>
    <t>Jana</t>
  </si>
  <si>
    <t>Holbrook</t>
  </si>
  <si>
    <t>Stephanie</t>
  </si>
  <si>
    <t>Holland</t>
  </si>
  <si>
    <t>Joe</t>
  </si>
  <si>
    <t>Holmes</t>
  </si>
  <si>
    <t>Matilda</t>
  </si>
  <si>
    <t>Myong</t>
  </si>
  <si>
    <t>Hopkins</t>
  </si>
  <si>
    <t>Nellie</t>
  </si>
  <si>
    <t>House</t>
  </si>
  <si>
    <t>Catina</t>
  </si>
  <si>
    <t>Margaret</t>
  </si>
  <si>
    <t>Howes</t>
  </si>
  <si>
    <t>Malik</t>
  </si>
  <si>
    <t>Hudson</t>
  </si>
  <si>
    <t>Geraldine</t>
  </si>
  <si>
    <t>Hughley</t>
  </si>
  <si>
    <t>Hurley</t>
  </si>
  <si>
    <t>Hurt</t>
  </si>
  <si>
    <t>Jack</t>
  </si>
  <si>
    <t>Claude</t>
  </si>
  <si>
    <t>Jackson</t>
  </si>
  <si>
    <t>Shanna</t>
  </si>
  <si>
    <t>Jasinski</t>
  </si>
  <si>
    <t>Jenkins</t>
  </si>
  <si>
    <t>Jose</t>
  </si>
  <si>
    <t>Jennings</t>
  </si>
  <si>
    <t>Hubert</t>
  </si>
  <si>
    <t>Johnson</t>
  </si>
  <si>
    <t>Angila</t>
  </si>
  <si>
    <t>Jesenia</t>
  </si>
  <si>
    <t>Patrick</t>
  </si>
  <si>
    <t>Jones</t>
  </si>
  <si>
    <t>Ella</t>
  </si>
  <si>
    <t>Travis</t>
  </si>
  <si>
    <t>Jorgenson</t>
  </si>
  <si>
    <t>Dallas</t>
  </si>
  <si>
    <t>Jourdan</t>
  </si>
  <si>
    <t>Myrna</t>
  </si>
  <si>
    <t>Kennedy</t>
  </si>
  <si>
    <t>Danielle</t>
  </si>
  <si>
    <t>Kepner</t>
  </si>
  <si>
    <t>Joyce</t>
  </si>
  <si>
    <t>Kim</t>
  </si>
  <si>
    <t>Graham</t>
  </si>
  <si>
    <t>King</t>
  </si>
  <si>
    <t>Julia</t>
  </si>
  <si>
    <t>Kirkman</t>
  </si>
  <si>
    <t>Pat</t>
  </si>
  <si>
    <t>Klein</t>
  </si>
  <si>
    <t>Kuhn</t>
  </si>
  <si>
    <t>Kelly</t>
  </si>
  <si>
    <t>Kunze</t>
  </si>
  <si>
    <t>Landry</t>
  </si>
  <si>
    <t>Sarah</t>
  </si>
  <si>
    <t>Lane</t>
  </si>
  <si>
    <t>Terry</t>
  </si>
  <si>
    <t>Kellie</t>
  </si>
  <si>
    <t>Langley</t>
  </si>
  <si>
    <t>Derrick</t>
  </si>
  <si>
    <t>Lanier</t>
  </si>
  <si>
    <t>Randall</t>
  </si>
  <si>
    <t>Lansberry</t>
  </si>
  <si>
    <t>Rachel</t>
  </si>
  <si>
    <t>Lapp</t>
  </si>
  <si>
    <t>Latour</t>
  </si>
  <si>
    <t>Yasuko</t>
  </si>
  <si>
    <t>Tracie</t>
  </si>
  <si>
    <t>Lawyer</t>
  </si>
  <si>
    <t>Tony</t>
  </si>
  <si>
    <t>Leal</t>
  </si>
  <si>
    <t>Clara</t>
  </si>
  <si>
    <t>Ledford</t>
  </si>
  <si>
    <t>Francis</t>
  </si>
  <si>
    <t>Lee</t>
  </si>
  <si>
    <t>Leo</t>
  </si>
  <si>
    <t>Nettie</t>
  </si>
  <si>
    <t>Dennis</t>
  </si>
  <si>
    <t>Leishman</t>
  </si>
  <si>
    <t>Leon</t>
  </si>
  <si>
    <t>Cynthia</t>
  </si>
  <si>
    <t>Levy</t>
  </si>
  <si>
    <t>Johnny</t>
  </si>
  <si>
    <t>Lilly</t>
  </si>
  <si>
    <t>Angelo</t>
  </si>
  <si>
    <t>Lim</t>
  </si>
  <si>
    <t>Ethel</t>
  </si>
  <si>
    <t>Lindell</t>
  </si>
  <si>
    <t>Litten</t>
  </si>
  <si>
    <t>Walter</t>
  </si>
  <si>
    <t>Loman</t>
  </si>
  <si>
    <t>Pasquale</t>
  </si>
  <si>
    <t>Lozano</t>
  </si>
  <si>
    <t>Jon</t>
  </si>
  <si>
    <t>Luckett</t>
  </si>
  <si>
    <t>Lumley</t>
  </si>
  <si>
    <t>Andria</t>
  </si>
  <si>
    <t>Macgregor</t>
  </si>
  <si>
    <t>Janelle</t>
  </si>
  <si>
    <t>Madrid</t>
  </si>
  <si>
    <t>Shawn</t>
  </si>
  <si>
    <t>Mahon</t>
  </si>
  <si>
    <t>Maisonet</t>
  </si>
  <si>
    <t>Kendra</t>
  </si>
  <si>
    <t>Mallory</t>
  </si>
  <si>
    <t>Warren</t>
  </si>
  <si>
    <t>Malloy</t>
  </si>
  <si>
    <t>Malone</t>
  </si>
  <si>
    <t>Lonnie</t>
  </si>
  <si>
    <t>Marcano</t>
  </si>
  <si>
    <t>Doris</t>
  </si>
  <si>
    <t>Maser</t>
  </si>
  <si>
    <t>Mason</t>
  </si>
  <si>
    <t>Irene</t>
  </si>
  <si>
    <t>Mastro</t>
  </si>
  <si>
    <t>Masuda</t>
  </si>
  <si>
    <t>Maury</t>
  </si>
  <si>
    <t>May</t>
  </si>
  <si>
    <t>Yolanda</t>
  </si>
  <si>
    <t>Dolly</t>
  </si>
  <si>
    <t>Mayer</t>
  </si>
  <si>
    <t>Mayers</t>
  </si>
  <si>
    <t>Judith</t>
  </si>
  <si>
    <t>Mays</t>
  </si>
  <si>
    <t>Fernando</t>
  </si>
  <si>
    <t>Mccall</t>
  </si>
  <si>
    <t>Mitchel</t>
  </si>
  <si>
    <t>Mccaskill</t>
  </si>
  <si>
    <t>Candance</t>
  </si>
  <si>
    <t>Mccullough</t>
  </si>
  <si>
    <t>Jacob</t>
  </si>
  <si>
    <t>Mccurry</t>
  </si>
  <si>
    <t>Hyon</t>
  </si>
  <si>
    <t>Mcgowan</t>
  </si>
  <si>
    <t>Mckenna</t>
  </si>
  <si>
    <t>Vicky</t>
  </si>
  <si>
    <t>Mclean</t>
  </si>
  <si>
    <t>Mcmillan</t>
  </si>
  <si>
    <t>Lori</t>
  </si>
  <si>
    <t>Mcwhorter</t>
  </si>
  <si>
    <t>Angela</t>
  </si>
  <si>
    <t>Meadows</t>
  </si>
  <si>
    <t>Norman</t>
  </si>
  <si>
    <t>Christian</t>
  </si>
  <si>
    <t>Mears</t>
  </si>
  <si>
    <t>Medina</t>
  </si>
  <si>
    <t>Mendoza</t>
  </si>
  <si>
    <t>Metzler</t>
  </si>
  <si>
    <t>Harold</t>
  </si>
  <si>
    <t>Meyer</t>
  </si>
  <si>
    <t>Bennie</t>
  </si>
  <si>
    <t>Michaelson</t>
  </si>
  <si>
    <t>Gerald</t>
  </si>
  <si>
    <t>Michel</t>
  </si>
  <si>
    <t>Rita</t>
  </si>
  <si>
    <t>Miles</t>
  </si>
  <si>
    <t>Miller</t>
  </si>
  <si>
    <t>Dean</t>
  </si>
  <si>
    <t>Alva</t>
  </si>
  <si>
    <t>Miranda</t>
  </si>
  <si>
    <t>Mitchell</t>
  </si>
  <si>
    <t>Martha</t>
  </si>
  <si>
    <t>Modica</t>
  </si>
  <si>
    <t>Molina</t>
  </si>
  <si>
    <t>Montano</t>
  </si>
  <si>
    <t>Cristobal</t>
  </si>
  <si>
    <t>Montgomery</t>
  </si>
  <si>
    <t>Moore</t>
  </si>
  <si>
    <t>Lynne</t>
  </si>
  <si>
    <t>Scott</t>
  </si>
  <si>
    <t>Morehouse</t>
  </si>
  <si>
    <t>Morgan</t>
  </si>
  <si>
    <t>Mork</t>
  </si>
  <si>
    <t>Stefani</t>
  </si>
  <si>
    <t>Morris</t>
  </si>
  <si>
    <t>Morrison</t>
  </si>
  <si>
    <t>Moses</t>
  </si>
  <si>
    <t>Mowers</t>
  </si>
  <si>
    <t>Jodi</t>
  </si>
  <si>
    <t>Muir</t>
  </si>
  <si>
    <t>Faith</t>
  </si>
  <si>
    <t>Mullins</t>
  </si>
  <si>
    <t>Brian</t>
  </si>
  <si>
    <t>Murray</t>
  </si>
  <si>
    <t>Debra</t>
  </si>
  <si>
    <t>Musgrave</t>
  </si>
  <si>
    <t>Jesse</t>
  </si>
  <si>
    <t>Musial</t>
  </si>
  <si>
    <t>Myers</t>
  </si>
  <si>
    <t>Narvaez</t>
  </si>
  <si>
    <t>Nash</t>
  </si>
  <si>
    <t>Bronwyn</t>
  </si>
  <si>
    <t>Natali</t>
  </si>
  <si>
    <t>Kelli</t>
  </si>
  <si>
    <t>Nehring</t>
  </si>
  <si>
    <t>Debbie</t>
  </si>
  <si>
    <t>Nelson</t>
  </si>
  <si>
    <t>Newton</t>
  </si>
  <si>
    <t>Sophie</t>
  </si>
  <si>
    <t>Nieves</t>
  </si>
  <si>
    <t>Emmy</t>
  </si>
  <si>
    <t>Noblitt</t>
  </si>
  <si>
    <t>Evonne</t>
  </si>
  <si>
    <t>Gary</t>
  </si>
  <si>
    <t>Norton</t>
  </si>
  <si>
    <t>Nunn</t>
  </si>
  <si>
    <t>Sara</t>
  </si>
  <si>
    <t>Obryan</t>
  </si>
  <si>
    <t>Odell</t>
  </si>
  <si>
    <t>Krista</t>
  </si>
  <si>
    <t>Olson</t>
  </si>
  <si>
    <t>Luis</t>
  </si>
  <si>
    <t>Orta</t>
  </si>
  <si>
    <t>Jill</t>
  </si>
  <si>
    <t>Ortiz</t>
  </si>
  <si>
    <t>Sebastian</t>
  </si>
  <si>
    <t>Tiffany</t>
  </si>
  <si>
    <t>Rose</t>
  </si>
  <si>
    <t>Owen</t>
  </si>
  <si>
    <t>Beatrice</t>
  </si>
  <si>
    <t>Owens</t>
  </si>
  <si>
    <t>Larry</t>
  </si>
  <si>
    <t>Owings</t>
  </si>
  <si>
    <t>Ava</t>
  </si>
  <si>
    <t>Parke</t>
  </si>
  <si>
    <t>Parker</t>
  </si>
  <si>
    <t>Marcus</t>
  </si>
  <si>
    <t>Rogelio</t>
  </si>
  <si>
    <t>Parrish</t>
  </si>
  <si>
    <t>Deborah</t>
  </si>
  <si>
    <t>Patel</t>
  </si>
  <si>
    <t>Edith</t>
  </si>
  <si>
    <t>Estelle</t>
  </si>
  <si>
    <t>Pauley</t>
  </si>
  <si>
    <t>Maurice</t>
  </si>
  <si>
    <t>Pelletier</t>
  </si>
  <si>
    <t>Penton</t>
  </si>
  <si>
    <t>Perez</t>
  </si>
  <si>
    <t>Annie</t>
  </si>
  <si>
    <t>Lewis</t>
  </si>
  <si>
    <t>Pickett</t>
  </si>
  <si>
    <t>Della</t>
  </si>
  <si>
    <t>Pierson</t>
  </si>
  <si>
    <t>Edward</t>
  </si>
  <si>
    <t>Pless</t>
  </si>
  <si>
    <t>Poole</t>
  </si>
  <si>
    <t>Louis</t>
  </si>
  <si>
    <t>Porter</t>
  </si>
  <si>
    <t>Augusta</t>
  </si>
  <si>
    <t>Price</t>
  </si>
  <si>
    <t>Luz</t>
  </si>
  <si>
    <t>Pritchard</t>
  </si>
  <si>
    <t>Rebecca</t>
  </si>
  <si>
    <t>Prout</t>
  </si>
  <si>
    <t>Cristina</t>
  </si>
  <si>
    <t>Pruitt</t>
  </si>
  <si>
    <t>Putnam</t>
  </si>
  <si>
    <t>Quan</t>
  </si>
  <si>
    <t>Quillen</t>
  </si>
  <si>
    <t>Royce</t>
  </si>
  <si>
    <t>Quinn</t>
  </si>
  <si>
    <t>Jessie</t>
  </si>
  <si>
    <t>Quintanilla</t>
  </si>
  <si>
    <t>Rakes</t>
  </si>
  <si>
    <t>Ramos</t>
  </si>
  <si>
    <t>Randazzo</t>
  </si>
  <si>
    <t>George</t>
  </si>
  <si>
    <t>Ronald</t>
  </si>
  <si>
    <t>Ashley</t>
  </si>
  <si>
    <t>Razo</t>
  </si>
  <si>
    <t>Caroline</t>
  </si>
  <si>
    <t>Reynolds</t>
  </si>
  <si>
    <t>Reynoso</t>
  </si>
  <si>
    <t>Tamar</t>
  </si>
  <si>
    <t>Richards</t>
  </si>
  <si>
    <t>Diane</t>
  </si>
  <si>
    <t>Richardson</t>
  </si>
  <si>
    <t>Richmond</t>
  </si>
  <si>
    <t>Riddick</t>
  </si>
  <si>
    <t>Clifford</t>
  </si>
  <si>
    <t>Riggs</t>
  </si>
  <si>
    <t>Sylvester</t>
  </si>
  <si>
    <t>Sandy</t>
  </si>
  <si>
    <t>Rivera</t>
  </si>
  <si>
    <t>Justin</t>
  </si>
  <si>
    <t>Robeson</t>
  </si>
  <si>
    <t>Roddy</t>
  </si>
  <si>
    <t>Rodriguez</t>
  </si>
  <si>
    <t>Whitney</t>
  </si>
  <si>
    <t>Lucretia</t>
  </si>
  <si>
    <t>Rogers</t>
  </si>
  <si>
    <t>Roosa</t>
  </si>
  <si>
    <t>Rosenberg</t>
  </si>
  <si>
    <t>Olin</t>
  </si>
  <si>
    <t>Ross</t>
  </si>
  <si>
    <t>Rowe</t>
  </si>
  <si>
    <t>Ruck</t>
  </si>
  <si>
    <t>Virginia</t>
  </si>
  <si>
    <t>Rucker</t>
  </si>
  <si>
    <t>Damon</t>
  </si>
  <si>
    <t>Ruiz</t>
  </si>
  <si>
    <t>Samuel</t>
  </si>
  <si>
    <t>Russel</t>
  </si>
  <si>
    <t>Russo</t>
  </si>
  <si>
    <t>Sanchez</t>
  </si>
  <si>
    <t>Sandberg</t>
  </si>
  <si>
    <t>Lincoln</t>
  </si>
  <si>
    <t>Sanderson</t>
  </si>
  <si>
    <t>Sandoval</t>
  </si>
  <si>
    <t>Santos</t>
  </si>
  <si>
    <t>Marjorie</t>
  </si>
  <si>
    <t>Saragosa</t>
  </si>
  <si>
    <t>Scheer</t>
  </si>
  <si>
    <t>Duane</t>
  </si>
  <si>
    <t>Schmitt</t>
  </si>
  <si>
    <t>Schrader</t>
  </si>
  <si>
    <t>Gillian</t>
  </si>
  <si>
    <t>Schreiber</t>
  </si>
  <si>
    <t>Schwartz</t>
  </si>
  <si>
    <t>Liz</t>
  </si>
  <si>
    <t>Shaw</t>
  </si>
  <si>
    <t>Orville</t>
  </si>
  <si>
    <t>Shelley</t>
  </si>
  <si>
    <t>Shepard</t>
  </si>
  <si>
    <t>Lamar</t>
  </si>
  <si>
    <t>Sherwood</t>
  </si>
  <si>
    <t>Belinda</t>
  </si>
  <si>
    <t>Shoemaker</t>
  </si>
  <si>
    <t>Short</t>
  </si>
  <si>
    <t>Shorter</t>
  </si>
  <si>
    <t>Kimberley</t>
  </si>
  <si>
    <t>Siders</t>
  </si>
  <si>
    <t>Sigler</t>
  </si>
  <si>
    <t>Loretta</t>
  </si>
  <si>
    <t>Silva</t>
  </si>
  <si>
    <t>Dalia</t>
  </si>
  <si>
    <t>Singleton</t>
  </si>
  <si>
    <t>Antonia</t>
  </si>
  <si>
    <t>Sisk</t>
  </si>
  <si>
    <t>Vergie</t>
  </si>
  <si>
    <t>Skinner</t>
  </si>
  <si>
    <t>Eric</t>
  </si>
  <si>
    <t>Slater</t>
  </si>
  <si>
    <t>Rhonda</t>
  </si>
  <si>
    <t>Slaughter</t>
  </si>
  <si>
    <t>Edna</t>
  </si>
  <si>
    <t>Smart</t>
  </si>
  <si>
    <t>Smith</t>
  </si>
  <si>
    <t>Mattie</t>
  </si>
  <si>
    <t>Susann</t>
  </si>
  <si>
    <t>Sharon</t>
  </si>
  <si>
    <t>Snyder</t>
  </si>
  <si>
    <t>Thelma</t>
  </si>
  <si>
    <t>Solomon</t>
  </si>
  <si>
    <t>Soto</t>
  </si>
  <si>
    <t>Stacy</t>
  </si>
  <si>
    <t>Gregory</t>
  </si>
  <si>
    <t>Staples</t>
  </si>
  <si>
    <t>Steele</t>
  </si>
  <si>
    <t>Bertha</t>
  </si>
  <si>
    <t>Steiner</t>
  </si>
  <si>
    <t>Toby</t>
  </si>
  <si>
    <t>Stone</t>
  </si>
  <si>
    <t>Lena</t>
  </si>
  <si>
    <t>Story</t>
  </si>
  <si>
    <t>Strong</t>
  </si>
  <si>
    <t>Sullivan</t>
  </si>
  <si>
    <t>Teresa</t>
  </si>
  <si>
    <t>Surrett</t>
  </si>
  <si>
    <t>Natalie</t>
  </si>
  <si>
    <t>Sutton</t>
  </si>
  <si>
    <t>Swann</t>
  </si>
  <si>
    <t>Sweeney</t>
  </si>
  <si>
    <t>Elsie</t>
  </si>
  <si>
    <t>Tadlock</t>
  </si>
  <si>
    <t>Rafael</t>
  </si>
  <si>
    <t>Taylor</t>
  </si>
  <si>
    <t>Becky</t>
  </si>
  <si>
    <t>Temple</t>
  </si>
  <si>
    <t>Vanessa</t>
  </si>
  <si>
    <t>Thompson</t>
  </si>
  <si>
    <t>Thorpe</t>
  </si>
  <si>
    <t>Betsy</t>
  </si>
  <si>
    <t>Trinh</t>
  </si>
  <si>
    <t>Alan</t>
  </si>
  <si>
    <t>True</t>
  </si>
  <si>
    <t>Tsao</t>
  </si>
  <si>
    <t>Eugene</t>
  </si>
  <si>
    <t>Turner</t>
  </si>
  <si>
    <t>Mamie</t>
  </si>
  <si>
    <t>Twomey</t>
  </si>
  <si>
    <t>Malcolm</t>
  </si>
  <si>
    <t>Tyler</t>
  </si>
  <si>
    <t>Caitlyn</t>
  </si>
  <si>
    <t>Uribe</t>
  </si>
  <si>
    <t>Valdez</t>
  </si>
  <si>
    <t>Vanslyke</t>
  </si>
  <si>
    <t>Varela</t>
  </si>
  <si>
    <t>Brenda</t>
  </si>
  <si>
    <t>Vargas</t>
  </si>
  <si>
    <t>Marisha</t>
  </si>
  <si>
    <t>Varghese</t>
  </si>
  <si>
    <t>Varner</t>
  </si>
  <si>
    <t>Geoffrey</t>
  </si>
  <si>
    <t>Vazquez</t>
  </si>
  <si>
    <t>Pedro</t>
  </si>
  <si>
    <t>Vega</t>
  </si>
  <si>
    <t>Villalobos</t>
  </si>
  <si>
    <t>Villanueva</t>
  </si>
  <si>
    <t>Mona</t>
  </si>
  <si>
    <t>Villarreal</t>
  </si>
  <si>
    <t>Voorhies</t>
  </si>
  <si>
    <t>Wakefield</t>
  </si>
  <si>
    <t>Wakeland</t>
  </si>
  <si>
    <t>Walker</t>
  </si>
  <si>
    <t>Wallen</t>
  </si>
  <si>
    <t>Wark</t>
  </si>
  <si>
    <t>Bernice</t>
  </si>
  <si>
    <t>Washington</t>
  </si>
  <si>
    <t>Watkins</t>
  </si>
  <si>
    <t>Weiner</t>
  </si>
  <si>
    <t>Chester</t>
  </si>
  <si>
    <t>Wenzel</t>
  </si>
  <si>
    <t>Adriane</t>
  </si>
  <si>
    <t>Wesley</t>
  </si>
  <si>
    <t>Wheeler</t>
  </si>
  <si>
    <t>Darlene</t>
  </si>
  <si>
    <t>Whipple</t>
  </si>
  <si>
    <t>White</t>
  </si>
  <si>
    <t>Whitehead</t>
  </si>
  <si>
    <t>Whitlock</t>
  </si>
  <si>
    <t>Wilcher</t>
  </si>
  <si>
    <t>Wild</t>
  </si>
  <si>
    <t>Dawn</t>
  </si>
  <si>
    <t>Williams</t>
  </si>
  <si>
    <t>Derek</t>
  </si>
  <si>
    <t>Williford</t>
  </si>
  <si>
    <t>Willis</t>
  </si>
  <si>
    <t>Wold</t>
  </si>
  <si>
    <t>Gwendolyn</t>
  </si>
  <si>
    <t>Woodall</t>
  </si>
  <si>
    <t>Karen</t>
  </si>
  <si>
    <t>Wright</t>
  </si>
  <si>
    <t>Ybarra</t>
  </si>
  <si>
    <t>Young</t>
  </si>
  <si>
    <t>Zeigler</t>
  </si>
  <si>
    <t>Nicole</t>
  </si>
  <si>
    <t>Zylstra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</si>
</sst>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&quot;$&quot;#,##0"/>
    <numFmt numFmtId="166" formatCode="_(* #,##0.00_);_(* \(#,##0.00\);_(* &quot;-&quot;??_);_(@_)"/>
    <numFmt numFmtId="167" formatCode="&quot;$&quot;#,##0.00"/>
  </numFmts>
  <fonts count="6">
    <font>
      <sz val="11.0"/>
      <color theme="1"/>
      <name val="Calibri"/>
      <scheme val="minor"/>
    </font>
    <font>
      <sz val="22.0"/>
      <color theme="1"/>
      <name val="Calibri"/>
    </font>
    <font>
      <sz val="11.0"/>
      <color theme="1"/>
      <name val="Calibri"/>
    </font>
    <font>
      <sz val="22.0"/>
      <color theme="1"/>
      <name val="Calibri"/>
      <scheme val="minor"/>
    </font>
    <font>
      <sz val="16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2" numFmtId="0" xfId="0" applyAlignment="1" applyBorder="1" applyFont="1">
      <alignment readingOrder="0"/>
    </xf>
    <xf borderId="3" fillId="0" fontId="2" numFmtId="0" xfId="0" applyBorder="1" applyFont="1"/>
    <xf borderId="4" fillId="0" fontId="2" numFmtId="14" xfId="0" applyBorder="1" applyFont="1" applyNumberFormat="1"/>
    <xf borderId="5" fillId="0" fontId="2" numFmtId="0" xfId="0" applyBorder="1" applyFont="1"/>
    <xf borderId="6" fillId="0" fontId="2" numFmtId="0" xfId="0" applyAlignment="1" applyBorder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164" xfId="0" applyFont="1" applyNumberFormat="1"/>
    <xf borderId="0" fillId="0" fontId="5" numFmtId="0" xfId="0" applyFont="1"/>
    <xf borderId="0" fillId="0" fontId="2" numFmtId="1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41.29"/>
    <col customWidth="1" min="3" max="26" width="8.71"/>
  </cols>
  <sheetData>
    <row r="1">
      <c r="A1" s="1" t="s">
        <v>0</v>
      </c>
    </row>
    <row r="3">
      <c r="A3" s="2" t="s">
        <v>1</v>
      </c>
      <c r="B3" s="3" t="s">
        <v>2</v>
      </c>
    </row>
    <row r="4">
      <c r="A4" s="4" t="s">
        <v>3</v>
      </c>
      <c r="B4" s="5">
        <f>TODAY()</f>
        <v>45863</v>
      </c>
    </row>
    <row r="5">
      <c r="A5" s="6" t="s">
        <v>4</v>
      </c>
      <c r="B5" s="7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26.43"/>
    <col customWidth="1" min="3" max="3" width="8.71"/>
    <col customWidth="1" min="4" max="4" width="11.14"/>
    <col customWidth="1" min="5" max="5" width="12.29"/>
    <col customWidth="1" min="6" max="6" width="21.0"/>
    <col customWidth="1" min="7" max="7" width="16.71"/>
    <col customWidth="1" min="8" max="8" width="11.43"/>
    <col customWidth="1" min="9" max="9" width="11.29"/>
    <col customWidth="1" min="10" max="10" width="18.71"/>
    <col customWidth="1" min="11" max="11" width="10.71"/>
    <col customWidth="1" min="12" max="12" width="7.0"/>
    <col customWidth="1" min="13" max="13" width="8.86"/>
    <col customWidth="1" min="14" max="14" width="18.0"/>
    <col customWidth="1" min="15" max="15" width="8.71"/>
    <col customWidth="1" min="16" max="16" width="10.29"/>
    <col customWidth="1" min="17" max="27" width="8.71"/>
  </cols>
  <sheetData>
    <row r="1">
      <c r="A1" s="8" t="s">
        <v>6</v>
      </c>
      <c r="B1" s="9" t="s">
        <v>7</v>
      </c>
    </row>
    <row r="4">
      <c r="A4" s="10" t="s">
        <v>8</v>
      </c>
      <c r="B4" s="11">
        <f>COUNT(I:I)</f>
        <v>578</v>
      </c>
      <c r="D4" s="12" t="s">
        <v>9</v>
      </c>
      <c r="E4" s="12" t="s">
        <v>10</v>
      </c>
      <c r="F4" s="10" t="s">
        <v>11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16</v>
      </c>
      <c r="L4" s="12" t="s">
        <v>17</v>
      </c>
      <c r="M4" s="12" t="s">
        <v>18</v>
      </c>
      <c r="N4" s="12" t="s">
        <v>19</v>
      </c>
    </row>
    <row r="5">
      <c r="D5" s="12" t="s">
        <v>20</v>
      </c>
      <c r="E5" s="12" t="s">
        <v>21</v>
      </c>
      <c r="F5" s="10" t="str">
        <f t="shared" ref="F5:F582" si="1">D5 &amp;" "&amp;E5</f>
        <v>Clay Aaron</v>
      </c>
      <c r="G5" s="12" t="s">
        <v>22</v>
      </c>
      <c r="H5" s="13">
        <v>44408.0</v>
      </c>
      <c r="I5" s="13">
        <v>44030.0</v>
      </c>
      <c r="J5" s="11">
        <f t="shared" ref="J5:J582" si="2">H5-I5</f>
        <v>378</v>
      </c>
      <c r="K5" s="14">
        <v>149000.0</v>
      </c>
      <c r="L5" s="14">
        <v>8500.0</v>
      </c>
      <c r="M5" s="12">
        <v>3.0</v>
      </c>
      <c r="N5" s="12">
        <v>5.0</v>
      </c>
    </row>
    <row r="6">
      <c r="A6" s="10" t="s">
        <v>23</v>
      </c>
      <c r="B6" s="12">
        <f>(average(J:J))</f>
        <v>1232.99308</v>
      </c>
      <c r="D6" s="12" t="s">
        <v>24</v>
      </c>
      <c r="E6" s="12" t="s">
        <v>25</v>
      </c>
      <c r="F6" s="10" t="str">
        <f t="shared" si="1"/>
        <v>Angel Abarca</v>
      </c>
      <c r="G6" s="12" t="s">
        <v>26</v>
      </c>
      <c r="H6" s="13">
        <v>44408.0</v>
      </c>
      <c r="I6" s="13">
        <v>42012.0</v>
      </c>
      <c r="J6" s="11">
        <f t="shared" si="2"/>
        <v>2396</v>
      </c>
      <c r="K6" s="14">
        <v>44500.0</v>
      </c>
      <c r="L6" s="14">
        <v>2200.0</v>
      </c>
      <c r="M6" s="12">
        <v>4.0</v>
      </c>
      <c r="N6" s="12">
        <v>3.0</v>
      </c>
    </row>
    <row r="7">
      <c r="A7" s="10" t="s">
        <v>27</v>
      </c>
      <c r="B7" s="15">
        <f>(B6/365.25)</f>
        <v>3.375751073</v>
      </c>
      <c r="D7" s="12" t="s">
        <v>28</v>
      </c>
      <c r="E7" s="12" t="s">
        <v>29</v>
      </c>
      <c r="F7" s="10" t="str">
        <f t="shared" si="1"/>
        <v>Janice Abdo</v>
      </c>
      <c r="G7" s="12" t="s">
        <v>30</v>
      </c>
      <c r="H7" s="13">
        <v>44408.0</v>
      </c>
      <c r="I7" s="13">
        <v>42365.0</v>
      </c>
      <c r="J7" s="11">
        <f t="shared" si="2"/>
        <v>2043</v>
      </c>
      <c r="K7" s="14">
        <v>105700.0</v>
      </c>
      <c r="L7" s="14">
        <v>4300.0</v>
      </c>
      <c r="M7" s="12">
        <v>5.0</v>
      </c>
      <c r="N7" s="12">
        <v>5.0</v>
      </c>
    </row>
    <row r="8">
      <c r="D8" s="12" t="s">
        <v>31</v>
      </c>
      <c r="E8" s="12" t="s">
        <v>32</v>
      </c>
      <c r="F8" s="10" t="str">
        <f t="shared" si="1"/>
        <v>Edwin Adams</v>
      </c>
      <c r="G8" s="12" t="s">
        <v>33</v>
      </c>
      <c r="H8" s="13">
        <v>44408.0</v>
      </c>
      <c r="I8" s="13">
        <v>42607.0</v>
      </c>
      <c r="J8" s="11">
        <f t="shared" si="2"/>
        <v>1801</v>
      </c>
      <c r="K8" s="14">
        <v>47300.0</v>
      </c>
      <c r="L8" s="14">
        <v>3000.0</v>
      </c>
      <c r="M8" s="12">
        <v>4.0</v>
      </c>
      <c r="N8" s="12">
        <v>4.0</v>
      </c>
    </row>
    <row r="9">
      <c r="A9" s="10" t="s">
        <v>34</v>
      </c>
      <c r="B9" s="16">
        <f>sum(K:K)</f>
        <v>36044500</v>
      </c>
      <c r="D9" s="12" t="s">
        <v>35</v>
      </c>
      <c r="E9" s="12" t="s">
        <v>32</v>
      </c>
      <c r="F9" s="10" t="str">
        <f t="shared" si="1"/>
        <v>Faye Adams</v>
      </c>
      <c r="G9" s="12" t="s">
        <v>26</v>
      </c>
      <c r="H9" s="13">
        <v>44408.0</v>
      </c>
      <c r="I9" s="13">
        <v>42853.0</v>
      </c>
      <c r="J9" s="11">
        <f t="shared" si="2"/>
        <v>1555</v>
      </c>
      <c r="K9" s="14">
        <v>51900.0</v>
      </c>
      <c r="L9" s="14">
        <v>1500.0</v>
      </c>
      <c r="M9" s="12">
        <v>3.0</v>
      </c>
      <c r="N9" s="12">
        <v>3.0</v>
      </c>
    </row>
    <row r="10">
      <c r="A10" s="10" t="s">
        <v>36</v>
      </c>
      <c r="B10" s="16">
        <f>average(K:K)</f>
        <v>62360.72664</v>
      </c>
      <c r="D10" s="12" t="s">
        <v>37</v>
      </c>
      <c r="E10" s="12" t="s">
        <v>32</v>
      </c>
      <c r="F10" s="10" t="str">
        <f t="shared" si="1"/>
        <v>Kathleen Adams</v>
      </c>
      <c r="G10" s="12" t="s">
        <v>26</v>
      </c>
      <c r="H10" s="13">
        <v>44408.0</v>
      </c>
      <c r="I10" s="13">
        <v>42613.0</v>
      </c>
      <c r="J10" s="11">
        <f t="shared" si="2"/>
        <v>1795</v>
      </c>
      <c r="K10" s="14">
        <v>27600.0</v>
      </c>
      <c r="L10" s="14">
        <v>0.0</v>
      </c>
      <c r="M10" s="12">
        <v>3.0</v>
      </c>
      <c r="N10" s="12">
        <v>3.0</v>
      </c>
    </row>
    <row r="11">
      <c r="A11" s="10" t="s">
        <v>38</v>
      </c>
      <c r="B11" s="16">
        <f>sum(L:L)</f>
        <v>1803500</v>
      </c>
      <c r="D11" s="12" t="s">
        <v>39</v>
      </c>
      <c r="E11" s="12" t="s">
        <v>40</v>
      </c>
      <c r="F11" s="10" t="str">
        <f t="shared" si="1"/>
        <v>Rae Agee</v>
      </c>
      <c r="G11" s="12" t="s">
        <v>26</v>
      </c>
      <c r="H11" s="13">
        <v>44408.0</v>
      </c>
      <c r="I11" s="13">
        <v>42825.0</v>
      </c>
      <c r="J11" s="11">
        <f t="shared" si="2"/>
        <v>1583</v>
      </c>
      <c r="K11" s="14">
        <v>58200.0</v>
      </c>
      <c r="L11" s="14">
        <v>2400.0</v>
      </c>
      <c r="M11" s="12">
        <v>2.0</v>
      </c>
      <c r="N11" s="12">
        <v>1.0</v>
      </c>
    </row>
    <row r="12">
      <c r="A12" s="10" t="s">
        <v>41</v>
      </c>
      <c r="B12" s="16">
        <f>average(L:L)</f>
        <v>3120.242215</v>
      </c>
      <c r="D12" s="12" t="s">
        <v>42</v>
      </c>
      <c r="E12" s="12" t="s">
        <v>43</v>
      </c>
      <c r="F12" s="10" t="str">
        <f t="shared" si="1"/>
        <v>Joan Aguila</v>
      </c>
      <c r="G12" s="12" t="s">
        <v>22</v>
      </c>
      <c r="H12" s="13">
        <v>44408.0</v>
      </c>
      <c r="I12" s="13">
        <v>43217.0</v>
      </c>
      <c r="J12" s="11">
        <f t="shared" si="2"/>
        <v>1191</v>
      </c>
      <c r="K12" s="14">
        <v>62400.0</v>
      </c>
      <c r="L12" s="14">
        <v>5500.0</v>
      </c>
      <c r="M12" s="12">
        <v>6.0</v>
      </c>
      <c r="N12" s="12">
        <v>4.0</v>
      </c>
    </row>
    <row r="13">
      <c r="A13" s="10" t="s">
        <v>44</v>
      </c>
      <c r="B13" s="16">
        <f>sum(B9,B11)</f>
        <v>37848000</v>
      </c>
      <c r="D13" s="12" t="s">
        <v>45</v>
      </c>
      <c r="E13" s="12" t="s">
        <v>46</v>
      </c>
      <c r="F13" s="10" t="str">
        <f t="shared" si="1"/>
        <v>Julie Aguilar</v>
      </c>
      <c r="G13" s="12" t="s">
        <v>47</v>
      </c>
      <c r="H13" s="13">
        <v>44408.0</v>
      </c>
      <c r="I13" s="13">
        <v>43091.0</v>
      </c>
      <c r="J13" s="11">
        <f t="shared" si="2"/>
        <v>1317</v>
      </c>
      <c r="K13" s="14">
        <v>36800.0</v>
      </c>
      <c r="L13" s="14">
        <v>1800.0</v>
      </c>
      <c r="M13" s="12">
        <v>5.0</v>
      </c>
      <c r="N13" s="12">
        <v>2.0</v>
      </c>
    </row>
    <row r="14">
      <c r="A14" s="10" t="s">
        <v>48</v>
      </c>
      <c r="B14" s="16">
        <f>B13/B4</f>
        <v>65480.96886</v>
      </c>
      <c r="D14" s="12" t="s">
        <v>49</v>
      </c>
      <c r="E14" s="12" t="s">
        <v>50</v>
      </c>
      <c r="F14" s="10" t="str">
        <f t="shared" si="1"/>
        <v>Glenn Albright</v>
      </c>
      <c r="G14" s="12" t="s">
        <v>22</v>
      </c>
      <c r="H14" s="13">
        <v>44408.0</v>
      </c>
      <c r="I14" s="13">
        <v>43888.0</v>
      </c>
      <c r="J14" s="11">
        <f t="shared" si="2"/>
        <v>520</v>
      </c>
      <c r="K14" s="14">
        <v>96800.0</v>
      </c>
      <c r="L14" s="14">
        <v>5300.0</v>
      </c>
      <c r="M14" s="12">
        <v>4.0</v>
      </c>
      <c r="N14" s="12">
        <v>2.0</v>
      </c>
    </row>
    <row r="15">
      <c r="D15" s="12" t="s">
        <v>51</v>
      </c>
      <c r="E15" s="12" t="s">
        <v>52</v>
      </c>
      <c r="F15" s="10" t="str">
        <f t="shared" si="1"/>
        <v>Paula Albury</v>
      </c>
      <c r="G15" s="12" t="s">
        <v>22</v>
      </c>
      <c r="H15" s="13">
        <v>44408.0</v>
      </c>
      <c r="I15" s="13">
        <v>43786.0</v>
      </c>
      <c r="J15" s="11">
        <f t="shared" si="2"/>
        <v>622</v>
      </c>
      <c r="K15" s="14">
        <v>118000.0</v>
      </c>
      <c r="L15" s="14">
        <v>7700.0</v>
      </c>
      <c r="M15" s="12">
        <v>5.0</v>
      </c>
      <c r="N15" s="12">
        <v>4.0</v>
      </c>
      <c r="P15" s="17"/>
    </row>
    <row r="16">
      <c r="A16" s="10" t="s">
        <v>53</v>
      </c>
      <c r="B16" s="11">
        <f>sum(M:M)</f>
        <v>2877</v>
      </c>
      <c r="D16" s="12" t="s">
        <v>54</v>
      </c>
      <c r="E16" s="12" t="s">
        <v>55</v>
      </c>
      <c r="F16" s="10" t="str">
        <f t="shared" si="1"/>
        <v>Johnathan Allen</v>
      </c>
      <c r="G16" s="12" t="s">
        <v>56</v>
      </c>
      <c r="H16" s="13">
        <v>44408.0</v>
      </c>
      <c r="I16" s="13">
        <v>43758.0</v>
      </c>
      <c r="J16" s="11">
        <f t="shared" si="2"/>
        <v>650</v>
      </c>
      <c r="K16" s="14">
        <v>54000.0</v>
      </c>
      <c r="L16" s="14">
        <v>1500.0</v>
      </c>
      <c r="M16" s="12">
        <v>4.0</v>
      </c>
      <c r="N16" s="12">
        <v>5.0</v>
      </c>
      <c r="P16" s="17"/>
    </row>
    <row r="17">
      <c r="A17" s="10" t="s">
        <v>57</v>
      </c>
      <c r="B17" s="15">
        <f>average(M:M)</f>
        <v>4.977508651</v>
      </c>
      <c r="D17" s="12" t="s">
        <v>58</v>
      </c>
      <c r="E17" s="12" t="s">
        <v>55</v>
      </c>
      <c r="F17" s="10" t="str">
        <f t="shared" si="1"/>
        <v>Mary Allen</v>
      </c>
      <c r="G17" s="12" t="s">
        <v>47</v>
      </c>
      <c r="H17" s="13">
        <v>44408.0</v>
      </c>
      <c r="I17" s="13">
        <v>43686.0</v>
      </c>
      <c r="J17" s="11">
        <f t="shared" si="2"/>
        <v>722</v>
      </c>
      <c r="K17" s="14">
        <v>55900.0</v>
      </c>
      <c r="L17" s="14">
        <v>2900.0</v>
      </c>
      <c r="M17" s="12">
        <v>2.0</v>
      </c>
      <c r="N17" s="12">
        <v>3.0</v>
      </c>
    </row>
    <row r="18">
      <c r="D18" s="12" t="s">
        <v>59</v>
      </c>
      <c r="E18" s="12" t="s">
        <v>55</v>
      </c>
      <c r="F18" s="10" t="str">
        <f t="shared" si="1"/>
        <v>Victor Allen</v>
      </c>
      <c r="G18" s="12" t="s">
        <v>33</v>
      </c>
      <c r="H18" s="13">
        <v>44408.0</v>
      </c>
      <c r="I18" s="13">
        <v>42683.0</v>
      </c>
      <c r="J18" s="11">
        <f t="shared" si="2"/>
        <v>1725</v>
      </c>
      <c r="K18" s="14">
        <v>33900.0</v>
      </c>
      <c r="L18" s="14">
        <v>1300.0</v>
      </c>
      <c r="M18" s="12">
        <v>5.0</v>
      </c>
      <c r="N18" s="12">
        <v>2.0</v>
      </c>
    </row>
    <row r="19">
      <c r="A19" s="10" t="s">
        <v>60</v>
      </c>
      <c r="B19" s="15">
        <f>AVERAGE(N:N)</f>
        <v>3.211072664</v>
      </c>
      <c r="D19" s="12" t="s">
        <v>61</v>
      </c>
      <c r="E19" s="12" t="s">
        <v>62</v>
      </c>
      <c r="F19" s="10" t="str">
        <f t="shared" si="1"/>
        <v>Wade Almond</v>
      </c>
      <c r="G19" s="12" t="s">
        <v>22</v>
      </c>
      <c r="H19" s="13">
        <v>44408.0</v>
      </c>
      <c r="I19" s="13">
        <v>42468.0</v>
      </c>
      <c r="J19" s="11">
        <f t="shared" si="2"/>
        <v>1940</v>
      </c>
      <c r="K19" s="14">
        <v>94800.0</v>
      </c>
      <c r="L19" s="14">
        <v>3400.0</v>
      </c>
      <c r="M19" s="12">
        <v>4.0</v>
      </c>
      <c r="N19" s="12">
        <v>1.0</v>
      </c>
    </row>
    <row r="20">
      <c r="D20" s="12" t="s">
        <v>63</v>
      </c>
      <c r="E20" s="12" t="s">
        <v>64</v>
      </c>
      <c r="F20" s="10" t="str">
        <f t="shared" si="1"/>
        <v>Marc Alvarado</v>
      </c>
      <c r="G20" s="12" t="s">
        <v>30</v>
      </c>
      <c r="H20" s="13">
        <v>44408.0</v>
      </c>
      <c r="I20" s="13">
        <v>44001.0</v>
      </c>
      <c r="J20" s="11">
        <f t="shared" si="2"/>
        <v>407</v>
      </c>
      <c r="K20" s="14">
        <v>126700.0</v>
      </c>
      <c r="L20" s="14">
        <v>9200.0</v>
      </c>
      <c r="M20" s="12">
        <v>6.0</v>
      </c>
      <c r="N20" s="12">
        <v>5.0</v>
      </c>
    </row>
    <row r="21" ht="15.75" customHeight="1">
      <c r="D21" s="12" t="s">
        <v>65</v>
      </c>
      <c r="E21" s="12" t="s">
        <v>66</v>
      </c>
      <c r="F21" s="10" t="str">
        <f t="shared" si="1"/>
        <v>Jennifer Anderson</v>
      </c>
      <c r="G21" s="12" t="s">
        <v>33</v>
      </c>
      <c r="H21" s="13">
        <v>44408.0</v>
      </c>
      <c r="I21" s="13">
        <v>42221.0</v>
      </c>
      <c r="J21" s="11">
        <f t="shared" si="2"/>
        <v>2187</v>
      </c>
      <c r="K21" s="14">
        <v>48200.0</v>
      </c>
      <c r="L21" s="14">
        <v>4200.0</v>
      </c>
      <c r="M21" s="12">
        <v>3.0</v>
      </c>
      <c r="N21" s="12">
        <v>4.0</v>
      </c>
    </row>
    <row r="22" ht="15.75" customHeight="1">
      <c r="D22" s="12" t="s">
        <v>67</v>
      </c>
      <c r="E22" s="12" t="s">
        <v>66</v>
      </c>
      <c r="F22" s="10" t="str">
        <f t="shared" si="1"/>
        <v>Tamara Anderson</v>
      </c>
      <c r="G22" s="12" t="s">
        <v>33</v>
      </c>
      <c r="H22" s="13">
        <v>44408.0</v>
      </c>
      <c r="I22" s="13">
        <v>43656.0</v>
      </c>
      <c r="J22" s="11">
        <f t="shared" si="2"/>
        <v>752</v>
      </c>
      <c r="K22" s="14">
        <v>47900.0</v>
      </c>
      <c r="L22" s="14">
        <v>900.0</v>
      </c>
      <c r="M22" s="12">
        <v>2.0</v>
      </c>
      <c r="N22" s="12">
        <v>4.0</v>
      </c>
    </row>
    <row r="23" ht="15.75" customHeight="1">
      <c r="D23" s="12" t="s">
        <v>68</v>
      </c>
      <c r="E23" s="12" t="s">
        <v>69</v>
      </c>
      <c r="F23" s="10" t="str">
        <f t="shared" si="1"/>
        <v>Vaughn Arruda</v>
      </c>
      <c r="G23" s="12" t="s">
        <v>70</v>
      </c>
      <c r="H23" s="13">
        <v>44408.0</v>
      </c>
      <c r="I23" s="13">
        <v>43726.0</v>
      </c>
      <c r="J23" s="11">
        <f t="shared" si="2"/>
        <v>682</v>
      </c>
      <c r="K23" s="14">
        <v>60500.0</v>
      </c>
      <c r="L23" s="14">
        <v>2300.0</v>
      </c>
      <c r="M23" s="12">
        <v>6.0</v>
      </c>
      <c r="N23" s="12">
        <v>4.0</v>
      </c>
    </row>
    <row r="24" ht="15.75" customHeight="1">
      <c r="D24" s="12" t="s">
        <v>71</v>
      </c>
      <c r="E24" s="12" t="s">
        <v>72</v>
      </c>
      <c r="F24" s="10" t="str">
        <f t="shared" si="1"/>
        <v>Linda Ayala</v>
      </c>
      <c r="G24" s="12" t="s">
        <v>70</v>
      </c>
      <c r="H24" s="13">
        <v>44408.0</v>
      </c>
      <c r="I24" s="13">
        <v>44132.0</v>
      </c>
      <c r="J24" s="11">
        <f t="shared" si="2"/>
        <v>276</v>
      </c>
      <c r="K24" s="14">
        <v>29800.0</v>
      </c>
      <c r="L24" s="14">
        <v>400.0</v>
      </c>
      <c r="M24" s="12">
        <v>2.0</v>
      </c>
      <c r="N24" s="12">
        <v>5.0</v>
      </c>
    </row>
    <row r="25" ht="15.75" customHeight="1">
      <c r="D25" s="12" t="s">
        <v>73</v>
      </c>
      <c r="E25" s="12" t="s">
        <v>74</v>
      </c>
      <c r="F25" s="10" t="str">
        <f t="shared" si="1"/>
        <v>Abel Baker</v>
      </c>
      <c r="G25" s="12" t="s">
        <v>47</v>
      </c>
      <c r="H25" s="13">
        <v>44408.0</v>
      </c>
      <c r="I25" s="13">
        <v>43406.0</v>
      </c>
      <c r="J25" s="11">
        <f t="shared" si="2"/>
        <v>1002</v>
      </c>
      <c r="K25" s="14">
        <v>65300.0</v>
      </c>
      <c r="L25" s="14">
        <v>5900.0</v>
      </c>
      <c r="M25" s="12">
        <v>3.0</v>
      </c>
      <c r="N25" s="12">
        <v>1.0</v>
      </c>
    </row>
    <row r="26" ht="15.75" customHeight="1">
      <c r="D26" s="12" t="s">
        <v>75</v>
      </c>
      <c r="E26" s="12" t="s">
        <v>74</v>
      </c>
      <c r="F26" s="10" t="str">
        <f t="shared" si="1"/>
        <v>Nicolas Baker</v>
      </c>
      <c r="G26" s="12" t="s">
        <v>33</v>
      </c>
      <c r="H26" s="13">
        <v>44408.0</v>
      </c>
      <c r="I26" s="13">
        <v>43562.0</v>
      </c>
      <c r="J26" s="11">
        <f t="shared" si="2"/>
        <v>846</v>
      </c>
      <c r="K26" s="14">
        <v>40800.0</v>
      </c>
      <c r="L26" s="14">
        <v>800.0</v>
      </c>
      <c r="M26" s="12">
        <v>9.0</v>
      </c>
      <c r="N26" s="12">
        <v>3.0</v>
      </c>
    </row>
    <row r="27" ht="15.75" customHeight="1">
      <c r="D27" s="12" t="s">
        <v>76</v>
      </c>
      <c r="E27" s="12" t="s">
        <v>74</v>
      </c>
      <c r="F27" s="10" t="str">
        <f t="shared" si="1"/>
        <v>Patricia Baker</v>
      </c>
      <c r="G27" s="12" t="s">
        <v>22</v>
      </c>
      <c r="H27" s="13">
        <v>44408.0</v>
      </c>
      <c r="I27" s="13">
        <v>44020.0</v>
      </c>
      <c r="J27" s="11">
        <f t="shared" si="2"/>
        <v>388</v>
      </c>
      <c r="K27" s="14">
        <v>89200.0</v>
      </c>
      <c r="L27" s="14">
        <v>5500.0</v>
      </c>
      <c r="M27" s="12">
        <v>4.0</v>
      </c>
      <c r="N27" s="12">
        <v>5.0</v>
      </c>
    </row>
    <row r="28" ht="15.75" customHeight="1">
      <c r="D28" s="12" t="s">
        <v>77</v>
      </c>
      <c r="E28" s="12" t="s">
        <v>78</v>
      </c>
      <c r="F28" s="10" t="str">
        <f t="shared" si="1"/>
        <v>Carl Ballard</v>
      </c>
      <c r="G28" s="12" t="s">
        <v>22</v>
      </c>
      <c r="H28" s="13">
        <v>44408.0</v>
      </c>
      <c r="I28" s="13">
        <v>43022.0</v>
      </c>
      <c r="J28" s="11">
        <f t="shared" si="2"/>
        <v>1386</v>
      </c>
      <c r="K28" s="14">
        <v>99500.0</v>
      </c>
      <c r="L28" s="14">
        <v>5000.0</v>
      </c>
      <c r="M28" s="12">
        <v>4.0</v>
      </c>
      <c r="N28" s="12">
        <v>3.0</v>
      </c>
    </row>
    <row r="29" ht="15.75" customHeight="1">
      <c r="D29" s="12" t="s">
        <v>79</v>
      </c>
      <c r="E29" s="12" t="s">
        <v>80</v>
      </c>
      <c r="F29" s="10" t="str">
        <f t="shared" si="1"/>
        <v>Ryan Barden</v>
      </c>
      <c r="G29" s="12" t="s">
        <v>81</v>
      </c>
      <c r="H29" s="13">
        <v>44408.0</v>
      </c>
      <c r="I29" s="13">
        <v>42384.0</v>
      </c>
      <c r="J29" s="11">
        <f t="shared" si="2"/>
        <v>2024</v>
      </c>
      <c r="K29" s="14">
        <v>69100.0</v>
      </c>
      <c r="L29" s="14">
        <v>4200.0</v>
      </c>
      <c r="M29" s="12">
        <v>3.0</v>
      </c>
      <c r="N29" s="12">
        <v>3.0</v>
      </c>
    </row>
    <row r="30" ht="15.75" customHeight="1">
      <c r="D30" s="12" t="s">
        <v>82</v>
      </c>
      <c r="E30" s="12" t="s">
        <v>83</v>
      </c>
      <c r="F30" s="10" t="str">
        <f t="shared" si="1"/>
        <v>Kimberly Bass</v>
      </c>
      <c r="G30" s="12" t="s">
        <v>47</v>
      </c>
      <c r="H30" s="13">
        <v>44408.0</v>
      </c>
      <c r="I30" s="13">
        <v>42827.0</v>
      </c>
      <c r="J30" s="11">
        <f t="shared" si="2"/>
        <v>1581</v>
      </c>
      <c r="K30" s="14">
        <v>53000.0</v>
      </c>
      <c r="L30" s="14">
        <v>1800.0</v>
      </c>
      <c r="M30" s="12">
        <v>6.0</v>
      </c>
      <c r="N30" s="12">
        <v>4.0</v>
      </c>
    </row>
    <row r="31" ht="15.75" customHeight="1">
      <c r="D31" s="12" t="s">
        <v>84</v>
      </c>
      <c r="E31" s="12" t="s">
        <v>85</v>
      </c>
      <c r="F31" s="10" t="str">
        <f t="shared" si="1"/>
        <v>Rosa Becker</v>
      </c>
      <c r="G31" s="12" t="s">
        <v>22</v>
      </c>
      <c r="H31" s="13">
        <v>44408.0</v>
      </c>
      <c r="I31" s="13">
        <v>43358.0</v>
      </c>
      <c r="J31" s="11">
        <f t="shared" si="2"/>
        <v>1050</v>
      </c>
      <c r="K31" s="14">
        <v>101000.0</v>
      </c>
      <c r="L31" s="14">
        <v>5200.0</v>
      </c>
      <c r="M31" s="12">
        <v>8.0</v>
      </c>
      <c r="N31" s="12">
        <v>3.0</v>
      </c>
    </row>
    <row r="32" ht="15.75" customHeight="1">
      <c r="D32" s="12" t="s">
        <v>86</v>
      </c>
      <c r="E32" s="12" t="s">
        <v>87</v>
      </c>
      <c r="F32" s="10" t="str">
        <f t="shared" si="1"/>
        <v>Bryan Bell</v>
      </c>
      <c r="G32" s="12" t="s">
        <v>70</v>
      </c>
      <c r="H32" s="13">
        <v>44408.0</v>
      </c>
      <c r="I32" s="13">
        <v>42348.0</v>
      </c>
      <c r="J32" s="11">
        <f t="shared" si="2"/>
        <v>2060</v>
      </c>
      <c r="K32" s="14">
        <v>46800.0</v>
      </c>
      <c r="L32" s="14">
        <v>1300.0</v>
      </c>
      <c r="M32" s="12">
        <v>4.0</v>
      </c>
      <c r="N32" s="12">
        <v>3.0</v>
      </c>
    </row>
    <row r="33" ht="15.75" customHeight="1">
      <c r="D33" s="12" t="s">
        <v>88</v>
      </c>
      <c r="E33" s="12" t="s">
        <v>87</v>
      </c>
      <c r="F33" s="10" t="str">
        <f t="shared" si="1"/>
        <v>Melvin Bell</v>
      </c>
      <c r="G33" s="12" t="s">
        <v>70</v>
      </c>
      <c r="H33" s="13">
        <v>44408.0</v>
      </c>
      <c r="I33" s="13">
        <v>44011.0</v>
      </c>
      <c r="J33" s="11">
        <f t="shared" si="2"/>
        <v>397</v>
      </c>
      <c r="K33" s="14">
        <v>56400.0</v>
      </c>
      <c r="L33" s="14">
        <v>6800.0</v>
      </c>
      <c r="M33" s="12">
        <v>4.0</v>
      </c>
      <c r="N33" s="12">
        <v>3.0</v>
      </c>
    </row>
    <row r="34" ht="15.75" customHeight="1">
      <c r="D34" s="12" t="s">
        <v>89</v>
      </c>
      <c r="E34" s="12" t="s">
        <v>90</v>
      </c>
      <c r="F34" s="10" t="str">
        <f t="shared" si="1"/>
        <v>Kevin Bence</v>
      </c>
      <c r="G34" s="12" t="s">
        <v>22</v>
      </c>
      <c r="H34" s="13">
        <v>44408.0</v>
      </c>
      <c r="I34" s="13">
        <v>43591.0</v>
      </c>
      <c r="J34" s="11">
        <f t="shared" si="2"/>
        <v>817</v>
      </c>
      <c r="K34" s="14">
        <v>94900.0</v>
      </c>
      <c r="L34" s="14">
        <v>7600.0</v>
      </c>
      <c r="M34" s="12">
        <v>8.0</v>
      </c>
      <c r="N34" s="12">
        <v>3.0</v>
      </c>
    </row>
    <row r="35" ht="15.75" customHeight="1">
      <c r="D35" s="12" t="s">
        <v>91</v>
      </c>
      <c r="E35" s="12" t="s">
        <v>92</v>
      </c>
      <c r="F35" s="10" t="str">
        <f t="shared" si="1"/>
        <v>Keith Benn</v>
      </c>
      <c r="G35" s="12" t="s">
        <v>26</v>
      </c>
      <c r="H35" s="13">
        <v>44408.0</v>
      </c>
      <c r="I35" s="13">
        <v>42564.0</v>
      </c>
      <c r="J35" s="11">
        <f t="shared" si="2"/>
        <v>1844</v>
      </c>
      <c r="K35" s="14">
        <v>36700.0</v>
      </c>
      <c r="L35" s="14">
        <v>2100.0</v>
      </c>
      <c r="M35" s="12">
        <v>6.0</v>
      </c>
      <c r="N35" s="12">
        <v>5.0</v>
      </c>
    </row>
    <row r="36" ht="15.75" customHeight="1">
      <c r="D36" s="12" t="s">
        <v>93</v>
      </c>
      <c r="E36" s="12" t="s">
        <v>94</v>
      </c>
      <c r="F36" s="10" t="str">
        <f t="shared" si="1"/>
        <v>Roy Bennett</v>
      </c>
      <c r="G36" s="12" t="s">
        <v>70</v>
      </c>
      <c r="H36" s="13">
        <v>44408.0</v>
      </c>
      <c r="I36" s="13">
        <v>42914.0</v>
      </c>
      <c r="J36" s="11">
        <f t="shared" si="2"/>
        <v>1494</v>
      </c>
      <c r="K36" s="14">
        <v>40500.0</v>
      </c>
      <c r="L36" s="14">
        <v>0.0</v>
      </c>
      <c r="M36" s="12">
        <v>6.0</v>
      </c>
      <c r="N36" s="12">
        <v>3.0</v>
      </c>
    </row>
    <row r="37" ht="15.75" customHeight="1">
      <c r="D37" s="12" t="s">
        <v>95</v>
      </c>
      <c r="E37" s="12" t="s">
        <v>96</v>
      </c>
      <c r="F37" s="10" t="str">
        <f t="shared" si="1"/>
        <v>Laurie Berthiaume</v>
      </c>
      <c r="G37" s="12" t="s">
        <v>26</v>
      </c>
      <c r="H37" s="13">
        <v>44408.0</v>
      </c>
      <c r="I37" s="13">
        <v>42812.0</v>
      </c>
      <c r="J37" s="11">
        <f t="shared" si="2"/>
        <v>1596</v>
      </c>
      <c r="K37" s="14">
        <v>51700.0</v>
      </c>
      <c r="L37" s="14">
        <v>3900.0</v>
      </c>
      <c r="M37" s="12">
        <v>2.0</v>
      </c>
      <c r="N37" s="12">
        <v>5.0</v>
      </c>
    </row>
    <row r="38" ht="15.75" customHeight="1">
      <c r="D38" s="12" t="s">
        <v>97</v>
      </c>
      <c r="E38" s="12" t="s">
        <v>98</v>
      </c>
      <c r="F38" s="10" t="str">
        <f t="shared" si="1"/>
        <v>Anthony Berube</v>
      </c>
      <c r="G38" s="12" t="s">
        <v>26</v>
      </c>
      <c r="H38" s="13">
        <v>44408.0</v>
      </c>
      <c r="I38" s="13">
        <v>44337.0</v>
      </c>
      <c r="J38" s="11">
        <f t="shared" si="2"/>
        <v>71</v>
      </c>
      <c r="K38" s="14">
        <v>50800.0</v>
      </c>
      <c r="L38" s="14">
        <v>2300.0</v>
      </c>
      <c r="M38" s="12">
        <v>5.0</v>
      </c>
      <c r="N38" s="12">
        <v>1.0</v>
      </c>
    </row>
    <row r="39" ht="15.75" customHeight="1">
      <c r="D39" s="12" t="s">
        <v>99</v>
      </c>
      <c r="E39" s="12" t="s">
        <v>100</v>
      </c>
      <c r="F39" s="10" t="str">
        <f t="shared" si="1"/>
        <v>John Bice</v>
      </c>
      <c r="G39" s="12" t="s">
        <v>33</v>
      </c>
      <c r="H39" s="13">
        <v>44408.0</v>
      </c>
      <c r="I39" s="13">
        <v>42785.0</v>
      </c>
      <c r="J39" s="11">
        <f t="shared" si="2"/>
        <v>1623</v>
      </c>
      <c r="K39" s="14">
        <v>54400.0</v>
      </c>
      <c r="L39" s="14">
        <v>900.0</v>
      </c>
      <c r="M39" s="12">
        <v>4.0</v>
      </c>
      <c r="N39" s="12">
        <v>4.0</v>
      </c>
    </row>
    <row r="40" ht="15.75" customHeight="1">
      <c r="D40" s="12" t="s">
        <v>101</v>
      </c>
      <c r="E40" s="12" t="s">
        <v>102</v>
      </c>
      <c r="F40" s="10" t="str">
        <f t="shared" si="1"/>
        <v>Jimmie Bilbrey</v>
      </c>
      <c r="G40" s="12" t="s">
        <v>70</v>
      </c>
      <c r="H40" s="13">
        <v>44408.0</v>
      </c>
      <c r="I40" s="13">
        <v>44099.0</v>
      </c>
      <c r="J40" s="11">
        <f t="shared" si="2"/>
        <v>309</v>
      </c>
      <c r="K40" s="14">
        <v>39900.0</v>
      </c>
      <c r="L40" s="14">
        <v>2600.0</v>
      </c>
      <c r="M40" s="12">
        <v>5.0</v>
      </c>
      <c r="N40" s="12">
        <v>4.0</v>
      </c>
    </row>
    <row r="41" ht="15.75" customHeight="1">
      <c r="D41" s="12" t="s">
        <v>103</v>
      </c>
      <c r="E41" s="12" t="s">
        <v>104</v>
      </c>
      <c r="F41" s="10" t="str">
        <f t="shared" si="1"/>
        <v>Jessica Blackwell</v>
      </c>
      <c r="G41" s="12" t="s">
        <v>26</v>
      </c>
      <c r="H41" s="13">
        <v>44408.0</v>
      </c>
      <c r="I41" s="13">
        <v>42584.0</v>
      </c>
      <c r="J41" s="11">
        <f t="shared" si="2"/>
        <v>1824</v>
      </c>
      <c r="K41" s="14">
        <v>38100.0</v>
      </c>
      <c r="L41" s="14">
        <v>0.0</v>
      </c>
      <c r="M41" s="12">
        <v>5.0</v>
      </c>
      <c r="N41" s="12">
        <v>2.0</v>
      </c>
    </row>
    <row r="42" ht="15.75" customHeight="1">
      <c r="D42" s="12" t="s">
        <v>105</v>
      </c>
      <c r="E42" s="12" t="s">
        <v>106</v>
      </c>
      <c r="F42" s="10" t="str">
        <f t="shared" si="1"/>
        <v>Cliff Blair</v>
      </c>
      <c r="G42" s="12" t="s">
        <v>47</v>
      </c>
      <c r="H42" s="13">
        <v>44408.0</v>
      </c>
      <c r="I42" s="13">
        <v>43492.0</v>
      </c>
      <c r="J42" s="11">
        <f t="shared" si="2"/>
        <v>916</v>
      </c>
      <c r="K42" s="14">
        <v>40100.0</v>
      </c>
      <c r="L42" s="14">
        <v>3000.0</v>
      </c>
      <c r="M42" s="12">
        <v>6.0</v>
      </c>
      <c r="N42" s="12">
        <v>3.0</v>
      </c>
    </row>
    <row r="43" ht="15.75" customHeight="1">
      <c r="D43" s="12" t="s">
        <v>107</v>
      </c>
      <c r="E43" s="12" t="s">
        <v>108</v>
      </c>
      <c r="F43" s="10" t="str">
        <f t="shared" si="1"/>
        <v>Elizabeth Blank</v>
      </c>
      <c r="G43" s="12" t="s">
        <v>26</v>
      </c>
      <c r="H43" s="13">
        <v>44408.0</v>
      </c>
      <c r="I43" s="13">
        <v>42993.0</v>
      </c>
      <c r="J43" s="11">
        <f t="shared" si="2"/>
        <v>1415</v>
      </c>
      <c r="K43" s="14">
        <v>42400.0</v>
      </c>
      <c r="L43" s="14">
        <v>600.0</v>
      </c>
      <c r="M43" s="12">
        <v>1.0</v>
      </c>
      <c r="N43" s="12">
        <v>5.0</v>
      </c>
    </row>
    <row r="44" ht="15.75" customHeight="1">
      <c r="D44" s="12" t="s">
        <v>109</v>
      </c>
      <c r="E44" s="12" t="s">
        <v>110</v>
      </c>
      <c r="F44" s="10" t="str">
        <f t="shared" si="1"/>
        <v>Johnnie Blue</v>
      </c>
      <c r="G44" s="12" t="s">
        <v>26</v>
      </c>
      <c r="H44" s="13">
        <v>44408.0</v>
      </c>
      <c r="I44" s="13">
        <v>42760.0</v>
      </c>
      <c r="J44" s="11">
        <f t="shared" si="2"/>
        <v>1648</v>
      </c>
      <c r="K44" s="14">
        <v>57900.0</v>
      </c>
      <c r="L44" s="14">
        <v>4100.0</v>
      </c>
      <c r="M44" s="12">
        <v>4.0</v>
      </c>
      <c r="N44" s="12">
        <v>3.0</v>
      </c>
    </row>
    <row r="45" ht="15.75" customHeight="1">
      <c r="D45" s="12" t="s">
        <v>111</v>
      </c>
      <c r="E45" s="12" t="s">
        <v>112</v>
      </c>
      <c r="F45" s="10" t="str">
        <f t="shared" si="1"/>
        <v>Albina Bolanos</v>
      </c>
      <c r="G45" s="12" t="s">
        <v>81</v>
      </c>
      <c r="H45" s="13">
        <v>44408.0</v>
      </c>
      <c r="I45" s="13">
        <v>42985.0</v>
      </c>
      <c r="J45" s="11">
        <f t="shared" si="2"/>
        <v>1423</v>
      </c>
      <c r="K45" s="14">
        <v>89300.0</v>
      </c>
      <c r="L45" s="14">
        <v>2300.0</v>
      </c>
      <c r="M45" s="12">
        <v>6.0</v>
      </c>
      <c r="N45" s="12">
        <v>1.0</v>
      </c>
    </row>
    <row r="46" ht="15.75" customHeight="1">
      <c r="D46" s="12" t="s">
        <v>113</v>
      </c>
      <c r="E46" s="12" t="s">
        <v>114</v>
      </c>
      <c r="F46" s="10" t="str">
        <f t="shared" si="1"/>
        <v>Wendy Bolling</v>
      </c>
      <c r="G46" s="12" t="s">
        <v>56</v>
      </c>
      <c r="H46" s="13">
        <v>44408.0</v>
      </c>
      <c r="I46" s="13">
        <v>43398.0</v>
      </c>
      <c r="J46" s="11">
        <f t="shared" si="2"/>
        <v>1010</v>
      </c>
      <c r="K46" s="14">
        <v>55100.0</v>
      </c>
      <c r="L46" s="14">
        <v>5000.0</v>
      </c>
      <c r="M46" s="12">
        <v>5.0</v>
      </c>
      <c r="N46" s="12">
        <v>5.0</v>
      </c>
    </row>
    <row r="47" ht="15.75" customHeight="1">
      <c r="D47" s="12" t="s">
        <v>115</v>
      </c>
      <c r="E47" s="12" t="s">
        <v>116</v>
      </c>
      <c r="F47" s="10" t="str">
        <f t="shared" si="1"/>
        <v>Troy Bonilla</v>
      </c>
      <c r="G47" s="12" t="s">
        <v>47</v>
      </c>
      <c r="H47" s="13">
        <v>44408.0</v>
      </c>
      <c r="I47" s="13">
        <v>43253.0</v>
      </c>
      <c r="J47" s="11">
        <f t="shared" si="2"/>
        <v>1155</v>
      </c>
      <c r="K47" s="14">
        <v>29100.0</v>
      </c>
      <c r="L47" s="14">
        <v>900.0</v>
      </c>
      <c r="M47" s="12">
        <v>6.0</v>
      </c>
      <c r="N47" s="12">
        <v>3.0</v>
      </c>
    </row>
    <row r="48" ht="15.75" customHeight="1">
      <c r="D48" s="12" t="s">
        <v>117</v>
      </c>
      <c r="E48" s="12" t="s">
        <v>118</v>
      </c>
      <c r="F48" s="10" t="str">
        <f t="shared" si="1"/>
        <v>James Bower</v>
      </c>
      <c r="G48" s="12" t="s">
        <v>81</v>
      </c>
      <c r="H48" s="13">
        <v>44408.0</v>
      </c>
      <c r="I48" s="13">
        <v>42280.0</v>
      </c>
      <c r="J48" s="11">
        <f t="shared" si="2"/>
        <v>2128</v>
      </c>
      <c r="K48" s="14">
        <v>71800.0</v>
      </c>
      <c r="L48" s="14">
        <v>8100.0</v>
      </c>
      <c r="M48" s="12">
        <v>3.0</v>
      </c>
      <c r="N48" s="12">
        <v>3.0</v>
      </c>
    </row>
    <row r="49" ht="15.75" customHeight="1">
      <c r="D49" s="12" t="s">
        <v>119</v>
      </c>
      <c r="E49" s="12" t="s">
        <v>120</v>
      </c>
      <c r="F49" s="10" t="str">
        <f t="shared" si="1"/>
        <v>Robert Boyles</v>
      </c>
      <c r="G49" s="12" t="s">
        <v>33</v>
      </c>
      <c r="H49" s="13">
        <v>44408.0</v>
      </c>
      <c r="I49" s="13">
        <v>43059.0</v>
      </c>
      <c r="J49" s="11">
        <f t="shared" si="2"/>
        <v>1349</v>
      </c>
      <c r="K49" s="14">
        <v>30600.0</v>
      </c>
      <c r="L49" s="14">
        <v>3300.0</v>
      </c>
      <c r="M49" s="12">
        <v>7.0</v>
      </c>
      <c r="N49" s="12">
        <v>4.0</v>
      </c>
    </row>
    <row r="50" ht="15.75" customHeight="1">
      <c r="D50" s="12" t="s">
        <v>121</v>
      </c>
      <c r="E50" s="12" t="s">
        <v>122</v>
      </c>
      <c r="F50" s="10" t="str">
        <f t="shared" si="1"/>
        <v>Ervin Brady</v>
      </c>
      <c r="G50" s="12" t="s">
        <v>70</v>
      </c>
      <c r="H50" s="13">
        <v>44408.0</v>
      </c>
      <c r="I50" s="13">
        <v>42688.0</v>
      </c>
      <c r="J50" s="11">
        <f t="shared" si="2"/>
        <v>1720</v>
      </c>
      <c r="K50" s="14">
        <v>52300.0</v>
      </c>
      <c r="L50" s="14">
        <v>4600.0</v>
      </c>
      <c r="M50" s="12">
        <v>6.0</v>
      </c>
      <c r="N50" s="12">
        <v>5.0</v>
      </c>
    </row>
    <row r="51" ht="15.75" customHeight="1">
      <c r="D51" s="12" t="s">
        <v>71</v>
      </c>
      <c r="E51" s="12" t="s">
        <v>123</v>
      </c>
      <c r="F51" s="10" t="str">
        <f t="shared" si="1"/>
        <v>Linda Brandon</v>
      </c>
      <c r="G51" s="12" t="s">
        <v>56</v>
      </c>
      <c r="H51" s="13">
        <v>44408.0</v>
      </c>
      <c r="I51" s="13">
        <v>44263.0</v>
      </c>
      <c r="J51" s="11">
        <f t="shared" si="2"/>
        <v>145</v>
      </c>
      <c r="K51" s="14">
        <v>34300.0</v>
      </c>
      <c r="L51" s="14">
        <v>1000.0</v>
      </c>
      <c r="M51" s="12">
        <v>6.0</v>
      </c>
      <c r="N51" s="12">
        <v>2.0</v>
      </c>
    </row>
    <row r="52" ht="15.75" customHeight="1">
      <c r="D52" s="12" t="s">
        <v>124</v>
      </c>
      <c r="E52" s="12" t="s">
        <v>125</v>
      </c>
      <c r="F52" s="10" t="str">
        <f t="shared" si="1"/>
        <v>Gloria Braunstein</v>
      </c>
      <c r="G52" s="12" t="s">
        <v>33</v>
      </c>
      <c r="H52" s="13">
        <v>44408.0</v>
      </c>
      <c r="I52" s="13">
        <v>42348.0</v>
      </c>
      <c r="J52" s="11">
        <f t="shared" si="2"/>
        <v>2060</v>
      </c>
      <c r="K52" s="14">
        <v>66200.0</v>
      </c>
      <c r="L52" s="14">
        <v>1800.0</v>
      </c>
      <c r="M52" s="12">
        <v>4.0</v>
      </c>
      <c r="N52" s="12">
        <v>4.0</v>
      </c>
    </row>
    <row r="53" ht="15.75" customHeight="1">
      <c r="D53" s="12" t="s">
        <v>126</v>
      </c>
      <c r="E53" s="12" t="s">
        <v>127</v>
      </c>
      <c r="F53" s="10" t="str">
        <f t="shared" si="1"/>
        <v>Juanita Brewer</v>
      </c>
      <c r="G53" s="12" t="s">
        <v>26</v>
      </c>
      <c r="H53" s="13">
        <v>44408.0</v>
      </c>
      <c r="I53" s="13">
        <v>42504.0</v>
      </c>
      <c r="J53" s="11">
        <f t="shared" si="2"/>
        <v>1904</v>
      </c>
      <c r="K53" s="14">
        <v>22800.0</v>
      </c>
      <c r="L53" s="14">
        <v>900.0</v>
      </c>
      <c r="M53" s="12">
        <v>4.0</v>
      </c>
      <c r="N53" s="12">
        <v>1.0</v>
      </c>
    </row>
    <row r="54" ht="15.75" customHeight="1">
      <c r="D54" s="12" t="s">
        <v>128</v>
      </c>
      <c r="E54" s="12" t="s">
        <v>129</v>
      </c>
      <c r="F54" s="10" t="str">
        <f t="shared" si="1"/>
        <v>William Brinson</v>
      </c>
      <c r="G54" s="12" t="s">
        <v>70</v>
      </c>
      <c r="H54" s="13">
        <v>44408.0</v>
      </c>
      <c r="I54" s="13">
        <v>43638.0</v>
      </c>
      <c r="J54" s="11">
        <f t="shared" si="2"/>
        <v>770</v>
      </c>
      <c r="K54" s="14">
        <v>35300.0</v>
      </c>
      <c r="L54" s="14">
        <v>1000.0</v>
      </c>
      <c r="M54" s="12">
        <v>4.0</v>
      </c>
      <c r="N54" s="12">
        <v>4.0</v>
      </c>
    </row>
    <row r="55" ht="15.75" customHeight="1">
      <c r="D55" s="12" t="s">
        <v>130</v>
      </c>
      <c r="E55" s="12" t="s">
        <v>131</v>
      </c>
      <c r="F55" s="10" t="str">
        <f t="shared" si="1"/>
        <v>Inez Britt</v>
      </c>
      <c r="G55" s="12" t="s">
        <v>70</v>
      </c>
      <c r="H55" s="13">
        <v>44408.0</v>
      </c>
      <c r="I55" s="13">
        <v>43664.0</v>
      </c>
      <c r="J55" s="11">
        <f t="shared" si="2"/>
        <v>744</v>
      </c>
      <c r="K55" s="14">
        <v>45500.0</v>
      </c>
      <c r="L55" s="14">
        <v>3200.0</v>
      </c>
      <c r="M55" s="12">
        <v>4.0</v>
      </c>
      <c r="N55" s="12">
        <v>4.0</v>
      </c>
    </row>
    <row r="56" ht="15.75" customHeight="1">
      <c r="D56" s="12" t="s">
        <v>132</v>
      </c>
      <c r="E56" s="12" t="s">
        <v>133</v>
      </c>
      <c r="F56" s="10" t="str">
        <f t="shared" si="1"/>
        <v>Shirley Brodie</v>
      </c>
      <c r="G56" s="12" t="s">
        <v>33</v>
      </c>
      <c r="H56" s="13">
        <v>44408.0</v>
      </c>
      <c r="I56" s="13">
        <v>44149.0</v>
      </c>
      <c r="J56" s="11">
        <f t="shared" si="2"/>
        <v>259</v>
      </c>
      <c r="K56" s="14">
        <v>80300.0</v>
      </c>
      <c r="L56" s="14">
        <v>4800.0</v>
      </c>
      <c r="M56" s="12">
        <v>3.0</v>
      </c>
      <c r="N56" s="12">
        <v>4.0</v>
      </c>
    </row>
    <row r="57" ht="15.75" customHeight="1">
      <c r="D57" s="12" t="s">
        <v>134</v>
      </c>
      <c r="E57" s="12" t="s">
        <v>135</v>
      </c>
      <c r="F57" s="10" t="str">
        <f t="shared" si="1"/>
        <v>Janeen Broman</v>
      </c>
      <c r="G57" s="12" t="s">
        <v>33</v>
      </c>
      <c r="H57" s="13">
        <v>44408.0</v>
      </c>
      <c r="I57" s="13">
        <v>43327.0</v>
      </c>
      <c r="J57" s="11">
        <f t="shared" si="2"/>
        <v>1081</v>
      </c>
      <c r="K57" s="14">
        <v>33000.0</v>
      </c>
      <c r="L57" s="14">
        <v>0.0</v>
      </c>
      <c r="M57" s="12">
        <v>7.0</v>
      </c>
      <c r="N57" s="12">
        <v>4.0</v>
      </c>
    </row>
    <row r="58" ht="15.75" customHeight="1">
      <c r="D58" s="12" t="s">
        <v>136</v>
      </c>
      <c r="E58" s="12" t="s">
        <v>137</v>
      </c>
      <c r="F58" s="10" t="str">
        <f t="shared" si="1"/>
        <v>Alex Brown</v>
      </c>
      <c r="G58" s="12" t="s">
        <v>81</v>
      </c>
      <c r="H58" s="13">
        <v>44408.0</v>
      </c>
      <c r="I58" s="13">
        <v>43590.0</v>
      </c>
      <c r="J58" s="11">
        <f t="shared" si="2"/>
        <v>818</v>
      </c>
      <c r="K58" s="14">
        <v>104900.0</v>
      </c>
      <c r="L58" s="14">
        <v>2500.0</v>
      </c>
      <c r="M58" s="12">
        <v>2.0</v>
      </c>
      <c r="N58" s="12">
        <v>3.0</v>
      </c>
    </row>
    <row r="59" ht="15.75" customHeight="1">
      <c r="D59" s="12" t="s">
        <v>99</v>
      </c>
      <c r="E59" s="12" t="s">
        <v>138</v>
      </c>
      <c r="F59" s="10" t="str">
        <f t="shared" si="1"/>
        <v>John Bruce</v>
      </c>
      <c r="G59" s="12" t="s">
        <v>81</v>
      </c>
      <c r="H59" s="13">
        <v>44408.0</v>
      </c>
      <c r="I59" s="13">
        <v>44145.0</v>
      </c>
      <c r="J59" s="11">
        <f t="shared" si="2"/>
        <v>263</v>
      </c>
      <c r="K59" s="14">
        <v>87700.0</v>
      </c>
      <c r="L59" s="14">
        <v>4000.0</v>
      </c>
      <c r="M59" s="12">
        <v>9.0</v>
      </c>
      <c r="N59" s="12">
        <v>2.0</v>
      </c>
    </row>
    <row r="60" ht="15.75" customHeight="1">
      <c r="D60" s="12" t="s">
        <v>139</v>
      </c>
      <c r="E60" s="12" t="s">
        <v>138</v>
      </c>
      <c r="F60" s="10" t="str">
        <f t="shared" si="1"/>
        <v>Maria Bruce</v>
      </c>
      <c r="G60" s="12" t="s">
        <v>47</v>
      </c>
      <c r="H60" s="13">
        <v>44408.0</v>
      </c>
      <c r="I60" s="13">
        <v>42900.0</v>
      </c>
      <c r="J60" s="11">
        <f t="shared" si="2"/>
        <v>1508</v>
      </c>
      <c r="K60" s="14">
        <v>42600.0</v>
      </c>
      <c r="L60" s="14">
        <v>2100.0</v>
      </c>
      <c r="M60" s="12">
        <v>11.0</v>
      </c>
      <c r="N60" s="12">
        <v>1.0</v>
      </c>
    </row>
    <row r="61" ht="15.75" customHeight="1">
      <c r="D61" s="12" t="s">
        <v>140</v>
      </c>
      <c r="E61" s="12" t="s">
        <v>141</v>
      </c>
      <c r="F61" s="10" t="str">
        <f t="shared" si="1"/>
        <v>Lisa Bryant</v>
      </c>
      <c r="G61" s="12" t="s">
        <v>33</v>
      </c>
      <c r="H61" s="13">
        <v>44408.0</v>
      </c>
      <c r="I61" s="13">
        <v>42413.0</v>
      </c>
      <c r="J61" s="11">
        <f t="shared" si="2"/>
        <v>1995</v>
      </c>
      <c r="K61" s="14">
        <v>35400.0</v>
      </c>
      <c r="L61" s="14">
        <v>2400.0</v>
      </c>
      <c r="M61" s="12">
        <v>4.0</v>
      </c>
      <c r="N61" s="12">
        <v>3.0</v>
      </c>
    </row>
    <row r="62" ht="15.75" customHeight="1">
      <c r="D62" s="12" t="s">
        <v>142</v>
      </c>
      <c r="E62" s="12" t="s">
        <v>143</v>
      </c>
      <c r="F62" s="10" t="str">
        <f t="shared" si="1"/>
        <v>Gretchen Burger</v>
      </c>
      <c r="G62" s="12" t="s">
        <v>33</v>
      </c>
      <c r="H62" s="13">
        <v>44408.0</v>
      </c>
      <c r="I62" s="13">
        <v>43090.0</v>
      </c>
      <c r="J62" s="11">
        <f t="shared" si="2"/>
        <v>1318</v>
      </c>
      <c r="K62" s="14">
        <v>35800.0</v>
      </c>
      <c r="L62" s="14">
        <v>300.0</v>
      </c>
      <c r="M62" s="12">
        <v>3.0</v>
      </c>
      <c r="N62" s="12">
        <v>2.0</v>
      </c>
    </row>
    <row r="63" ht="15.75" customHeight="1">
      <c r="D63" s="12" t="s">
        <v>144</v>
      </c>
      <c r="E63" s="12" t="s">
        <v>145</v>
      </c>
      <c r="F63" s="10" t="str">
        <f t="shared" si="1"/>
        <v>Kasandra Burns</v>
      </c>
      <c r="G63" s="12" t="s">
        <v>22</v>
      </c>
      <c r="H63" s="13">
        <v>44408.0</v>
      </c>
      <c r="I63" s="13">
        <v>42171.0</v>
      </c>
      <c r="J63" s="11">
        <f t="shared" si="2"/>
        <v>2237</v>
      </c>
      <c r="K63" s="14">
        <v>87200.0</v>
      </c>
      <c r="L63" s="14">
        <v>1000.0</v>
      </c>
      <c r="M63" s="12">
        <v>3.0</v>
      </c>
      <c r="N63" s="12">
        <v>2.0</v>
      </c>
    </row>
    <row r="64" ht="15.75" customHeight="1">
      <c r="D64" s="12" t="s">
        <v>67</v>
      </c>
      <c r="E64" s="12" t="s">
        <v>146</v>
      </c>
      <c r="F64" s="10" t="str">
        <f t="shared" si="1"/>
        <v>Tamara Buss</v>
      </c>
      <c r="G64" s="12" t="s">
        <v>70</v>
      </c>
      <c r="H64" s="13">
        <v>44408.0</v>
      </c>
      <c r="I64" s="13">
        <v>42216.0</v>
      </c>
      <c r="J64" s="11">
        <f t="shared" si="2"/>
        <v>2192</v>
      </c>
      <c r="K64" s="14">
        <v>45000.0</v>
      </c>
      <c r="L64" s="14">
        <v>900.0</v>
      </c>
      <c r="M64" s="12">
        <v>2.0</v>
      </c>
      <c r="N64" s="12">
        <v>4.0</v>
      </c>
    </row>
    <row r="65" ht="15.75" customHeight="1">
      <c r="D65" s="12" t="s">
        <v>147</v>
      </c>
      <c r="E65" s="12" t="s">
        <v>148</v>
      </c>
      <c r="F65" s="10" t="str">
        <f t="shared" si="1"/>
        <v>Charles Butler</v>
      </c>
      <c r="G65" s="12" t="s">
        <v>47</v>
      </c>
      <c r="H65" s="13">
        <v>44408.0</v>
      </c>
      <c r="I65" s="13">
        <v>42082.0</v>
      </c>
      <c r="J65" s="11">
        <f t="shared" si="2"/>
        <v>2326</v>
      </c>
      <c r="K65" s="14">
        <v>22300.0</v>
      </c>
      <c r="L65" s="14">
        <v>1400.0</v>
      </c>
      <c r="M65" s="12">
        <v>7.0</v>
      </c>
      <c r="N65" s="12">
        <v>5.0</v>
      </c>
    </row>
    <row r="66" ht="15.75" customHeight="1">
      <c r="D66" s="12" t="s">
        <v>149</v>
      </c>
      <c r="E66" s="12" t="s">
        <v>148</v>
      </c>
      <c r="F66" s="10" t="str">
        <f t="shared" si="1"/>
        <v>Ruth Butler</v>
      </c>
      <c r="G66" s="12" t="s">
        <v>22</v>
      </c>
      <c r="H66" s="13">
        <v>44408.0</v>
      </c>
      <c r="I66" s="13">
        <v>43356.0</v>
      </c>
      <c r="J66" s="11">
        <f t="shared" si="2"/>
        <v>1052</v>
      </c>
      <c r="K66" s="14">
        <v>47200.0</v>
      </c>
      <c r="L66" s="14">
        <v>3000.0</v>
      </c>
      <c r="M66" s="12">
        <v>4.0</v>
      </c>
      <c r="N66" s="12">
        <v>3.0</v>
      </c>
    </row>
    <row r="67" ht="15.75" customHeight="1">
      <c r="D67" s="12" t="s">
        <v>117</v>
      </c>
      <c r="E67" s="12" t="s">
        <v>150</v>
      </c>
      <c r="F67" s="10" t="str">
        <f t="shared" si="1"/>
        <v>James Byrd</v>
      </c>
      <c r="G67" s="12" t="s">
        <v>30</v>
      </c>
      <c r="H67" s="13">
        <v>44408.0</v>
      </c>
      <c r="I67" s="13">
        <v>43854.0</v>
      </c>
      <c r="J67" s="11">
        <f t="shared" si="2"/>
        <v>554</v>
      </c>
      <c r="K67" s="14">
        <v>90400.0</v>
      </c>
      <c r="L67" s="14">
        <v>1500.0</v>
      </c>
      <c r="M67" s="12">
        <v>6.0</v>
      </c>
      <c r="N67" s="12">
        <v>3.0</v>
      </c>
    </row>
    <row r="68" ht="15.75" customHeight="1">
      <c r="D68" s="12" t="s">
        <v>151</v>
      </c>
      <c r="E68" s="12" t="s">
        <v>152</v>
      </c>
      <c r="F68" s="10" t="str">
        <f t="shared" si="1"/>
        <v>Michael Calloway</v>
      </c>
      <c r="G68" s="12" t="s">
        <v>81</v>
      </c>
      <c r="H68" s="13">
        <v>44408.0</v>
      </c>
      <c r="I68" s="13">
        <v>42261.0</v>
      </c>
      <c r="J68" s="11">
        <f t="shared" si="2"/>
        <v>2147</v>
      </c>
      <c r="K68" s="14">
        <v>76400.0</v>
      </c>
      <c r="L68" s="14">
        <v>4800.0</v>
      </c>
      <c r="M68" s="12">
        <v>2.0</v>
      </c>
      <c r="N68" s="12">
        <v>4.0</v>
      </c>
    </row>
    <row r="69" ht="15.75" customHeight="1">
      <c r="D69" s="12" t="s">
        <v>153</v>
      </c>
      <c r="E69" s="12" t="s">
        <v>154</v>
      </c>
      <c r="F69" s="10" t="str">
        <f t="shared" si="1"/>
        <v>Carlos Campbell</v>
      </c>
      <c r="G69" s="12" t="s">
        <v>26</v>
      </c>
      <c r="H69" s="13">
        <v>44408.0</v>
      </c>
      <c r="I69" s="13">
        <v>43163.0</v>
      </c>
      <c r="J69" s="11">
        <f t="shared" si="2"/>
        <v>1245</v>
      </c>
      <c r="K69" s="14">
        <v>53500.0</v>
      </c>
      <c r="L69" s="14">
        <v>1700.0</v>
      </c>
      <c r="M69" s="12">
        <v>6.0</v>
      </c>
      <c r="N69" s="12">
        <v>3.0</v>
      </c>
    </row>
    <row r="70" ht="15.75" customHeight="1">
      <c r="D70" s="12" t="s">
        <v>155</v>
      </c>
      <c r="E70" s="12" t="s">
        <v>154</v>
      </c>
      <c r="F70" s="10" t="str">
        <f t="shared" si="1"/>
        <v>Kenneth Campbell</v>
      </c>
      <c r="G70" s="12" t="s">
        <v>26</v>
      </c>
      <c r="H70" s="13">
        <v>44408.0</v>
      </c>
      <c r="I70" s="13">
        <v>43428.0</v>
      </c>
      <c r="J70" s="11">
        <f t="shared" si="2"/>
        <v>980</v>
      </c>
      <c r="K70" s="14">
        <v>36100.0</v>
      </c>
      <c r="L70" s="14">
        <v>400.0</v>
      </c>
      <c r="M70" s="12">
        <v>8.0</v>
      </c>
      <c r="N70" s="12">
        <v>3.0</v>
      </c>
    </row>
    <row r="71" ht="15.75" customHeight="1">
      <c r="D71" s="12" t="s">
        <v>156</v>
      </c>
      <c r="E71" s="12" t="s">
        <v>157</v>
      </c>
      <c r="F71" s="10" t="str">
        <f t="shared" si="1"/>
        <v>Jamie Cannon</v>
      </c>
      <c r="G71" s="12" t="s">
        <v>47</v>
      </c>
      <c r="H71" s="13">
        <v>44408.0</v>
      </c>
      <c r="I71" s="13">
        <v>42334.0</v>
      </c>
      <c r="J71" s="11">
        <f t="shared" si="2"/>
        <v>2074</v>
      </c>
      <c r="K71" s="14">
        <v>43500.0</v>
      </c>
      <c r="L71" s="14">
        <v>1600.0</v>
      </c>
      <c r="M71" s="12">
        <v>7.0</v>
      </c>
      <c r="N71" s="12">
        <v>3.0</v>
      </c>
    </row>
    <row r="72" ht="15.75" customHeight="1">
      <c r="D72" s="12" t="s">
        <v>158</v>
      </c>
      <c r="E72" s="12" t="s">
        <v>159</v>
      </c>
      <c r="F72" s="10" t="str">
        <f t="shared" si="1"/>
        <v>Timothy Canto</v>
      </c>
      <c r="G72" s="12" t="s">
        <v>56</v>
      </c>
      <c r="H72" s="13">
        <v>44408.0</v>
      </c>
      <c r="I72" s="13">
        <v>42477.0</v>
      </c>
      <c r="J72" s="11">
        <f t="shared" si="2"/>
        <v>1931</v>
      </c>
      <c r="K72" s="14">
        <v>67200.0</v>
      </c>
      <c r="L72" s="14">
        <v>4300.0</v>
      </c>
      <c r="M72" s="12">
        <v>3.0</v>
      </c>
      <c r="N72" s="12">
        <v>3.0</v>
      </c>
    </row>
    <row r="73" ht="15.75" customHeight="1">
      <c r="D73" s="12" t="s">
        <v>160</v>
      </c>
      <c r="E73" s="12" t="s">
        <v>161</v>
      </c>
      <c r="F73" s="10" t="str">
        <f t="shared" si="1"/>
        <v>Russell Cantrell</v>
      </c>
      <c r="G73" s="12" t="s">
        <v>81</v>
      </c>
      <c r="H73" s="13">
        <v>44408.0</v>
      </c>
      <c r="I73" s="13">
        <v>42555.0</v>
      </c>
      <c r="J73" s="11">
        <f t="shared" si="2"/>
        <v>1853</v>
      </c>
      <c r="K73" s="14">
        <v>118100.0</v>
      </c>
      <c r="L73" s="14">
        <v>8400.0</v>
      </c>
      <c r="M73" s="12">
        <v>5.0</v>
      </c>
      <c r="N73" s="12">
        <v>2.0</v>
      </c>
    </row>
    <row r="74" ht="15.75" customHeight="1">
      <c r="D74" s="12" t="s">
        <v>147</v>
      </c>
      <c r="E74" s="12" t="s">
        <v>162</v>
      </c>
      <c r="F74" s="10" t="str">
        <f t="shared" si="1"/>
        <v>Charles Caraway</v>
      </c>
      <c r="G74" s="12" t="s">
        <v>26</v>
      </c>
      <c r="H74" s="13">
        <v>44408.0</v>
      </c>
      <c r="I74" s="13">
        <v>42528.0</v>
      </c>
      <c r="J74" s="11">
        <f t="shared" si="2"/>
        <v>1880</v>
      </c>
      <c r="K74" s="14">
        <v>45800.0</v>
      </c>
      <c r="L74" s="14">
        <v>0.0</v>
      </c>
      <c r="M74" s="12">
        <v>3.0</v>
      </c>
      <c r="N74" s="12">
        <v>4.0</v>
      </c>
    </row>
    <row r="75" ht="15.75" customHeight="1">
      <c r="D75" s="12" t="s">
        <v>163</v>
      </c>
      <c r="E75" s="12" t="s">
        <v>164</v>
      </c>
      <c r="F75" s="10" t="str">
        <f t="shared" si="1"/>
        <v>Sean Cardenas</v>
      </c>
      <c r="G75" s="12" t="s">
        <v>22</v>
      </c>
      <c r="H75" s="13">
        <v>44408.0</v>
      </c>
      <c r="I75" s="13">
        <v>42890.0</v>
      </c>
      <c r="J75" s="11">
        <f t="shared" si="2"/>
        <v>1518</v>
      </c>
      <c r="K75" s="14">
        <v>85100.0</v>
      </c>
      <c r="L75" s="14">
        <v>3400.0</v>
      </c>
      <c r="M75" s="12">
        <v>6.0</v>
      </c>
      <c r="N75" s="12">
        <v>4.0</v>
      </c>
    </row>
    <row r="76" ht="15.75" customHeight="1">
      <c r="D76" s="12" t="s">
        <v>165</v>
      </c>
      <c r="E76" s="12" t="s">
        <v>166</v>
      </c>
      <c r="F76" s="10" t="str">
        <f t="shared" si="1"/>
        <v>Susan Carillo</v>
      </c>
      <c r="G76" s="12" t="s">
        <v>70</v>
      </c>
      <c r="H76" s="13">
        <v>44408.0</v>
      </c>
      <c r="I76" s="13">
        <v>43344.0</v>
      </c>
      <c r="J76" s="11">
        <f t="shared" si="2"/>
        <v>1064</v>
      </c>
      <c r="K76" s="14">
        <v>54000.0</v>
      </c>
      <c r="L76" s="14">
        <v>2100.0</v>
      </c>
      <c r="M76" s="12">
        <v>5.0</v>
      </c>
      <c r="N76" s="12">
        <v>4.0</v>
      </c>
    </row>
    <row r="77" ht="15.75" customHeight="1">
      <c r="D77" s="12" t="s">
        <v>167</v>
      </c>
      <c r="E77" s="12" t="s">
        <v>168</v>
      </c>
      <c r="F77" s="10" t="str">
        <f t="shared" si="1"/>
        <v>Phyllis Carolina</v>
      </c>
      <c r="G77" s="12" t="s">
        <v>70</v>
      </c>
      <c r="H77" s="13">
        <v>44408.0</v>
      </c>
      <c r="I77" s="13">
        <v>42079.0</v>
      </c>
      <c r="J77" s="11">
        <f t="shared" si="2"/>
        <v>2329</v>
      </c>
      <c r="K77" s="14">
        <v>37300.0</v>
      </c>
      <c r="L77" s="14">
        <v>2600.0</v>
      </c>
      <c r="M77" s="12">
        <v>8.0</v>
      </c>
      <c r="N77" s="12">
        <v>4.0</v>
      </c>
    </row>
    <row r="78" ht="15.75" customHeight="1">
      <c r="D78" s="12" t="s">
        <v>76</v>
      </c>
      <c r="E78" s="12" t="s">
        <v>169</v>
      </c>
      <c r="F78" s="10" t="str">
        <f t="shared" si="1"/>
        <v>Patricia Carr</v>
      </c>
      <c r="G78" s="12" t="s">
        <v>26</v>
      </c>
      <c r="H78" s="13">
        <v>44408.0</v>
      </c>
      <c r="I78" s="13">
        <v>42396.0</v>
      </c>
      <c r="J78" s="11">
        <f t="shared" si="2"/>
        <v>2012</v>
      </c>
      <c r="K78" s="14">
        <v>29700.0</v>
      </c>
      <c r="L78" s="14">
        <v>0.0</v>
      </c>
      <c r="M78" s="12">
        <v>4.0</v>
      </c>
      <c r="N78" s="12">
        <v>1.0</v>
      </c>
    </row>
    <row r="79" ht="15.75" customHeight="1">
      <c r="D79" s="12" t="s">
        <v>124</v>
      </c>
      <c r="E79" s="12" t="s">
        <v>170</v>
      </c>
      <c r="F79" s="10" t="str">
        <f t="shared" si="1"/>
        <v>Gloria Carter</v>
      </c>
      <c r="G79" s="12" t="s">
        <v>30</v>
      </c>
      <c r="H79" s="13">
        <v>44408.0</v>
      </c>
      <c r="I79" s="13">
        <v>43840.0</v>
      </c>
      <c r="J79" s="11">
        <f t="shared" si="2"/>
        <v>568</v>
      </c>
      <c r="K79" s="14">
        <v>85200.0</v>
      </c>
      <c r="L79" s="14">
        <v>3600.0</v>
      </c>
      <c r="M79" s="12">
        <v>5.0</v>
      </c>
      <c r="N79" s="12">
        <v>4.0</v>
      </c>
    </row>
    <row r="80" ht="15.75" customHeight="1">
      <c r="D80" s="12" t="s">
        <v>171</v>
      </c>
      <c r="E80" s="12" t="s">
        <v>172</v>
      </c>
      <c r="F80" s="10" t="str">
        <f t="shared" si="1"/>
        <v>Harry Cassel</v>
      </c>
      <c r="G80" s="12" t="s">
        <v>26</v>
      </c>
      <c r="H80" s="13">
        <v>44408.0</v>
      </c>
      <c r="I80" s="13">
        <v>42954.0</v>
      </c>
      <c r="J80" s="11">
        <f t="shared" si="2"/>
        <v>1454</v>
      </c>
      <c r="K80" s="14">
        <v>46000.0</v>
      </c>
      <c r="L80" s="14">
        <v>0.0</v>
      </c>
      <c r="M80" s="12">
        <v>2.0</v>
      </c>
      <c r="N80" s="12">
        <v>4.0</v>
      </c>
    </row>
    <row r="81" ht="15.75" customHeight="1">
      <c r="D81" s="12" t="s">
        <v>84</v>
      </c>
      <c r="E81" s="12" t="s">
        <v>173</v>
      </c>
      <c r="F81" s="10" t="str">
        <f t="shared" si="1"/>
        <v>Rosa Caswell</v>
      </c>
      <c r="G81" s="12" t="s">
        <v>70</v>
      </c>
      <c r="H81" s="13">
        <v>44408.0</v>
      </c>
      <c r="I81" s="13">
        <v>42230.0</v>
      </c>
      <c r="J81" s="11">
        <f t="shared" si="2"/>
        <v>2178</v>
      </c>
      <c r="K81" s="14">
        <v>55300.0</v>
      </c>
      <c r="L81" s="14">
        <v>4400.0</v>
      </c>
      <c r="M81" s="12">
        <v>7.0</v>
      </c>
      <c r="N81" s="12">
        <v>3.0</v>
      </c>
    </row>
    <row r="82" ht="15.75" customHeight="1">
      <c r="D82" s="12" t="s">
        <v>174</v>
      </c>
      <c r="E82" s="12" t="s">
        <v>175</v>
      </c>
      <c r="F82" s="10" t="str">
        <f t="shared" si="1"/>
        <v>Misty Cervantez</v>
      </c>
      <c r="G82" s="12" t="s">
        <v>22</v>
      </c>
      <c r="H82" s="13">
        <v>44408.0</v>
      </c>
      <c r="I82" s="13">
        <v>43023.0</v>
      </c>
      <c r="J82" s="11">
        <f t="shared" si="2"/>
        <v>1385</v>
      </c>
      <c r="K82" s="14">
        <v>103000.0</v>
      </c>
      <c r="L82" s="14">
        <v>3200.0</v>
      </c>
      <c r="M82" s="12">
        <v>3.0</v>
      </c>
      <c r="N82" s="12">
        <v>3.0</v>
      </c>
    </row>
    <row r="83" ht="15.75" customHeight="1">
      <c r="D83" s="12" t="s">
        <v>167</v>
      </c>
      <c r="E83" s="12" t="s">
        <v>176</v>
      </c>
      <c r="F83" s="10" t="str">
        <f t="shared" si="1"/>
        <v>Phyllis Chambers</v>
      </c>
      <c r="G83" s="12" t="s">
        <v>81</v>
      </c>
      <c r="H83" s="13">
        <v>44408.0</v>
      </c>
      <c r="I83" s="13">
        <v>42122.0</v>
      </c>
      <c r="J83" s="11">
        <f t="shared" si="2"/>
        <v>2286</v>
      </c>
      <c r="K83" s="14">
        <v>89200.0</v>
      </c>
      <c r="L83" s="14">
        <v>5500.0</v>
      </c>
      <c r="M83" s="12">
        <v>5.0</v>
      </c>
      <c r="N83" s="12">
        <v>4.0</v>
      </c>
    </row>
    <row r="84" ht="15.75" customHeight="1">
      <c r="D84" s="12" t="s">
        <v>177</v>
      </c>
      <c r="E84" s="12" t="s">
        <v>178</v>
      </c>
      <c r="F84" s="10" t="str">
        <f t="shared" si="1"/>
        <v>Barbara Chandler</v>
      </c>
      <c r="G84" s="12" t="s">
        <v>81</v>
      </c>
      <c r="H84" s="13">
        <v>44408.0</v>
      </c>
      <c r="I84" s="13">
        <v>44102.0</v>
      </c>
      <c r="J84" s="11">
        <f t="shared" si="2"/>
        <v>306</v>
      </c>
      <c r="K84" s="14">
        <v>80800.0</v>
      </c>
      <c r="L84" s="14">
        <v>3600.0</v>
      </c>
      <c r="M84" s="12">
        <v>2.0</v>
      </c>
      <c r="N84" s="12">
        <v>2.0</v>
      </c>
    </row>
    <row r="85" ht="15.75" customHeight="1">
      <c r="D85" s="12" t="s">
        <v>179</v>
      </c>
      <c r="E85" s="12" t="s">
        <v>147</v>
      </c>
      <c r="F85" s="10" t="str">
        <f t="shared" si="1"/>
        <v>Elsa Charles</v>
      </c>
      <c r="G85" s="12" t="s">
        <v>30</v>
      </c>
      <c r="H85" s="13">
        <v>44408.0</v>
      </c>
      <c r="I85" s="13">
        <v>44233.0</v>
      </c>
      <c r="J85" s="11">
        <f t="shared" si="2"/>
        <v>175</v>
      </c>
      <c r="K85" s="14">
        <v>126600.0</v>
      </c>
      <c r="L85" s="14">
        <v>7700.0</v>
      </c>
      <c r="M85" s="12">
        <v>8.0</v>
      </c>
      <c r="N85" s="12">
        <v>5.0</v>
      </c>
    </row>
    <row r="86" ht="15.75" customHeight="1">
      <c r="D86" s="12" t="s">
        <v>180</v>
      </c>
      <c r="E86" s="12" t="s">
        <v>181</v>
      </c>
      <c r="F86" s="10" t="str">
        <f t="shared" si="1"/>
        <v>Cory Chavez</v>
      </c>
      <c r="G86" s="12" t="s">
        <v>81</v>
      </c>
      <c r="H86" s="13">
        <v>44408.0</v>
      </c>
      <c r="I86" s="13">
        <v>42830.0</v>
      </c>
      <c r="J86" s="11">
        <f t="shared" si="2"/>
        <v>1578</v>
      </c>
      <c r="K86" s="14">
        <v>67300.0</v>
      </c>
      <c r="L86" s="14">
        <v>4200.0</v>
      </c>
      <c r="M86" s="12">
        <v>3.0</v>
      </c>
      <c r="N86" s="12">
        <v>2.0</v>
      </c>
    </row>
    <row r="87" ht="15.75" customHeight="1">
      <c r="D87" s="12" t="s">
        <v>109</v>
      </c>
      <c r="E87" s="12" t="s">
        <v>182</v>
      </c>
      <c r="F87" s="10" t="str">
        <f t="shared" si="1"/>
        <v>Johnnie Chiodo</v>
      </c>
      <c r="G87" s="12" t="s">
        <v>30</v>
      </c>
      <c r="H87" s="13">
        <v>44408.0</v>
      </c>
      <c r="I87" s="13">
        <v>42171.0</v>
      </c>
      <c r="J87" s="11">
        <f t="shared" si="2"/>
        <v>2237</v>
      </c>
      <c r="K87" s="14">
        <v>45900.0</v>
      </c>
      <c r="L87" s="14">
        <v>2400.0</v>
      </c>
      <c r="M87" s="12">
        <v>5.0</v>
      </c>
      <c r="N87" s="12">
        <v>4.0</v>
      </c>
    </row>
    <row r="88" ht="15.75" customHeight="1">
      <c r="D88" s="12" t="s">
        <v>183</v>
      </c>
      <c r="E88" s="12" t="s">
        <v>184</v>
      </c>
      <c r="F88" s="10" t="str">
        <f t="shared" si="1"/>
        <v>Michelle Choudhury</v>
      </c>
      <c r="G88" s="12" t="s">
        <v>22</v>
      </c>
      <c r="H88" s="13">
        <v>44408.0</v>
      </c>
      <c r="I88" s="13">
        <v>43817.0</v>
      </c>
      <c r="J88" s="11">
        <f t="shared" si="2"/>
        <v>591</v>
      </c>
      <c r="K88" s="14">
        <v>116400.0</v>
      </c>
      <c r="L88" s="14">
        <v>7900.0</v>
      </c>
      <c r="M88" s="12">
        <v>3.0</v>
      </c>
      <c r="N88" s="12">
        <v>2.0</v>
      </c>
    </row>
    <row r="89" ht="15.75" customHeight="1">
      <c r="D89" s="12" t="s">
        <v>185</v>
      </c>
      <c r="E89" s="12" t="s">
        <v>186</v>
      </c>
      <c r="F89" s="10" t="str">
        <f t="shared" si="1"/>
        <v>Richard Claborn</v>
      </c>
      <c r="G89" s="12" t="s">
        <v>56</v>
      </c>
      <c r="H89" s="13">
        <v>44408.0</v>
      </c>
      <c r="I89" s="13">
        <v>42333.0</v>
      </c>
      <c r="J89" s="11">
        <f t="shared" si="2"/>
        <v>2075</v>
      </c>
      <c r="K89" s="14">
        <v>67800.0</v>
      </c>
      <c r="L89" s="14">
        <v>2800.0</v>
      </c>
      <c r="M89" s="12">
        <v>5.0</v>
      </c>
      <c r="N89" s="12">
        <v>1.0</v>
      </c>
    </row>
    <row r="90" ht="15.75" customHeight="1">
      <c r="D90" s="12" t="s">
        <v>187</v>
      </c>
      <c r="E90" s="12" t="s">
        <v>188</v>
      </c>
      <c r="F90" s="10" t="str">
        <f t="shared" si="1"/>
        <v>Buford Clark</v>
      </c>
      <c r="G90" s="12" t="s">
        <v>47</v>
      </c>
      <c r="H90" s="13">
        <v>44408.0</v>
      </c>
      <c r="I90" s="13">
        <v>42160.0</v>
      </c>
      <c r="J90" s="11">
        <f t="shared" si="2"/>
        <v>2248</v>
      </c>
      <c r="K90" s="14">
        <v>66400.0</v>
      </c>
      <c r="L90" s="14">
        <v>0.0</v>
      </c>
      <c r="M90" s="12">
        <v>5.0</v>
      </c>
      <c r="N90" s="12">
        <v>4.0</v>
      </c>
    </row>
    <row r="91" ht="15.75" customHeight="1">
      <c r="D91" s="12" t="s">
        <v>189</v>
      </c>
      <c r="E91" s="12" t="s">
        <v>188</v>
      </c>
      <c r="F91" s="10" t="str">
        <f t="shared" si="1"/>
        <v>Corey Clark</v>
      </c>
      <c r="G91" s="12" t="s">
        <v>26</v>
      </c>
      <c r="H91" s="13">
        <v>44408.0</v>
      </c>
      <c r="I91" s="13">
        <v>42763.0</v>
      </c>
      <c r="J91" s="11">
        <f t="shared" si="2"/>
        <v>1645</v>
      </c>
      <c r="K91" s="14">
        <v>37600.0</v>
      </c>
      <c r="L91" s="14">
        <v>1700.0</v>
      </c>
      <c r="M91" s="12">
        <v>5.0</v>
      </c>
      <c r="N91" s="12">
        <v>2.0</v>
      </c>
    </row>
    <row r="92" ht="15.75" customHeight="1">
      <c r="D92" s="12" t="s">
        <v>190</v>
      </c>
      <c r="E92" s="12" t="s">
        <v>188</v>
      </c>
      <c r="F92" s="10" t="str">
        <f t="shared" si="1"/>
        <v>Dana Clark</v>
      </c>
      <c r="G92" s="12" t="s">
        <v>30</v>
      </c>
      <c r="H92" s="13">
        <v>44408.0</v>
      </c>
      <c r="I92" s="13">
        <v>42485.0</v>
      </c>
      <c r="J92" s="11">
        <f t="shared" si="2"/>
        <v>1923</v>
      </c>
      <c r="K92" s="14">
        <v>99900.0</v>
      </c>
      <c r="L92" s="14">
        <v>5900.0</v>
      </c>
      <c r="M92" s="12">
        <v>7.0</v>
      </c>
      <c r="N92" s="12">
        <v>5.0</v>
      </c>
    </row>
    <row r="93" ht="15.75" customHeight="1">
      <c r="D93" s="12" t="s">
        <v>191</v>
      </c>
      <c r="E93" s="12" t="s">
        <v>188</v>
      </c>
      <c r="F93" s="10" t="str">
        <f t="shared" si="1"/>
        <v>Joaquin Clark</v>
      </c>
      <c r="G93" s="12" t="s">
        <v>70</v>
      </c>
      <c r="H93" s="13">
        <v>44408.0</v>
      </c>
      <c r="I93" s="13">
        <v>43462.0</v>
      </c>
      <c r="J93" s="11">
        <f t="shared" si="2"/>
        <v>946</v>
      </c>
      <c r="K93" s="14">
        <v>29600.0</v>
      </c>
      <c r="L93" s="14">
        <v>0.0</v>
      </c>
      <c r="M93" s="12">
        <v>6.0</v>
      </c>
      <c r="N93" s="12">
        <v>3.0</v>
      </c>
    </row>
    <row r="94" ht="15.75" customHeight="1">
      <c r="D94" s="12" t="s">
        <v>160</v>
      </c>
      <c r="E94" s="12" t="s">
        <v>188</v>
      </c>
      <c r="F94" s="10" t="str">
        <f t="shared" si="1"/>
        <v>Russell Clark</v>
      </c>
      <c r="G94" s="12" t="s">
        <v>30</v>
      </c>
      <c r="H94" s="13">
        <v>44408.0</v>
      </c>
      <c r="I94" s="13">
        <v>42780.0</v>
      </c>
      <c r="J94" s="11">
        <f t="shared" si="2"/>
        <v>1628</v>
      </c>
      <c r="K94" s="14">
        <v>81300.0</v>
      </c>
      <c r="L94" s="14">
        <v>1500.0</v>
      </c>
      <c r="M94" s="12">
        <v>0.0</v>
      </c>
      <c r="N94" s="12">
        <v>1.0</v>
      </c>
    </row>
    <row r="95" ht="15.75" customHeight="1">
      <c r="D95" s="12" t="s">
        <v>192</v>
      </c>
      <c r="E95" s="12" t="s">
        <v>193</v>
      </c>
      <c r="F95" s="10" t="str">
        <f t="shared" si="1"/>
        <v>Marguerite Clayborne</v>
      </c>
      <c r="G95" s="12" t="s">
        <v>33</v>
      </c>
      <c r="H95" s="13">
        <v>44408.0</v>
      </c>
      <c r="I95" s="13">
        <v>44036.0</v>
      </c>
      <c r="J95" s="11">
        <f t="shared" si="2"/>
        <v>372</v>
      </c>
      <c r="K95" s="14">
        <v>48700.0</v>
      </c>
      <c r="L95" s="14">
        <v>3600.0</v>
      </c>
      <c r="M95" s="12">
        <v>9.0</v>
      </c>
      <c r="N95" s="12">
        <v>3.0</v>
      </c>
    </row>
    <row r="96" ht="15.75" customHeight="1">
      <c r="D96" s="12" t="s">
        <v>194</v>
      </c>
      <c r="E96" s="12" t="s">
        <v>195</v>
      </c>
      <c r="F96" s="10" t="str">
        <f t="shared" si="1"/>
        <v>Grace Clemons</v>
      </c>
      <c r="G96" s="12" t="s">
        <v>81</v>
      </c>
      <c r="H96" s="13">
        <v>44408.0</v>
      </c>
      <c r="I96" s="13">
        <v>42594.0</v>
      </c>
      <c r="J96" s="11">
        <f t="shared" si="2"/>
        <v>1814</v>
      </c>
      <c r="K96" s="14">
        <v>80500.0</v>
      </c>
      <c r="L96" s="14">
        <v>1400.0</v>
      </c>
      <c r="M96" s="12">
        <v>1.0</v>
      </c>
      <c r="N96" s="12">
        <v>2.0</v>
      </c>
    </row>
    <row r="97" ht="15.75" customHeight="1">
      <c r="D97" s="12" t="s">
        <v>196</v>
      </c>
      <c r="E97" s="12" t="s">
        <v>197</v>
      </c>
      <c r="F97" s="10" t="str">
        <f t="shared" si="1"/>
        <v>Elias Cobb</v>
      </c>
      <c r="G97" s="12" t="s">
        <v>22</v>
      </c>
      <c r="H97" s="13">
        <v>44408.0</v>
      </c>
      <c r="I97" s="13">
        <v>43826.0</v>
      </c>
      <c r="J97" s="11">
        <f t="shared" si="2"/>
        <v>582</v>
      </c>
      <c r="K97" s="14">
        <v>115900.0</v>
      </c>
      <c r="L97" s="14">
        <v>6000.0</v>
      </c>
      <c r="M97" s="12">
        <v>3.0</v>
      </c>
      <c r="N97" s="12">
        <v>1.0</v>
      </c>
    </row>
    <row r="98" ht="15.75" customHeight="1">
      <c r="D98" s="12" t="s">
        <v>198</v>
      </c>
      <c r="E98" s="12" t="s">
        <v>199</v>
      </c>
      <c r="F98" s="10" t="str">
        <f t="shared" si="1"/>
        <v>Ray Coe</v>
      </c>
      <c r="G98" s="12" t="s">
        <v>22</v>
      </c>
      <c r="H98" s="13">
        <v>44408.0</v>
      </c>
      <c r="I98" s="13">
        <v>42240.0</v>
      </c>
      <c r="J98" s="11">
        <f t="shared" si="2"/>
        <v>2168</v>
      </c>
      <c r="K98" s="14">
        <v>63100.0</v>
      </c>
      <c r="L98" s="14">
        <v>1700.0</v>
      </c>
      <c r="M98" s="12">
        <v>1.0</v>
      </c>
      <c r="N98" s="12">
        <v>3.0</v>
      </c>
    </row>
    <row r="99" ht="15.75" customHeight="1">
      <c r="D99" s="12" t="s">
        <v>200</v>
      </c>
      <c r="E99" s="12" t="s">
        <v>201</v>
      </c>
      <c r="F99" s="10" t="str">
        <f t="shared" si="1"/>
        <v>Bonnie Cole</v>
      </c>
      <c r="G99" s="12" t="s">
        <v>47</v>
      </c>
      <c r="H99" s="13">
        <v>44408.0</v>
      </c>
      <c r="I99" s="13">
        <v>44108.0</v>
      </c>
      <c r="J99" s="11">
        <f t="shared" si="2"/>
        <v>300</v>
      </c>
      <c r="K99" s="14">
        <v>69900.0</v>
      </c>
      <c r="L99" s="14">
        <v>2600.0</v>
      </c>
      <c r="M99" s="12">
        <v>6.0</v>
      </c>
      <c r="N99" s="12">
        <v>5.0</v>
      </c>
    </row>
    <row r="100" ht="15.75" customHeight="1">
      <c r="D100" s="12" t="s">
        <v>202</v>
      </c>
      <c r="E100" s="12" t="s">
        <v>201</v>
      </c>
      <c r="F100" s="10" t="str">
        <f t="shared" si="1"/>
        <v>Keli Cole</v>
      </c>
      <c r="G100" s="12" t="s">
        <v>81</v>
      </c>
      <c r="H100" s="13">
        <v>44408.0</v>
      </c>
      <c r="I100" s="13">
        <v>42932.0</v>
      </c>
      <c r="J100" s="11">
        <f t="shared" si="2"/>
        <v>1476</v>
      </c>
      <c r="K100" s="14">
        <v>70000.0</v>
      </c>
      <c r="L100" s="14">
        <v>5300.0</v>
      </c>
      <c r="M100" s="12">
        <v>3.0</v>
      </c>
      <c r="N100" s="12">
        <v>4.0</v>
      </c>
    </row>
    <row r="101" ht="15.75" customHeight="1">
      <c r="D101" s="12" t="s">
        <v>203</v>
      </c>
      <c r="E101" s="12" t="s">
        <v>204</v>
      </c>
      <c r="F101" s="10" t="str">
        <f t="shared" si="1"/>
        <v>Donald Coleman</v>
      </c>
      <c r="G101" s="12" t="s">
        <v>26</v>
      </c>
      <c r="H101" s="13">
        <v>44408.0</v>
      </c>
      <c r="I101" s="13">
        <v>43612.0</v>
      </c>
      <c r="J101" s="11">
        <f t="shared" si="2"/>
        <v>796</v>
      </c>
      <c r="K101" s="14">
        <v>53000.0</v>
      </c>
      <c r="L101" s="14">
        <v>3500.0</v>
      </c>
      <c r="M101" s="12">
        <v>6.0</v>
      </c>
      <c r="N101" s="12">
        <v>5.0</v>
      </c>
    </row>
    <row r="102" ht="15.75" customHeight="1">
      <c r="D102" s="12" t="s">
        <v>151</v>
      </c>
      <c r="E102" s="12" t="s">
        <v>205</v>
      </c>
      <c r="F102" s="10" t="str">
        <f t="shared" si="1"/>
        <v>Michael Collier</v>
      </c>
      <c r="G102" s="12" t="s">
        <v>81</v>
      </c>
      <c r="H102" s="13">
        <v>44408.0</v>
      </c>
      <c r="I102" s="13">
        <v>42403.0</v>
      </c>
      <c r="J102" s="11">
        <f t="shared" si="2"/>
        <v>2005</v>
      </c>
      <c r="K102" s="14">
        <v>75100.0</v>
      </c>
      <c r="L102" s="14">
        <v>4000.0</v>
      </c>
      <c r="M102" s="12">
        <v>4.0</v>
      </c>
      <c r="N102" s="12">
        <v>4.0</v>
      </c>
    </row>
    <row r="103" ht="15.75" customHeight="1">
      <c r="D103" s="12" t="s">
        <v>206</v>
      </c>
      <c r="E103" s="12" t="s">
        <v>207</v>
      </c>
      <c r="F103" s="10" t="str">
        <f t="shared" si="1"/>
        <v>Nick Colon</v>
      </c>
      <c r="G103" s="12" t="s">
        <v>56</v>
      </c>
      <c r="H103" s="13">
        <v>44408.0</v>
      </c>
      <c r="I103" s="13">
        <v>44200.0</v>
      </c>
      <c r="J103" s="11">
        <f t="shared" si="2"/>
        <v>208</v>
      </c>
      <c r="K103" s="14">
        <v>46900.0</v>
      </c>
      <c r="L103" s="14">
        <v>2200.0</v>
      </c>
      <c r="M103" s="12">
        <v>2.0</v>
      </c>
      <c r="N103" s="12">
        <v>1.0</v>
      </c>
    </row>
    <row r="104" ht="15.75" customHeight="1">
      <c r="D104" s="12" t="s">
        <v>208</v>
      </c>
      <c r="E104" s="12" t="s">
        <v>209</v>
      </c>
      <c r="F104" s="10" t="str">
        <f t="shared" si="1"/>
        <v>Mildred Colvin</v>
      </c>
      <c r="G104" s="12" t="s">
        <v>47</v>
      </c>
      <c r="H104" s="13">
        <v>44408.0</v>
      </c>
      <c r="I104" s="13">
        <v>42498.0</v>
      </c>
      <c r="J104" s="11">
        <f t="shared" si="2"/>
        <v>1910</v>
      </c>
      <c r="K104" s="14">
        <v>42300.0</v>
      </c>
      <c r="L104" s="14">
        <v>2100.0</v>
      </c>
      <c r="M104" s="12">
        <v>4.0</v>
      </c>
      <c r="N104" s="12">
        <v>5.0</v>
      </c>
    </row>
    <row r="105" ht="15.75" customHeight="1">
      <c r="D105" s="12" t="s">
        <v>210</v>
      </c>
      <c r="E105" s="12" t="s">
        <v>211</v>
      </c>
      <c r="F105" s="10" t="str">
        <f t="shared" si="1"/>
        <v>Eldon Conway</v>
      </c>
      <c r="G105" s="12" t="s">
        <v>56</v>
      </c>
      <c r="H105" s="13">
        <v>44408.0</v>
      </c>
      <c r="I105" s="13">
        <v>43730.0</v>
      </c>
      <c r="J105" s="11">
        <f t="shared" si="2"/>
        <v>678</v>
      </c>
      <c r="K105" s="14">
        <v>45100.0</v>
      </c>
      <c r="L105" s="14">
        <v>3800.0</v>
      </c>
      <c r="M105" s="12">
        <v>10.0</v>
      </c>
      <c r="N105" s="12">
        <v>3.0</v>
      </c>
    </row>
    <row r="106" ht="15.75" customHeight="1">
      <c r="D106" s="12" t="s">
        <v>212</v>
      </c>
      <c r="E106" s="12" t="s">
        <v>211</v>
      </c>
      <c r="F106" s="10" t="str">
        <f t="shared" si="1"/>
        <v>Ismael Conway</v>
      </c>
      <c r="G106" s="12" t="s">
        <v>22</v>
      </c>
      <c r="H106" s="13">
        <v>44408.0</v>
      </c>
      <c r="I106" s="13">
        <v>42523.0</v>
      </c>
      <c r="J106" s="11">
        <f t="shared" si="2"/>
        <v>1885</v>
      </c>
      <c r="K106" s="14">
        <v>112300.0</v>
      </c>
      <c r="L106" s="14">
        <v>7600.0</v>
      </c>
      <c r="M106" s="12">
        <v>6.0</v>
      </c>
      <c r="N106" s="12">
        <v>1.0</v>
      </c>
    </row>
    <row r="107" ht="15.75" customHeight="1">
      <c r="D107" s="12" t="s">
        <v>213</v>
      </c>
      <c r="E107" s="12" t="s">
        <v>214</v>
      </c>
      <c r="F107" s="10" t="str">
        <f t="shared" si="1"/>
        <v>Jude Cooper</v>
      </c>
      <c r="G107" s="12" t="s">
        <v>26</v>
      </c>
      <c r="H107" s="13">
        <v>44408.0</v>
      </c>
      <c r="I107" s="13">
        <v>43920.0</v>
      </c>
      <c r="J107" s="11">
        <f t="shared" si="2"/>
        <v>488</v>
      </c>
      <c r="K107" s="14">
        <v>48300.0</v>
      </c>
      <c r="L107" s="14">
        <v>0.0</v>
      </c>
      <c r="M107" s="12">
        <v>5.0</v>
      </c>
      <c r="N107" s="12">
        <v>1.0</v>
      </c>
    </row>
    <row r="108" ht="15.75" customHeight="1">
      <c r="D108" s="12" t="s">
        <v>215</v>
      </c>
      <c r="E108" s="12" t="s">
        <v>216</v>
      </c>
      <c r="F108" s="10" t="str">
        <f t="shared" si="1"/>
        <v>Carma Cordero</v>
      </c>
      <c r="G108" s="12" t="s">
        <v>26</v>
      </c>
      <c r="H108" s="13">
        <v>44408.0</v>
      </c>
      <c r="I108" s="13">
        <v>43844.0</v>
      </c>
      <c r="J108" s="11">
        <f t="shared" si="2"/>
        <v>564</v>
      </c>
      <c r="K108" s="14">
        <v>47400.0</v>
      </c>
      <c r="L108" s="14">
        <v>1800.0</v>
      </c>
      <c r="M108" s="12">
        <v>3.0</v>
      </c>
      <c r="N108" s="12">
        <v>4.0</v>
      </c>
    </row>
    <row r="109" ht="15.75" customHeight="1">
      <c r="D109" s="12" t="s">
        <v>151</v>
      </c>
      <c r="E109" s="12" t="s">
        <v>217</v>
      </c>
      <c r="F109" s="10" t="str">
        <f t="shared" si="1"/>
        <v>Michael Cornelius</v>
      </c>
      <c r="G109" s="12" t="s">
        <v>81</v>
      </c>
      <c r="H109" s="13">
        <v>44408.0</v>
      </c>
      <c r="I109" s="13">
        <v>42675.0</v>
      </c>
      <c r="J109" s="11">
        <f t="shared" si="2"/>
        <v>1733</v>
      </c>
      <c r="K109" s="14">
        <v>75600.0</v>
      </c>
      <c r="L109" s="14">
        <v>2000.0</v>
      </c>
      <c r="M109" s="12">
        <v>11.0</v>
      </c>
      <c r="N109" s="12">
        <v>5.0</v>
      </c>
    </row>
    <row r="110" ht="15.75" customHeight="1">
      <c r="D110" s="12" t="s">
        <v>218</v>
      </c>
      <c r="E110" s="12" t="s">
        <v>219</v>
      </c>
      <c r="F110" s="10" t="str">
        <f t="shared" si="1"/>
        <v>Howard Cotter</v>
      </c>
      <c r="G110" s="12" t="s">
        <v>22</v>
      </c>
      <c r="H110" s="13">
        <v>44408.0</v>
      </c>
      <c r="I110" s="13">
        <v>43192.0</v>
      </c>
      <c r="J110" s="11">
        <f t="shared" si="2"/>
        <v>1216</v>
      </c>
      <c r="K110" s="14">
        <v>81300.0</v>
      </c>
      <c r="L110" s="14">
        <v>3700.0</v>
      </c>
      <c r="M110" s="12">
        <v>2.0</v>
      </c>
      <c r="N110" s="12">
        <v>1.0</v>
      </c>
    </row>
    <row r="111" ht="15.75" customHeight="1">
      <c r="D111" s="12" t="s">
        <v>115</v>
      </c>
      <c r="E111" s="12" t="s">
        <v>220</v>
      </c>
      <c r="F111" s="10" t="str">
        <f t="shared" si="1"/>
        <v>Troy Craig</v>
      </c>
      <c r="G111" s="12" t="s">
        <v>26</v>
      </c>
      <c r="H111" s="13">
        <v>44408.0</v>
      </c>
      <c r="I111" s="13">
        <v>43180.0</v>
      </c>
      <c r="J111" s="11">
        <f t="shared" si="2"/>
        <v>1228</v>
      </c>
      <c r="K111" s="14">
        <v>29800.0</v>
      </c>
      <c r="L111" s="14">
        <v>600.0</v>
      </c>
      <c r="M111" s="12">
        <v>3.0</v>
      </c>
      <c r="N111" s="12">
        <v>3.0</v>
      </c>
    </row>
    <row r="112" ht="15.75" customHeight="1">
      <c r="D112" s="12" t="s">
        <v>221</v>
      </c>
      <c r="E112" s="12" t="s">
        <v>222</v>
      </c>
      <c r="F112" s="10" t="str">
        <f t="shared" si="1"/>
        <v>Sandra Crain</v>
      </c>
      <c r="G112" s="12" t="s">
        <v>47</v>
      </c>
      <c r="H112" s="13">
        <v>44408.0</v>
      </c>
      <c r="I112" s="13">
        <v>42500.0</v>
      </c>
      <c r="J112" s="11">
        <f t="shared" si="2"/>
        <v>1908</v>
      </c>
      <c r="K112" s="14">
        <v>38400.0</v>
      </c>
      <c r="L112" s="14">
        <v>3400.0</v>
      </c>
      <c r="M112" s="12">
        <v>2.0</v>
      </c>
      <c r="N112" s="12">
        <v>3.0</v>
      </c>
    </row>
    <row r="113" ht="15.75" customHeight="1">
      <c r="D113" s="12" t="s">
        <v>103</v>
      </c>
      <c r="E113" s="12" t="s">
        <v>223</v>
      </c>
      <c r="F113" s="10" t="str">
        <f t="shared" si="1"/>
        <v>Jessica Crawley</v>
      </c>
      <c r="G113" s="12" t="s">
        <v>70</v>
      </c>
      <c r="H113" s="13">
        <v>44408.0</v>
      </c>
      <c r="I113" s="13">
        <v>42662.0</v>
      </c>
      <c r="J113" s="11">
        <f t="shared" si="2"/>
        <v>1746</v>
      </c>
      <c r="K113" s="14">
        <v>80600.0</v>
      </c>
      <c r="L113" s="14">
        <v>5000.0</v>
      </c>
      <c r="M113" s="12">
        <v>7.0</v>
      </c>
      <c r="N113" s="12">
        <v>4.0</v>
      </c>
    </row>
    <row r="114" ht="15.75" customHeight="1">
      <c r="D114" s="12" t="s">
        <v>117</v>
      </c>
      <c r="E114" s="12" t="s">
        <v>224</v>
      </c>
      <c r="F114" s="10" t="str">
        <f t="shared" si="1"/>
        <v>James Crozier</v>
      </c>
      <c r="G114" s="12" t="s">
        <v>56</v>
      </c>
      <c r="H114" s="13">
        <v>44408.0</v>
      </c>
      <c r="I114" s="13">
        <v>42542.0</v>
      </c>
      <c r="J114" s="11">
        <f t="shared" si="2"/>
        <v>1866</v>
      </c>
      <c r="K114" s="14">
        <v>65600.0</v>
      </c>
      <c r="L114" s="14">
        <v>2000.0</v>
      </c>
      <c r="M114" s="12">
        <v>4.0</v>
      </c>
      <c r="N114" s="12">
        <v>4.0</v>
      </c>
    </row>
    <row r="115" ht="15.75" customHeight="1">
      <c r="D115" s="12" t="s">
        <v>203</v>
      </c>
      <c r="E115" s="12" t="s">
        <v>225</v>
      </c>
      <c r="F115" s="10" t="str">
        <f t="shared" si="1"/>
        <v>Donald Cruise</v>
      </c>
      <c r="G115" s="12" t="s">
        <v>81</v>
      </c>
      <c r="H115" s="13">
        <v>44408.0</v>
      </c>
      <c r="I115" s="13">
        <v>43028.0</v>
      </c>
      <c r="J115" s="11">
        <f t="shared" si="2"/>
        <v>1380</v>
      </c>
      <c r="K115" s="14">
        <v>98500.0</v>
      </c>
      <c r="L115" s="14">
        <v>7100.0</v>
      </c>
      <c r="M115" s="12">
        <v>3.0</v>
      </c>
      <c r="N115" s="12">
        <v>3.0</v>
      </c>
    </row>
    <row r="116" ht="15.75" customHeight="1">
      <c r="D116" s="12" t="s">
        <v>226</v>
      </c>
      <c r="E116" s="12" t="s">
        <v>227</v>
      </c>
      <c r="F116" s="10" t="str">
        <f t="shared" si="1"/>
        <v>Marie Culley</v>
      </c>
      <c r="G116" s="12" t="s">
        <v>22</v>
      </c>
      <c r="H116" s="13">
        <v>44408.0</v>
      </c>
      <c r="I116" s="13">
        <v>44306.0</v>
      </c>
      <c r="J116" s="11">
        <f t="shared" si="2"/>
        <v>102</v>
      </c>
      <c r="K116" s="14">
        <v>92100.0</v>
      </c>
      <c r="L116" s="14">
        <v>900.0</v>
      </c>
      <c r="M116" s="12">
        <v>9.0</v>
      </c>
      <c r="N116" s="12">
        <v>4.0</v>
      </c>
    </row>
    <row r="117" ht="15.75" customHeight="1">
      <c r="D117" s="12" t="s">
        <v>45</v>
      </c>
      <c r="E117" s="12" t="s">
        <v>228</v>
      </c>
      <c r="F117" s="10" t="str">
        <f t="shared" si="1"/>
        <v>Julie Culligan</v>
      </c>
      <c r="G117" s="12" t="s">
        <v>22</v>
      </c>
      <c r="H117" s="13">
        <v>44408.0</v>
      </c>
      <c r="I117" s="13">
        <v>42525.0</v>
      </c>
      <c r="J117" s="11">
        <f t="shared" si="2"/>
        <v>1883</v>
      </c>
      <c r="K117" s="14">
        <v>106300.0</v>
      </c>
      <c r="L117" s="14">
        <v>4000.0</v>
      </c>
      <c r="M117" s="12">
        <v>8.0</v>
      </c>
      <c r="N117" s="12">
        <v>2.0</v>
      </c>
    </row>
    <row r="118" ht="15.75" customHeight="1">
      <c r="D118" s="12" t="s">
        <v>229</v>
      </c>
      <c r="E118" s="12" t="s">
        <v>230</v>
      </c>
      <c r="F118" s="10" t="str">
        <f t="shared" si="1"/>
        <v>Mario Cully</v>
      </c>
      <c r="G118" s="12" t="s">
        <v>26</v>
      </c>
      <c r="H118" s="13">
        <v>44408.0</v>
      </c>
      <c r="I118" s="13">
        <v>44279.0</v>
      </c>
      <c r="J118" s="11">
        <f t="shared" si="2"/>
        <v>129</v>
      </c>
      <c r="K118" s="14">
        <v>27200.0</v>
      </c>
      <c r="L118" s="14">
        <v>4800.0</v>
      </c>
      <c r="M118" s="12">
        <v>6.0</v>
      </c>
      <c r="N118" s="12">
        <v>3.0</v>
      </c>
    </row>
    <row r="119" ht="15.75" customHeight="1">
      <c r="D119" s="12" t="s">
        <v>231</v>
      </c>
      <c r="E119" s="12" t="s">
        <v>232</v>
      </c>
      <c r="F119" s="10" t="str">
        <f t="shared" si="1"/>
        <v>Betty Cushing</v>
      </c>
      <c r="G119" s="12" t="s">
        <v>33</v>
      </c>
      <c r="H119" s="13">
        <v>44408.0</v>
      </c>
      <c r="I119" s="13">
        <v>44109.0</v>
      </c>
      <c r="J119" s="11">
        <f t="shared" si="2"/>
        <v>299</v>
      </c>
      <c r="K119" s="14">
        <v>46000.0</v>
      </c>
      <c r="L119" s="14">
        <v>1400.0</v>
      </c>
      <c r="M119" s="12">
        <v>4.0</v>
      </c>
      <c r="N119" s="12">
        <v>5.0</v>
      </c>
    </row>
    <row r="120" ht="15.75" customHeight="1">
      <c r="D120" s="12" t="s">
        <v>165</v>
      </c>
      <c r="E120" s="12" t="s">
        <v>233</v>
      </c>
      <c r="F120" s="10" t="str">
        <f t="shared" si="1"/>
        <v>Susan Dahle</v>
      </c>
      <c r="G120" s="12" t="s">
        <v>22</v>
      </c>
      <c r="H120" s="13">
        <v>44408.0</v>
      </c>
      <c r="I120" s="13">
        <v>43025.0</v>
      </c>
      <c r="J120" s="11">
        <f t="shared" si="2"/>
        <v>1383</v>
      </c>
      <c r="K120" s="14">
        <v>82400.0</v>
      </c>
      <c r="L120" s="14">
        <v>4500.0</v>
      </c>
      <c r="M120" s="12">
        <v>7.0</v>
      </c>
      <c r="N120" s="12">
        <v>3.0</v>
      </c>
    </row>
    <row r="121" ht="15.75" customHeight="1">
      <c r="D121" s="12" t="s">
        <v>234</v>
      </c>
      <c r="E121" s="12" t="s">
        <v>235</v>
      </c>
      <c r="F121" s="10" t="str">
        <f t="shared" si="1"/>
        <v>Donna Dailey</v>
      </c>
      <c r="G121" s="12" t="s">
        <v>81</v>
      </c>
      <c r="H121" s="13">
        <v>44408.0</v>
      </c>
      <c r="I121" s="13">
        <v>44221.0</v>
      </c>
      <c r="J121" s="11">
        <f t="shared" si="2"/>
        <v>187</v>
      </c>
      <c r="K121" s="14">
        <v>118500.0</v>
      </c>
      <c r="L121" s="14">
        <v>5700.0</v>
      </c>
      <c r="M121" s="12">
        <v>3.0</v>
      </c>
      <c r="N121" s="12">
        <v>3.0</v>
      </c>
    </row>
    <row r="122" ht="15.75" customHeight="1">
      <c r="D122" s="12" t="s">
        <v>236</v>
      </c>
      <c r="E122" s="12" t="s">
        <v>237</v>
      </c>
      <c r="F122" s="10" t="str">
        <f t="shared" si="1"/>
        <v>Willie Dale</v>
      </c>
      <c r="G122" s="12" t="s">
        <v>56</v>
      </c>
      <c r="H122" s="13">
        <v>44408.0</v>
      </c>
      <c r="I122" s="13">
        <v>42646.0</v>
      </c>
      <c r="J122" s="11">
        <f t="shared" si="2"/>
        <v>1762</v>
      </c>
      <c r="K122" s="14">
        <v>46800.0</v>
      </c>
      <c r="L122" s="14">
        <v>3300.0</v>
      </c>
      <c r="M122" s="12">
        <v>2.0</v>
      </c>
      <c r="N122" s="12">
        <v>3.0</v>
      </c>
    </row>
    <row r="123" ht="15.75" customHeight="1">
      <c r="D123" s="12" t="s">
        <v>238</v>
      </c>
      <c r="E123" s="12" t="s">
        <v>239</v>
      </c>
      <c r="F123" s="10" t="str">
        <f t="shared" si="1"/>
        <v>Florence Daniel</v>
      </c>
      <c r="G123" s="12" t="s">
        <v>56</v>
      </c>
      <c r="H123" s="13">
        <v>44408.0</v>
      </c>
      <c r="I123" s="13">
        <v>42938.0</v>
      </c>
      <c r="J123" s="11">
        <f t="shared" si="2"/>
        <v>1470</v>
      </c>
      <c r="K123" s="14">
        <v>42100.0</v>
      </c>
      <c r="L123" s="14">
        <v>1300.0</v>
      </c>
      <c r="M123" s="12">
        <v>10.0</v>
      </c>
      <c r="N123" s="12">
        <v>4.0</v>
      </c>
    </row>
    <row r="124" ht="15.75" customHeight="1">
      <c r="D124" s="12" t="s">
        <v>239</v>
      </c>
      <c r="E124" s="12" t="s">
        <v>240</v>
      </c>
      <c r="F124" s="10" t="str">
        <f t="shared" si="1"/>
        <v>Daniel Davidson</v>
      </c>
      <c r="G124" s="12" t="s">
        <v>81</v>
      </c>
      <c r="H124" s="13">
        <v>44408.0</v>
      </c>
      <c r="I124" s="13">
        <v>44007.0</v>
      </c>
      <c r="J124" s="11">
        <f t="shared" si="2"/>
        <v>401</v>
      </c>
      <c r="K124" s="14">
        <v>61600.0</v>
      </c>
      <c r="L124" s="14">
        <v>2900.0</v>
      </c>
      <c r="M124" s="12">
        <v>5.0</v>
      </c>
      <c r="N124" s="12">
        <v>2.0</v>
      </c>
    </row>
    <row r="125" ht="15.75" customHeight="1">
      <c r="D125" s="12" t="s">
        <v>241</v>
      </c>
      <c r="E125" s="12" t="s">
        <v>242</v>
      </c>
      <c r="F125" s="10" t="str">
        <f t="shared" si="1"/>
        <v>Christopher Davila</v>
      </c>
      <c r="G125" s="12" t="s">
        <v>70</v>
      </c>
      <c r="H125" s="13">
        <v>44408.0</v>
      </c>
      <c r="I125" s="13">
        <v>42147.0</v>
      </c>
      <c r="J125" s="11">
        <f t="shared" si="2"/>
        <v>2261</v>
      </c>
      <c r="K125" s="14">
        <v>22700.0</v>
      </c>
      <c r="L125" s="14">
        <v>0.0</v>
      </c>
      <c r="M125" s="12">
        <v>3.0</v>
      </c>
      <c r="N125" s="12">
        <v>4.0</v>
      </c>
    </row>
    <row r="126" ht="15.75" customHeight="1">
      <c r="D126" s="12" t="s">
        <v>243</v>
      </c>
      <c r="E126" s="12" t="s">
        <v>244</v>
      </c>
      <c r="F126" s="10" t="str">
        <f t="shared" si="1"/>
        <v>Alice Davis</v>
      </c>
      <c r="G126" s="12" t="s">
        <v>30</v>
      </c>
      <c r="H126" s="13">
        <v>44408.0</v>
      </c>
      <c r="I126" s="13">
        <v>43456.0</v>
      </c>
      <c r="J126" s="11">
        <f t="shared" si="2"/>
        <v>952</v>
      </c>
      <c r="K126" s="14">
        <v>77000.0</v>
      </c>
      <c r="L126" s="14">
        <v>3800.0</v>
      </c>
      <c r="M126" s="12">
        <v>3.0</v>
      </c>
      <c r="N126" s="12">
        <v>3.0</v>
      </c>
    </row>
    <row r="127" ht="15.75" customHeight="1">
      <c r="D127" s="12" t="s">
        <v>245</v>
      </c>
      <c r="E127" s="12" t="s">
        <v>244</v>
      </c>
      <c r="F127" s="10" t="str">
        <f t="shared" si="1"/>
        <v>Dedra Davis</v>
      </c>
      <c r="G127" s="12" t="s">
        <v>81</v>
      </c>
      <c r="H127" s="13">
        <v>44408.0</v>
      </c>
      <c r="I127" s="13">
        <v>42694.0</v>
      </c>
      <c r="J127" s="11">
        <f t="shared" si="2"/>
        <v>1714</v>
      </c>
      <c r="K127" s="14">
        <v>95300.0</v>
      </c>
      <c r="L127" s="14">
        <v>4400.0</v>
      </c>
      <c r="M127" s="12">
        <v>14.0</v>
      </c>
      <c r="N127" s="12">
        <v>3.0</v>
      </c>
    </row>
    <row r="128" ht="15.75" customHeight="1">
      <c r="D128" s="12" t="s">
        <v>246</v>
      </c>
      <c r="E128" s="12" t="s">
        <v>244</v>
      </c>
      <c r="F128" s="10" t="str">
        <f t="shared" si="1"/>
        <v>Frank Davis</v>
      </c>
      <c r="G128" s="12" t="s">
        <v>26</v>
      </c>
      <c r="H128" s="13">
        <v>44408.0</v>
      </c>
      <c r="I128" s="13">
        <v>43764.0</v>
      </c>
      <c r="J128" s="11">
        <f t="shared" si="2"/>
        <v>644</v>
      </c>
      <c r="K128" s="14">
        <v>53300.0</v>
      </c>
      <c r="L128" s="14">
        <v>2900.0</v>
      </c>
      <c r="M128" s="12">
        <v>5.0</v>
      </c>
      <c r="N128" s="12">
        <v>5.0</v>
      </c>
    </row>
    <row r="129" ht="15.75" customHeight="1">
      <c r="D129" s="12" t="s">
        <v>194</v>
      </c>
      <c r="E129" s="12" t="s">
        <v>244</v>
      </c>
      <c r="F129" s="10" t="str">
        <f t="shared" si="1"/>
        <v>Grace Davis</v>
      </c>
      <c r="G129" s="12" t="s">
        <v>30</v>
      </c>
      <c r="H129" s="13">
        <v>44408.0</v>
      </c>
      <c r="I129" s="13">
        <v>44009.0</v>
      </c>
      <c r="J129" s="11">
        <f t="shared" si="2"/>
        <v>399</v>
      </c>
      <c r="K129" s="14">
        <v>86900.0</v>
      </c>
      <c r="L129" s="14">
        <v>3800.0</v>
      </c>
      <c r="M129" s="12">
        <v>5.0</v>
      </c>
      <c r="N129" s="12">
        <v>1.0</v>
      </c>
    </row>
    <row r="130" ht="15.75" customHeight="1">
      <c r="D130" s="12" t="s">
        <v>247</v>
      </c>
      <c r="E130" s="12" t="s">
        <v>244</v>
      </c>
      <c r="F130" s="10" t="str">
        <f t="shared" si="1"/>
        <v>Leticia Davis</v>
      </c>
      <c r="G130" s="12" t="s">
        <v>26</v>
      </c>
      <c r="H130" s="13">
        <v>44408.0</v>
      </c>
      <c r="I130" s="13">
        <v>43663.0</v>
      </c>
      <c r="J130" s="11">
        <f t="shared" si="2"/>
        <v>745</v>
      </c>
      <c r="K130" s="14">
        <v>33800.0</v>
      </c>
      <c r="L130" s="14">
        <v>2000.0</v>
      </c>
      <c r="M130" s="12">
        <v>4.0</v>
      </c>
      <c r="N130" s="12">
        <v>4.0</v>
      </c>
    </row>
    <row r="131" ht="15.75" customHeight="1">
      <c r="D131" s="12" t="s">
        <v>248</v>
      </c>
      <c r="E131" s="12" t="s">
        <v>244</v>
      </c>
      <c r="F131" s="10" t="str">
        <f t="shared" si="1"/>
        <v>Mabel Davis</v>
      </c>
      <c r="G131" s="12" t="s">
        <v>33</v>
      </c>
      <c r="H131" s="13">
        <v>44408.0</v>
      </c>
      <c r="I131" s="13">
        <v>43758.0</v>
      </c>
      <c r="J131" s="11">
        <f t="shared" si="2"/>
        <v>650</v>
      </c>
      <c r="K131" s="14">
        <v>51100.0</v>
      </c>
      <c r="L131" s="14">
        <v>1300.0</v>
      </c>
      <c r="M131" s="12">
        <v>1.0</v>
      </c>
      <c r="N131" s="12">
        <v>3.0</v>
      </c>
    </row>
    <row r="132" ht="15.75" customHeight="1">
      <c r="D132" s="12" t="s">
        <v>208</v>
      </c>
      <c r="E132" s="12" t="s">
        <v>244</v>
      </c>
      <c r="F132" s="10" t="str">
        <f t="shared" si="1"/>
        <v>Mildred Davis</v>
      </c>
      <c r="G132" s="12" t="s">
        <v>26</v>
      </c>
      <c r="H132" s="13">
        <v>44408.0</v>
      </c>
      <c r="I132" s="13">
        <v>42414.0</v>
      </c>
      <c r="J132" s="11">
        <f t="shared" si="2"/>
        <v>1994</v>
      </c>
      <c r="K132" s="14">
        <v>61300.0</v>
      </c>
      <c r="L132" s="14">
        <v>2800.0</v>
      </c>
      <c r="M132" s="12">
        <v>4.0</v>
      </c>
      <c r="N132" s="12">
        <v>3.0</v>
      </c>
    </row>
    <row r="133" ht="15.75" customHeight="1">
      <c r="D133" s="12" t="s">
        <v>249</v>
      </c>
      <c r="E133" s="12" t="s">
        <v>244</v>
      </c>
      <c r="F133" s="10" t="str">
        <f t="shared" si="1"/>
        <v>Samantha Davis</v>
      </c>
      <c r="G133" s="12" t="s">
        <v>30</v>
      </c>
      <c r="H133" s="13">
        <v>44408.0</v>
      </c>
      <c r="I133" s="13">
        <v>42053.0</v>
      </c>
      <c r="J133" s="11">
        <f t="shared" si="2"/>
        <v>2355</v>
      </c>
      <c r="K133" s="14">
        <v>77600.0</v>
      </c>
      <c r="L133" s="14">
        <v>2800.0</v>
      </c>
      <c r="M133" s="12">
        <v>6.0</v>
      </c>
      <c r="N133" s="12">
        <v>2.0</v>
      </c>
    </row>
    <row r="134" ht="15.75" customHeight="1">
      <c r="D134" s="12" t="s">
        <v>250</v>
      </c>
      <c r="E134" s="12" t="s">
        <v>244</v>
      </c>
      <c r="F134" s="10" t="str">
        <f t="shared" si="1"/>
        <v>Steven Davis</v>
      </c>
      <c r="G134" s="12" t="s">
        <v>26</v>
      </c>
      <c r="H134" s="13">
        <v>44408.0</v>
      </c>
      <c r="I134" s="13">
        <v>42015.0</v>
      </c>
      <c r="J134" s="11">
        <f t="shared" si="2"/>
        <v>2393</v>
      </c>
      <c r="K134" s="14">
        <v>59700.0</v>
      </c>
      <c r="L134" s="14">
        <v>3600.0</v>
      </c>
      <c r="M134" s="12">
        <v>5.0</v>
      </c>
      <c r="N134" s="12">
        <v>2.0</v>
      </c>
    </row>
    <row r="135" ht="15.75" customHeight="1">
      <c r="D135" s="12" t="s">
        <v>251</v>
      </c>
      <c r="E135" s="12" t="s">
        <v>252</v>
      </c>
      <c r="F135" s="10" t="str">
        <f t="shared" si="1"/>
        <v>Matthew Dawson</v>
      </c>
      <c r="G135" s="12" t="s">
        <v>81</v>
      </c>
      <c r="H135" s="13">
        <v>44408.0</v>
      </c>
      <c r="I135" s="13">
        <v>43794.0</v>
      </c>
      <c r="J135" s="11">
        <f t="shared" si="2"/>
        <v>614</v>
      </c>
      <c r="K135" s="14">
        <v>84300.0</v>
      </c>
      <c r="L135" s="14">
        <v>2000.0</v>
      </c>
      <c r="M135" s="12">
        <v>3.0</v>
      </c>
      <c r="N135" s="12">
        <v>3.0</v>
      </c>
    </row>
    <row r="136" ht="15.75" customHeight="1">
      <c r="D136" s="12" t="s">
        <v>253</v>
      </c>
      <c r="E136" s="12" t="s">
        <v>254</v>
      </c>
      <c r="F136" s="10" t="str">
        <f t="shared" si="1"/>
        <v>David Decoteau</v>
      </c>
      <c r="G136" s="12" t="s">
        <v>70</v>
      </c>
      <c r="H136" s="13">
        <v>44408.0</v>
      </c>
      <c r="I136" s="13">
        <v>42775.0</v>
      </c>
      <c r="J136" s="11">
        <f t="shared" si="2"/>
        <v>1633</v>
      </c>
      <c r="K136" s="14">
        <v>53000.0</v>
      </c>
      <c r="L136" s="14">
        <v>900.0</v>
      </c>
      <c r="M136" s="12">
        <v>5.0</v>
      </c>
      <c r="N136" s="12">
        <v>2.0</v>
      </c>
    </row>
    <row r="137" ht="15.75" customHeight="1">
      <c r="D137" s="12" t="s">
        <v>255</v>
      </c>
      <c r="E137" s="12" t="s">
        <v>256</v>
      </c>
      <c r="F137" s="10" t="str">
        <f t="shared" si="1"/>
        <v>Eva Deleon</v>
      </c>
      <c r="G137" s="12" t="s">
        <v>22</v>
      </c>
      <c r="H137" s="13">
        <v>44408.0</v>
      </c>
      <c r="I137" s="13">
        <v>43074.0</v>
      </c>
      <c r="J137" s="11">
        <f t="shared" si="2"/>
        <v>1334</v>
      </c>
      <c r="K137" s="14">
        <v>114400.0</v>
      </c>
      <c r="L137" s="14">
        <v>4800.0</v>
      </c>
      <c r="M137" s="12">
        <v>6.0</v>
      </c>
      <c r="N137" s="12">
        <v>5.0</v>
      </c>
    </row>
    <row r="138" ht="15.75" customHeight="1">
      <c r="D138" s="12" t="s">
        <v>257</v>
      </c>
      <c r="E138" s="12" t="s">
        <v>258</v>
      </c>
      <c r="F138" s="10" t="str">
        <f t="shared" si="1"/>
        <v>Celia Dennison</v>
      </c>
      <c r="G138" s="12" t="s">
        <v>26</v>
      </c>
      <c r="H138" s="13">
        <v>44408.0</v>
      </c>
      <c r="I138" s="13">
        <v>44181.0</v>
      </c>
      <c r="J138" s="11">
        <f t="shared" si="2"/>
        <v>227</v>
      </c>
      <c r="K138" s="14">
        <v>34100.0</v>
      </c>
      <c r="L138" s="14">
        <v>2100.0</v>
      </c>
      <c r="M138" s="12">
        <v>3.0</v>
      </c>
      <c r="N138" s="12">
        <v>4.0</v>
      </c>
    </row>
    <row r="139" ht="15.75" customHeight="1">
      <c r="D139" s="12" t="s">
        <v>259</v>
      </c>
      <c r="E139" s="12" t="s">
        <v>260</v>
      </c>
      <c r="F139" s="10" t="str">
        <f t="shared" si="1"/>
        <v>Frances Denny</v>
      </c>
      <c r="G139" s="12" t="s">
        <v>30</v>
      </c>
      <c r="H139" s="13">
        <v>44408.0</v>
      </c>
      <c r="I139" s="13">
        <v>44318.0</v>
      </c>
      <c r="J139" s="11">
        <f t="shared" si="2"/>
        <v>90</v>
      </c>
      <c r="K139" s="14">
        <v>104300.0</v>
      </c>
      <c r="L139" s="14">
        <v>5200.0</v>
      </c>
      <c r="M139" s="12">
        <v>5.0</v>
      </c>
      <c r="N139" s="12">
        <v>3.0</v>
      </c>
    </row>
    <row r="140" ht="15.75" customHeight="1">
      <c r="D140" s="12" t="s">
        <v>261</v>
      </c>
      <c r="E140" s="12" t="s">
        <v>262</v>
      </c>
      <c r="F140" s="10" t="str">
        <f t="shared" si="1"/>
        <v>Arthur Depp</v>
      </c>
      <c r="G140" s="12" t="s">
        <v>22</v>
      </c>
      <c r="H140" s="13">
        <v>44408.0</v>
      </c>
      <c r="I140" s="13">
        <v>43093.0</v>
      </c>
      <c r="J140" s="11">
        <f t="shared" si="2"/>
        <v>1315</v>
      </c>
      <c r="K140" s="14">
        <v>96000.0</v>
      </c>
      <c r="L140" s="14">
        <v>4800.0</v>
      </c>
      <c r="M140" s="12">
        <v>4.0</v>
      </c>
      <c r="N140" s="12">
        <v>4.0</v>
      </c>
    </row>
    <row r="141" ht="15.75" customHeight="1">
      <c r="D141" s="12" t="s">
        <v>263</v>
      </c>
      <c r="E141" s="12" t="s">
        <v>264</v>
      </c>
      <c r="F141" s="10" t="str">
        <f t="shared" si="1"/>
        <v>Lucy Derosa</v>
      </c>
      <c r="G141" s="12" t="s">
        <v>81</v>
      </c>
      <c r="H141" s="13">
        <v>44408.0</v>
      </c>
      <c r="I141" s="13">
        <v>43052.0</v>
      </c>
      <c r="J141" s="11">
        <f t="shared" si="2"/>
        <v>1356</v>
      </c>
      <c r="K141" s="14">
        <v>32300.0</v>
      </c>
      <c r="L141" s="14">
        <v>3200.0</v>
      </c>
      <c r="M141" s="12">
        <v>6.0</v>
      </c>
      <c r="N141" s="12">
        <v>3.0</v>
      </c>
    </row>
    <row r="142" ht="15.75" customHeight="1">
      <c r="D142" s="12" t="s">
        <v>265</v>
      </c>
      <c r="E142" s="12" t="s">
        <v>266</v>
      </c>
      <c r="F142" s="10" t="str">
        <f t="shared" si="1"/>
        <v>Gene Diamond</v>
      </c>
      <c r="G142" s="12" t="s">
        <v>26</v>
      </c>
      <c r="H142" s="13">
        <v>44408.0</v>
      </c>
      <c r="I142" s="13">
        <v>42192.0</v>
      </c>
      <c r="J142" s="11">
        <f t="shared" si="2"/>
        <v>2216</v>
      </c>
      <c r="K142" s="14">
        <v>50600.0</v>
      </c>
      <c r="L142" s="14">
        <v>1200.0</v>
      </c>
      <c r="M142" s="12">
        <v>5.0</v>
      </c>
      <c r="N142" s="12">
        <v>4.0</v>
      </c>
    </row>
    <row r="143" ht="15.75" customHeight="1">
      <c r="D143" s="12" t="s">
        <v>267</v>
      </c>
      <c r="E143" s="12" t="s">
        <v>268</v>
      </c>
      <c r="F143" s="10" t="str">
        <f t="shared" si="1"/>
        <v>Jason Diaz</v>
      </c>
      <c r="G143" s="12" t="s">
        <v>33</v>
      </c>
      <c r="H143" s="13">
        <v>44408.0</v>
      </c>
      <c r="I143" s="13">
        <v>42748.0</v>
      </c>
      <c r="J143" s="11">
        <f t="shared" si="2"/>
        <v>1660</v>
      </c>
      <c r="K143" s="14">
        <v>27700.0</v>
      </c>
      <c r="L143" s="14">
        <v>1000.0</v>
      </c>
      <c r="M143" s="12">
        <v>5.0</v>
      </c>
      <c r="N143" s="12">
        <v>5.0</v>
      </c>
    </row>
    <row r="144" ht="15.75" customHeight="1">
      <c r="D144" s="12" t="s">
        <v>267</v>
      </c>
      <c r="E144" s="12" t="s">
        <v>269</v>
      </c>
      <c r="F144" s="10" t="str">
        <f t="shared" si="1"/>
        <v>Jason Dixon</v>
      </c>
      <c r="G144" s="12" t="s">
        <v>47</v>
      </c>
      <c r="H144" s="13">
        <v>44408.0</v>
      </c>
      <c r="I144" s="13">
        <v>43394.0</v>
      </c>
      <c r="J144" s="11">
        <f t="shared" si="2"/>
        <v>1014</v>
      </c>
      <c r="K144" s="14">
        <v>64100.0</v>
      </c>
      <c r="L144" s="14">
        <v>4700.0</v>
      </c>
      <c r="M144" s="12">
        <v>9.0</v>
      </c>
      <c r="N144" s="12">
        <v>5.0</v>
      </c>
    </row>
    <row r="145" ht="15.75" customHeight="1">
      <c r="D145" s="12" t="s">
        <v>270</v>
      </c>
      <c r="E145" s="12" t="s">
        <v>271</v>
      </c>
      <c r="F145" s="10" t="str">
        <f t="shared" si="1"/>
        <v>Devon Dones</v>
      </c>
      <c r="G145" s="12" t="s">
        <v>81</v>
      </c>
      <c r="H145" s="13">
        <v>44408.0</v>
      </c>
      <c r="I145" s="13">
        <v>42260.0</v>
      </c>
      <c r="J145" s="11">
        <f t="shared" si="2"/>
        <v>2148</v>
      </c>
      <c r="K145" s="14">
        <v>108300.0</v>
      </c>
      <c r="L145" s="14">
        <v>6600.0</v>
      </c>
      <c r="M145" s="12">
        <v>1.0</v>
      </c>
      <c r="N145" s="12">
        <v>2.0</v>
      </c>
    </row>
    <row r="146" ht="15.75" customHeight="1">
      <c r="D146" s="12" t="s">
        <v>109</v>
      </c>
      <c r="E146" s="12" t="s">
        <v>272</v>
      </c>
      <c r="F146" s="10" t="str">
        <f t="shared" si="1"/>
        <v>Johnnie Doran</v>
      </c>
      <c r="G146" s="12" t="s">
        <v>70</v>
      </c>
      <c r="H146" s="13">
        <v>44408.0</v>
      </c>
      <c r="I146" s="13">
        <v>43669.0</v>
      </c>
      <c r="J146" s="11">
        <f t="shared" si="2"/>
        <v>739</v>
      </c>
      <c r="K146" s="14">
        <v>46200.0</v>
      </c>
      <c r="L146" s="14">
        <v>3700.0</v>
      </c>
      <c r="M146" s="12">
        <v>11.0</v>
      </c>
      <c r="N146" s="12">
        <v>1.0</v>
      </c>
    </row>
    <row r="147" ht="15.75" customHeight="1">
      <c r="D147" s="12" t="s">
        <v>117</v>
      </c>
      <c r="E147" s="12" t="s">
        <v>273</v>
      </c>
      <c r="F147" s="10" t="str">
        <f t="shared" si="1"/>
        <v>James Doucette</v>
      </c>
      <c r="G147" s="12" t="s">
        <v>70</v>
      </c>
      <c r="H147" s="13">
        <v>44408.0</v>
      </c>
      <c r="I147" s="13">
        <v>42927.0</v>
      </c>
      <c r="J147" s="11">
        <f t="shared" si="2"/>
        <v>1481</v>
      </c>
      <c r="K147" s="14">
        <v>39000.0</v>
      </c>
      <c r="L147" s="14">
        <v>3400.0</v>
      </c>
      <c r="M147" s="12">
        <v>7.0</v>
      </c>
      <c r="N147" s="12">
        <v>4.0</v>
      </c>
    </row>
    <row r="148" ht="15.75" customHeight="1">
      <c r="D148" s="12" t="s">
        <v>274</v>
      </c>
      <c r="E148" s="12" t="s">
        <v>275</v>
      </c>
      <c r="F148" s="10" t="str">
        <f t="shared" si="1"/>
        <v>Leora Downs</v>
      </c>
      <c r="G148" s="12" t="s">
        <v>26</v>
      </c>
      <c r="H148" s="13">
        <v>44408.0</v>
      </c>
      <c r="I148" s="13">
        <v>43802.0</v>
      </c>
      <c r="J148" s="11">
        <f t="shared" si="2"/>
        <v>606</v>
      </c>
      <c r="K148" s="14">
        <v>52400.0</v>
      </c>
      <c r="L148" s="14">
        <v>1400.0</v>
      </c>
      <c r="M148" s="12">
        <v>5.0</v>
      </c>
      <c r="N148" s="12">
        <v>3.0</v>
      </c>
    </row>
    <row r="149" ht="15.75" customHeight="1">
      <c r="D149" s="12" t="s">
        <v>234</v>
      </c>
      <c r="E149" s="12" t="s">
        <v>276</v>
      </c>
      <c r="F149" s="10" t="str">
        <f t="shared" si="1"/>
        <v>Donna Doyle</v>
      </c>
      <c r="G149" s="12" t="s">
        <v>81</v>
      </c>
      <c r="H149" s="13">
        <v>44408.0</v>
      </c>
      <c r="I149" s="13">
        <v>43316.0</v>
      </c>
      <c r="J149" s="11">
        <f t="shared" si="2"/>
        <v>1092</v>
      </c>
      <c r="K149" s="14">
        <v>68400.0</v>
      </c>
      <c r="L149" s="14">
        <v>5300.0</v>
      </c>
      <c r="M149" s="12">
        <v>6.0</v>
      </c>
      <c r="N149" s="12">
        <v>2.0</v>
      </c>
    </row>
    <row r="150" ht="15.75" customHeight="1">
      <c r="D150" s="12" t="s">
        <v>277</v>
      </c>
      <c r="E150" s="12" t="s">
        <v>278</v>
      </c>
      <c r="F150" s="10" t="str">
        <f t="shared" si="1"/>
        <v>Stephan Dupuy</v>
      </c>
      <c r="G150" s="12" t="s">
        <v>56</v>
      </c>
      <c r="H150" s="13">
        <v>44408.0</v>
      </c>
      <c r="I150" s="13">
        <v>43278.0</v>
      </c>
      <c r="J150" s="11">
        <f t="shared" si="2"/>
        <v>1130</v>
      </c>
      <c r="K150" s="14">
        <v>56200.0</v>
      </c>
      <c r="L150" s="14">
        <v>3500.0</v>
      </c>
      <c r="M150" s="12">
        <v>7.0</v>
      </c>
      <c r="N150" s="12">
        <v>4.0</v>
      </c>
    </row>
    <row r="151" ht="15.75" customHeight="1">
      <c r="D151" s="12" t="s">
        <v>279</v>
      </c>
      <c r="E151" s="12" t="s">
        <v>280</v>
      </c>
      <c r="F151" s="10" t="str">
        <f t="shared" si="1"/>
        <v>Martin Dye</v>
      </c>
      <c r="G151" s="12" t="s">
        <v>81</v>
      </c>
      <c r="H151" s="13">
        <v>44408.0</v>
      </c>
      <c r="I151" s="13">
        <v>43658.0</v>
      </c>
      <c r="J151" s="11">
        <f t="shared" si="2"/>
        <v>750</v>
      </c>
      <c r="K151" s="14">
        <v>100000.0</v>
      </c>
      <c r="L151" s="14">
        <v>5300.0</v>
      </c>
      <c r="M151" s="12">
        <v>3.0</v>
      </c>
      <c r="N151" s="12">
        <v>3.0</v>
      </c>
    </row>
    <row r="152" ht="15.75" customHeight="1">
      <c r="D152" s="12" t="s">
        <v>281</v>
      </c>
      <c r="E152" s="12" t="s">
        <v>196</v>
      </c>
      <c r="F152" s="10" t="str">
        <f t="shared" si="1"/>
        <v>Helen Elias</v>
      </c>
      <c r="G152" s="12" t="s">
        <v>56</v>
      </c>
      <c r="H152" s="13">
        <v>44408.0</v>
      </c>
      <c r="I152" s="13">
        <v>42457.0</v>
      </c>
      <c r="J152" s="11">
        <f t="shared" si="2"/>
        <v>1951</v>
      </c>
      <c r="K152" s="14">
        <v>50800.0</v>
      </c>
      <c r="L152" s="14">
        <v>2100.0</v>
      </c>
      <c r="M152" s="12">
        <v>8.0</v>
      </c>
      <c r="N152" s="12">
        <v>3.0</v>
      </c>
    </row>
    <row r="153" ht="15.75" customHeight="1">
      <c r="D153" s="12" t="s">
        <v>282</v>
      </c>
      <c r="E153" s="12" t="s">
        <v>283</v>
      </c>
      <c r="F153" s="10" t="str">
        <f t="shared" si="1"/>
        <v>Thomas Ely</v>
      </c>
      <c r="G153" s="12" t="s">
        <v>22</v>
      </c>
      <c r="H153" s="13">
        <v>44408.0</v>
      </c>
      <c r="I153" s="13">
        <v>42138.0</v>
      </c>
      <c r="J153" s="11">
        <f t="shared" si="2"/>
        <v>2270</v>
      </c>
      <c r="K153" s="14">
        <v>72700.0</v>
      </c>
      <c r="L153" s="14">
        <v>2600.0</v>
      </c>
      <c r="M153" s="12">
        <v>3.0</v>
      </c>
      <c r="N153" s="12">
        <v>2.0</v>
      </c>
    </row>
    <row r="154" ht="15.75" customHeight="1">
      <c r="D154" s="12" t="s">
        <v>200</v>
      </c>
      <c r="E154" s="12" t="s">
        <v>284</v>
      </c>
      <c r="F154" s="10" t="str">
        <f t="shared" si="1"/>
        <v>Bonnie Engelhardt</v>
      </c>
      <c r="G154" s="12" t="s">
        <v>33</v>
      </c>
      <c r="H154" s="13">
        <v>44408.0</v>
      </c>
      <c r="I154" s="13">
        <v>42891.0</v>
      </c>
      <c r="J154" s="11">
        <f t="shared" si="2"/>
        <v>1517</v>
      </c>
      <c r="K154" s="14">
        <v>61500.0</v>
      </c>
      <c r="L154" s="14">
        <v>3700.0</v>
      </c>
      <c r="M154" s="12">
        <v>4.0</v>
      </c>
      <c r="N154" s="12">
        <v>2.0</v>
      </c>
    </row>
    <row r="155" ht="15.75" customHeight="1">
      <c r="D155" s="12" t="s">
        <v>151</v>
      </c>
      <c r="E155" s="12" t="s">
        <v>285</v>
      </c>
      <c r="F155" s="10" t="str">
        <f t="shared" si="1"/>
        <v>Michael Erickson</v>
      </c>
      <c r="G155" s="12" t="s">
        <v>33</v>
      </c>
      <c r="H155" s="13">
        <v>44408.0</v>
      </c>
      <c r="I155" s="13">
        <v>43702.0</v>
      </c>
      <c r="J155" s="11">
        <f t="shared" si="2"/>
        <v>706</v>
      </c>
      <c r="K155" s="14">
        <v>52900.0</v>
      </c>
      <c r="L155" s="14">
        <v>2100.0</v>
      </c>
      <c r="M155" s="12">
        <v>6.0</v>
      </c>
      <c r="N155" s="12">
        <v>1.0</v>
      </c>
    </row>
    <row r="156" ht="15.75" customHeight="1">
      <c r="D156" s="12" t="s">
        <v>97</v>
      </c>
      <c r="E156" s="12" t="s">
        <v>286</v>
      </c>
      <c r="F156" s="10" t="str">
        <f t="shared" si="1"/>
        <v>Anthony Evans</v>
      </c>
      <c r="G156" s="12" t="s">
        <v>26</v>
      </c>
      <c r="H156" s="13">
        <v>44408.0</v>
      </c>
      <c r="I156" s="13">
        <v>43381.0</v>
      </c>
      <c r="J156" s="11">
        <f t="shared" si="2"/>
        <v>1027</v>
      </c>
      <c r="K156" s="14">
        <v>46900.0</v>
      </c>
      <c r="L156" s="14">
        <v>300.0</v>
      </c>
      <c r="M156" s="12">
        <v>5.0</v>
      </c>
      <c r="N156" s="12">
        <v>2.0</v>
      </c>
    </row>
    <row r="157" ht="15.75" customHeight="1">
      <c r="D157" s="12" t="s">
        <v>287</v>
      </c>
      <c r="E157" s="12" t="s">
        <v>286</v>
      </c>
      <c r="F157" s="10" t="str">
        <f t="shared" si="1"/>
        <v>Jean Evans</v>
      </c>
      <c r="G157" s="12" t="s">
        <v>47</v>
      </c>
      <c r="H157" s="13">
        <v>44408.0</v>
      </c>
      <c r="I157" s="13">
        <v>44276.0</v>
      </c>
      <c r="J157" s="11">
        <f t="shared" si="2"/>
        <v>132</v>
      </c>
      <c r="K157" s="14">
        <v>66200.0</v>
      </c>
      <c r="L157" s="14">
        <v>3900.0</v>
      </c>
      <c r="M157" s="12">
        <v>3.0</v>
      </c>
      <c r="N157" s="12">
        <v>3.0</v>
      </c>
    </row>
    <row r="158" ht="15.75" customHeight="1">
      <c r="D158" s="12" t="s">
        <v>288</v>
      </c>
      <c r="E158" s="12" t="s">
        <v>289</v>
      </c>
      <c r="F158" s="10" t="str">
        <f t="shared" si="1"/>
        <v>Katie Facer</v>
      </c>
      <c r="G158" s="12" t="s">
        <v>47</v>
      </c>
      <c r="H158" s="13">
        <v>44408.0</v>
      </c>
      <c r="I158" s="13">
        <v>43589.0</v>
      </c>
      <c r="J158" s="11">
        <f t="shared" si="2"/>
        <v>819</v>
      </c>
      <c r="K158" s="14">
        <v>47000.0</v>
      </c>
      <c r="L158" s="14">
        <v>3400.0</v>
      </c>
      <c r="M158" s="12">
        <v>6.0</v>
      </c>
      <c r="N158" s="12">
        <v>4.0</v>
      </c>
    </row>
    <row r="159" ht="15.75" customHeight="1">
      <c r="D159" s="12" t="s">
        <v>290</v>
      </c>
      <c r="E159" s="12" t="s">
        <v>291</v>
      </c>
      <c r="F159" s="10" t="str">
        <f t="shared" si="1"/>
        <v>Kristen Farias</v>
      </c>
      <c r="G159" s="12" t="s">
        <v>33</v>
      </c>
      <c r="H159" s="13">
        <v>44408.0</v>
      </c>
      <c r="I159" s="13">
        <v>42690.0</v>
      </c>
      <c r="J159" s="11">
        <f t="shared" si="2"/>
        <v>1718</v>
      </c>
      <c r="K159" s="14">
        <v>26100.0</v>
      </c>
      <c r="L159" s="14">
        <v>3000.0</v>
      </c>
      <c r="M159" s="12">
        <v>5.0</v>
      </c>
      <c r="N159" s="12">
        <v>2.0</v>
      </c>
    </row>
    <row r="160" ht="15.75" customHeight="1">
      <c r="D160" s="12" t="s">
        <v>281</v>
      </c>
      <c r="E160" s="12" t="s">
        <v>292</v>
      </c>
      <c r="F160" s="10" t="str">
        <f t="shared" si="1"/>
        <v>Helen Fay</v>
      </c>
      <c r="G160" s="12" t="s">
        <v>47</v>
      </c>
      <c r="H160" s="13">
        <v>44408.0</v>
      </c>
      <c r="I160" s="13">
        <v>43493.0</v>
      </c>
      <c r="J160" s="11">
        <f t="shared" si="2"/>
        <v>915</v>
      </c>
      <c r="K160" s="14">
        <v>48100.0</v>
      </c>
      <c r="L160" s="14">
        <v>1300.0</v>
      </c>
      <c r="M160" s="12">
        <v>2.0</v>
      </c>
      <c r="N160" s="12">
        <v>3.0</v>
      </c>
    </row>
    <row r="161" ht="15.75" customHeight="1">
      <c r="D161" s="12" t="s">
        <v>117</v>
      </c>
      <c r="E161" s="12" t="s">
        <v>293</v>
      </c>
      <c r="F161" s="10" t="str">
        <f t="shared" si="1"/>
        <v>James Fenske</v>
      </c>
      <c r="G161" s="12" t="s">
        <v>70</v>
      </c>
      <c r="H161" s="13">
        <v>44408.0</v>
      </c>
      <c r="I161" s="13">
        <v>44306.0</v>
      </c>
      <c r="J161" s="11">
        <f t="shared" si="2"/>
        <v>102</v>
      </c>
      <c r="K161" s="14">
        <v>53300.0</v>
      </c>
      <c r="L161" s="14">
        <v>1000.0</v>
      </c>
      <c r="M161" s="12">
        <v>5.0</v>
      </c>
      <c r="N161" s="12">
        <v>4.0</v>
      </c>
    </row>
    <row r="162" ht="15.75" customHeight="1">
      <c r="D162" s="12" t="s">
        <v>294</v>
      </c>
      <c r="E162" s="12" t="s">
        <v>295</v>
      </c>
      <c r="F162" s="10" t="str">
        <f t="shared" si="1"/>
        <v>Wayne Ferro</v>
      </c>
      <c r="G162" s="12" t="s">
        <v>70</v>
      </c>
      <c r="H162" s="13">
        <v>44408.0</v>
      </c>
      <c r="I162" s="13">
        <v>43903.0</v>
      </c>
      <c r="J162" s="11">
        <f t="shared" si="2"/>
        <v>505</v>
      </c>
      <c r="K162" s="14">
        <v>43500.0</v>
      </c>
      <c r="L162" s="14">
        <v>2400.0</v>
      </c>
      <c r="M162" s="12">
        <v>1.0</v>
      </c>
      <c r="N162" s="12">
        <v>5.0</v>
      </c>
    </row>
    <row r="163" ht="15.75" customHeight="1">
      <c r="D163" s="12" t="s">
        <v>296</v>
      </c>
      <c r="E163" s="12" t="s">
        <v>297</v>
      </c>
      <c r="F163" s="10" t="str">
        <f t="shared" si="1"/>
        <v>Billy Fielding</v>
      </c>
      <c r="G163" s="12" t="s">
        <v>56</v>
      </c>
      <c r="H163" s="13">
        <v>44408.0</v>
      </c>
      <c r="I163" s="13">
        <v>42801.0</v>
      </c>
      <c r="J163" s="11">
        <f t="shared" si="2"/>
        <v>1607</v>
      </c>
      <c r="K163" s="14">
        <v>45800.0</v>
      </c>
      <c r="L163" s="14">
        <v>4400.0</v>
      </c>
      <c r="M163" s="12">
        <v>6.0</v>
      </c>
      <c r="N163" s="12">
        <v>2.0</v>
      </c>
    </row>
    <row r="164" ht="15.75" customHeight="1">
      <c r="D164" s="12" t="s">
        <v>298</v>
      </c>
      <c r="E164" s="12" t="s">
        <v>299</v>
      </c>
      <c r="F164" s="10" t="str">
        <f t="shared" si="1"/>
        <v>Pamela Files</v>
      </c>
      <c r="G164" s="12" t="s">
        <v>22</v>
      </c>
      <c r="H164" s="13">
        <v>44408.0</v>
      </c>
      <c r="I164" s="13">
        <v>44180.0</v>
      </c>
      <c r="J164" s="11">
        <f t="shared" si="2"/>
        <v>228</v>
      </c>
      <c r="K164" s="14">
        <v>94500.0</v>
      </c>
      <c r="L164" s="14">
        <v>8300.0</v>
      </c>
      <c r="M164" s="12">
        <v>4.0</v>
      </c>
      <c r="N164" s="12">
        <v>5.0</v>
      </c>
    </row>
    <row r="165" ht="15.75" customHeight="1">
      <c r="D165" s="12" t="s">
        <v>300</v>
      </c>
      <c r="E165" s="12" t="s">
        <v>301</v>
      </c>
      <c r="F165" s="10" t="str">
        <f t="shared" si="1"/>
        <v>Henry Fischer</v>
      </c>
      <c r="G165" s="12" t="s">
        <v>30</v>
      </c>
      <c r="H165" s="13">
        <v>44408.0</v>
      </c>
      <c r="I165" s="13">
        <v>42520.0</v>
      </c>
      <c r="J165" s="11">
        <f t="shared" si="2"/>
        <v>1888</v>
      </c>
      <c r="K165" s="14">
        <v>62700.0</v>
      </c>
      <c r="L165" s="14">
        <v>3200.0</v>
      </c>
      <c r="M165" s="12">
        <v>6.0</v>
      </c>
      <c r="N165" s="12">
        <v>3.0</v>
      </c>
    </row>
    <row r="166" ht="15.75" customHeight="1">
      <c r="D166" s="12" t="s">
        <v>302</v>
      </c>
      <c r="E166" s="12" t="s">
        <v>303</v>
      </c>
      <c r="F166" s="10" t="str">
        <f t="shared" si="1"/>
        <v>Stanley Fleeman</v>
      </c>
      <c r="G166" s="12" t="s">
        <v>70</v>
      </c>
      <c r="H166" s="13">
        <v>44408.0</v>
      </c>
      <c r="I166" s="13">
        <v>43444.0</v>
      </c>
      <c r="J166" s="11">
        <f t="shared" si="2"/>
        <v>964</v>
      </c>
      <c r="K166" s="14">
        <v>68200.0</v>
      </c>
      <c r="L166" s="14">
        <v>3400.0</v>
      </c>
      <c r="M166" s="12">
        <v>3.0</v>
      </c>
      <c r="N166" s="12">
        <v>2.0</v>
      </c>
    </row>
    <row r="167" ht="15.75" customHeight="1">
      <c r="D167" s="12" t="s">
        <v>304</v>
      </c>
      <c r="E167" s="12" t="s">
        <v>305</v>
      </c>
      <c r="F167" s="10" t="str">
        <f t="shared" si="1"/>
        <v>Mark Fletcher</v>
      </c>
      <c r="G167" s="12" t="s">
        <v>33</v>
      </c>
      <c r="H167" s="13">
        <v>44408.0</v>
      </c>
      <c r="I167" s="13">
        <v>42260.0</v>
      </c>
      <c r="J167" s="11">
        <f t="shared" si="2"/>
        <v>2148</v>
      </c>
      <c r="K167" s="14">
        <v>53700.0</v>
      </c>
      <c r="L167" s="14">
        <v>5200.0</v>
      </c>
      <c r="M167" s="12">
        <v>4.0</v>
      </c>
      <c r="N167" s="12">
        <v>3.0</v>
      </c>
    </row>
    <row r="168" ht="15.75" customHeight="1">
      <c r="D168" s="12" t="s">
        <v>306</v>
      </c>
      <c r="E168" s="12" t="s">
        <v>307</v>
      </c>
      <c r="F168" s="10" t="str">
        <f t="shared" si="1"/>
        <v>Dorothy Flores</v>
      </c>
      <c r="G168" s="12" t="s">
        <v>70</v>
      </c>
      <c r="H168" s="13">
        <v>44408.0</v>
      </c>
      <c r="I168" s="13">
        <v>42035.0</v>
      </c>
      <c r="J168" s="11">
        <f t="shared" si="2"/>
        <v>2373</v>
      </c>
      <c r="K168" s="14">
        <v>38000.0</v>
      </c>
      <c r="L168" s="14">
        <v>1300.0</v>
      </c>
      <c r="M168" s="12">
        <v>8.0</v>
      </c>
      <c r="N168" s="12">
        <v>4.0</v>
      </c>
    </row>
    <row r="169" ht="15.75" customHeight="1">
      <c r="D169" s="12" t="s">
        <v>308</v>
      </c>
      <c r="E169" s="12" t="s">
        <v>307</v>
      </c>
      <c r="F169" s="10" t="str">
        <f t="shared" si="1"/>
        <v>Ingrid Flores</v>
      </c>
      <c r="G169" s="12" t="s">
        <v>70</v>
      </c>
      <c r="H169" s="13">
        <v>44408.0</v>
      </c>
      <c r="I169" s="13">
        <v>44301.0</v>
      </c>
      <c r="J169" s="11">
        <f t="shared" si="2"/>
        <v>107</v>
      </c>
      <c r="K169" s="14">
        <v>61000.0</v>
      </c>
      <c r="L169" s="14">
        <v>0.0</v>
      </c>
      <c r="M169" s="12">
        <v>5.0</v>
      </c>
      <c r="N169" s="12">
        <v>4.0</v>
      </c>
    </row>
    <row r="170" ht="15.75" customHeight="1">
      <c r="D170" s="12" t="s">
        <v>309</v>
      </c>
      <c r="E170" s="12" t="s">
        <v>310</v>
      </c>
      <c r="F170" s="10" t="str">
        <f t="shared" si="1"/>
        <v>Judy Fontaine</v>
      </c>
      <c r="G170" s="12" t="s">
        <v>30</v>
      </c>
      <c r="H170" s="13">
        <v>44408.0</v>
      </c>
      <c r="I170" s="13">
        <v>42592.0</v>
      </c>
      <c r="J170" s="11">
        <f t="shared" si="2"/>
        <v>1816</v>
      </c>
      <c r="K170" s="14">
        <v>81200.0</v>
      </c>
      <c r="L170" s="14">
        <v>5700.0</v>
      </c>
      <c r="M170" s="12">
        <v>3.0</v>
      </c>
      <c r="N170" s="12">
        <v>3.0</v>
      </c>
    </row>
    <row r="171" ht="15.75" customHeight="1">
      <c r="D171" s="12" t="s">
        <v>311</v>
      </c>
      <c r="E171" s="12" t="s">
        <v>312</v>
      </c>
      <c r="F171" s="10" t="str">
        <f t="shared" si="1"/>
        <v>Douglas Foster</v>
      </c>
      <c r="G171" s="12" t="s">
        <v>30</v>
      </c>
      <c r="H171" s="13">
        <v>44408.0</v>
      </c>
      <c r="I171" s="13">
        <v>43053.0</v>
      </c>
      <c r="J171" s="11">
        <f t="shared" si="2"/>
        <v>1355</v>
      </c>
      <c r="K171" s="14">
        <v>69600.0</v>
      </c>
      <c r="L171" s="14">
        <v>3200.0</v>
      </c>
      <c r="M171" s="12">
        <v>10.0</v>
      </c>
      <c r="N171" s="12">
        <v>2.0</v>
      </c>
    </row>
    <row r="172" ht="15.75" customHeight="1">
      <c r="D172" s="12" t="s">
        <v>313</v>
      </c>
      <c r="E172" s="12" t="s">
        <v>314</v>
      </c>
      <c r="F172" s="10" t="str">
        <f t="shared" si="1"/>
        <v>Randy Fowler</v>
      </c>
      <c r="G172" s="12" t="s">
        <v>81</v>
      </c>
      <c r="H172" s="13">
        <v>44408.0</v>
      </c>
      <c r="I172" s="13">
        <v>42265.0</v>
      </c>
      <c r="J172" s="11">
        <f t="shared" si="2"/>
        <v>2143</v>
      </c>
      <c r="K172" s="14">
        <v>106400.0</v>
      </c>
      <c r="L172" s="14">
        <v>6100.0</v>
      </c>
      <c r="M172" s="12">
        <v>3.0</v>
      </c>
      <c r="N172" s="12">
        <v>2.0</v>
      </c>
    </row>
    <row r="173" ht="15.75" customHeight="1">
      <c r="D173" s="12" t="s">
        <v>203</v>
      </c>
      <c r="E173" s="12" t="s">
        <v>315</v>
      </c>
      <c r="F173" s="10" t="str">
        <f t="shared" si="1"/>
        <v>Donald Fox</v>
      </c>
      <c r="G173" s="12" t="s">
        <v>33</v>
      </c>
      <c r="H173" s="13">
        <v>44408.0</v>
      </c>
      <c r="I173" s="13">
        <v>42272.0</v>
      </c>
      <c r="J173" s="11">
        <f t="shared" si="2"/>
        <v>2136</v>
      </c>
      <c r="K173" s="14">
        <v>64200.0</v>
      </c>
      <c r="L173" s="14">
        <v>4500.0</v>
      </c>
      <c r="M173" s="12">
        <v>8.0</v>
      </c>
      <c r="N173" s="12">
        <v>2.0</v>
      </c>
    </row>
    <row r="174" ht="15.75" customHeight="1">
      <c r="D174" s="12" t="s">
        <v>316</v>
      </c>
      <c r="E174" s="12" t="s">
        <v>317</v>
      </c>
      <c r="F174" s="10" t="str">
        <f t="shared" si="1"/>
        <v>Benjamin Franco</v>
      </c>
      <c r="G174" s="12" t="s">
        <v>70</v>
      </c>
      <c r="H174" s="13">
        <v>44408.0</v>
      </c>
      <c r="I174" s="13">
        <v>42602.0</v>
      </c>
      <c r="J174" s="11">
        <f t="shared" si="2"/>
        <v>1806</v>
      </c>
      <c r="K174" s="14">
        <v>29400.0</v>
      </c>
      <c r="L174" s="14">
        <v>3400.0</v>
      </c>
      <c r="M174" s="12">
        <v>8.0</v>
      </c>
      <c r="N174" s="12">
        <v>3.0</v>
      </c>
    </row>
    <row r="175" ht="15.75" customHeight="1">
      <c r="D175" s="12" t="s">
        <v>318</v>
      </c>
      <c r="E175" s="12" t="s">
        <v>319</v>
      </c>
      <c r="F175" s="10" t="str">
        <f t="shared" si="1"/>
        <v>Erica Franklin</v>
      </c>
      <c r="G175" s="12" t="s">
        <v>26</v>
      </c>
      <c r="H175" s="13">
        <v>44408.0</v>
      </c>
      <c r="I175" s="13">
        <v>44191.0</v>
      </c>
      <c r="J175" s="11">
        <f t="shared" si="2"/>
        <v>217</v>
      </c>
      <c r="K175" s="14">
        <v>51700.0</v>
      </c>
      <c r="L175" s="14">
        <v>800.0</v>
      </c>
      <c r="M175" s="12">
        <v>6.0</v>
      </c>
      <c r="N175" s="12">
        <v>2.0</v>
      </c>
    </row>
    <row r="176" ht="15.75" customHeight="1">
      <c r="D176" s="12" t="s">
        <v>320</v>
      </c>
      <c r="E176" s="12" t="s">
        <v>321</v>
      </c>
      <c r="F176" s="10" t="str">
        <f t="shared" si="1"/>
        <v>Andrea Frazier</v>
      </c>
      <c r="G176" s="12" t="s">
        <v>70</v>
      </c>
      <c r="H176" s="13">
        <v>44408.0</v>
      </c>
      <c r="I176" s="13">
        <v>44181.0</v>
      </c>
      <c r="J176" s="11">
        <f t="shared" si="2"/>
        <v>227</v>
      </c>
      <c r="K176" s="14">
        <v>41400.0</v>
      </c>
      <c r="L176" s="14">
        <v>3100.0</v>
      </c>
      <c r="M176" s="12">
        <v>3.0</v>
      </c>
      <c r="N176" s="12">
        <v>4.0</v>
      </c>
    </row>
    <row r="177" ht="15.75" customHeight="1">
      <c r="D177" s="12" t="s">
        <v>322</v>
      </c>
      <c r="E177" s="12" t="s">
        <v>323</v>
      </c>
      <c r="F177" s="10" t="str">
        <f t="shared" si="1"/>
        <v>Philip Fredericks</v>
      </c>
      <c r="G177" s="12" t="s">
        <v>26</v>
      </c>
      <c r="H177" s="13">
        <v>44408.0</v>
      </c>
      <c r="I177" s="13">
        <v>43722.0</v>
      </c>
      <c r="J177" s="11">
        <f t="shared" si="2"/>
        <v>686</v>
      </c>
      <c r="K177" s="14">
        <v>39300.0</v>
      </c>
      <c r="L177" s="14">
        <v>1900.0</v>
      </c>
      <c r="M177" s="12">
        <v>3.0</v>
      </c>
      <c r="N177" s="12">
        <v>5.0</v>
      </c>
    </row>
    <row r="178" ht="15.75" customHeight="1">
      <c r="D178" s="12" t="s">
        <v>324</v>
      </c>
      <c r="E178" s="12" t="s">
        <v>325</v>
      </c>
      <c r="F178" s="10" t="str">
        <f t="shared" si="1"/>
        <v>Connie Frick</v>
      </c>
      <c r="G178" s="12" t="s">
        <v>56</v>
      </c>
      <c r="H178" s="13">
        <v>44408.0</v>
      </c>
      <c r="I178" s="13">
        <v>42356.0</v>
      </c>
      <c r="J178" s="11">
        <f t="shared" si="2"/>
        <v>2052</v>
      </c>
      <c r="K178" s="14">
        <v>55900.0</v>
      </c>
      <c r="L178" s="14">
        <v>2600.0</v>
      </c>
      <c r="M178" s="12">
        <v>10.0</v>
      </c>
      <c r="N178" s="12">
        <v>1.0</v>
      </c>
    </row>
    <row r="179" ht="15.75" customHeight="1">
      <c r="D179" s="12" t="s">
        <v>326</v>
      </c>
      <c r="E179" s="12" t="s">
        <v>327</v>
      </c>
      <c r="F179" s="10" t="str">
        <f t="shared" si="1"/>
        <v>Everett Fritts</v>
      </c>
      <c r="G179" s="12" t="s">
        <v>81</v>
      </c>
      <c r="H179" s="13">
        <v>44408.0</v>
      </c>
      <c r="I179" s="13">
        <v>42420.0</v>
      </c>
      <c r="J179" s="11">
        <f t="shared" si="2"/>
        <v>1988</v>
      </c>
      <c r="K179" s="14">
        <v>59700.0</v>
      </c>
      <c r="L179" s="14">
        <v>2000.0</v>
      </c>
      <c r="M179" s="12">
        <v>9.0</v>
      </c>
      <c r="N179" s="12">
        <v>5.0</v>
      </c>
    </row>
    <row r="180" ht="15.75" customHeight="1">
      <c r="D180" s="12" t="s">
        <v>328</v>
      </c>
      <c r="E180" s="12" t="s">
        <v>329</v>
      </c>
      <c r="F180" s="10" t="str">
        <f t="shared" si="1"/>
        <v>Pearline Galvan</v>
      </c>
      <c r="G180" s="12" t="s">
        <v>26</v>
      </c>
      <c r="H180" s="13">
        <v>44408.0</v>
      </c>
      <c r="I180" s="13">
        <v>42518.0</v>
      </c>
      <c r="J180" s="11">
        <f t="shared" si="2"/>
        <v>1890</v>
      </c>
      <c r="K180" s="14">
        <v>41400.0</v>
      </c>
      <c r="L180" s="14">
        <v>4000.0</v>
      </c>
      <c r="M180" s="12">
        <v>4.0</v>
      </c>
      <c r="N180" s="12">
        <v>2.0</v>
      </c>
    </row>
    <row r="181" ht="15.75" customHeight="1">
      <c r="D181" s="12" t="s">
        <v>330</v>
      </c>
      <c r="E181" s="12" t="s">
        <v>331</v>
      </c>
      <c r="F181" s="10" t="str">
        <f t="shared" si="1"/>
        <v>Laura Garcia</v>
      </c>
      <c r="G181" s="12" t="s">
        <v>70</v>
      </c>
      <c r="H181" s="13">
        <v>44408.0</v>
      </c>
      <c r="I181" s="13">
        <v>43107.0</v>
      </c>
      <c r="J181" s="11">
        <f t="shared" si="2"/>
        <v>1301</v>
      </c>
      <c r="K181" s="14">
        <v>42500.0</v>
      </c>
      <c r="L181" s="14">
        <v>2000.0</v>
      </c>
      <c r="M181" s="12">
        <v>1.0</v>
      </c>
      <c r="N181" s="12">
        <v>2.0</v>
      </c>
    </row>
    <row r="182" ht="15.75" customHeight="1">
      <c r="D182" s="12" t="s">
        <v>332</v>
      </c>
      <c r="E182" s="12" t="s">
        <v>333</v>
      </c>
      <c r="F182" s="10" t="str">
        <f t="shared" si="1"/>
        <v>Amy Garrett</v>
      </c>
      <c r="G182" s="12" t="s">
        <v>22</v>
      </c>
      <c r="H182" s="13">
        <v>44408.0</v>
      </c>
      <c r="I182" s="13">
        <v>42662.0</v>
      </c>
      <c r="J182" s="11">
        <f t="shared" si="2"/>
        <v>1746</v>
      </c>
      <c r="K182" s="14">
        <v>127000.0</v>
      </c>
      <c r="L182" s="14">
        <v>6400.0</v>
      </c>
      <c r="M182" s="12">
        <v>4.0</v>
      </c>
      <c r="N182" s="12">
        <v>5.0</v>
      </c>
    </row>
    <row r="183" ht="15.75" customHeight="1">
      <c r="D183" s="12" t="s">
        <v>58</v>
      </c>
      <c r="E183" s="12" t="s">
        <v>333</v>
      </c>
      <c r="F183" s="10" t="str">
        <f t="shared" si="1"/>
        <v>Mary Garrett</v>
      </c>
      <c r="G183" s="12" t="s">
        <v>70</v>
      </c>
      <c r="H183" s="13">
        <v>44408.0</v>
      </c>
      <c r="I183" s="13">
        <v>43728.0</v>
      </c>
      <c r="J183" s="11">
        <f t="shared" si="2"/>
        <v>680</v>
      </c>
      <c r="K183" s="14">
        <v>49700.0</v>
      </c>
      <c r="L183" s="14">
        <v>200.0</v>
      </c>
      <c r="M183" s="12">
        <v>3.0</v>
      </c>
      <c r="N183" s="12">
        <v>3.0</v>
      </c>
    </row>
    <row r="184" ht="15.75" customHeight="1">
      <c r="D184" s="12" t="s">
        <v>334</v>
      </c>
      <c r="E184" s="12" t="s">
        <v>335</v>
      </c>
      <c r="F184" s="10" t="str">
        <f t="shared" si="1"/>
        <v>Camille Gibson</v>
      </c>
      <c r="G184" s="12" t="s">
        <v>26</v>
      </c>
      <c r="H184" s="13">
        <v>44408.0</v>
      </c>
      <c r="I184" s="13">
        <v>43670.0</v>
      </c>
      <c r="J184" s="11">
        <f t="shared" si="2"/>
        <v>738</v>
      </c>
      <c r="K184" s="14">
        <v>52600.0</v>
      </c>
      <c r="L184" s="14">
        <v>1900.0</v>
      </c>
      <c r="M184" s="12">
        <v>3.0</v>
      </c>
      <c r="N184" s="12">
        <v>3.0</v>
      </c>
    </row>
    <row r="185" ht="15.75" customHeight="1">
      <c r="D185" s="12" t="s">
        <v>336</v>
      </c>
      <c r="E185" s="12" t="s">
        <v>337</v>
      </c>
      <c r="F185" s="10" t="str">
        <f t="shared" si="1"/>
        <v>Cathy Golding</v>
      </c>
      <c r="G185" s="12" t="s">
        <v>56</v>
      </c>
      <c r="H185" s="13">
        <v>44408.0</v>
      </c>
      <c r="I185" s="13">
        <v>42641.0</v>
      </c>
      <c r="J185" s="11">
        <f t="shared" si="2"/>
        <v>1767</v>
      </c>
      <c r="K185" s="14">
        <v>41800.0</v>
      </c>
      <c r="L185" s="14">
        <v>1400.0</v>
      </c>
      <c r="M185" s="12">
        <v>2.0</v>
      </c>
      <c r="N185" s="12">
        <v>5.0</v>
      </c>
    </row>
    <row r="186" ht="15.75" customHeight="1">
      <c r="D186" s="12" t="s">
        <v>287</v>
      </c>
      <c r="E186" s="12" t="s">
        <v>337</v>
      </c>
      <c r="F186" s="10" t="str">
        <f t="shared" si="1"/>
        <v>Jean Golding</v>
      </c>
      <c r="G186" s="12" t="s">
        <v>33</v>
      </c>
      <c r="H186" s="13">
        <v>44408.0</v>
      </c>
      <c r="I186" s="13">
        <v>42910.0</v>
      </c>
      <c r="J186" s="11">
        <f t="shared" si="2"/>
        <v>1498</v>
      </c>
      <c r="K186" s="14">
        <v>54300.0</v>
      </c>
      <c r="L186" s="14">
        <v>3300.0</v>
      </c>
      <c r="M186" s="12">
        <v>2.0</v>
      </c>
      <c r="N186" s="12">
        <v>2.0</v>
      </c>
    </row>
    <row r="187" ht="15.75" customHeight="1">
      <c r="D187" s="12" t="s">
        <v>338</v>
      </c>
      <c r="E187" s="12" t="s">
        <v>339</v>
      </c>
      <c r="F187" s="10" t="str">
        <f t="shared" si="1"/>
        <v>Cordell Gomez</v>
      </c>
      <c r="G187" s="12" t="s">
        <v>30</v>
      </c>
      <c r="H187" s="13">
        <v>44408.0</v>
      </c>
      <c r="I187" s="13">
        <v>42253.0</v>
      </c>
      <c r="J187" s="11">
        <f t="shared" si="2"/>
        <v>2155</v>
      </c>
      <c r="K187" s="14">
        <v>102300.0</v>
      </c>
      <c r="L187" s="14">
        <v>5000.0</v>
      </c>
      <c r="M187" s="12">
        <v>3.0</v>
      </c>
      <c r="N187" s="12">
        <v>3.0</v>
      </c>
    </row>
    <row r="188" ht="15.75" customHeight="1">
      <c r="D188" s="12" t="s">
        <v>340</v>
      </c>
      <c r="E188" s="12" t="s">
        <v>341</v>
      </c>
      <c r="F188" s="10" t="str">
        <f t="shared" si="1"/>
        <v>Caroll Gonzalez</v>
      </c>
      <c r="G188" s="12" t="s">
        <v>81</v>
      </c>
      <c r="H188" s="13">
        <v>44408.0</v>
      </c>
      <c r="I188" s="13">
        <v>43932.0</v>
      </c>
      <c r="J188" s="11">
        <f t="shared" si="2"/>
        <v>476</v>
      </c>
      <c r="K188" s="14">
        <v>111700.0</v>
      </c>
      <c r="L188" s="14">
        <v>6000.0</v>
      </c>
      <c r="M188" s="12">
        <v>5.0</v>
      </c>
      <c r="N188" s="12">
        <v>1.0</v>
      </c>
    </row>
    <row r="189" ht="15.75" customHeight="1">
      <c r="D189" s="12" t="s">
        <v>342</v>
      </c>
      <c r="E189" s="12" t="s">
        <v>341</v>
      </c>
      <c r="F189" s="10" t="str">
        <f t="shared" si="1"/>
        <v>Vincent Gonzalez</v>
      </c>
      <c r="G189" s="12" t="s">
        <v>81</v>
      </c>
      <c r="H189" s="13">
        <v>44408.0</v>
      </c>
      <c r="I189" s="13">
        <v>42861.0</v>
      </c>
      <c r="J189" s="11">
        <f t="shared" si="2"/>
        <v>1547</v>
      </c>
      <c r="K189" s="14">
        <v>105000.0</v>
      </c>
      <c r="L189" s="14">
        <v>4300.0</v>
      </c>
      <c r="M189" s="12">
        <v>8.0</v>
      </c>
      <c r="N189" s="12">
        <v>2.0</v>
      </c>
    </row>
    <row r="190" ht="15.75" customHeight="1">
      <c r="D190" s="12" t="s">
        <v>117</v>
      </c>
      <c r="E190" s="12" t="s">
        <v>343</v>
      </c>
      <c r="F190" s="10" t="str">
        <f t="shared" si="1"/>
        <v>James Gooden</v>
      </c>
      <c r="G190" s="12" t="s">
        <v>33</v>
      </c>
      <c r="H190" s="13">
        <v>44408.0</v>
      </c>
      <c r="I190" s="13">
        <v>42395.0</v>
      </c>
      <c r="J190" s="11">
        <f t="shared" si="2"/>
        <v>2013</v>
      </c>
      <c r="K190" s="14">
        <v>21300.0</v>
      </c>
      <c r="L190" s="14">
        <v>500.0</v>
      </c>
      <c r="M190" s="12">
        <v>12.0</v>
      </c>
      <c r="N190" s="12">
        <v>3.0</v>
      </c>
    </row>
    <row r="191" ht="15.75" customHeight="1">
      <c r="D191" s="12" t="s">
        <v>344</v>
      </c>
      <c r="E191" s="12" t="s">
        <v>345</v>
      </c>
      <c r="F191" s="10" t="str">
        <f t="shared" si="1"/>
        <v>Arnita Goodin</v>
      </c>
      <c r="G191" s="12" t="s">
        <v>22</v>
      </c>
      <c r="H191" s="13">
        <v>44408.0</v>
      </c>
      <c r="I191" s="13">
        <v>42592.0</v>
      </c>
      <c r="J191" s="11">
        <f t="shared" si="2"/>
        <v>1816</v>
      </c>
      <c r="K191" s="14">
        <v>116800.0</v>
      </c>
      <c r="L191" s="14">
        <v>6100.0</v>
      </c>
      <c r="M191" s="12">
        <v>3.0</v>
      </c>
      <c r="N191" s="12">
        <v>4.0</v>
      </c>
    </row>
    <row r="192" ht="15.75" customHeight="1">
      <c r="D192" s="12" t="s">
        <v>119</v>
      </c>
      <c r="E192" s="12" t="s">
        <v>346</v>
      </c>
      <c r="F192" s="10" t="str">
        <f t="shared" si="1"/>
        <v>Robert Goodman</v>
      </c>
      <c r="G192" s="12" t="s">
        <v>33</v>
      </c>
      <c r="H192" s="13">
        <v>44408.0</v>
      </c>
      <c r="I192" s="13">
        <v>44337.0</v>
      </c>
      <c r="J192" s="11">
        <f t="shared" si="2"/>
        <v>71</v>
      </c>
      <c r="K192" s="14">
        <v>45100.0</v>
      </c>
      <c r="L192" s="14">
        <v>4500.0</v>
      </c>
      <c r="M192" s="12">
        <v>6.0</v>
      </c>
      <c r="N192" s="12">
        <v>4.0</v>
      </c>
    </row>
    <row r="193" ht="15.75" customHeight="1">
      <c r="D193" s="12" t="s">
        <v>347</v>
      </c>
      <c r="E193" s="12" t="s">
        <v>348</v>
      </c>
      <c r="F193" s="10" t="str">
        <f t="shared" si="1"/>
        <v>Traci Goodson</v>
      </c>
      <c r="G193" s="12" t="s">
        <v>26</v>
      </c>
      <c r="H193" s="13">
        <v>44408.0</v>
      </c>
      <c r="I193" s="13">
        <v>43769.0</v>
      </c>
      <c r="J193" s="11">
        <f t="shared" si="2"/>
        <v>639</v>
      </c>
      <c r="K193" s="14">
        <v>58600.0</v>
      </c>
      <c r="L193" s="14">
        <v>4600.0</v>
      </c>
      <c r="M193" s="12">
        <v>3.0</v>
      </c>
      <c r="N193" s="12">
        <v>2.0</v>
      </c>
    </row>
    <row r="194" ht="15.75" customHeight="1">
      <c r="D194" s="12" t="s">
        <v>117</v>
      </c>
      <c r="E194" s="12" t="s">
        <v>349</v>
      </c>
      <c r="F194" s="10" t="str">
        <f t="shared" si="1"/>
        <v>James Gordon</v>
      </c>
      <c r="G194" s="12" t="s">
        <v>33</v>
      </c>
      <c r="H194" s="13">
        <v>44408.0</v>
      </c>
      <c r="I194" s="13">
        <v>42620.0</v>
      </c>
      <c r="J194" s="11">
        <f t="shared" si="2"/>
        <v>1788</v>
      </c>
      <c r="K194" s="14">
        <v>45900.0</v>
      </c>
      <c r="L194" s="14">
        <v>3800.0</v>
      </c>
      <c r="M194" s="12">
        <v>3.0</v>
      </c>
      <c r="N194" s="12">
        <v>3.0</v>
      </c>
    </row>
    <row r="195" ht="15.75" customHeight="1">
      <c r="D195" s="12" t="s">
        <v>350</v>
      </c>
      <c r="E195" s="12" t="s">
        <v>351</v>
      </c>
      <c r="F195" s="10" t="str">
        <f t="shared" si="1"/>
        <v>Lucille Grantham</v>
      </c>
      <c r="G195" s="12" t="s">
        <v>33</v>
      </c>
      <c r="H195" s="13">
        <v>44408.0</v>
      </c>
      <c r="I195" s="13">
        <v>43248.0</v>
      </c>
      <c r="J195" s="11">
        <f t="shared" si="2"/>
        <v>1160</v>
      </c>
      <c r="K195" s="14">
        <v>37600.0</v>
      </c>
      <c r="L195" s="14">
        <v>900.0</v>
      </c>
      <c r="M195" s="12">
        <v>4.0</v>
      </c>
      <c r="N195" s="12">
        <v>3.0</v>
      </c>
    </row>
    <row r="196" ht="15.75" customHeight="1">
      <c r="D196" s="12" t="s">
        <v>352</v>
      </c>
      <c r="E196" s="12" t="s">
        <v>353</v>
      </c>
      <c r="F196" s="10" t="str">
        <f t="shared" si="1"/>
        <v>Marian Gray</v>
      </c>
      <c r="G196" s="12" t="s">
        <v>33</v>
      </c>
      <c r="H196" s="13">
        <v>44408.0</v>
      </c>
      <c r="I196" s="13">
        <v>42555.0</v>
      </c>
      <c r="J196" s="11">
        <f t="shared" si="2"/>
        <v>1853</v>
      </c>
      <c r="K196" s="14">
        <v>62300.0</v>
      </c>
      <c r="L196" s="14">
        <v>4200.0</v>
      </c>
      <c r="M196" s="12">
        <v>7.0</v>
      </c>
      <c r="N196" s="12">
        <v>2.0</v>
      </c>
    </row>
    <row r="197" ht="15.75" customHeight="1">
      <c r="D197" s="12" t="s">
        <v>354</v>
      </c>
      <c r="E197" s="12" t="s">
        <v>353</v>
      </c>
      <c r="F197" s="10" t="str">
        <f t="shared" si="1"/>
        <v>Melissa Gray</v>
      </c>
      <c r="G197" s="12" t="s">
        <v>81</v>
      </c>
      <c r="H197" s="13">
        <v>44408.0</v>
      </c>
      <c r="I197" s="13">
        <v>44125.0</v>
      </c>
      <c r="J197" s="11">
        <f t="shared" si="2"/>
        <v>283</v>
      </c>
      <c r="K197" s="14">
        <v>114700.0</v>
      </c>
      <c r="L197" s="14">
        <v>7200.0</v>
      </c>
      <c r="M197" s="12">
        <v>6.0</v>
      </c>
      <c r="N197" s="12">
        <v>3.0</v>
      </c>
    </row>
    <row r="198" ht="15.75" customHeight="1">
      <c r="D198" s="12" t="s">
        <v>355</v>
      </c>
      <c r="E198" s="12" t="s">
        <v>356</v>
      </c>
      <c r="F198" s="10" t="str">
        <f t="shared" si="1"/>
        <v>Clayton Green</v>
      </c>
      <c r="G198" s="12" t="s">
        <v>56</v>
      </c>
      <c r="H198" s="13">
        <v>44408.0</v>
      </c>
      <c r="I198" s="13">
        <v>43841.0</v>
      </c>
      <c r="J198" s="11">
        <f t="shared" si="2"/>
        <v>567</v>
      </c>
      <c r="K198" s="14">
        <v>31300.0</v>
      </c>
      <c r="L198" s="14">
        <v>3100.0</v>
      </c>
      <c r="M198" s="12">
        <v>3.0</v>
      </c>
      <c r="N198" s="12">
        <v>5.0</v>
      </c>
    </row>
    <row r="199" ht="15.75" customHeight="1">
      <c r="D199" s="12" t="s">
        <v>357</v>
      </c>
      <c r="E199" s="12" t="s">
        <v>356</v>
      </c>
      <c r="F199" s="10" t="str">
        <f t="shared" si="1"/>
        <v>Crystal Green</v>
      </c>
      <c r="G199" s="12" t="s">
        <v>70</v>
      </c>
      <c r="H199" s="13">
        <v>44408.0</v>
      </c>
      <c r="I199" s="13">
        <v>42749.0</v>
      </c>
      <c r="J199" s="11">
        <f t="shared" si="2"/>
        <v>1659</v>
      </c>
      <c r="K199" s="14">
        <v>57700.0</v>
      </c>
      <c r="L199" s="14">
        <v>2200.0</v>
      </c>
      <c r="M199" s="12">
        <v>7.0</v>
      </c>
      <c r="N199" s="12">
        <v>5.0</v>
      </c>
    </row>
    <row r="200" ht="15.75" customHeight="1">
      <c r="D200" s="12" t="s">
        <v>358</v>
      </c>
      <c r="E200" s="12" t="s">
        <v>356</v>
      </c>
      <c r="F200" s="10" t="str">
        <f t="shared" si="1"/>
        <v>Paul Green</v>
      </c>
      <c r="G200" s="12" t="s">
        <v>81</v>
      </c>
      <c r="H200" s="13">
        <v>44408.0</v>
      </c>
      <c r="I200" s="13">
        <v>44091.0</v>
      </c>
      <c r="J200" s="11">
        <f t="shared" si="2"/>
        <v>317</v>
      </c>
      <c r="K200" s="14">
        <v>76500.0</v>
      </c>
      <c r="L200" s="14">
        <v>3800.0</v>
      </c>
      <c r="M200" s="12">
        <v>5.0</v>
      </c>
      <c r="N200" s="12">
        <v>5.0</v>
      </c>
    </row>
    <row r="201" ht="15.75" customHeight="1">
      <c r="D201" s="12" t="s">
        <v>231</v>
      </c>
      <c r="E201" s="12" t="s">
        <v>359</v>
      </c>
      <c r="F201" s="10" t="str">
        <f t="shared" si="1"/>
        <v>Betty Greenawalt</v>
      </c>
      <c r="G201" s="12" t="s">
        <v>70</v>
      </c>
      <c r="H201" s="13">
        <v>44408.0</v>
      </c>
      <c r="I201" s="13">
        <v>43456.0</v>
      </c>
      <c r="J201" s="11">
        <f t="shared" si="2"/>
        <v>952</v>
      </c>
      <c r="K201" s="14">
        <v>30700.0</v>
      </c>
      <c r="L201" s="14">
        <v>1000.0</v>
      </c>
      <c r="M201" s="12">
        <v>7.0</v>
      </c>
      <c r="N201" s="12">
        <v>3.0</v>
      </c>
    </row>
    <row r="202" ht="15.75" customHeight="1">
      <c r="D202" s="12" t="s">
        <v>360</v>
      </c>
      <c r="E202" s="12" t="s">
        <v>361</v>
      </c>
      <c r="F202" s="10" t="str">
        <f t="shared" si="1"/>
        <v>Noel Greve</v>
      </c>
      <c r="G202" s="12" t="s">
        <v>47</v>
      </c>
      <c r="H202" s="13">
        <v>44408.0</v>
      </c>
      <c r="I202" s="13">
        <v>44356.0</v>
      </c>
      <c r="J202" s="11">
        <f t="shared" si="2"/>
        <v>52</v>
      </c>
      <c r="K202" s="14">
        <v>56800.0</v>
      </c>
      <c r="L202" s="14">
        <v>2400.0</v>
      </c>
      <c r="M202" s="12">
        <v>3.0</v>
      </c>
      <c r="N202" s="12">
        <v>4.0</v>
      </c>
    </row>
    <row r="203" ht="15.75" customHeight="1">
      <c r="D203" s="12" t="s">
        <v>362</v>
      </c>
      <c r="E203" s="12" t="s">
        <v>363</v>
      </c>
      <c r="F203" s="10" t="str">
        <f t="shared" si="1"/>
        <v>Jeffrey Grey</v>
      </c>
      <c r="G203" s="12" t="s">
        <v>33</v>
      </c>
      <c r="H203" s="13">
        <v>44408.0</v>
      </c>
      <c r="I203" s="13">
        <v>42060.0</v>
      </c>
      <c r="J203" s="11">
        <f t="shared" si="2"/>
        <v>2348</v>
      </c>
      <c r="K203" s="14">
        <v>57700.0</v>
      </c>
      <c r="L203" s="14">
        <v>3000.0</v>
      </c>
      <c r="M203" s="12">
        <v>6.0</v>
      </c>
      <c r="N203" s="12">
        <v>3.0</v>
      </c>
    </row>
    <row r="204" ht="15.75" customHeight="1">
      <c r="D204" s="12" t="s">
        <v>364</v>
      </c>
      <c r="E204" s="12" t="s">
        <v>365</v>
      </c>
      <c r="F204" s="10" t="str">
        <f t="shared" si="1"/>
        <v>Lois Griffin</v>
      </c>
      <c r="G204" s="12" t="s">
        <v>70</v>
      </c>
      <c r="H204" s="13">
        <v>44408.0</v>
      </c>
      <c r="I204" s="13">
        <v>42091.0</v>
      </c>
      <c r="J204" s="11">
        <f t="shared" si="2"/>
        <v>2317</v>
      </c>
      <c r="K204" s="14">
        <v>49400.0</v>
      </c>
      <c r="L204" s="14">
        <v>1800.0</v>
      </c>
      <c r="M204" s="12">
        <v>2.0</v>
      </c>
      <c r="N204" s="12">
        <v>4.0</v>
      </c>
    </row>
    <row r="205" ht="15.75" customHeight="1">
      <c r="D205" s="12" t="s">
        <v>267</v>
      </c>
      <c r="E205" s="12" t="s">
        <v>366</v>
      </c>
      <c r="F205" s="10" t="str">
        <f t="shared" si="1"/>
        <v>Jason Griswold</v>
      </c>
      <c r="G205" s="12" t="s">
        <v>26</v>
      </c>
      <c r="H205" s="13">
        <v>44408.0</v>
      </c>
      <c r="I205" s="13">
        <v>43300.0</v>
      </c>
      <c r="J205" s="11">
        <f t="shared" si="2"/>
        <v>1108</v>
      </c>
      <c r="K205" s="14">
        <v>32200.0</v>
      </c>
      <c r="L205" s="14">
        <v>2300.0</v>
      </c>
      <c r="M205" s="12">
        <v>10.0</v>
      </c>
      <c r="N205" s="12">
        <v>5.0</v>
      </c>
    </row>
    <row r="206" ht="15.75" customHeight="1">
      <c r="D206" s="12" t="s">
        <v>281</v>
      </c>
      <c r="E206" s="12" t="s">
        <v>367</v>
      </c>
      <c r="F206" s="10" t="str">
        <f t="shared" si="1"/>
        <v>Helen Gutierrez</v>
      </c>
      <c r="G206" s="12" t="s">
        <v>30</v>
      </c>
      <c r="H206" s="13">
        <v>44408.0</v>
      </c>
      <c r="I206" s="13">
        <v>42544.0</v>
      </c>
      <c r="J206" s="11">
        <f t="shared" si="2"/>
        <v>1864</v>
      </c>
      <c r="K206" s="14">
        <v>79700.0</v>
      </c>
      <c r="L206" s="14">
        <v>2800.0</v>
      </c>
      <c r="M206" s="12">
        <v>3.0</v>
      </c>
      <c r="N206" s="12">
        <v>3.0</v>
      </c>
    </row>
    <row r="207" ht="15.75" customHeight="1">
      <c r="D207" s="12" t="s">
        <v>368</v>
      </c>
      <c r="E207" s="12" t="s">
        <v>369</v>
      </c>
      <c r="F207" s="10" t="str">
        <f t="shared" si="1"/>
        <v>Joseph Gwynn</v>
      </c>
      <c r="G207" s="12" t="s">
        <v>47</v>
      </c>
      <c r="H207" s="13">
        <v>44408.0</v>
      </c>
      <c r="I207" s="13">
        <v>43114.0</v>
      </c>
      <c r="J207" s="11">
        <f t="shared" si="2"/>
        <v>1294</v>
      </c>
      <c r="K207" s="14">
        <v>49400.0</v>
      </c>
      <c r="L207" s="14">
        <v>2400.0</v>
      </c>
      <c r="M207" s="12">
        <v>3.0</v>
      </c>
      <c r="N207" s="12">
        <v>3.0</v>
      </c>
    </row>
    <row r="208" ht="15.75" customHeight="1">
      <c r="D208" s="12" t="s">
        <v>370</v>
      </c>
      <c r="E208" s="12" t="s">
        <v>371</v>
      </c>
      <c r="F208" s="10" t="str">
        <f t="shared" si="1"/>
        <v>Nicholas Haggard</v>
      </c>
      <c r="G208" s="12" t="s">
        <v>81</v>
      </c>
      <c r="H208" s="13">
        <v>44408.0</v>
      </c>
      <c r="I208" s="13">
        <v>44312.0</v>
      </c>
      <c r="J208" s="11">
        <f t="shared" si="2"/>
        <v>96</v>
      </c>
      <c r="K208" s="14">
        <v>35600.0</v>
      </c>
      <c r="L208" s="14">
        <v>2400.0</v>
      </c>
      <c r="M208" s="12">
        <v>4.0</v>
      </c>
      <c r="N208" s="12">
        <v>3.0</v>
      </c>
    </row>
    <row r="209" ht="15.75" customHeight="1">
      <c r="D209" s="12" t="s">
        <v>229</v>
      </c>
      <c r="E209" s="12" t="s">
        <v>372</v>
      </c>
      <c r="F209" s="10" t="str">
        <f t="shared" si="1"/>
        <v>Mario Haggins</v>
      </c>
      <c r="G209" s="12" t="s">
        <v>81</v>
      </c>
      <c r="H209" s="13">
        <v>44408.0</v>
      </c>
      <c r="I209" s="13">
        <v>44313.0</v>
      </c>
      <c r="J209" s="11">
        <f t="shared" si="2"/>
        <v>95</v>
      </c>
      <c r="K209" s="14">
        <v>85200.0</v>
      </c>
      <c r="L209" s="14">
        <v>5400.0</v>
      </c>
      <c r="M209" s="12">
        <v>4.0</v>
      </c>
      <c r="N209" s="12">
        <v>3.0</v>
      </c>
    </row>
    <row r="210" ht="15.75" customHeight="1">
      <c r="D210" s="12" t="s">
        <v>288</v>
      </c>
      <c r="E210" s="12" t="s">
        <v>373</v>
      </c>
      <c r="F210" s="10" t="str">
        <f t="shared" si="1"/>
        <v>Katie Hall</v>
      </c>
      <c r="G210" s="12" t="s">
        <v>70</v>
      </c>
      <c r="H210" s="13">
        <v>44408.0</v>
      </c>
      <c r="I210" s="13">
        <v>42304.0</v>
      </c>
      <c r="J210" s="11">
        <f t="shared" si="2"/>
        <v>2104</v>
      </c>
      <c r="K210" s="14">
        <v>34800.0</v>
      </c>
      <c r="L210" s="14">
        <v>2700.0</v>
      </c>
      <c r="M210" s="12">
        <v>10.0</v>
      </c>
      <c r="N210" s="12">
        <v>2.0</v>
      </c>
    </row>
    <row r="211" ht="15.75" customHeight="1">
      <c r="D211" s="12" t="s">
        <v>374</v>
      </c>
      <c r="E211" s="12" t="s">
        <v>373</v>
      </c>
      <c r="F211" s="10" t="str">
        <f t="shared" si="1"/>
        <v>Reyes Hall</v>
      </c>
      <c r="G211" s="12" t="s">
        <v>56</v>
      </c>
      <c r="H211" s="13">
        <v>44408.0</v>
      </c>
      <c r="I211" s="13">
        <v>43212.0</v>
      </c>
      <c r="J211" s="11">
        <f t="shared" si="2"/>
        <v>1196</v>
      </c>
      <c r="K211" s="14">
        <v>32000.0</v>
      </c>
      <c r="L211" s="14">
        <v>100.0</v>
      </c>
      <c r="M211" s="12">
        <v>2.0</v>
      </c>
      <c r="N211" s="12">
        <v>2.0</v>
      </c>
    </row>
    <row r="212" ht="15.75" customHeight="1">
      <c r="D212" s="12" t="s">
        <v>247</v>
      </c>
      <c r="E212" s="12" t="s">
        <v>375</v>
      </c>
      <c r="F212" s="10" t="str">
        <f t="shared" si="1"/>
        <v>Leticia Hamilton</v>
      </c>
      <c r="G212" s="12" t="s">
        <v>30</v>
      </c>
      <c r="H212" s="13">
        <v>44408.0</v>
      </c>
      <c r="I212" s="13">
        <v>44061.0</v>
      </c>
      <c r="J212" s="11">
        <f t="shared" si="2"/>
        <v>347</v>
      </c>
      <c r="K212" s="14">
        <v>112600.0</v>
      </c>
      <c r="L212" s="14">
        <v>4800.0</v>
      </c>
      <c r="M212" s="12">
        <v>4.0</v>
      </c>
      <c r="N212" s="12">
        <v>4.0</v>
      </c>
    </row>
    <row r="213" ht="15.75" customHeight="1">
      <c r="D213" s="12" t="s">
        <v>376</v>
      </c>
      <c r="E213" s="12" t="s">
        <v>377</v>
      </c>
      <c r="F213" s="10" t="str">
        <f t="shared" si="1"/>
        <v>Lawrence Hammond</v>
      </c>
      <c r="G213" s="12" t="s">
        <v>81</v>
      </c>
      <c r="H213" s="13">
        <v>44408.0</v>
      </c>
      <c r="I213" s="13">
        <v>42378.0</v>
      </c>
      <c r="J213" s="11">
        <f t="shared" si="2"/>
        <v>2030</v>
      </c>
      <c r="K213" s="14">
        <v>108000.0</v>
      </c>
      <c r="L213" s="14">
        <v>8100.0</v>
      </c>
      <c r="M213" s="12">
        <v>4.0</v>
      </c>
      <c r="N213" s="12">
        <v>2.0</v>
      </c>
    </row>
    <row r="214" ht="15.75" customHeight="1">
      <c r="D214" s="12" t="s">
        <v>378</v>
      </c>
      <c r="E214" s="12" t="s">
        <v>379</v>
      </c>
      <c r="F214" s="10" t="str">
        <f t="shared" si="1"/>
        <v>Nancy Hamrick</v>
      </c>
      <c r="G214" s="12" t="s">
        <v>30</v>
      </c>
      <c r="H214" s="13">
        <v>44408.0</v>
      </c>
      <c r="I214" s="13">
        <v>43485.0</v>
      </c>
      <c r="J214" s="11">
        <f t="shared" si="2"/>
        <v>923</v>
      </c>
      <c r="K214" s="14">
        <v>106000.0</v>
      </c>
      <c r="L214" s="14">
        <v>6200.0</v>
      </c>
      <c r="M214" s="12">
        <v>3.0</v>
      </c>
      <c r="N214" s="12">
        <v>4.0</v>
      </c>
    </row>
    <row r="215" ht="15.75" customHeight="1">
      <c r="D215" s="12" t="s">
        <v>380</v>
      </c>
      <c r="E215" s="12" t="s">
        <v>381</v>
      </c>
      <c r="F215" s="10" t="str">
        <f t="shared" si="1"/>
        <v>Lorenzo Hansen</v>
      </c>
      <c r="G215" s="12" t="s">
        <v>70</v>
      </c>
      <c r="H215" s="13">
        <v>44408.0</v>
      </c>
      <c r="I215" s="13">
        <v>42971.0</v>
      </c>
      <c r="J215" s="11">
        <f t="shared" si="2"/>
        <v>1437</v>
      </c>
      <c r="K215" s="14">
        <v>32200.0</v>
      </c>
      <c r="L215" s="14">
        <v>2400.0</v>
      </c>
      <c r="M215" s="12">
        <v>8.0</v>
      </c>
      <c r="N215" s="12">
        <v>5.0</v>
      </c>
    </row>
    <row r="216" ht="15.75" customHeight="1">
      <c r="D216" s="12" t="s">
        <v>126</v>
      </c>
      <c r="E216" s="12" t="s">
        <v>382</v>
      </c>
      <c r="F216" s="10" t="str">
        <f t="shared" si="1"/>
        <v>Juanita Hardy</v>
      </c>
      <c r="G216" s="12" t="s">
        <v>30</v>
      </c>
      <c r="H216" s="13">
        <v>44408.0</v>
      </c>
      <c r="I216" s="13">
        <v>43724.0</v>
      </c>
      <c r="J216" s="11">
        <f t="shared" si="2"/>
        <v>684</v>
      </c>
      <c r="K216" s="14">
        <v>95500.0</v>
      </c>
      <c r="L216" s="14">
        <v>4100.0</v>
      </c>
      <c r="M216" s="12">
        <v>5.0</v>
      </c>
      <c r="N216" s="12">
        <v>1.0</v>
      </c>
    </row>
    <row r="217" ht="15.75" customHeight="1">
      <c r="D217" s="12" t="s">
        <v>383</v>
      </c>
      <c r="E217" s="12" t="s">
        <v>384</v>
      </c>
      <c r="F217" s="10" t="str">
        <f t="shared" si="1"/>
        <v>Mike Hargis</v>
      </c>
      <c r="G217" s="12" t="s">
        <v>56</v>
      </c>
      <c r="H217" s="13">
        <v>44408.0</v>
      </c>
      <c r="I217" s="13">
        <v>42905.0</v>
      </c>
      <c r="J217" s="11">
        <f t="shared" si="2"/>
        <v>1503</v>
      </c>
      <c r="K217" s="14">
        <v>62300.0</v>
      </c>
      <c r="L217" s="14">
        <v>1900.0</v>
      </c>
      <c r="M217" s="12">
        <v>1.0</v>
      </c>
      <c r="N217" s="12">
        <v>4.0</v>
      </c>
    </row>
    <row r="218" ht="15.75" customHeight="1">
      <c r="D218" s="12" t="s">
        <v>385</v>
      </c>
      <c r="E218" s="12" t="s">
        <v>386</v>
      </c>
      <c r="F218" s="10" t="str">
        <f t="shared" si="1"/>
        <v>Raymond Harper</v>
      </c>
      <c r="G218" s="12" t="s">
        <v>26</v>
      </c>
      <c r="H218" s="13">
        <v>44408.0</v>
      </c>
      <c r="I218" s="13">
        <v>42064.0</v>
      </c>
      <c r="J218" s="11">
        <f t="shared" si="2"/>
        <v>2344</v>
      </c>
      <c r="K218" s="14">
        <v>34600.0</v>
      </c>
      <c r="L218" s="14">
        <v>2100.0</v>
      </c>
      <c r="M218" s="12">
        <v>4.0</v>
      </c>
      <c r="N218" s="12">
        <v>4.0</v>
      </c>
    </row>
    <row r="219" ht="15.75" customHeight="1">
      <c r="D219" s="12" t="s">
        <v>387</v>
      </c>
      <c r="E219" s="12" t="s">
        <v>388</v>
      </c>
      <c r="F219" s="10" t="str">
        <f t="shared" si="1"/>
        <v>Carrie Harrington</v>
      </c>
      <c r="G219" s="12" t="s">
        <v>26</v>
      </c>
      <c r="H219" s="13">
        <v>44408.0</v>
      </c>
      <c r="I219" s="13">
        <v>42915.0</v>
      </c>
      <c r="J219" s="11">
        <f t="shared" si="2"/>
        <v>1493</v>
      </c>
      <c r="K219" s="14">
        <v>59700.0</v>
      </c>
      <c r="L219" s="14">
        <v>2500.0</v>
      </c>
      <c r="M219" s="12">
        <v>5.0</v>
      </c>
      <c r="N219" s="12">
        <v>5.0</v>
      </c>
    </row>
    <row r="220" ht="15.75" customHeight="1">
      <c r="D220" s="12" t="s">
        <v>389</v>
      </c>
      <c r="E220" s="12" t="s">
        <v>390</v>
      </c>
      <c r="F220" s="10" t="str">
        <f t="shared" si="1"/>
        <v>Peggy Hart</v>
      </c>
      <c r="G220" s="12" t="s">
        <v>47</v>
      </c>
      <c r="H220" s="13">
        <v>44408.0</v>
      </c>
      <c r="I220" s="13">
        <v>43484.0</v>
      </c>
      <c r="J220" s="11">
        <f t="shared" si="2"/>
        <v>924</v>
      </c>
      <c r="K220" s="14">
        <v>37700.0</v>
      </c>
      <c r="L220" s="14">
        <v>500.0</v>
      </c>
      <c r="M220" s="12">
        <v>4.0</v>
      </c>
      <c r="N220" s="12">
        <v>3.0</v>
      </c>
    </row>
    <row r="221" ht="15.75" customHeight="1">
      <c r="D221" s="12" t="s">
        <v>234</v>
      </c>
      <c r="E221" s="12" t="s">
        <v>391</v>
      </c>
      <c r="F221" s="10" t="str">
        <f t="shared" si="1"/>
        <v>Donna Hawk</v>
      </c>
      <c r="G221" s="12" t="s">
        <v>81</v>
      </c>
      <c r="H221" s="13">
        <v>44408.0</v>
      </c>
      <c r="I221" s="13">
        <v>43761.0</v>
      </c>
      <c r="J221" s="11">
        <f t="shared" si="2"/>
        <v>647</v>
      </c>
      <c r="K221" s="14">
        <v>132500.0</v>
      </c>
      <c r="L221" s="14">
        <v>4600.0</v>
      </c>
      <c r="M221" s="12">
        <v>3.0</v>
      </c>
      <c r="N221" s="12">
        <v>5.0</v>
      </c>
    </row>
    <row r="222" ht="15.75" customHeight="1">
      <c r="D222" s="12" t="s">
        <v>99</v>
      </c>
      <c r="E222" s="12" t="s">
        <v>392</v>
      </c>
      <c r="F222" s="10" t="str">
        <f t="shared" si="1"/>
        <v>John Hayes</v>
      </c>
      <c r="G222" s="12" t="s">
        <v>47</v>
      </c>
      <c r="H222" s="13">
        <v>44408.0</v>
      </c>
      <c r="I222" s="13">
        <v>42580.0</v>
      </c>
      <c r="J222" s="11">
        <f t="shared" si="2"/>
        <v>1828</v>
      </c>
      <c r="K222" s="14">
        <v>51100.0</v>
      </c>
      <c r="L222" s="14">
        <v>3600.0</v>
      </c>
      <c r="M222" s="12">
        <v>4.0</v>
      </c>
      <c r="N222" s="12">
        <v>4.0</v>
      </c>
    </row>
    <row r="223" ht="15.75" customHeight="1">
      <c r="D223" s="12" t="s">
        <v>119</v>
      </c>
      <c r="E223" s="12" t="s">
        <v>392</v>
      </c>
      <c r="F223" s="10" t="str">
        <f t="shared" si="1"/>
        <v>Robert Hayes</v>
      </c>
      <c r="G223" s="12" t="s">
        <v>81</v>
      </c>
      <c r="H223" s="13">
        <v>44408.0</v>
      </c>
      <c r="I223" s="13">
        <v>42903.0</v>
      </c>
      <c r="J223" s="11">
        <f t="shared" si="2"/>
        <v>1505</v>
      </c>
      <c r="K223" s="14">
        <v>105700.0</v>
      </c>
      <c r="L223" s="14">
        <v>5500.0</v>
      </c>
      <c r="M223" s="12">
        <v>7.0</v>
      </c>
      <c r="N223" s="12">
        <v>4.0</v>
      </c>
    </row>
    <row r="224" ht="15.75" customHeight="1">
      <c r="D224" s="12" t="s">
        <v>393</v>
      </c>
      <c r="E224" s="12" t="s">
        <v>394</v>
      </c>
      <c r="F224" s="10" t="str">
        <f t="shared" si="1"/>
        <v>Amanda Hearn</v>
      </c>
      <c r="G224" s="12" t="s">
        <v>26</v>
      </c>
      <c r="H224" s="13">
        <v>44408.0</v>
      </c>
      <c r="I224" s="13">
        <v>43631.0</v>
      </c>
      <c r="J224" s="11">
        <f t="shared" si="2"/>
        <v>777</v>
      </c>
      <c r="K224" s="14">
        <v>50800.0</v>
      </c>
      <c r="L224" s="14">
        <v>1900.0</v>
      </c>
      <c r="M224" s="12">
        <v>2.0</v>
      </c>
      <c r="N224" s="12">
        <v>4.0</v>
      </c>
    </row>
    <row r="225" ht="15.75" customHeight="1">
      <c r="D225" s="12" t="s">
        <v>395</v>
      </c>
      <c r="E225" s="12" t="s">
        <v>396</v>
      </c>
      <c r="F225" s="10" t="str">
        <f t="shared" si="1"/>
        <v>Natasha Heath</v>
      </c>
      <c r="G225" s="12" t="s">
        <v>56</v>
      </c>
      <c r="H225" s="13">
        <v>44408.0</v>
      </c>
      <c r="I225" s="13">
        <v>43449.0</v>
      </c>
      <c r="J225" s="11">
        <f t="shared" si="2"/>
        <v>959</v>
      </c>
      <c r="K225" s="14">
        <v>54100.0</v>
      </c>
      <c r="L225" s="14">
        <v>3200.0</v>
      </c>
      <c r="M225" s="12">
        <v>4.0</v>
      </c>
      <c r="N225" s="12">
        <v>3.0</v>
      </c>
    </row>
    <row r="226" ht="15.75" customHeight="1">
      <c r="D226" s="12" t="s">
        <v>352</v>
      </c>
      <c r="E226" s="12" t="s">
        <v>397</v>
      </c>
      <c r="F226" s="10" t="str">
        <f t="shared" si="1"/>
        <v>Marian Heger</v>
      </c>
      <c r="G226" s="12" t="s">
        <v>22</v>
      </c>
      <c r="H226" s="13">
        <v>44408.0</v>
      </c>
      <c r="I226" s="13">
        <v>43564.0</v>
      </c>
      <c r="J226" s="11">
        <f t="shared" si="2"/>
        <v>844</v>
      </c>
      <c r="K226" s="14">
        <v>73200.0</v>
      </c>
      <c r="L226" s="14">
        <v>4300.0</v>
      </c>
      <c r="M226" s="12">
        <v>3.0</v>
      </c>
      <c r="N226" s="12">
        <v>4.0</v>
      </c>
    </row>
    <row r="227" ht="15.75" customHeight="1">
      <c r="D227" s="12" t="s">
        <v>398</v>
      </c>
      <c r="E227" s="12" t="s">
        <v>399</v>
      </c>
      <c r="F227" s="10" t="str">
        <f t="shared" si="1"/>
        <v>Constance Henderson</v>
      </c>
      <c r="G227" s="12" t="s">
        <v>30</v>
      </c>
      <c r="H227" s="13">
        <v>44408.0</v>
      </c>
      <c r="I227" s="13">
        <v>44314.0</v>
      </c>
      <c r="J227" s="11">
        <f t="shared" si="2"/>
        <v>94</v>
      </c>
      <c r="K227" s="14">
        <v>84400.0</v>
      </c>
      <c r="L227" s="14">
        <v>5400.0</v>
      </c>
      <c r="M227" s="12">
        <v>1.0</v>
      </c>
      <c r="N227" s="12">
        <v>5.0</v>
      </c>
    </row>
    <row r="228" ht="15.75" customHeight="1">
      <c r="D228" s="12" t="s">
        <v>400</v>
      </c>
      <c r="E228" s="12" t="s">
        <v>399</v>
      </c>
      <c r="F228" s="10" t="str">
        <f t="shared" si="1"/>
        <v>Freddie Henderson</v>
      </c>
      <c r="G228" s="12" t="s">
        <v>70</v>
      </c>
      <c r="H228" s="13">
        <v>44408.0</v>
      </c>
      <c r="I228" s="13">
        <v>42040.0</v>
      </c>
      <c r="J228" s="11">
        <f t="shared" si="2"/>
        <v>2368</v>
      </c>
      <c r="K228" s="14">
        <v>18900.0</v>
      </c>
      <c r="L228" s="14">
        <v>1700.0</v>
      </c>
      <c r="M228" s="12">
        <v>6.0</v>
      </c>
      <c r="N228" s="12">
        <v>1.0</v>
      </c>
    </row>
    <row r="229" ht="15.75" customHeight="1">
      <c r="D229" s="12" t="s">
        <v>401</v>
      </c>
      <c r="E229" s="12" t="s">
        <v>402</v>
      </c>
      <c r="F229" s="10" t="str">
        <f t="shared" si="1"/>
        <v>Katherine Hernandez</v>
      </c>
      <c r="G229" s="12" t="s">
        <v>81</v>
      </c>
      <c r="H229" s="13">
        <v>44408.0</v>
      </c>
      <c r="I229" s="13">
        <v>43901.0</v>
      </c>
      <c r="J229" s="11">
        <f t="shared" si="2"/>
        <v>507</v>
      </c>
      <c r="K229" s="14">
        <v>100000.0</v>
      </c>
      <c r="L229" s="14">
        <v>5200.0</v>
      </c>
      <c r="M229" s="12">
        <v>1.0</v>
      </c>
      <c r="N229" s="12">
        <v>5.0</v>
      </c>
    </row>
    <row r="230" ht="15.75" customHeight="1">
      <c r="D230" s="12" t="s">
        <v>403</v>
      </c>
      <c r="E230" s="12" t="s">
        <v>402</v>
      </c>
      <c r="F230" s="10" t="str">
        <f t="shared" si="1"/>
        <v>Ralph Hernandez</v>
      </c>
      <c r="G230" s="12" t="s">
        <v>70</v>
      </c>
      <c r="H230" s="13">
        <v>44408.0</v>
      </c>
      <c r="I230" s="13">
        <v>44162.0</v>
      </c>
      <c r="J230" s="11">
        <f t="shared" si="2"/>
        <v>246</v>
      </c>
      <c r="K230" s="14">
        <v>39200.0</v>
      </c>
      <c r="L230" s="14">
        <v>3100.0</v>
      </c>
      <c r="M230" s="12">
        <v>7.0</v>
      </c>
      <c r="N230" s="12">
        <v>3.0</v>
      </c>
    </row>
    <row r="231" ht="15.75" customHeight="1">
      <c r="D231" s="12" t="s">
        <v>185</v>
      </c>
      <c r="E231" s="12" t="s">
        <v>402</v>
      </c>
      <c r="F231" s="10" t="str">
        <f t="shared" si="1"/>
        <v>Richard Hernandez</v>
      </c>
      <c r="G231" s="12" t="s">
        <v>70</v>
      </c>
      <c r="H231" s="13">
        <v>44408.0</v>
      </c>
      <c r="I231" s="13">
        <v>43760.0</v>
      </c>
      <c r="J231" s="11">
        <f t="shared" si="2"/>
        <v>648</v>
      </c>
      <c r="K231" s="14">
        <v>43000.0</v>
      </c>
      <c r="L231" s="14">
        <v>6500.0</v>
      </c>
      <c r="M231" s="12">
        <v>4.0</v>
      </c>
      <c r="N231" s="12">
        <v>2.0</v>
      </c>
    </row>
    <row r="232" ht="15.75" customHeight="1">
      <c r="D232" s="12" t="s">
        <v>404</v>
      </c>
      <c r="E232" s="12" t="s">
        <v>405</v>
      </c>
      <c r="F232" s="10" t="str">
        <f t="shared" si="1"/>
        <v>Heather Hill</v>
      </c>
      <c r="G232" s="12" t="s">
        <v>81</v>
      </c>
      <c r="H232" s="13">
        <v>44408.0</v>
      </c>
      <c r="I232" s="13">
        <v>43532.0</v>
      </c>
      <c r="J232" s="11">
        <f t="shared" si="2"/>
        <v>876</v>
      </c>
      <c r="K232" s="14">
        <v>65600.0</v>
      </c>
      <c r="L232" s="14">
        <v>3200.0</v>
      </c>
      <c r="M232" s="12">
        <v>7.0</v>
      </c>
      <c r="N232" s="12">
        <v>3.0</v>
      </c>
    </row>
    <row r="233" ht="15.75" customHeight="1">
      <c r="D233" s="12" t="s">
        <v>406</v>
      </c>
      <c r="E233" s="12" t="s">
        <v>405</v>
      </c>
      <c r="F233" s="10" t="str">
        <f t="shared" si="1"/>
        <v>Julio Hill</v>
      </c>
      <c r="G233" s="12" t="s">
        <v>30</v>
      </c>
      <c r="H233" s="13">
        <v>44408.0</v>
      </c>
      <c r="I233" s="13">
        <v>42927.0</v>
      </c>
      <c r="J233" s="11">
        <f t="shared" si="2"/>
        <v>1481</v>
      </c>
      <c r="K233" s="14">
        <v>123400.0</v>
      </c>
      <c r="L233" s="14">
        <v>4700.0</v>
      </c>
      <c r="M233" s="12">
        <v>5.0</v>
      </c>
      <c r="N233" s="12">
        <v>4.0</v>
      </c>
    </row>
    <row r="234" ht="15.75" customHeight="1">
      <c r="D234" s="12" t="s">
        <v>151</v>
      </c>
      <c r="E234" s="12" t="s">
        <v>405</v>
      </c>
      <c r="F234" s="10" t="str">
        <f t="shared" si="1"/>
        <v>Michael Hill</v>
      </c>
      <c r="G234" s="12" t="s">
        <v>81</v>
      </c>
      <c r="H234" s="13">
        <v>44408.0</v>
      </c>
      <c r="I234" s="13">
        <v>43840.0</v>
      </c>
      <c r="J234" s="11">
        <f t="shared" si="2"/>
        <v>568</v>
      </c>
      <c r="K234" s="14">
        <v>93600.0</v>
      </c>
      <c r="L234" s="14">
        <v>4900.0</v>
      </c>
      <c r="M234" s="12">
        <v>7.0</v>
      </c>
      <c r="N234" s="12">
        <v>1.0</v>
      </c>
    </row>
    <row r="235" ht="15.75" customHeight="1">
      <c r="D235" s="12" t="s">
        <v>103</v>
      </c>
      <c r="E235" s="12" t="s">
        <v>407</v>
      </c>
      <c r="F235" s="10" t="str">
        <f t="shared" si="1"/>
        <v>Jessica Himes</v>
      </c>
      <c r="G235" s="12" t="s">
        <v>70</v>
      </c>
      <c r="H235" s="13">
        <v>44408.0</v>
      </c>
      <c r="I235" s="13">
        <v>43452.0</v>
      </c>
      <c r="J235" s="11">
        <f t="shared" si="2"/>
        <v>956</v>
      </c>
      <c r="K235" s="14">
        <v>66400.0</v>
      </c>
      <c r="L235" s="14">
        <v>3500.0</v>
      </c>
      <c r="M235" s="12">
        <v>3.0</v>
      </c>
      <c r="N235" s="12">
        <v>4.0</v>
      </c>
    </row>
    <row r="236" ht="15.75" customHeight="1">
      <c r="D236" s="12" t="s">
        <v>354</v>
      </c>
      <c r="E236" s="12" t="s">
        <v>407</v>
      </c>
      <c r="F236" s="10" t="str">
        <f t="shared" si="1"/>
        <v>Melissa Himes</v>
      </c>
      <c r="G236" s="12" t="s">
        <v>81</v>
      </c>
      <c r="H236" s="13">
        <v>44408.0</v>
      </c>
      <c r="I236" s="13">
        <v>42986.0</v>
      </c>
      <c r="J236" s="11">
        <f t="shared" si="2"/>
        <v>1422</v>
      </c>
      <c r="K236" s="14">
        <v>96600.0</v>
      </c>
      <c r="L236" s="14">
        <v>4800.0</v>
      </c>
      <c r="M236" s="12">
        <v>6.0</v>
      </c>
      <c r="N236" s="12">
        <v>3.0</v>
      </c>
    </row>
    <row r="237" ht="15.75" customHeight="1">
      <c r="D237" s="12" t="s">
        <v>408</v>
      </c>
      <c r="E237" s="12" t="s">
        <v>409</v>
      </c>
      <c r="F237" s="10" t="str">
        <f t="shared" si="1"/>
        <v>Janette Hird</v>
      </c>
      <c r="G237" s="12" t="s">
        <v>22</v>
      </c>
      <c r="H237" s="13">
        <v>44408.0</v>
      </c>
      <c r="I237" s="13">
        <v>42354.0</v>
      </c>
      <c r="J237" s="11">
        <f t="shared" si="2"/>
        <v>2054</v>
      </c>
      <c r="K237" s="14">
        <v>86100.0</v>
      </c>
      <c r="L237" s="14">
        <v>2900.0</v>
      </c>
      <c r="M237" s="12">
        <v>6.0</v>
      </c>
      <c r="N237" s="12">
        <v>2.0</v>
      </c>
    </row>
    <row r="238" ht="15.75" customHeight="1">
      <c r="D238" s="12" t="s">
        <v>410</v>
      </c>
      <c r="E238" s="12" t="s">
        <v>411</v>
      </c>
      <c r="F238" s="10" t="str">
        <f t="shared" si="1"/>
        <v>Darline Hobbs</v>
      </c>
      <c r="G238" s="12" t="s">
        <v>26</v>
      </c>
      <c r="H238" s="13">
        <v>44408.0</v>
      </c>
      <c r="I238" s="13">
        <v>42881.0</v>
      </c>
      <c r="J238" s="11">
        <f t="shared" si="2"/>
        <v>1527</v>
      </c>
      <c r="K238" s="14">
        <v>35100.0</v>
      </c>
      <c r="L238" s="14">
        <v>1100.0</v>
      </c>
      <c r="M238" s="12">
        <v>10.0</v>
      </c>
      <c r="N238" s="12">
        <v>1.0</v>
      </c>
    </row>
    <row r="239" ht="15.75" customHeight="1">
      <c r="D239" s="12" t="s">
        <v>412</v>
      </c>
      <c r="E239" s="12" t="s">
        <v>413</v>
      </c>
      <c r="F239" s="10" t="str">
        <f t="shared" si="1"/>
        <v>Wilfred Hoffer</v>
      </c>
      <c r="G239" s="12" t="s">
        <v>22</v>
      </c>
      <c r="H239" s="13">
        <v>44408.0</v>
      </c>
      <c r="I239" s="13">
        <v>43019.0</v>
      </c>
      <c r="J239" s="11">
        <f t="shared" si="2"/>
        <v>1389</v>
      </c>
      <c r="K239" s="14">
        <v>50800.0</v>
      </c>
      <c r="L239" s="14">
        <v>3600.0</v>
      </c>
      <c r="M239" s="12">
        <v>4.0</v>
      </c>
      <c r="N239" s="12">
        <v>3.0</v>
      </c>
    </row>
    <row r="240" ht="15.75" customHeight="1">
      <c r="D240" s="12" t="s">
        <v>414</v>
      </c>
      <c r="E240" s="12" t="s">
        <v>415</v>
      </c>
      <c r="F240" s="10" t="str">
        <f t="shared" si="1"/>
        <v>Jana Holbrook</v>
      </c>
      <c r="G240" s="12" t="s">
        <v>70</v>
      </c>
      <c r="H240" s="13">
        <v>44408.0</v>
      </c>
      <c r="I240" s="13">
        <v>42111.0</v>
      </c>
      <c r="J240" s="11">
        <f t="shared" si="2"/>
        <v>2297</v>
      </c>
      <c r="K240" s="14">
        <v>48100.0</v>
      </c>
      <c r="L240" s="14">
        <v>2500.0</v>
      </c>
      <c r="M240" s="12">
        <v>6.0</v>
      </c>
      <c r="N240" s="12">
        <v>4.0</v>
      </c>
    </row>
    <row r="241" ht="15.75" customHeight="1">
      <c r="D241" s="12" t="s">
        <v>416</v>
      </c>
      <c r="E241" s="12" t="s">
        <v>417</v>
      </c>
      <c r="F241" s="10" t="str">
        <f t="shared" si="1"/>
        <v>Stephanie Holland</v>
      </c>
      <c r="G241" s="12" t="s">
        <v>81</v>
      </c>
      <c r="H241" s="13">
        <v>44408.0</v>
      </c>
      <c r="I241" s="13">
        <v>42607.0</v>
      </c>
      <c r="J241" s="11">
        <f t="shared" si="2"/>
        <v>1801</v>
      </c>
      <c r="K241" s="14">
        <v>92500.0</v>
      </c>
      <c r="L241" s="14">
        <v>4000.0</v>
      </c>
      <c r="M241" s="12">
        <v>7.0</v>
      </c>
      <c r="N241" s="12">
        <v>3.0</v>
      </c>
    </row>
    <row r="242" ht="15.75" customHeight="1">
      <c r="D242" s="12" t="s">
        <v>418</v>
      </c>
      <c r="E242" s="12" t="s">
        <v>419</v>
      </c>
      <c r="F242" s="10" t="str">
        <f t="shared" si="1"/>
        <v>Joe Holmes</v>
      </c>
      <c r="G242" s="12" t="s">
        <v>26</v>
      </c>
      <c r="H242" s="13">
        <v>44408.0</v>
      </c>
      <c r="I242" s="13">
        <v>43064.0</v>
      </c>
      <c r="J242" s="11">
        <f t="shared" si="2"/>
        <v>1344</v>
      </c>
      <c r="K242" s="14">
        <v>47700.0</v>
      </c>
      <c r="L242" s="14">
        <v>3400.0</v>
      </c>
      <c r="M242" s="12">
        <v>3.0</v>
      </c>
      <c r="N242" s="12">
        <v>1.0</v>
      </c>
    </row>
    <row r="243" ht="15.75" customHeight="1">
      <c r="D243" s="12" t="s">
        <v>45</v>
      </c>
      <c r="E243" s="12" t="s">
        <v>419</v>
      </c>
      <c r="F243" s="10" t="str">
        <f t="shared" si="1"/>
        <v>Julie Holmes</v>
      </c>
      <c r="G243" s="12" t="s">
        <v>70</v>
      </c>
      <c r="H243" s="13">
        <v>44408.0</v>
      </c>
      <c r="I243" s="13">
        <v>43990.0</v>
      </c>
      <c r="J243" s="11">
        <f t="shared" si="2"/>
        <v>418</v>
      </c>
      <c r="K243" s="14">
        <v>45900.0</v>
      </c>
      <c r="L243" s="14">
        <v>3700.0</v>
      </c>
      <c r="M243" s="12">
        <v>2.0</v>
      </c>
      <c r="N243" s="12">
        <v>1.0</v>
      </c>
    </row>
    <row r="244" ht="15.75" customHeight="1">
      <c r="D244" s="12" t="s">
        <v>420</v>
      </c>
      <c r="E244" s="12" t="s">
        <v>419</v>
      </c>
      <c r="F244" s="10" t="str">
        <f t="shared" si="1"/>
        <v>Matilda Holmes</v>
      </c>
      <c r="G244" s="12" t="s">
        <v>81</v>
      </c>
      <c r="H244" s="13">
        <v>44408.0</v>
      </c>
      <c r="I244" s="13">
        <v>43348.0</v>
      </c>
      <c r="J244" s="11">
        <f t="shared" si="2"/>
        <v>1060</v>
      </c>
      <c r="K244" s="14">
        <v>100000.0</v>
      </c>
      <c r="L244" s="14">
        <v>3300.0</v>
      </c>
      <c r="M244" s="12">
        <v>5.0</v>
      </c>
      <c r="N244" s="12">
        <v>5.0</v>
      </c>
    </row>
    <row r="245" ht="15.75" customHeight="1">
      <c r="D245" s="12" t="s">
        <v>421</v>
      </c>
      <c r="E245" s="12" t="s">
        <v>422</v>
      </c>
      <c r="F245" s="10" t="str">
        <f t="shared" si="1"/>
        <v>Myong Hopkins</v>
      </c>
      <c r="G245" s="12" t="s">
        <v>81</v>
      </c>
      <c r="H245" s="13">
        <v>44408.0</v>
      </c>
      <c r="I245" s="13">
        <v>43853.0</v>
      </c>
      <c r="J245" s="11">
        <f t="shared" si="2"/>
        <v>555</v>
      </c>
      <c r="K245" s="14">
        <v>76500.0</v>
      </c>
      <c r="L245" s="14">
        <v>3500.0</v>
      </c>
      <c r="M245" s="12">
        <v>4.0</v>
      </c>
      <c r="N245" s="12">
        <v>3.0</v>
      </c>
    </row>
    <row r="246" ht="15.75" customHeight="1">
      <c r="D246" s="12" t="s">
        <v>423</v>
      </c>
      <c r="E246" s="12" t="s">
        <v>424</v>
      </c>
      <c r="F246" s="10" t="str">
        <f t="shared" si="1"/>
        <v>Nellie House</v>
      </c>
      <c r="G246" s="12" t="s">
        <v>81</v>
      </c>
      <c r="H246" s="13">
        <v>44408.0</v>
      </c>
      <c r="I246" s="13">
        <v>42377.0</v>
      </c>
      <c r="J246" s="11">
        <f t="shared" si="2"/>
        <v>2031</v>
      </c>
      <c r="K246" s="14">
        <v>72400.0</v>
      </c>
      <c r="L246" s="14">
        <v>4700.0</v>
      </c>
      <c r="M246" s="12">
        <v>6.0</v>
      </c>
      <c r="N246" s="12">
        <v>3.0</v>
      </c>
    </row>
    <row r="247" ht="15.75" customHeight="1">
      <c r="D247" s="12" t="s">
        <v>425</v>
      </c>
      <c r="E247" s="12" t="s">
        <v>218</v>
      </c>
      <c r="F247" s="10" t="str">
        <f t="shared" si="1"/>
        <v>Catina Howard</v>
      </c>
      <c r="G247" s="12" t="s">
        <v>70</v>
      </c>
      <c r="H247" s="13">
        <v>44408.0</v>
      </c>
      <c r="I247" s="13">
        <v>42044.0</v>
      </c>
      <c r="J247" s="11">
        <f t="shared" si="2"/>
        <v>2364</v>
      </c>
      <c r="K247" s="14">
        <v>72200.0</v>
      </c>
      <c r="L247" s="14">
        <v>3600.0</v>
      </c>
      <c r="M247" s="12">
        <v>1.0</v>
      </c>
      <c r="N247" s="12">
        <v>4.0</v>
      </c>
    </row>
    <row r="248" ht="15.75" customHeight="1">
      <c r="D248" s="12" t="s">
        <v>426</v>
      </c>
      <c r="E248" s="12" t="s">
        <v>427</v>
      </c>
      <c r="F248" s="10" t="str">
        <f t="shared" si="1"/>
        <v>Margaret Howes</v>
      </c>
      <c r="G248" s="12" t="s">
        <v>70</v>
      </c>
      <c r="H248" s="13">
        <v>44408.0</v>
      </c>
      <c r="I248" s="13">
        <v>42023.0</v>
      </c>
      <c r="J248" s="11">
        <f t="shared" si="2"/>
        <v>2385</v>
      </c>
      <c r="K248" s="14">
        <v>50300.0</v>
      </c>
      <c r="L248" s="14">
        <v>2700.0</v>
      </c>
      <c r="M248" s="12">
        <v>8.0</v>
      </c>
      <c r="N248" s="12">
        <v>5.0</v>
      </c>
    </row>
    <row r="249" ht="15.75" customHeight="1">
      <c r="D249" s="12" t="s">
        <v>428</v>
      </c>
      <c r="E249" s="12" t="s">
        <v>429</v>
      </c>
      <c r="F249" s="10" t="str">
        <f t="shared" si="1"/>
        <v>Malik Hudson</v>
      </c>
      <c r="G249" s="12" t="s">
        <v>81</v>
      </c>
      <c r="H249" s="13">
        <v>44408.0</v>
      </c>
      <c r="I249" s="13">
        <v>43066.0</v>
      </c>
      <c r="J249" s="11">
        <f t="shared" si="2"/>
        <v>1342</v>
      </c>
      <c r="K249" s="14">
        <v>97000.0</v>
      </c>
      <c r="L249" s="14">
        <v>6100.0</v>
      </c>
      <c r="M249" s="12">
        <v>5.0</v>
      </c>
      <c r="N249" s="12">
        <v>4.0</v>
      </c>
    </row>
    <row r="250" ht="15.75" customHeight="1">
      <c r="D250" s="12" t="s">
        <v>430</v>
      </c>
      <c r="E250" s="12" t="s">
        <v>431</v>
      </c>
      <c r="F250" s="10" t="str">
        <f t="shared" si="1"/>
        <v>Geraldine Hughley</v>
      </c>
      <c r="G250" s="12" t="s">
        <v>33</v>
      </c>
      <c r="H250" s="13">
        <v>44408.0</v>
      </c>
      <c r="I250" s="13">
        <v>43223.0</v>
      </c>
      <c r="J250" s="11">
        <f t="shared" si="2"/>
        <v>1185</v>
      </c>
      <c r="K250" s="14">
        <v>31200.0</v>
      </c>
      <c r="L250" s="14">
        <v>2500.0</v>
      </c>
      <c r="M250" s="12">
        <v>5.0</v>
      </c>
      <c r="N250" s="12">
        <v>3.0</v>
      </c>
    </row>
    <row r="251" ht="15.75" customHeight="1">
      <c r="D251" s="12" t="s">
        <v>128</v>
      </c>
      <c r="E251" s="12" t="s">
        <v>432</v>
      </c>
      <c r="F251" s="10" t="str">
        <f t="shared" si="1"/>
        <v>William Hurley</v>
      </c>
      <c r="G251" s="12" t="s">
        <v>70</v>
      </c>
      <c r="H251" s="13">
        <v>44408.0</v>
      </c>
      <c r="I251" s="13">
        <v>42811.0</v>
      </c>
      <c r="J251" s="11">
        <f t="shared" si="2"/>
        <v>1597</v>
      </c>
      <c r="K251" s="14">
        <v>43000.0</v>
      </c>
      <c r="L251" s="14">
        <v>3900.0</v>
      </c>
      <c r="M251" s="12">
        <v>6.0</v>
      </c>
      <c r="N251" s="12">
        <v>3.0</v>
      </c>
    </row>
    <row r="252" ht="15.75" customHeight="1">
      <c r="D252" s="12" t="s">
        <v>124</v>
      </c>
      <c r="E252" s="12" t="s">
        <v>433</v>
      </c>
      <c r="F252" s="10" t="str">
        <f t="shared" si="1"/>
        <v>Gloria Hurt</v>
      </c>
      <c r="G252" s="12" t="s">
        <v>22</v>
      </c>
      <c r="H252" s="13">
        <v>44408.0</v>
      </c>
      <c r="I252" s="13">
        <v>42081.0</v>
      </c>
      <c r="J252" s="11">
        <f t="shared" si="2"/>
        <v>2327</v>
      </c>
      <c r="K252" s="14">
        <v>101100.0</v>
      </c>
      <c r="L252" s="14">
        <v>5500.0</v>
      </c>
      <c r="M252" s="12">
        <v>7.0</v>
      </c>
      <c r="N252" s="12">
        <v>3.0</v>
      </c>
    </row>
    <row r="253" ht="15.75" customHeight="1">
      <c r="D253" s="12" t="s">
        <v>128</v>
      </c>
      <c r="E253" s="12" t="s">
        <v>434</v>
      </c>
      <c r="F253" s="10" t="str">
        <f t="shared" si="1"/>
        <v>William Jack</v>
      </c>
      <c r="G253" s="12" t="s">
        <v>33</v>
      </c>
      <c r="H253" s="13">
        <v>44408.0</v>
      </c>
      <c r="I253" s="13">
        <v>43358.0</v>
      </c>
      <c r="J253" s="11">
        <f t="shared" si="2"/>
        <v>1050</v>
      </c>
      <c r="K253" s="14">
        <v>53100.0</v>
      </c>
      <c r="L253" s="14">
        <v>3300.0</v>
      </c>
      <c r="M253" s="12">
        <v>2.0</v>
      </c>
      <c r="N253" s="12">
        <v>2.0</v>
      </c>
    </row>
    <row r="254" ht="15.75" customHeight="1">
      <c r="D254" s="12" t="s">
        <v>435</v>
      </c>
      <c r="E254" s="12" t="s">
        <v>436</v>
      </c>
      <c r="F254" s="10" t="str">
        <f t="shared" si="1"/>
        <v>Claude Jackson</v>
      </c>
      <c r="G254" s="12" t="s">
        <v>33</v>
      </c>
      <c r="H254" s="13">
        <v>44408.0</v>
      </c>
      <c r="I254" s="13">
        <v>42617.0</v>
      </c>
      <c r="J254" s="11">
        <f t="shared" si="2"/>
        <v>1791</v>
      </c>
      <c r="K254" s="14">
        <v>25200.0</v>
      </c>
      <c r="L254" s="14">
        <v>0.0</v>
      </c>
      <c r="M254" s="12">
        <v>7.0</v>
      </c>
      <c r="N254" s="12">
        <v>3.0</v>
      </c>
    </row>
    <row r="255" ht="15.75" customHeight="1">
      <c r="D255" s="12" t="s">
        <v>28</v>
      </c>
      <c r="E255" s="12" t="s">
        <v>117</v>
      </c>
      <c r="F255" s="10" t="str">
        <f t="shared" si="1"/>
        <v>Janice James</v>
      </c>
      <c r="G255" s="12" t="s">
        <v>22</v>
      </c>
      <c r="H255" s="13">
        <v>44408.0</v>
      </c>
      <c r="I255" s="13">
        <v>42812.0</v>
      </c>
      <c r="J255" s="11">
        <f t="shared" si="2"/>
        <v>1596</v>
      </c>
      <c r="K255" s="14">
        <v>69600.0</v>
      </c>
      <c r="L255" s="14">
        <v>6100.0</v>
      </c>
      <c r="M255" s="12">
        <v>6.0</v>
      </c>
      <c r="N255" s="12">
        <v>3.0</v>
      </c>
    </row>
    <row r="256" ht="15.75" customHeight="1">
      <c r="D256" s="12" t="s">
        <v>437</v>
      </c>
      <c r="E256" s="12" t="s">
        <v>438</v>
      </c>
      <c r="F256" s="10" t="str">
        <f t="shared" si="1"/>
        <v>Shanna Jasinski</v>
      </c>
      <c r="G256" s="12" t="s">
        <v>56</v>
      </c>
      <c r="H256" s="13">
        <v>44408.0</v>
      </c>
      <c r="I256" s="13">
        <v>42917.0</v>
      </c>
      <c r="J256" s="11">
        <f t="shared" si="2"/>
        <v>1491</v>
      </c>
      <c r="K256" s="14">
        <v>37100.0</v>
      </c>
      <c r="L256" s="14">
        <v>1600.0</v>
      </c>
      <c r="M256" s="12">
        <v>3.0</v>
      </c>
      <c r="N256" s="12">
        <v>3.0</v>
      </c>
    </row>
    <row r="257" ht="15.75" customHeight="1">
      <c r="D257" s="12" t="s">
        <v>99</v>
      </c>
      <c r="E257" s="12" t="s">
        <v>439</v>
      </c>
      <c r="F257" s="10" t="str">
        <f t="shared" si="1"/>
        <v>John Jenkins</v>
      </c>
      <c r="G257" s="12" t="s">
        <v>26</v>
      </c>
      <c r="H257" s="13">
        <v>44408.0</v>
      </c>
      <c r="I257" s="13">
        <v>42014.0</v>
      </c>
      <c r="J257" s="11">
        <f t="shared" si="2"/>
        <v>2394</v>
      </c>
      <c r="K257" s="14">
        <v>39200.0</v>
      </c>
      <c r="L257" s="14">
        <v>1900.0</v>
      </c>
      <c r="M257" s="12">
        <v>5.0</v>
      </c>
      <c r="N257" s="12">
        <v>4.0</v>
      </c>
    </row>
    <row r="258" ht="15.75" customHeight="1">
      <c r="D258" s="12" t="s">
        <v>440</v>
      </c>
      <c r="E258" s="12" t="s">
        <v>439</v>
      </c>
      <c r="F258" s="10" t="str">
        <f t="shared" si="1"/>
        <v>Jose Jenkins</v>
      </c>
      <c r="G258" s="12" t="s">
        <v>81</v>
      </c>
      <c r="H258" s="13">
        <v>44408.0</v>
      </c>
      <c r="I258" s="13">
        <v>42210.0</v>
      </c>
      <c r="J258" s="11">
        <f t="shared" si="2"/>
        <v>2198</v>
      </c>
      <c r="K258" s="14">
        <v>98600.0</v>
      </c>
      <c r="L258" s="14">
        <v>1200.0</v>
      </c>
      <c r="M258" s="12">
        <v>4.0</v>
      </c>
      <c r="N258" s="12">
        <v>4.0</v>
      </c>
    </row>
    <row r="259" ht="15.75" customHeight="1">
      <c r="D259" s="12" t="s">
        <v>241</v>
      </c>
      <c r="E259" s="12" t="s">
        <v>441</v>
      </c>
      <c r="F259" s="10" t="str">
        <f t="shared" si="1"/>
        <v>Christopher Jennings</v>
      </c>
      <c r="G259" s="12" t="s">
        <v>30</v>
      </c>
      <c r="H259" s="13">
        <v>44408.0</v>
      </c>
      <c r="I259" s="13">
        <v>43764.0</v>
      </c>
      <c r="J259" s="11">
        <f t="shared" si="2"/>
        <v>644</v>
      </c>
      <c r="K259" s="14">
        <v>54400.0</v>
      </c>
      <c r="L259" s="14">
        <v>3700.0</v>
      </c>
      <c r="M259" s="12">
        <v>2.0</v>
      </c>
      <c r="N259" s="12">
        <v>3.0</v>
      </c>
    </row>
    <row r="260" ht="15.75" customHeight="1">
      <c r="D260" s="12" t="s">
        <v>442</v>
      </c>
      <c r="E260" s="12" t="s">
        <v>441</v>
      </c>
      <c r="F260" s="10" t="str">
        <f t="shared" si="1"/>
        <v>Hubert Jennings</v>
      </c>
      <c r="G260" s="12" t="s">
        <v>70</v>
      </c>
      <c r="H260" s="13">
        <v>44408.0</v>
      </c>
      <c r="I260" s="13">
        <v>43052.0</v>
      </c>
      <c r="J260" s="11">
        <f t="shared" si="2"/>
        <v>1356</v>
      </c>
      <c r="K260" s="14">
        <v>34100.0</v>
      </c>
      <c r="L260" s="14">
        <v>500.0</v>
      </c>
      <c r="M260" s="12">
        <v>7.0</v>
      </c>
      <c r="N260" s="12">
        <v>2.0</v>
      </c>
    </row>
    <row r="261" ht="15.75" customHeight="1">
      <c r="D261" s="12" t="s">
        <v>393</v>
      </c>
      <c r="E261" s="12" t="s">
        <v>443</v>
      </c>
      <c r="F261" s="10" t="str">
        <f t="shared" si="1"/>
        <v>Amanda Johnson</v>
      </c>
      <c r="G261" s="12" t="s">
        <v>56</v>
      </c>
      <c r="H261" s="13">
        <v>44408.0</v>
      </c>
      <c r="I261" s="13">
        <v>43859.0</v>
      </c>
      <c r="J261" s="11">
        <f t="shared" si="2"/>
        <v>549</v>
      </c>
      <c r="K261" s="14">
        <v>54100.0</v>
      </c>
      <c r="L261" s="14">
        <v>1000.0</v>
      </c>
      <c r="M261" s="12">
        <v>4.0</v>
      </c>
      <c r="N261" s="12">
        <v>5.0</v>
      </c>
    </row>
    <row r="262" ht="15.75" customHeight="1">
      <c r="D262" s="12" t="s">
        <v>444</v>
      </c>
      <c r="E262" s="12" t="s">
        <v>443</v>
      </c>
      <c r="F262" s="10" t="str">
        <f t="shared" si="1"/>
        <v>Angila Johnson</v>
      </c>
      <c r="G262" s="12" t="s">
        <v>81</v>
      </c>
      <c r="H262" s="13">
        <v>44408.0</v>
      </c>
      <c r="I262" s="13">
        <v>42564.0</v>
      </c>
      <c r="J262" s="11">
        <f t="shared" si="2"/>
        <v>1844</v>
      </c>
      <c r="K262" s="14">
        <v>74300.0</v>
      </c>
      <c r="L262" s="14">
        <v>2200.0</v>
      </c>
      <c r="M262" s="12">
        <v>4.0</v>
      </c>
      <c r="N262" s="12">
        <v>2.0</v>
      </c>
    </row>
    <row r="263" ht="15.75" customHeight="1">
      <c r="D263" s="12" t="s">
        <v>306</v>
      </c>
      <c r="E263" s="12" t="s">
        <v>443</v>
      </c>
      <c r="F263" s="10" t="str">
        <f t="shared" si="1"/>
        <v>Dorothy Johnson</v>
      </c>
      <c r="G263" s="12" t="s">
        <v>56</v>
      </c>
      <c r="H263" s="13">
        <v>44408.0</v>
      </c>
      <c r="I263" s="13">
        <v>42717.0</v>
      </c>
      <c r="J263" s="11">
        <f t="shared" si="2"/>
        <v>1691</v>
      </c>
      <c r="K263" s="14">
        <v>56600.0</v>
      </c>
      <c r="L263" s="14">
        <v>3900.0</v>
      </c>
      <c r="M263" s="12">
        <v>4.0</v>
      </c>
      <c r="N263" s="12">
        <v>4.0</v>
      </c>
    </row>
    <row r="264" ht="15.75" customHeight="1">
      <c r="D264" s="12" t="s">
        <v>445</v>
      </c>
      <c r="E264" s="12" t="s">
        <v>443</v>
      </c>
      <c r="F264" s="10" t="str">
        <f t="shared" si="1"/>
        <v>Jesenia Johnson</v>
      </c>
      <c r="G264" s="12" t="s">
        <v>22</v>
      </c>
      <c r="H264" s="13">
        <v>44408.0</v>
      </c>
      <c r="I264" s="13">
        <v>43650.0</v>
      </c>
      <c r="J264" s="11">
        <f t="shared" si="2"/>
        <v>758</v>
      </c>
      <c r="K264" s="14">
        <v>97600.0</v>
      </c>
      <c r="L264" s="14">
        <v>4600.0</v>
      </c>
      <c r="M264" s="12">
        <v>8.0</v>
      </c>
      <c r="N264" s="12">
        <v>4.0</v>
      </c>
    </row>
    <row r="265" ht="15.75" customHeight="1">
      <c r="D265" s="12" t="s">
        <v>183</v>
      </c>
      <c r="E265" s="12" t="s">
        <v>443</v>
      </c>
      <c r="F265" s="10" t="str">
        <f t="shared" si="1"/>
        <v>Michelle Johnson</v>
      </c>
      <c r="G265" s="12" t="s">
        <v>22</v>
      </c>
      <c r="H265" s="13">
        <v>44408.0</v>
      </c>
      <c r="I265" s="13">
        <v>43670.0</v>
      </c>
      <c r="J265" s="11">
        <f t="shared" si="2"/>
        <v>738</v>
      </c>
      <c r="K265" s="14">
        <v>81300.0</v>
      </c>
      <c r="L265" s="14">
        <v>4600.0</v>
      </c>
      <c r="M265" s="12">
        <v>4.0</v>
      </c>
      <c r="N265" s="12">
        <v>4.0</v>
      </c>
    </row>
    <row r="266" ht="15.75" customHeight="1">
      <c r="D266" s="12" t="s">
        <v>446</v>
      </c>
      <c r="E266" s="12" t="s">
        <v>443</v>
      </c>
      <c r="F266" s="10" t="str">
        <f t="shared" si="1"/>
        <v>Patrick Johnson</v>
      </c>
      <c r="G266" s="12" t="s">
        <v>70</v>
      </c>
      <c r="H266" s="13">
        <v>44408.0</v>
      </c>
      <c r="I266" s="13">
        <v>44090.0</v>
      </c>
      <c r="J266" s="11">
        <f t="shared" si="2"/>
        <v>318</v>
      </c>
      <c r="K266" s="14">
        <v>45300.0</v>
      </c>
      <c r="L266" s="14">
        <v>500.0</v>
      </c>
      <c r="M266" s="12">
        <v>10.0</v>
      </c>
      <c r="N266" s="12">
        <v>3.0</v>
      </c>
    </row>
    <row r="267" ht="15.75" customHeight="1">
      <c r="D267" s="12" t="s">
        <v>198</v>
      </c>
      <c r="E267" s="12" t="s">
        <v>443</v>
      </c>
      <c r="F267" s="10" t="str">
        <f t="shared" si="1"/>
        <v>Ray Johnson</v>
      </c>
      <c r="G267" s="12" t="s">
        <v>33</v>
      </c>
      <c r="H267" s="13">
        <v>44408.0</v>
      </c>
      <c r="I267" s="13">
        <v>43040.0</v>
      </c>
      <c r="J267" s="11">
        <f t="shared" si="2"/>
        <v>1368</v>
      </c>
      <c r="K267" s="14">
        <v>57400.0</v>
      </c>
      <c r="L267" s="14">
        <v>4000.0</v>
      </c>
      <c r="M267" s="12">
        <v>9.0</v>
      </c>
      <c r="N267" s="12">
        <v>3.0</v>
      </c>
    </row>
    <row r="268" ht="15.75" customHeight="1">
      <c r="D268" s="12" t="s">
        <v>336</v>
      </c>
      <c r="E268" s="12" t="s">
        <v>447</v>
      </c>
      <c r="F268" s="10" t="str">
        <f t="shared" si="1"/>
        <v>Cathy Jones</v>
      </c>
      <c r="G268" s="12" t="s">
        <v>81</v>
      </c>
      <c r="H268" s="13">
        <v>44408.0</v>
      </c>
      <c r="I268" s="13">
        <v>43861.0</v>
      </c>
      <c r="J268" s="11">
        <f t="shared" si="2"/>
        <v>547</v>
      </c>
      <c r="K268" s="14">
        <v>103700.0</v>
      </c>
      <c r="L268" s="14">
        <v>4200.0</v>
      </c>
      <c r="M268" s="12">
        <v>5.0</v>
      </c>
      <c r="N268" s="12">
        <v>5.0</v>
      </c>
    </row>
    <row r="269" ht="15.75" customHeight="1">
      <c r="D269" s="12" t="s">
        <v>220</v>
      </c>
      <c r="E269" s="12" t="s">
        <v>447</v>
      </c>
      <c r="F269" s="10" t="str">
        <f t="shared" si="1"/>
        <v>Craig Jones</v>
      </c>
      <c r="G269" s="12" t="s">
        <v>47</v>
      </c>
      <c r="H269" s="13">
        <v>44408.0</v>
      </c>
      <c r="I269" s="13">
        <v>44252.0</v>
      </c>
      <c r="J269" s="11">
        <f t="shared" si="2"/>
        <v>156</v>
      </c>
      <c r="K269" s="14">
        <v>50700.0</v>
      </c>
      <c r="L269" s="14">
        <v>5500.0</v>
      </c>
      <c r="M269" s="12">
        <v>11.0</v>
      </c>
      <c r="N269" s="12">
        <v>5.0</v>
      </c>
    </row>
    <row r="270" ht="15.75" customHeight="1">
      <c r="D270" s="12" t="s">
        <v>306</v>
      </c>
      <c r="E270" s="12" t="s">
        <v>447</v>
      </c>
      <c r="F270" s="10" t="str">
        <f t="shared" si="1"/>
        <v>Dorothy Jones</v>
      </c>
      <c r="G270" s="12" t="s">
        <v>56</v>
      </c>
      <c r="H270" s="13">
        <v>44408.0</v>
      </c>
      <c r="I270" s="13">
        <v>42648.0</v>
      </c>
      <c r="J270" s="11">
        <f t="shared" si="2"/>
        <v>1760</v>
      </c>
      <c r="K270" s="14">
        <v>58600.0</v>
      </c>
      <c r="L270" s="14">
        <v>2000.0</v>
      </c>
      <c r="M270" s="12">
        <v>6.0</v>
      </c>
      <c r="N270" s="12">
        <v>3.0</v>
      </c>
    </row>
    <row r="271" ht="15.75" customHeight="1">
      <c r="D271" s="12" t="s">
        <v>448</v>
      </c>
      <c r="E271" s="12" t="s">
        <v>447</v>
      </c>
      <c r="F271" s="10" t="str">
        <f t="shared" si="1"/>
        <v>Ella Jones</v>
      </c>
      <c r="G271" s="12" t="s">
        <v>56</v>
      </c>
      <c r="H271" s="13">
        <v>44408.0</v>
      </c>
      <c r="I271" s="13">
        <v>42480.0</v>
      </c>
      <c r="J271" s="11">
        <f t="shared" si="2"/>
        <v>1928</v>
      </c>
      <c r="K271" s="14">
        <v>58300.0</v>
      </c>
      <c r="L271" s="14">
        <v>400.0</v>
      </c>
      <c r="M271" s="12">
        <v>7.0</v>
      </c>
      <c r="N271" s="12">
        <v>3.0</v>
      </c>
    </row>
    <row r="272" ht="15.75" customHeight="1">
      <c r="D272" s="12" t="s">
        <v>156</v>
      </c>
      <c r="E272" s="12" t="s">
        <v>447</v>
      </c>
      <c r="F272" s="10" t="str">
        <f t="shared" si="1"/>
        <v>Jamie Jones</v>
      </c>
      <c r="G272" s="12" t="s">
        <v>33</v>
      </c>
      <c r="H272" s="13">
        <v>44408.0</v>
      </c>
      <c r="I272" s="13">
        <v>42026.0</v>
      </c>
      <c r="J272" s="11">
        <f t="shared" si="2"/>
        <v>2382</v>
      </c>
      <c r="K272" s="14">
        <v>53000.0</v>
      </c>
      <c r="L272" s="14">
        <v>1200.0</v>
      </c>
      <c r="M272" s="12">
        <v>4.0</v>
      </c>
      <c r="N272" s="12">
        <v>4.0</v>
      </c>
    </row>
    <row r="273" ht="15.75" customHeight="1">
      <c r="D273" s="12" t="s">
        <v>449</v>
      </c>
      <c r="E273" s="12" t="s">
        <v>447</v>
      </c>
      <c r="F273" s="10" t="str">
        <f t="shared" si="1"/>
        <v>Travis Jones</v>
      </c>
      <c r="G273" s="12" t="s">
        <v>33</v>
      </c>
      <c r="H273" s="13">
        <v>44408.0</v>
      </c>
      <c r="I273" s="13">
        <v>43565.0</v>
      </c>
      <c r="J273" s="11">
        <f t="shared" si="2"/>
        <v>843</v>
      </c>
      <c r="K273" s="14">
        <v>39500.0</v>
      </c>
      <c r="L273" s="14">
        <v>3900.0</v>
      </c>
      <c r="M273" s="12">
        <v>9.0</v>
      </c>
      <c r="N273" s="12">
        <v>5.0</v>
      </c>
    </row>
    <row r="274" ht="15.75" customHeight="1">
      <c r="D274" s="12" t="s">
        <v>79</v>
      </c>
      <c r="E274" s="12" t="s">
        <v>450</v>
      </c>
      <c r="F274" s="10" t="str">
        <f t="shared" si="1"/>
        <v>Ryan Jorgenson</v>
      </c>
      <c r="G274" s="12" t="s">
        <v>26</v>
      </c>
      <c r="H274" s="13">
        <v>44408.0</v>
      </c>
      <c r="I274" s="13">
        <v>43233.0</v>
      </c>
      <c r="J274" s="11">
        <f t="shared" si="2"/>
        <v>1175</v>
      </c>
      <c r="K274" s="14">
        <v>48300.0</v>
      </c>
      <c r="L274" s="14">
        <v>2600.0</v>
      </c>
      <c r="M274" s="12">
        <v>6.0</v>
      </c>
      <c r="N274" s="12">
        <v>3.0</v>
      </c>
    </row>
    <row r="275" ht="15.75" customHeight="1">
      <c r="D275" s="12" t="s">
        <v>451</v>
      </c>
      <c r="E275" s="12" t="s">
        <v>452</v>
      </c>
      <c r="F275" s="10" t="str">
        <f t="shared" si="1"/>
        <v>Dallas Jourdan</v>
      </c>
      <c r="G275" s="12" t="s">
        <v>33</v>
      </c>
      <c r="H275" s="13">
        <v>44408.0</v>
      </c>
      <c r="I275" s="13">
        <v>42540.0</v>
      </c>
      <c r="J275" s="11">
        <f t="shared" si="2"/>
        <v>1868</v>
      </c>
      <c r="K275" s="14">
        <v>42300.0</v>
      </c>
      <c r="L275" s="14">
        <v>1300.0</v>
      </c>
      <c r="M275" s="12">
        <v>3.0</v>
      </c>
      <c r="N275" s="12">
        <v>3.0</v>
      </c>
    </row>
    <row r="276" ht="15.75" customHeight="1">
      <c r="D276" s="12" t="s">
        <v>453</v>
      </c>
      <c r="E276" s="12" t="s">
        <v>454</v>
      </c>
      <c r="F276" s="10" t="str">
        <f t="shared" si="1"/>
        <v>Myrna Kennedy</v>
      </c>
      <c r="G276" s="12" t="s">
        <v>30</v>
      </c>
      <c r="H276" s="13">
        <v>44408.0</v>
      </c>
      <c r="I276" s="13">
        <v>44220.0</v>
      </c>
      <c r="J276" s="11">
        <f t="shared" si="2"/>
        <v>188</v>
      </c>
      <c r="K276" s="14">
        <v>102600.0</v>
      </c>
      <c r="L276" s="14">
        <v>4700.0</v>
      </c>
      <c r="M276" s="12">
        <v>4.0</v>
      </c>
      <c r="N276" s="12">
        <v>4.0</v>
      </c>
    </row>
    <row r="277" ht="15.75" customHeight="1">
      <c r="D277" s="12" t="s">
        <v>455</v>
      </c>
      <c r="E277" s="12" t="s">
        <v>456</v>
      </c>
      <c r="F277" s="10" t="str">
        <f t="shared" si="1"/>
        <v>Danielle Kepner</v>
      </c>
      <c r="G277" s="12" t="s">
        <v>70</v>
      </c>
      <c r="H277" s="13">
        <v>44408.0</v>
      </c>
      <c r="I277" s="13">
        <v>42370.0</v>
      </c>
      <c r="J277" s="11">
        <f t="shared" si="2"/>
        <v>2038</v>
      </c>
      <c r="K277" s="14">
        <v>31500.0</v>
      </c>
      <c r="L277" s="14">
        <v>1200.0</v>
      </c>
      <c r="M277" s="12">
        <v>4.0</v>
      </c>
      <c r="N277" s="12">
        <v>4.0</v>
      </c>
    </row>
    <row r="278" ht="15.75" customHeight="1">
      <c r="D278" s="12" t="s">
        <v>457</v>
      </c>
      <c r="E278" s="12" t="s">
        <v>458</v>
      </c>
      <c r="F278" s="10" t="str">
        <f t="shared" si="1"/>
        <v>Joyce Kim</v>
      </c>
      <c r="G278" s="12" t="s">
        <v>56</v>
      </c>
      <c r="H278" s="13">
        <v>44408.0</v>
      </c>
      <c r="I278" s="13">
        <v>43131.0</v>
      </c>
      <c r="J278" s="11">
        <f t="shared" si="2"/>
        <v>1277</v>
      </c>
      <c r="K278" s="14">
        <v>62600.0</v>
      </c>
      <c r="L278" s="14">
        <v>5200.0</v>
      </c>
      <c r="M278" s="12">
        <v>4.0</v>
      </c>
      <c r="N278" s="12">
        <v>1.0</v>
      </c>
    </row>
    <row r="279" ht="15.75" customHeight="1">
      <c r="D279" s="12" t="s">
        <v>459</v>
      </c>
      <c r="E279" s="12" t="s">
        <v>460</v>
      </c>
      <c r="F279" s="10" t="str">
        <f t="shared" si="1"/>
        <v>Graham King</v>
      </c>
      <c r="G279" s="12" t="s">
        <v>81</v>
      </c>
      <c r="H279" s="13">
        <v>44408.0</v>
      </c>
      <c r="I279" s="13">
        <v>42799.0</v>
      </c>
      <c r="J279" s="11">
        <f t="shared" si="2"/>
        <v>1609</v>
      </c>
      <c r="K279" s="14">
        <v>93300.0</v>
      </c>
      <c r="L279" s="14">
        <v>6600.0</v>
      </c>
      <c r="M279" s="12">
        <v>6.0</v>
      </c>
      <c r="N279" s="12">
        <v>4.0</v>
      </c>
    </row>
    <row r="280" ht="15.75" customHeight="1">
      <c r="D280" s="12" t="s">
        <v>461</v>
      </c>
      <c r="E280" s="12" t="s">
        <v>460</v>
      </c>
      <c r="F280" s="10" t="str">
        <f t="shared" si="1"/>
        <v>Julia King</v>
      </c>
      <c r="G280" s="12" t="s">
        <v>70</v>
      </c>
      <c r="H280" s="13">
        <v>44408.0</v>
      </c>
      <c r="I280" s="13">
        <v>44280.0</v>
      </c>
      <c r="J280" s="11">
        <f t="shared" si="2"/>
        <v>128</v>
      </c>
      <c r="K280" s="14">
        <v>50200.0</v>
      </c>
      <c r="L280" s="14">
        <v>0.0</v>
      </c>
      <c r="M280" s="12">
        <v>5.0</v>
      </c>
      <c r="N280" s="12">
        <v>4.0</v>
      </c>
    </row>
    <row r="281" ht="15.75" customHeight="1">
      <c r="D281" s="12" t="s">
        <v>99</v>
      </c>
      <c r="E281" s="12" t="s">
        <v>462</v>
      </c>
      <c r="F281" s="10" t="str">
        <f t="shared" si="1"/>
        <v>John Kirkman</v>
      </c>
      <c r="G281" s="12" t="s">
        <v>70</v>
      </c>
      <c r="H281" s="13">
        <v>44408.0</v>
      </c>
      <c r="I281" s="13">
        <v>43478.0</v>
      </c>
      <c r="J281" s="11">
        <f t="shared" si="2"/>
        <v>930</v>
      </c>
      <c r="K281" s="14">
        <v>47900.0</v>
      </c>
      <c r="L281" s="14">
        <v>0.0</v>
      </c>
      <c r="M281" s="12">
        <v>4.0</v>
      </c>
      <c r="N281" s="12">
        <v>2.0</v>
      </c>
    </row>
    <row r="282" ht="15.75" customHeight="1">
      <c r="D282" s="12" t="s">
        <v>463</v>
      </c>
      <c r="E282" s="12" t="s">
        <v>464</v>
      </c>
      <c r="F282" s="10" t="str">
        <f t="shared" si="1"/>
        <v>Pat Klein</v>
      </c>
      <c r="G282" s="12" t="s">
        <v>47</v>
      </c>
      <c r="H282" s="13">
        <v>44408.0</v>
      </c>
      <c r="I282" s="13">
        <v>43220.0</v>
      </c>
      <c r="J282" s="11">
        <f t="shared" si="2"/>
        <v>1188</v>
      </c>
      <c r="K282" s="14">
        <v>51800.0</v>
      </c>
      <c r="L282" s="14">
        <v>3600.0</v>
      </c>
      <c r="M282" s="12">
        <v>5.0</v>
      </c>
      <c r="N282" s="12">
        <v>2.0</v>
      </c>
    </row>
    <row r="283" ht="15.75" customHeight="1">
      <c r="D283" s="12" t="s">
        <v>128</v>
      </c>
      <c r="E283" s="12" t="s">
        <v>465</v>
      </c>
      <c r="F283" s="10" t="str">
        <f t="shared" si="1"/>
        <v>William Kuhn</v>
      </c>
      <c r="G283" s="12" t="s">
        <v>81</v>
      </c>
      <c r="H283" s="13">
        <v>44408.0</v>
      </c>
      <c r="I283" s="13">
        <v>42671.0</v>
      </c>
      <c r="J283" s="11">
        <f t="shared" si="2"/>
        <v>1737</v>
      </c>
      <c r="K283" s="14">
        <v>71300.0</v>
      </c>
      <c r="L283" s="14">
        <v>2800.0</v>
      </c>
      <c r="M283" s="12">
        <v>9.0</v>
      </c>
      <c r="N283" s="12">
        <v>3.0</v>
      </c>
    </row>
    <row r="284" ht="15.75" customHeight="1">
      <c r="D284" s="12" t="s">
        <v>466</v>
      </c>
      <c r="E284" s="12" t="s">
        <v>467</v>
      </c>
      <c r="F284" s="10" t="str">
        <f t="shared" si="1"/>
        <v>Kelly Kunze</v>
      </c>
      <c r="G284" s="12" t="s">
        <v>22</v>
      </c>
      <c r="H284" s="13">
        <v>44408.0</v>
      </c>
      <c r="I284" s="13">
        <v>44264.0</v>
      </c>
      <c r="J284" s="11">
        <f t="shared" si="2"/>
        <v>144</v>
      </c>
      <c r="K284" s="14">
        <v>126800.0</v>
      </c>
      <c r="L284" s="14">
        <v>4100.0</v>
      </c>
      <c r="M284" s="12">
        <v>3.0</v>
      </c>
      <c r="N284" s="12">
        <v>1.0</v>
      </c>
    </row>
    <row r="285" ht="15.75" customHeight="1">
      <c r="D285" s="12" t="s">
        <v>358</v>
      </c>
      <c r="E285" s="12" t="s">
        <v>468</v>
      </c>
      <c r="F285" s="10" t="str">
        <f t="shared" si="1"/>
        <v>Paul Landry</v>
      </c>
      <c r="G285" s="12" t="s">
        <v>26</v>
      </c>
      <c r="H285" s="13">
        <v>44408.0</v>
      </c>
      <c r="I285" s="13">
        <v>43294.0</v>
      </c>
      <c r="J285" s="11">
        <f t="shared" si="2"/>
        <v>1114</v>
      </c>
      <c r="K285" s="14">
        <v>50200.0</v>
      </c>
      <c r="L285" s="14">
        <v>5500.0</v>
      </c>
      <c r="M285" s="12">
        <v>5.0</v>
      </c>
      <c r="N285" s="12">
        <v>5.0</v>
      </c>
    </row>
    <row r="286" ht="15.75" customHeight="1">
      <c r="D286" s="12" t="s">
        <v>469</v>
      </c>
      <c r="E286" s="12" t="s">
        <v>470</v>
      </c>
      <c r="F286" s="10" t="str">
        <f t="shared" si="1"/>
        <v>Sarah Lane</v>
      </c>
      <c r="G286" s="12" t="s">
        <v>56</v>
      </c>
      <c r="H286" s="13">
        <v>44408.0</v>
      </c>
      <c r="I286" s="13">
        <v>43449.0</v>
      </c>
      <c r="J286" s="11">
        <f t="shared" si="2"/>
        <v>959</v>
      </c>
      <c r="K286" s="14">
        <v>51700.0</v>
      </c>
      <c r="L286" s="14">
        <v>2000.0</v>
      </c>
      <c r="M286" s="12">
        <v>4.0</v>
      </c>
      <c r="N286" s="12">
        <v>2.0</v>
      </c>
    </row>
    <row r="287" ht="15.75" customHeight="1">
      <c r="D287" s="12" t="s">
        <v>471</v>
      </c>
      <c r="E287" s="12" t="s">
        <v>470</v>
      </c>
      <c r="F287" s="10" t="str">
        <f t="shared" si="1"/>
        <v>Terry Lane</v>
      </c>
      <c r="G287" s="12" t="s">
        <v>30</v>
      </c>
      <c r="H287" s="13">
        <v>44408.0</v>
      </c>
      <c r="I287" s="13">
        <v>42980.0</v>
      </c>
      <c r="J287" s="11">
        <f t="shared" si="2"/>
        <v>1428</v>
      </c>
      <c r="K287" s="14">
        <v>100300.0</v>
      </c>
      <c r="L287" s="14">
        <v>5500.0</v>
      </c>
      <c r="M287" s="12">
        <v>5.0</v>
      </c>
      <c r="N287" s="12">
        <v>3.0</v>
      </c>
    </row>
    <row r="288" ht="15.75" customHeight="1">
      <c r="D288" s="12" t="s">
        <v>472</v>
      </c>
      <c r="E288" s="12" t="s">
        <v>473</v>
      </c>
      <c r="F288" s="10" t="str">
        <f t="shared" si="1"/>
        <v>Kellie Langley</v>
      </c>
      <c r="G288" s="12" t="s">
        <v>47</v>
      </c>
      <c r="H288" s="13">
        <v>44408.0</v>
      </c>
      <c r="I288" s="13">
        <v>42138.0</v>
      </c>
      <c r="J288" s="11">
        <f t="shared" si="2"/>
        <v>2270</v>
      </c>
      <c r="K288" s="14">
        <v>51900.0</v>
      </c>
      <c r="L288" s="14">
        <v>4400.0</v>
      </c>
      <c r="M288" s="12">
        <v>4.0</v>
      </c>
      <c r="N288" s="12">
        <v>4.0</v>
      </c>
    </row>
    <row r="289" ht="15.75" customHeight="1">
      <c r="D289" s="12" t="s">
        <v>474</v>
      </c>
      <c r="E289" s="12" t="s">
        <v>475</v>
      </c>
      <c r="F289" s="10" t="str">
        <f t="shared" si="1"/>
        <v>Derrick Lanier</v>
      </c>
      <c r="G289" s="12" t="s">
        <v>26</v>
      </c>
      <c r="H289" s="13">
        <v>44408.0</v>
      </c>
      <c r="I289" s="13">
        <v>42839.0</v>
      </c>
      <c r="J289" s="11">
        <f t="shared" si="2"/>
        <v>1569</v>
      </c>
      <c r="K289" s="14">
        <v>36500.0</v>
      </c>
      <c r="L289" s="14">
        <v>5200.0</v>
      </c>
      <c r="M289" s="12">
        <v>7.0</v>
      </c>
      <c r="N289" s="12">
        <v>1.0</v>
      </c>
    </row>
    <row r="290" ht="15.75" customHeight="1">
      <c r="D290" s="12" t="s">
        <v>476</v>
      </c>
      <c r="E290" s="12" t="s">
        <v>477</v>
      </c>
      <c r="F290" s="10" t="str">
        <f t="shared" si="1"/>
        <v>Randall Lansberry</v>
      </c>
      <c r="G290" s="12" t="s">
        <v>26</v>
      </c>
      <c r="H290" s="13">
        <v>44408.0</v>
      </c>
      <c r="I290" s="13">
        <v>42854.0</v>
      </c>
      <c r="J290" s="11">
        <f t="shared" si="2"/>
        <v>1554</v>
      </c>
      <c r="K290" s="14">
        <v>49600.0</v>
      </c>
      <c r="L290" s="14">
        <v>1700.0</v>
      </c>
      <c r="M290" s="12">
        <v>3.0</v>
      </c>
      <c r="N290" s="12">
        <v>4.0</v>
      </c>
    </row>
    <row r="291" ht="15.75" customHeight="1">
      <c r="D291" s="12" t="s">
        <v>478</v>
      </c>
      <c r="E291" s="12" t="s">
        <v>479</v>
      </c>
      <c r="F291" s="10" t="str">
        <f t="shared" si="1"/>
        <v>Rachel Lapp</v>
      </c>
      <c r="G291" s="12" t="s">
        <v>33</v>
      </c>
      <c r="H291" s="13">
        <v>44408.0</v>
      </c>
      <c r="I291" s="13">
        <v>43208.0</v>
      </c>
      <c r="J291" s="11">
        <f t="shared" si="2"/>
        <v>1200</v>
      </c>
      <c r="K291" s="14">
        <v>54800.0</v>
      </c>
      <c r="L291" s="14">
        <v>1200.0</v>
      </c>
      <c r="M291" s="12">
        <v>6.0</v>
      </c>
      <c r="N291" s="12">
        <v>4.0</v>
      </c>
    </row>
    <row r="292" ht="15.75" customHeight="1">
      <c r="D292" s="12" t="s">
        <v>236</v>
      </c>
      <c r="E292" s="12" t="s">
        <v>480</v>
      </c>
      <c r="F292" s="10" t="str">
        <f t="shared" si="1"/>
        <v>Willie Latour</v>
      </c>
      <c r="G292" s="12" t="s">
        <v>81</v>
      </c>
      <c r="H292" s="13">
        <v>44408.0</v>
      </c>
      <c r="I292" s="13">
        <v>43286.0</v>
      </c>
      <c r="J292" s="11">
        <f t="shared" si="2"/>
        <v>1122</v>
      </c>
      <c r="K292" s="14">
        <v>134700.0</v>
      </c>
      <c r="L292" s="14">
        <v>6300.0</v>
      </c>
      <c r="M292" s="12">
        <v>5.0</v>
      </c>
      <c r="N292" s="12">
        <v>4.0</v>
      </c>
    </row>
    <row r="293" ht="15.75" customHeight="1">
      <c r="D293" s="12" t="s">
        <v>309</v>
      </c>
      <c r="E293" s="12" t="s">
        <v>376</v>
      </c>
      <c r="F293" s="10" t="str">
        <f t="shared" si="1"/>
        <v>Judy Lawrence</v>
      </c>
      <c r="G293" s="12" t="s">
        <v>33</v>
      </c>
      <c r="H293" s="13">
        <v>44408.0</v>
      </c>
      <c r="I293" s="13">
        <v>42192.0</v>
      </c>
      <c r="J293" s="11">
        <f t="shared" si="2"/>
        <v>2216</v>
      </c>
      <c r="K293" s="14">
        <v>69700.0</v>
      </c>
      <c r="L293" s="14">
        <v>3200.0</v>
      </c>
      <c r="M293" s="12">
        <v>8.0</v>
      </c>
      <c r="N293" s="12">
        <v>3.0</v>
      </c>
    </row>
    <row r="294" ht="15.75" customHeight="1">
      <c r="D294" s="12" t="s">
        <v>481</v>
      </c>
      <c r="E294" s="12" t="s">
        <v>376</v>
      </c>
      <c r="F294" s="10" t="str">
        <f t="shared" si="1"/>
        <v>Yasuko Lawrence</v>
      </c>
      <c r="G294" s="12" t="s">
        <v>22</v>
      </c>
      <c r="H294" s="13">
        <v>44408.0</v>
      </c>
      <c r="I294" s="13">
        <v>42498.0</v>
      </c>
      <c r="J294" s="11">
        <f t="shared" si="2"/>
        <v>1910</v>
      </c>
      <c r="K294" s="14">
        <v>54200.0</v>
      </c>
      <c r="L294" s="14">
        <v>2300.0</v>
      </c>
      <c r="M294" s="12">
        <v>6.0</v>
      </c>
      <c r="N294" s="12">
        <v>1.0</v>
      </c>
    </row>
    <row r="295" ht="15.75" customHeight="1">
      <c r="D295" s="12" t="s">
        <v>482</v>
      </c>
      <c r="E295" s="12" t="s">
        <v>483</v>
      </c>
      <c r="F295" s="10" t="str">
        <f t="shared" si="1"/>
        <v>Tracie Lawyer</v>
      </c>
      <c r="G295" s="12" t="s">
        <v>81</v>
      </c>
      <c r="H295" s="13">
        <v>44408.0</v>
      </c>
      <c r="I295" s="13">
        <v>43193.0</v>
      </c>
      <c r="J295" s="11">
        <f t="shared" si="2"/>
        <v>1215</v>
      </c>
      <c r="K295" s="14">
        <v>63300.0</v>
      </c>
      <c r="L295" s="14">
        <v>1700.0</v>
      </c>
      <c r="M295" s="12">
        <v>10.0</v>
      </c>
      <c r="N295" s="12">
        <v>2.0</v>
      </c>
    </row>
    <row r="296" ht="15.75" customHeight="1">
      <c r="D296" s="12" t="s">
        <v>484</v>
      </c>
      <c r="E296" s="12" t="s">
        <v>485</v>
      </c>
      <c r="F296" s="10" t="str">
        <f t="shared" si="1"/>
        <v>Tony Leal</v>
      </c>
      <c r="G296" s="12" t="s">
        <v>26</v>
      </c>
      <c r="H296" s="13">
        <v>44408.0</v>
      </c>
      <c r="I296" s="13">
        <v>42922.0</v>
      </c>
      <c r="J296" s="11">
        <f t="shared" si="2"/>
        <v>1486</v>
      </c>
      <c r="K296" s="14">
        <v>59300.0</v>
      </c>
      <c r="L296" s="14">
        <v>4800.0</v>
      </c>
      <c r="M296" s="12">
        <v>5.0</v>
      </c>
      <c r="N296" s="12">
        <v>3.0</v>
      </c>
    </row>
    <row r="297" ht="15.75" customHeight="1">
      <c r="D297" s="12" t="s">
        <v>486</v>
      </c>
      <c r="E297" s="12" t="s">
        <v>487</v>
      </c>
      <c r="F297" s="10" t="str">
        <f t="shared" si="1"/>
        <v>Clara Ledford</v>
      </c>
      <c r="G297" s="12" t="s">
        <v>33</v>
      </c>
      <c r="H297" s="13">
        <v>44408.0</v>
      </c>
      <c r="I297" s="13">
        <v>43791.0</v>
      </c>
      <c r="J297" s="11">
        <f t="shared" si="2"/>
        <v>617</v>
      </c>
      <c r="K297" s="14">
        <v>53600.0</v>
      </c>
      <c r="L297" s="14">
        <v>4200.0</v>
      </c>
      <c r="M297" s="12">
        <v>6.0</v>
      </c>
      <c r="N297" s="12">
        <v>5.0</v>
      </c>
    </row>
    <row r="298" ht="15.75" customHeight="1">
      <c r="D298" s="12" t="s">
        <v>488</v>
      </c>
      <c r="E298" s="12" t="s">
        <v>489</v>
      </c>
      <c r="F298" s="10" t="str">
        <f t="shared" si="1"/>
        <v>Francis Lee</v>
      </c>
      <c r="G298" s="12" t="s">
        <v>81</v>
      </c>
      <c r="H298" s="13">
        <v>44408.0</v>
      </c>
      <c r="I298" s="13">
        <v>44206.0</v>
      </c>
      <c r="J298" s="11">
        <f t="shared" si="2"/>
        <v>202</v>
      </c>
      <c r="K298" s="14">
        <v>91600.0</v>
      </c>
      <c r="L298" s="14">
        <v>4000.0</v>
      </c>
      <c r="M298" s="12">
        <v>6.0</v>
      </c>
      <c r="N298" s="12">
        <v>3.0</v>
      </c>
    </row>
    <row r="299" ht="15.75" customHeight="1">
      <c r="D299" s="12" t="s">
        <v>490</v>
      </c>
      <c r="E299" s="12" t="s">
        <v>489</v>
      </c>
      <c r="F299" s="10" t="str">
        <f t="shared" si="1"/>
        <v>Leo Lee</v>
      </c>
      <c r="G299" s="12" t="s">
        <v>47</v>
      </c>
      <c r="H299" s="13">
        <v>44408.0</v>
      </c>
      <c r="I299" s="13">
        <v>44223.0</v>
      </c>
      <c r="J299" s="11">
        <f t="shared" si="2"/>
        <v>185</v>
      </c>
      <c r="K299" s="14">
        <v>52100.0</v>
      </c>
      <c r="L299" s="14">
        <v>3700.0</v>
      </c>
      <c r="M299" s="12">
        <v>2.0</v>
      </c>
      <c r="N299" s="12">
        <v>3.0</v>
      </c>
    </row>
    <row r="300" ht="15.75" customHeight="1">
      <c r="D300" s="12" t="s">
        <v>491</v>
      </c>
      <c r="E300" s="12" t="s">
        <v>489</v>
      </c>
      <c r="F300" s="10" t="str">
        <f t="shared" si="1"/>
        <v>Nettie Lee</v>
      </c>
      <c r="G300" s="12" t="s">
        <v>56</v>
      </c>
      <c r="H300" s="13">
        <v>44408.0</v>
      </c>
      <c r="I300" s="13">
        <v>42764.0</v>
      </c>
      <c r="J300" s="11">
        <f t="shared" si="2"/>
        <v>1644</v>
      </c>
      <c r="K300" s="14">
        <v>49300.0</v>
      </c>
      <c r="L300" s="14">
        <v>3400.0</v>
      </c>
      <c r="M300" s="12">
        <v>4.0</v>
      </c>
      <c r="N300" s="12">
        <v>3.0</v>
      </c>
    </row>
    <row r="301" ht="15.75" customHeight="1">
      <c r="D301" s="12" t="s">
        <v>416</v>
      </c>
      <c r="E301" s="12" t="s">
        <v>489</v>
      </c>
      <c r="F301" s="10" t="str">
        <f t="shared" si="1"/>
        <v>Stephanie Lee</v>
      </c>
      <c r="G301" s="12" t="s">
        <v>26</v>
      </c>
      <c r="H301" s="13">
        <v>44408.0</v>
      </c>
      <c r="I301" s="13">
        <v>43923.0</v>
      </c>
      <c r="J301" s="11">
        <f t="shared" si="2"/>
        <v>485</v>
      </c>
      <c r="K301" s="14">
        <v>43300.0</v>
      </c>
      <c r="L301" s="14">
        <v>0.0</v>
      </c>
      <c r="M301" s="12">
        <v>3.0</v>
      </c>
      <c r="N301" s="12">
        <v>2.0</v>
      </c>
    </row>
    <row r="302" ht="15.75" customHeight="1">
      <c r="D302" s="12" t="s">
        <v>492</v>
      </c>
      <c r="E302" s="12" t="s">
        <v>493</v>
      </c>
      <c r="F302" s="10" t="str">
        <f t="shared" si="1"/>
        <v>Dennis Leishman</v>
      </c>
      <c r="G302" s="12" t="s">
        <v>22</v>
      </c>
      <c r="H302" s="13">
        <v>44408.0</v>
      </c>
      <c r="I302" s="13">
        <v>42684.0</v>
      </c>
      <c r="J302" s="11">
        <f t="shared" si="2"/>
        <v>1724</v>
      </c>
      <c r="K302" s="14">
        <v>114400.0</v>
      </c>
      <c r="L302" s="14">
        <v>7400.0</v>
      </c>
      <c r="M302" s="12">
        <v>8.0</v>
      </c>
      <c r="N302" s="12">
        <v>1.0</v>
      </c>
    </row>
    <row r="303" ht="15.75" customHeight="1">
      <c r="D303" s="12" t="s">
        <v>71</v>
      </c>
      <c r="E303" s="12" t="s">
        <v>494</v>
      </c>
      <c r="F303" s="10" t="str">
        <f t="shared" si="1"/>
        <v>Linda Leon</v>
      </c>
      <c r="G303" s="12" t="s">
        <v>30</v>
      </c>
      <c r="H303" s="13">
        <v>44408.0</v>
      </c>
      <c r="I303" s="13">
        <v>43023.0</v>
      </c>
      <c r="J303" s="11">
        <f t="shared" si="2"/>
        <v>1385</v>
      </c>
      <c r="K303" s="14">
        <v>73700.0</v>
      </c>
      <c r="L303" s="14">
        <v>3500.0</v>
      </c>
      <c r="M303" s="12">
        <v>6.0</v>
      </c>
      <c r="N303" s="12">
        <v>5.0</v>
      </c>
    </row>
    <row r="304" ht="15.75" customHeight="1">
      <c r="D304" s="12" t="s">
        <v>495</v>
      </c>
      <c r="E304" s="12" t="s">
        <v>496</v>
      </c>
      <c r="F304" s="10" t="str">
        <f t="shared" si="1"/>
        <v>Cynthia Levy</v>
      </c>
      <c r="G304" s="12" t="s">
        <v>30</v>
      </c>
      <c r="H304" s="13">
        <v>44408.0</v>
      </c>
      <c r="I304" s="13">
        <v>42058.0</v>
      </c>
      <c r="J304" s="11">
        <f t="shared" si="2"/>
        <v>2350</v>
      </c>
      <c r="K304" s="14">
        <v>107400.0</v>
      </c>
      <c r="L304" s="14">
        <v>3800.0</v>
      </c>
      <c r="M304" s="12">
        <v>6.0</v>
      </c>
      <c r="N304" s="12">
        <v>3.0</v>
      </c>
    </row>
    <row r="305" ht="15.75" customHeight="1">
      <c r="D305" s="12" t="s">
        <v>497</v>
      </c>
      <c r="E305" s="12" t="s">
        <v>498</v>
      </c>
      <c r="F305" s="10" t="str">
        <f t="shared" si="1"/>
        <v>Johnny Lilly</v>
      </c>
      <c r="G305" s="12" t="s">
        <v>47</v>
      </c>
      <c r="H305" s="13">
        <v>44408.0</v>
      </c>
      <c r="I305" s="13">
        <v>42358.0</v>
      </c>
      <c r="J305" s="11">
        <f t="shared" si="2"/>
        <v>2050</v>
      </c>
      <c r="K305" s="14">
        <v>17500.0</v>
      </c>
      <c r="L305" s="14">
        <v>400.0</v>
      </c>
      <c r="M305" s="12">
        <v>3.0</v>
      </c>
      <c r="N305" s="12">
        <v>4.0</v>
      </c>
    </row>
    <row r="306" ht="15.75" customHeight="1">
      <c r="D306" s="12" t="s">
        <v>499</v>
      </c>
      <c r="E306" s="12" t="s">
        <v>500</v>
      </c>
      <c r="F306" s="10" t="str">
        <f t="shared" si="1"/>
        <v>Angelo Lim</v>
      </c>
      <c r="G306" s="12" t="s">
        <v>56</v>
      </c>
      <c r="H306" s="13">
        <v>44408.0</v>
      </c>
      <c r="I306" s="13">
        <v>43766.0</v>
      </c>
      <c r="J306" s="11">
        <f t="shared" si="2"/>
        <v>642</v>
      </c>
      <c r="K306" s="14">
        <v>42100.0</v>
      </c>
      <c r="L306" s="14">
        <v>3600.0</v>
      </c>
      <c r="M306" s="12">
        <v>6.0</v>
      </c>
      <c r="N306" s="12">
        <v>3.0</v>
      </c>
    </row>
    <row r="307" ht="15.75" customHeight="1">
      <c r="D307" s="12" t="s">
        <v>501</v>
      </c>
      <c r="E307" s="12" t="s">
        <v>502</v>
      </c>
      <c r="F307" s="10" t="str">
        <f t="shared" si="1"/>
        <v>Ethel Lindell</v>
      </c>
      <c r="G307" s="12" t="s">
        <v>81</v>
      </c>
      <c r="H307" s="13">
        <v>44408.0</v>
      </c>
      <c r="I307" s="13">
        <v>43294.0</v>
      </c>
      <c r="J307" s="11">
        <f t="shared" si="2"/>
        <v>1114</v>
      </c>
      <c r="K307" s="14">
        <v>129900.0</v>
      </c>
      <c r="L307" s="14">
        <v>8000.0</v>
      </c>
      <c r="M307" s="12">
        <v>4.0</v>
      </c>
      <c r="N307" s="12">
        <v>3.0</v>
      </c>
    </row>
    <row r="308" ht="15.75" customHeight="1">
      <c r="D308" s="12" t="s">
        <v>58</v>
      </c>
      <c r="E308" s="12" t="s">
        <v>503</v>
      </c>
      <c r="F308" s="10" t="str">
        <f t="shared" si="1"/>
        <v>Mary Litten</v>
      </c>
      <c r="G308" s="12" t="s">
        <v>26</v>
      </c>
      <c r="H308" s="13">
        <v>44408.0</v>
      </c>
      <c r="I308" s="13">
        <v>43613.0</v>
      </c>
      <c r="J308" s="11">
        <f t="shared" si="2"/>
        <v>795</v>
      </c>
      <c r="K308" s="14">
        <v>34000.0</v>
      </c>
      <c r="L308" s="14">
        <v>2200.0</v>
      </c>
      <c r="M308" s="12">
        <v>4.0</v>
      </c>
      <c r="N308" s="12">
        <v>4.0</v>
      </c>
    </row>
    <row r="309" ht="15.75" customHeight="1">
      <c r="D309" s="12" t="s">
        <v>504</v>
      </c>
      <c r="E309" s="12" t="s">
        <v>505</v>
      </c>
      <c r="F309" s="10" t="str">
        <f t="shared" si="1"/>
        <v>Walter Loman</v>
      </c>
      <c r="G309" s="12" t="s">
        <v>47</v>
      </c>
      <c r="H309" s="13">
        <v>44408.0</v>
      </c>
      <c r="I309" s="13">
        <v>43568.0</v>
      </c>
      <c r="J309" s="11">
        <f t="shared" si="2"/>
        <v>840</v>
      </c>
      <c r="K309" s="14">
        <v>30600.0</v>
      </c>
      <c r="L309" s="14">
        <v>1200.0</v>
      </c>
      <c r="M309" s="12">
        <v>3.0</v>
      </c>
      <c r="N309" s="12">
        <v>2.0</v>
      </c>
    </row>
    <row r="310" ht="15.75" customHeight="1">
      <c r="D310" s="12" t="s">
        <v>506</v>
      </c>
      <c r="E310" s="12" t="s">
        <v>507</v>
      </c>
      <c r="F310" s="10" t="str">
        <f t="shared" si="1"/>
        <v>Pasquale Lozano</v>
      </c>
      <c r="G310" s="12" t="s">
        <v>56</v>
      </c>
      <c r="H310" s="13">
        <v>44408.0</v>
      </c>
      <c r="I310" s="13">
        <v>44067.0</v>
      </c>
      <c r="J310" s="11">
        <f t="shared" si="2"/>
        <v>341</v>
      </c>
      <c r="K310" s="14">
        <v>55600.0</v>
      </c>
      <c r="L310" s="14">
        <v>300.0</v>
      </c>
      <c r="M310" s="12">
        <v>6.0</v>
      </c>
      <c r="N310" s="12">
        <v>3.0</v>
      </c>
    </row>
    <row r="311" ht="15.75" customHeight="1">
      <c r="D311" s="12" t="s">
        <v>508</v>
      </c>
      <c r="E311" s="12" t="s">
        <v>509</v>
      </c>
      <c r="F311" s="10" t="str">
        <f t="shared" si="1"/>
        <v>Jon Luckett</v>
      </c>
      <c r="G311" s="12" t="s">
        <v>30</v>
      </c>
      <c r="H311" s="13">
        <v>44408.0</v>
      </c>
      <c r="I311" s="13">
        <v>42653.0</v>
      </c>
      <c r="J311" s="11">
        <f t="shared" si="2"/>
        <v>1755</v>
      </c>
      <c r="K311" s="14">
        <v>99000.0</v>
      </c>
      <c r="L311" s="14">
        <v>6100.0</v>
      </c>
      <c r="M311" s="12">
        <v>2.0</v>
      </c>
      <c r="N311" s="12">
        <v>4.0</v>
      </c>
    </row>
    <row r="312" ht="15.75" customHeight="1">
      <c r="D312" s="12" t="s">
        <v>241</v>
      </c>
      <c r="E312" s="12" t="s">
        <v>510</v>
      </c>
      <c r="F312" s="10" t="str">
        <f t="shared" si="1"/>
        <v>Christopher Lumley</v>
      </c>
      <c r="G312" s="12" t="s">
        <v>30</v>
      </c>
      <c r="H312" s="13">
        <v>44408.0</v>
      </c>
      <c r="I312" s="13">
        <v>43689.0</v>
      </c>
      <c r="J312" s="11">
        <f t="shared" si="2"/>
        <v>719</v>
      </c>
      <c r="K312" s="14">
        <v>126500.0</v>
      </c>
      <c r="L312" s="14">
        <v>7700.0</v>
      </c>
      <c r="M312" s="12">
        <v>7.0</v>
      </c>
      <c r="N312" s="12">
        <v>5.0</v>
      </c>
    </row>
    <row r="313" ht="15.75" customHeight="1">
      <c r="D313" s="12" t="s">
        <v>511</v>
      </c>
      <c r="E313" s="12" t="s">
        <v>512</v>
      </c>
      <c r="F313" s="10" t="str">
        <f t="shared" si="1"/>
        <v>Andria Macgregor</v>
      </c>
      <c r="G313" s="12" t="s">
        <v>30</v>
      </c>
      <c r="H313" s="13">
        <v>44408.0</v>
      </c>
      <c r="I313" s="13">
        <v>42791.0</v>
      </c>
      <c r="J313" s="11">
        <f t="shared" si="2"/>
        <v>1617</v>
      </c>
      <c r="K313" s="14">
        <v>129700.0</v>
      </c>
      <c r="L313" s="14">
        <v>5100.0</v>
      </c>
      <c r="M313" s="12">
        <v>1.0</v>
      </c>
      <c r="N313" s="12">
        <v>4.0</v>
      </c>
    </row>
    <row r="314" ht="15.75" customHeight="1">
      <c r="D314" s="12" t="s">
        <v>513</v>
      </c>
      <c r="E314" s="12" t="s">
        <v>514</v>
      </c>
      <c r="F314" s="10" t="str">
        <f t="shared" si="1"/>
        <v>Janelle Madrid</v>
      </c>
      <c r="G314" s="12" t="s">
        <v>26</v>
      </c>
      <c r="H314" s="13">
        <v>44408.0</v>
      </c>
      <c r="I314" s="13">
        <v>42670.0</v>
      </c>
      <c r="J314" s="11">
        <f t="shared" si="2"/>
        <v>1738</v>
      </c>
      <c r="K314" s="14">
        <v>53900.0</v>
      </c>
      <c r="L314" s="14">
        <v>2100.0</v>
      </c>
      <c r="M314" s="12">
        <v>8.0</v>
      </c>
      <c r="N314" s="12">
        <v>3.0</v>
      </c>
    </row>
    <row r="315" ht="15.75" customHeight="1">
      <c r="D315" s="12" t="s">
        <v>515</v>
      </c>
      <c r="E315" s="12" t="s">
        <v>516</v>
      </c>
      <c r="F315" s="10" t="str">
        <f t="shared" si="1"/>
        <v>Shawn Mahon</v>
      </c>
      <c r="G315" s="12" t="s">
        <v>56</v>
      </c>
      <c r="H315" s="13">
        <v>44408.0</v>
      </c>
      <c r="I315" s="13">
        <v>42478.0</v>
      </c>
      <c r="J315" s="11">
        <f t="shared" si="2"/>
        <v>1930</v>
      </c>
      <c r="K315" s="14">
        <v>40400.0</v>
      </c>
      <c r="L315" s="14">
        <v>1900.0</v>
      </c>
      <c r="M315" s="12">
        <v>2.0</v>
      </c>
      <c r="N315" s="12">
        <v>3.0</v>
      </c>
    </row>
    <row r="316" ht="15.75" customHeight="1">
      <c r="D316" s="12" t="s">
        <v>446</v>
      </c>
      <c r="E316" s="12" t="s">
        <v>517</v>
      </c>
      <c r="F316" s="10" t="str">
        <f t="shared" si="1"/>
        <v>Patrick Maisonet</v>
      </c>
      <c r="G316" s="12" t="s">
        <v>30</v>
      </c>
      <c r="H316" s="13">
        <v>44408.0</v>
      </c>
      <c r="I316" s="13">
        <v>44367.0</v>
      </c>
      <c r="J316" s="11">
        <f t="shared" si="2"/>
        <v>41</v>
      </c>
      <c r="K316" s="14">
        <v>120100.0</v>
      </c>
      <c r="L316" s="14">
        <v>6100.0</v>
      </c>
      <c r="M316" s="12">
        <v>2.0</v>
      </c>
      <c r="N316" s="12">
        <v>5.0</v>
      </c>
    </row>
    <row r="317" ht="15.75" customHeight="1">
      <c r="D317" s="12" t="s">
        <v>518</v>
      </c>
      <c r="E317" s="12" t="s">
        <v>519</v>
      </c>
      <c r="F317" s="10" t="str">
        <f t="shared" si="1"/>
        <v>Kendra Mallory</v>
      </c>
      <c r="G317" s="12" t="s">
        <v>81</v>
      </c>
      <c r="H317" s="13">
        <v>44408.0</v>
      </c>
      <c r="I317" s="13">
        <v>42851.0</v>
      </c>
      <c r="J317" s="11">
        <f t="shared" si="2"/>
        <v>1557</v>
      </c>
      <c r="K317" s="14">
        <v>110600.0</v>
      </c>
      <c r="L317" s="14">
        <v>6000.0</v>
      </c>
      <c r="M317" s="12">
        <v>5.0</v>
      </c>
      <c r="N317" s="12">
        <v>1.0</v>
      </c>
    </row>
    <row r="318" ht="15.75" customHeight="1">
      <c r="D318" s="12" t="s">
        <v>520</v>
      </c>
      <c r="E318" s="12" t="s">
        <v>521</v>
      </c>
      <c r="F318" s="10" t="str">
        <f t="shared" si="1"/>
        <v>Warren Malloy</v>
      </c>
      <c r="G318" s="12" t="s">
        <v>22</v>
      </c>
      <c r="H318" s="13">
        <v>44408.0</v>
      </c>
      <c r="I318" s="13">
        <v>43095.0</v>
      </c>
      <c r="J318" s="11">
        <f t="shared" si="2"/>
        <v>1313</v>
      </c>
      <c r="K318" s="14">
        <v>128300.0</v>
      </c>
      <c r="L318" s="14">
        <v>5400.0</v>
      </c>
      <c r="M318" s="12">
        <v>6.0</v>
      </c>
      <c r="N318" s="12">
        <v>1.0</v>
      </c>
    </row>
    <row r="319" ht="15.75" customHeight="1">
      <c r="D319" s="12" t="s">
        <v>151</v>
      </c>
      <c r="E319" s="12" t="s">
        <v>522</v>
      </c>
      <c r="F319" s="10" t="str">
        <f t="shared" si="1"/>
        <v>Michael Malone</v>
      </c>
      <c r="G319" s="12" t="s">
        <v>47</v>
      </c>
      <c r="H319" s="13">
        <v>44408.0</v>
      </c>
      <c r="I319" s="13">
        <v>42717.0</v>
      </c>
      <c r="J319" s="11">
        <f t="shared" si="2"/>
        <v>1691</v>
      </c>
      <c r="K319" s="14">
        <v>42400.0</v>
      </c>
      <c r="L319" s="14">
        <v>1400.0</v>
      </c>
      <c r="M319" s="12">
        <v>2.0</v>
      </c>
      <c r="N319" s="12">
        <v>3.0</v>
      </c>
    </row>
    <row r="320" ht="15.75" customHeight="1">
      <c r="D320" s="12" t="s">
        <v>523</v>
      </c>
      <c r="E320" s="12" t="s">
        <v>524</v>
      </c>
      <c r="F320" s="10" t="str">
        <f t="shared" si="1"/>
        <v>Lonnie Marcano</v>
      </c>
      <c r="G320" s="12" t="s">
        <v>47</v>
      </c>
      <c r="H320" s="13">
        <v>44408.0</v>
      </c>
      <c r="I320" s="13">
        <v>42524.0</v>
      </c>
      <c r="J320" s="11">
        <f t="shared" si="2"/>
        <v>1884</v>
      </c>
      <c r="K320" s="14">
        <v>52000.0</v>
      </c>
      <c r="L320" s="14">
        <v>3200.0</v>
      </c>
      <c r="M320" s="12">
        <v>5.0</v>
      </c>
      <c r="N320" s="12">
        <v>3.0</v>
      </c>
    </row>
    <row r="321" ht="15.75" customHeight="1">
      <c r="D321" s="12" t="s">
        <v>525</v>
      </c>
      <c r="E321" s="12" t="s">
        <v>279</v>
      </c>
      <c r="F321" s="10" t="str">
        <f t="shared" si="1"/>
        <v>Doris Martin</v>
      </c>
      <c r="G321" s="12" t="s">
        <v>33</v>
      </c>
      <c r="H321" s="13">
        <v>44408.0</v>
      </c>
      <c r="I321" s="13">
        <v>43749.0</v>
      </c>
      <c r="J321" s="11">
        <f t="shared" si="2"/>
        <v>659</v>
      </c>
      <c r="K321" s="14">
        <v>27100.0</v>
      </c>
      <c r="L321" s="14">
        <v>1200.0</v>
      </c>
      <c r="M321" s="12">
        <v>4.0</v>
      </c>
      <c r="N321" s="12">
        <v>2.0</v>
      </c>
    </row>
    <row r="322" ht="15.75" customHeight="1">
      <c r="D322" s="12" t="s">
        <v>389</v>
      </c>
      <c r="E322" s="12" t="s">
        <v>279</v>
      </c>
      <c r="F322" s="10" t="str">
        <f t="shared" si="1"/>
        <v>Peggy Martin</v>
      </c>
      <c r="G322" s="12" t="s">
        <v>22</v>
      </c>
      <c r="H322" s="13">
        <v>44408.0</v>
      </c>
      <c r="I322" s="13">
        <v>42994.0</v>
      </c>
      <c r="J322" s="11">
        <f t="shared" si="2"/>
        <v>1414</v>
      </c>
      <c r="K322" s="14">
        <v>52200.0</v>
      </c>
      <c r="L322" s="14">
        <v>2600.0</v>
      </c>
      <c r="M322" s="12">
        <v>5.0</v>
      </c>
      <c r="N322" s="12">
        <v>1.0</v>
      </c>
    </row>
    <row r="323" ht="15.75" customHeight="1">
      <c r="D323" s="12" t="s">
        <v>123</v>
      </c>
      <c r="E323" s="12" t="s">
        <v>526</v>
      </c>
      <c r="F323" s="10" t="str">
        <f t="shared" si="1"/>
        <v>Brandon Maser</v>
      </c>
      <c r="G323" s="12" t="s">
        <v>56</v>
      </c>
      <c r="H323" s="13">
        <v>44408.0</v>
      </c>
      <c r="I323" s="13">
        <v>42111.0</v>
      </c>
      <c r="J323" s="11">
        <f t="shared" si="2"/>
        <v>2297</v>
      </c>
      <c r="K323" s="14">
        <v>62400.0</v>
      </c>
      <c r="L323" s="14">
        <v>2500.0</v>
      </c>
      <c r="M323" s="12">
        <v>6.0</v>
      </c>
      <c r="N323" s="12">
        <v>3.0</v>
      </c>
    </row>
    <row r="324" ht="15.75" customHeight="1">
      <c r="D324" s="12" t="s">
        <v>119</v>
      </c>
      <c r="E324" s="12" t="s">
        <v>527</v>
      </c>
      <c r="F324" s="10" t="str">
        <f t="shared" si="1"/>
        <v>Robert Mason</v>
      </c>
      <c r="G324" s="12" t="s">
        <v>33</v>
      </c>
      <c r="H324" s="13">
        <v>44408.0</v>
      </c>
      <c r="I324" s="13">
        <v>42359.0</v>
      </c>
      <c r="J324" s="11">
        <f t="shared" si="2"/>
        <v>2049</v>
      </c>
      <c r="K324" s="14">
        <v>48100.0</v>
      </c>
      <c r="L324" s="14">
        <v>2100.0</v>
      </c>
      <c r="M324" s="12">
        <v>5.0</v>
      </c>
      <c r="N324" s="12">
        <v>4.0</v>
      </c>
    </row>
    <row r="325" ht="15.75" customHeight="1">
      <c r="D325" s="12" t="s">
        <v>528</v>
      </c>
      <c r="E325" s="12" t="s">
        <v>529</v>
      </c>
      <c r="F325" s="10" t="str">
        <f t="shared" si="1"/>
        <v>Irene Mastro</v>
      </c>
      <c r="G325" s="12" t="s">
        <v>47</v>
      </c>
      <c r="H325" s="13">
        <v>44408.0</v>
      </c>
      <c r="I325" s="13">
        <v>42128.0</v>
      </c>
      <c r="J325" s="11">
        <f t="shared" si="2"/>
        <v>2280</v>
      </c>
      <c r="K325" s="14">
        <v>51700.0</v>
      </c>
      <c r="L325" s="14">
        <v>3700.0</v>
      </c>
      <c r="M325" s="12">
        <v>6.0</v>
      </c>
      <c r="N325" s="12">
        <v>2.0</v>
      </c>
    </row>
    <row r="326" ht="15.75" customHeight="1">
      <c r="D326" s="12" t="s">
        <v>128</v>
      </c>
      <c r="E326" s="12" t="s">
        <v>530</v>
      </c>
      <c r="F326" s="10" t="str">
        <f t="shared" si="1"/>
        <v>William Masuda</v>
      </c>
      <c r="G326" s="12" t="s">
        <v>81</v>
      </c>
      <c r="H326" s="13">
        <v>44408.0</v>
      </c>
      <c r="I326" s="13">
        <v>42595.0</v>
      </c>
      <c r="J326" s="11">
        <f t="shared" si="2"/>
        <v>1813</v>
      </c>
      <c r="K326" s="14">
        <v>84400.0</v>
      </c>
      <c r="L326" s="14">
        <v>4300.0</v>
      </c>
      <c r="M326" s="12">
        <v>5.0</v>
      </c>
      <c r="N326" s="12">
        <v>4.0</v>
      </c>
    </row>
    <row r="327" ht="15.75" customHeight="1">
      <c r="D327" s="12" t="s">
        <v>281</v>
      </c>
      <c r="E327" s="12" t="s">
        <v>531</v>
      </c>
      <c r="F327" s="10" t="str">
        <f t="shared" si="1"/>
        <v>Helen Maury</v>
      </c>
      <c r="G327" s="12" t="s">
        <v>47</v>
      </c>
      <c r="H327" s="13">
        <v>44408.0</v>
      </c>
      <c r="I327" s="13">
        <v>42281.0</v>
      </c>
      <c r="J327" s="11">
        <f t="shared" si="2"/>
        <v>2127</v>
      </c>
      <c r="K327" s="14">
        <v>39600.0</v>
      </c>
      <c r="L327" s="14">
        <v>2900.0</v>
      </c>
      <c r="M327" s="12">
        <v>5.0</v>
      </c>
      <c r="N327" s="12">
        <v>3.0</v>
      </c>
    </row>
    <row r="328" ht="15.75" customHeight="1">
      <c r="D328" s="12" t="s">
        <v>234</v>
      </c>
      <c r="E328" s="12" t="s">
        <v>532</v>
      </c>
      <c r="F328" s="10" t="str">
        <f t="shared" si="1"/>
        <v>Donna May</v>
      </c>
      <c r="G328" s="12" t="s">
        <v>30</v>
      </c>
      <c r="H328" s="13">
        <v>44408.0</v>
      </c>
      <c r="I328" s="13">
        <v>43242.0</v>
      </c>
      <c r="J328" s="11">
        <f t="shared" si="2"/>
        <v>1166</v>
      </c>
      <c r="K328" s="14">
        <v>108000.0</v>
      </c>
      <c r="L328" s="14">
        <v>7100.0</v>
      </c>
      <c r="M328" s="12">
        <v>5.0</v>
      </c>
      <c r="N328" s="12">
        <v>3.0</v>
      </c>
    </row>
    <row r="329" ht="15.75" customHeight="1">
      <c r="D329" s="12" t="s">
        <v>533</v>
      </c>
      <c r="E329" s="12" t="s">
        <v>532</v>
      </c>
      <c r="F329" s="10" t="str">
        <f t="shared" si="1"/>
        <v>Yolanda May</v>
      </c>
      <c r="G329" s="12" t="s">
        <v>22</v>
      </c>
      <c r="H329" s="13">
        <v>44408.0</v>
      </c>
      <c r="I329" s="13">
        <v>42564.0</v>
      </c>
      <c r="J329" s="11">
        <f t="shared" si="2"/>
        <v>1844</v>
      </c>
      <c r="K329" s="14">
        <v>104600.0</v>
      </c>
      <c r="L329" s="14">
        <v>5500.0</v>
      </c>
      <c r="M329" s="12">
        <v>8.0</v>
      </c>
      <c r="N329" s="12">
        <v>1.0</v>
      </c>
    </row>
    <row r="330" ht="15.75" customHeight="1">
      <c r="D330" s="12" t="s">
        <v>534</v>
      </c>
      <c r="E330" s="12" t="s">
        <v>535</v>
      </c>
      <c r="F330" s="10" t="str">
        <f t="shared" si="1"/>
        <v>Dolly Mayer</v>
      </c>
      <c r="G330" s="12" t="s">
        <v>70</v>
      </c>
      <c r="H330" s="13">
        <v>44408.0</v>
      </c>
      <c r="I330" s="13">
        <v>43783.0</v>
      </c>
      <c r="J330" s="11">
        <f t="shared" si="2"/>
        <v>625</v>
      </c>
      <c r="K330" s="14">
        <v>45100.0</v>
      </c>
      <c r="L330" s="14">
        <v>400.0</v>
      </c>
      <c r="M330" s="12">
        <v>7.0</v>
      </c>
      <c r="N330" s="12">
        <v>5.0</v>
      </c>
    </row>
    <row r="331" ht="15.75" customHeight="1">
      <c r="D331" s="12" t="s">
        <v>250</v>
      </c>
      <c r="E331" s="12" t="s">
        <v>536</v>
      </c>
      <c r="F331" s="10" t="str">
        <f t="shared" si="1"/>
        <v>Steven Mayers</v>
      </c>
      <c r="G331" s="12" t="s">
        <v>26</v>
      </c>
      <c r="H331" s="13">
        <v>44408.0</v>
      </c>
      <c r="I331" s="13">
        <v>43106.0</v>
      </c>
      <c r="J331" s="11">
        <f t="shared" si="2"/>
        <v>1302</v>
      </c>
      <c r="K331" s="14">
        <v>37000.0</v>
      </c>
      <c r="L331" s="14">
        <v>2100.0</v>
      </c>
      <c r="M331" s="12">
        <v>8.0</v>
      </c>
      <c r="N331" s="12">
        <v>4.0</v>
      </c>
    </row>
    <row r="332" ht="15.75" customHeight="1">
      <c r="D332" s="12" t="s">
        <v>537</v>
      </c>
      <c r="E332" s="12" t="s">
        <v>538</v>
      </c>
      <c r="F332" s="10" t="str">
        <f t="shared" si="1"/>
        <v>Judith Mays</v>
      </c>
      <c r="G332" s="12" t="s">
        <v>30</v>
      </c>
      <c r="H332" s="13">
        <v>44408.0</v>
      </c>
      <c r="I332" s="13">
        <v>43192.0</v>
      </c>
      <c r="J332" s="11">
        <f t="shared" si="2"/>
        <v>1216</v>
      </c>
      <c r="K332" s="14">
        <v>79000.0</v>
      </c>
      <c r="L332" s="14">
        <v>3900.0</v>
      </c>
      <c r="M332" s="12">
        <v>2.0</v>
      </c>
      <c r="N332" s="12">
        <v>2.0</v>
      </c>
    </row>
    <row r="333" ht="15.75" customHeight="1">
      <c r="D333" s="12" t="s">
        <v>539</v>
      </c>
      <c r="E333" s="12" t="s">
        <v>540</v>
      </c>
      <c r="F333" s="10" t="str">
        <f t="shared" si="1"/>
        <v>Fernando Mccall</v>
      </c>
      <c r="G333" s="12" t="s">
        <v>56</v>
      </c>
      <c r="H333" s="13">
        <v>44408.0</v>
      </c>
      <c r="I333" s="13">
        <v>42515.0</v>
      </c>
      <c r="J333" s="11">
        <f t="shared" si="2"/>
        <v>1893</v>
      </c>
      <c r="K333" s="14">
        <v>46300.0</v>
      </c>
      <c r="L333" s="14">
        <v>2000.0</v>
      </c>
      <c r="M333" s="12">
        <v>8.0</v>
      </c>
      <c r="N333" s="12">
        <v>3.0</v>
      </c>
    </row>
    <row r="334" ht="15.75" customHeight="1">
      <c r="D334" s="12" t="s">
        <v>541</v>
      </c>
      <c r="E334" s="12" t="s">
        <v>542</v>
      </c>
      <c r="F334" s="10" t="str">
        <f t="shared" si="1"/>
        <v>Mitchel Mccaskill</v>
      </c>
      <c r="G334" s="12" t="s">
        <v>22</v>
      </c>
      <c r="H334" s="13">
        <v>44408.0</v>
      </c>
      <c r="I334" s="13">
        <v>44022.0</v>
      </c>
      <c r="J334" s="11">
        <f t="shared" si="2"/>
        <v>386</v>
      </c>
      <c r="K334" s="14">
        <v>87700.0</v>
      </c>
      <c r="L334" s="14">
        <v>3700.0</v>
      </c>
      <c r="M334" s="12">
        <v>5.0</v>
      </c>
      <c r="N334" s="12">
        <v>3.0</v>
      </c>
    </row>
    <row r="335" ht="15.75" customHeight="1">
      <c r="D335" s="12" t="s">
        <v>543</v>
      </c>
      <c r="E335" s="12" t="s">
        <v>544</v>
      </c>
      <c r="F335" s="10" t="str">
        <f t="shared" si="1"/>
        <v>Candance Mccullough</v>
      </c>
      <c r="G335" s="12" t="s">
        <v>70</v>
      </c>
      <c r="H335" s="13">
        <v>44408.0</v>
      </c>
      <c r="I335" s="13">
        <v>42319.0</v>
      </c>
      <c r="J335" s="11">
        <f t="shared" si="2"/>
        <v>2089</v>
      </c>
      <c r="K335" s="14">
        <v>35000.0</v>
      </c>
      <c r="L335" s="14">
        <v>2000.0</v>
      </c>
      <c r="M335" s="12">
        <v>4.0</v>
      </c>
      <c r="N335" s="12">
        <v>4.0</v>
      </c>
    </row>
    <row r="336" ht="15.75" customHeight="1">
      <c r="D336" s="12" t="s">
        <v>545</v>
      </c>
      <c r="E336" s="12" t="s">
        <v>546</v>
      </c>
      <c r="F336" s="10" t="str">
        <f t="shared" si="1"/>
        <v>Jacob Mccurry</v>
      </c>
      <c r="G336" s="12" t="s">
        <v>33</v>
      </c>
      <c r="H336" s="13">
        <v>44408.0</v>
      </c>
      <c r="I336" s="13">
        <v>43400.0</v>
      </c>
      <c r="J336" s="11">
        <f t="shared" si="2"/>
        <v>1008</v>
      </c>
      <c r="K336" s="14">
        <v>53400.0</v>
      </c>
      <c r="L336" s="14">
        <v>200.0</v>
      </c>
      <c r="M336" s="12">
        <v>5.0</v>
      </c>
      <c r="N336" s="12">
        <v>3.0</v>
      </c>
    </row>
    <row r="337" ht="15.75" customHeight="1">
      <c r="D337" s="12" t="s">
        <v>547</v>
      </c>
      <c r="E337" s="12" t="s">
        <v>548</v>
      </c>
      <c r="F337" s="10" t="str">
        <f t="shared" si="1"/>
        <v>Hyon Mcgowan</v>
      </c>
      <c r="G337" s="12" t="s">
        <v>47</v>
      </c>
      <c r="H337" s="13">
        <v>44408.0</v>
      </c>
      <c r="I337" s="13">
        <v>42941.0</v>
      </c>
      <c r="J337" s="11">
        <f t="shared" si="2"/>
        <v>1467</v>
      </c>
      <c r="K337" s="14">
        <v>52300.0</v>
      </c>
      <c r="L337" s="14">
        <v>2400.0</v>
      </c>
      <c r="M337" s="12">
        <v>3.0</v>
      </c>
      <c r="N337" s="12">
        <v>5.0</v>
      </c>
    </row>
    <row r="338" ht="15.75" customHeight="1">
      <c r="D338" s="12" t="s">
        <v>51</v>
      </c>
      <c r="E338" s="12" t="s">
        <v>549</v>
      </c>
      <c r="F338" s="10" t="str">
        <f t="shared" si="1"/>
        <v>Paula Mckenna</v>
      </c>
      <c r="G338" s="12" t="s">
        <v>56</v>
      </c>
      <c r="H338" s="13">
        <v>44408.0</v>
      </c>
      <c r="I338" s="13">
        <v>43079.0</v>
      </c>
      <c r="J338" s="11">
        <f t="shared" si="2"/>
        <v>1329</v>
      </c>
      <c r="K338" s="14">
        <v>46800.0</v>
      </c>
      <c r="L338" s="14">
        <v>3400.0</v>
      </c>
      <c r="M338" s="12">
        <v>3.0</v>
      </c>
      <c r="N338" s="12">
        <v>5.0</v>
      </c>
    </row>
    <row r="339" ht="15.75" customHeight="1">
      <c r="D339" s="12" t="s">
        <v>550</v>
      </c>
      <c r="E339" s="12" t="s">
        <v>551</v>
      </c>
      <c r="F339" s="10" t="str">
        <f t="shared" si="1"/>
        <v>Vicky Mclean</v>
      </c>
      <c r="G339" s="12" t="s">
        <v>56</v>
      </c>
      <c r="H339" s="13">
        <v>44408.0</v>
      </c>
      <c r="I339" s="13">
        <v>44215.0</v>
      </c>
      <c r="J339" s="11">
        <f t="shared" si="2"/>
        <v>193</v>
      </c>
      <c r="K339" s="14">
        <v>64400.0</v>
      </c>
      <c r="L339" s="14">
        <v>3200.0</v>
      </c>
      <c r="M339" s="12">
        <v>6.0</v>
      </c>
      <c r="N339" s="12">
        <v>4.0</v>
      </c>
    </row>
    <row r="340" ht="15.75" customHeight="1">
      <c r="D340" s="12" t="s">
        <v>119</v>
      </c>
      <c r="E340" s="12" t="s">
        <v>552</v>
      </c>
      <c r="F340" s="10" t="str">
        <f t="shared" si="1"/>
        <v>Robert Mcmillan</v>
      </c>
      <c r="G340" s="12" t="s">
        <v>81</v>
      </c>
      <c r="H340" s="13">
        <v>44408.0</v>
      </c>
      <c r="I340" s="13">
        <v>44279.0</v>
      </c>
      <c r="J340" s="11">
        <f t="shared" si="2"/>
        <v>129</v>
      </c>
      <c r="K340" s="14">
        <v>118300.0</v>
      </c>
      <c r="L340" s="14">
        <v>4900.0</v>
      </c>
      <c r="M340" s="12">
        <v>10.0</v>
      </c>
      <c r="N340" s="12">
        <v>3.0</v>
      </c>
    </row>
    <row r="341" ht="15.75" customHeight="1">
      <c r="D341" s="12" t="s">
        <v>553</v>
      </c>
      <c r="E341" s="12" t="s">
        <v>554</v>
      </c>
      <c r="F341" s="10" t="str">
        <f t="shared" si="1"/>
        <v>Lori Mcwhorter</v>
      </c>
      <c r="G341" s="12" t="s">
        <v>81</v>
      </c>
      <c r="H341" s="13">
        <v>44408.0</v>
      </c>
      <c r="I341" s="13">
        <v>43381.0</v>
      </c>
      <c r="J341" s="11">
        <f t="shared" si="2"/>
        <v>1027</v>
      </c>
      <c r="K341" s="14">
        <v>92000.0</v>
      </c>
      <c r="L341" s="14">
        <v>3000.0</v>
      </c>
      <c r="M341" s="12">
        <v>3.0</v>
      </c>
      <c r="N341" s="12">
        <v>2.0</v>
      </c>
    </row>
    <row r="342" ht="15.75" customHeight="1">
      <c r="D342" s="12" t="s">
        <v>555</v>
      </c>
      <c r="E342" s="12" t="s">
        <v>556</v>
      </c>
      <c r="F342" s="10" t="str">
        <f t="shared" si="1"/>
        <v>Angela Meadows</v>
      </c>
      <c r="G342" s="12" t="s">
        <v>70</v>
      </c>
      <c r="H342" s="13">
        <v>44408.0</v>
      </c>
      <c r="I342" s="13">
        <v>44297.0</v>
      </c>
      <c r="J342" s="11">
        <f t="shared" si="2"/>
        <v>111</v>
      </c>
      <c r="K342" s="14">
        <v>41300.0</v>
      </c>
      <c r="L342" s="14">
        <v>2600.0</v>
      </c>
      <c r="M342" s="12">
        <v>4.0</v>
      </c>
      <c r="N342" s="12">
        <v>3.0</v>
      </c>
    </row>
    <row r="343" ht="15.75" customHeight="1">
      <c r="D343" s="12" t="s">
        <v>557</v>
      </c>
      <c r="E343" s="12" t="s">
        <v>556</v>
      </c>
      <c r="F343" s="10" t="str">
        <f t="shared" si="1"/>
        <v>Norman Meadows</v>
      </c>
      <c r="G343" s="12" t="s">
        <v>26</v>
      </c>
      <c r="H343" s="13">
        <v>44408.0</v>
      </c>
      <c r="I343" s="13">
        <v>43576.0</v>
      </c>
      <c r="J343" s="11">
        <f t="shared" si="2"/>
        <v>832</v>
      </c>
      <c r="K343" s="14">
        <v>48300.0</v>
      </c>
      <c r="L343" s="14">
        <v>3500.0</v>
      </c>
      <c r="M343" s="12">
        <v>5.0</v>
      </c>
      <c r="N343" s="12">
        <v>4.0</v>
      </c>
    </row>
    <row r="344" ht="15.75" customHeight="1">
      <c r="D344" s="12" t="s">
        <v>558</v>
      </c>
      <c r="E344" s="12" t="s">
        <v>559</v>
      </c>
      <c r="F344" s="10" t="str">
        <f t="shared" si="1"/>
        <v>Christian Mears</v>
      </c>
      <c r="G344" s="12" t="s">
        <v>33</v>
      </c>
      <c r="H344" s="13">
        <v>44408.0</v>
      </c>
      <c r="I344" s="13">
        <v>44004.0</v>
      </c>
      <c r="J344" s="11">
        <f t="shared" si="2"/>
        <v>404</v>
      </c>
      <c r="K344" s="14">
        <v>28100.0</v>
      </c>
      <c r="L344" s="14">
        <v>1700.0</v>
      </c>
      <c r="M344" s="12">
        <v>2.0</v>
      </c>
      <c r="N344" s="12">
        <v>4.0</v>
      </c>
    </row>
    <row r="345" ht="15.75" customHeight="1">
      <c r="D345" s="12" t="s">
        <v>253</v>
      </c>
      <c r="E345" s="12" t="s">
        <v>560</v>
      </c>
      <c r="F345" s="10" t="str">
        <f t="shared" si="1"/>
        <v>David Medina</v>
      </c>
      <c r="G345" s="12" t="s">
        <v>47</v>
      </c>
      <c r="H345" s="13">
        <v>44408.0</v>
      </c>
      <c r="I345" s="13">
        <v>43605.0</v>
      </c>
      <c r="J345" s="11">
        <f t="shared" si="2"/>
        <v>803</v>
      </c>
      <c r="K345" s="14">
        <v>57800.0</v>
      </c>
      <c r="L345" s="14">
        <v>3600.0</v>
      </c>
      <c r="M345" s="12">
        <v>3.0</v>
      </c>
      <c r="N345" s="12">
        <v>3.0</v>
      </c>
    </row>
    <row r="346" ht="15.75" customHeight="1">
      <c r="D346" s="12" t="s">
        <v>203</v>
      </c>
      <c r="E346" s="12" t="s">
        <v>561</v>
      </c>
      <c r="F346" s="10" t="str">
        <f t="shared" si="1"/>
        <v>Donald Mendoza</v>
      </c>
      <c r="G346" s="12" t="s">
        <v>33</v>
      </c>
      <c r="H346" s="13">
        <v>44408.0</v>
      </c>
      <c r="I346" s="13">
        <v>43997.0</v>
      </c>
      <c r="J346" s="11">
        <f t="shared" si="2"/>
        <v>411</v>
      </c>
      <c r="K346" s="14">
        <v>30500.0</v>
      </c>
      <c r="L346" s="14">
        <v>1200.0</v>
      </c>
      <c r="M346" s="12">
        <v>4.0</v>
      </c>
      <c r="N346" s="12">
        <v>5.0</v>
      </c>
    </row>
    <row r="347" ht="15.75" customHeight="1">
      <c r="D347" s="12" t="s">
        <v>246</v>
      </c>
      <c r="E347" s="12" t="s">
        <v>562</v>
      </c>
      <c r="F347" s="10" t="str">
        <f t="shared" si="1"/>
        <v>Frank Metzler</v>
      </c>
      <c r="G347" s="12" t="s">
        <v>56</v>
      </c>
      <c r="H347" s="13">
        <v>44408.0</v>
      </c>
      <c r="I347" s="13">
        <v>44276.0</v>
      </c>
      <c r="J347" s="11">
        <f t="shared" si="2"/>
        <v>132</v>
      </c>
      <c r="K347" s="14">
        <v>45700.0</v>
      </c>
      <c r="L347" s="14">
        <v>3200.0</v>
      </c>
      <c r="M347" s="12">
        <v>6.0</v>
      </c>
      <c r="N347" s="12">
        <v>5.0</v>
      </c>
    </row>
    <row r="348" ht="15.75" customHeight="1">
      <c r="D348" s="12" t="s">
        <v>563</v>
      </c>
      <c r="E348" s="12" t="s">
        <v>564</v>
      </c>
      <c r="F348" s="10" t="str">
        <f t="shared" si="1"/>
        <v>Harold Meyer</v>
      </c>
      <c r="G348" s="12" t="s">
        <v>30</v>
      </c>
      <c r="H348" s="13">
        <v>44408.0</v>
      </c>
      <c r="I348" s="13">
        <v>43898.0</v>
      </c>
      <c r="J348" s="11">
        <f t="shared" si="2"/>
        <v>510</v>
      </c>
      <c r="K348" s="14">
        <v>86600.0</v>
      </c>
      <c r="L348" s="14">
        <v>4300.0</v>
      </c>
      <c r="M348" s="12">
        <v>3.0</v>
      </c>
      <c r="N348" s="12">
        <v>2.0</v>
      </c>
    </row>
    <row r="349" ht="15.75" customHeight="1">
      <c r="D349" s="12" t="s">
        <v>565</v>
      </c>
      <c r="E349" s="12" t="s">
        <v>566</v>
      </c>
      <c r="F349" s="10" t="str">
        <f t="shared" si="1"/>
        <v>Bennie Michaelson</v>
      </c>
      <c r="G349" s="12" t="s">
        <v>47</v>
      </c>
      <c r="H349" s="13">
        <v>44408.0</v>
      </c>
      <c r="I349" s="13">
        <v>43597.0</v>
      </c>
      <c r="J349" s="11">
        <f t="shared" si="2"/>
        <v>811</v>
      </c>
      <c r="K349" s="14">
        <v>60300.0</v>
      </c>
      <c r="L349" s="14">
        <v>2600.0</v>
      </c>
      <c r="M349" s="12">
        <v>5.0</v>
      </c>
      <c r="N349" s="12">
        <v>2.0</v>
      </c>
    </row>
    <row r="350" ht="15.75" customHeight="1">
      <c r="D350" s="12" t="s">
        <v>567</v>
      </c>
      <c r="E350" s="12" t="s">
        <v>568</v>
      </c>
      <c r="F350" s="10" t="str">
        <f t="shared" si="1"/>
        <v>Gerald Michel</v>
      </c>
      <c r="G350" s="12" t="s">
        <v>56</v>
      </c>
      <c r="H350" s="13">
        <v>44408.0</v>
      </c>
      <c r="I350" s="13">
        <v>44286.0</v>
      </c>
      <c r="J350" s="11">
        <f t="shared" si="2"/>
        <v>122</v>
      </c>
      <c r="K350" s="14">
        <v>45000.0</v>
      </c>
      <c r="L350" s="14">
        <v>2800.0</v>
      </c>
      <c r="M350" s="12">
        <v>1.0</v>
      </c>
      <c r="N350" s="12">
        <v>4.0</v>
      </c>
    </row>
    <row r="351" ht="15.75" customHeight="1">
      <c r="D351" s="12" t="s">
        <v>569</v>
      </c>
      <c r="E351" s="12" t="s">
        <v>570</v>
      </c>
      <c r="F351" s="10" t="str">
        <f t="shared" si="1"/>
        <v>Rita Miles</v>
      </c>
      <c r="G351" s="12" t="s">
        <v>33</v>
      </c>
      <c r="H351" s="13">
        <v>44408.0</v>
      </c>
      <c r="I351" s="13">
        <v>43094.0</v>
      </c>
      <c r="J351" s="11">
        <f t="shared" si="2"/>
        <v>1314</v>
      </c>
      <c r="K351" s="14">
        <v>63500.0</v>
      </c>
      <c r="L351" s="14">
        <v>1900.0</v>
      </c>
      <c r="M351" s="12">
        <v>10.0</v>
      </c>
      <c r="N351" s="12">
        <v>3.0</v>
      </c>
    </row>
    <row r="352" ht="15.75" customHeight="1">
      <c r="D352" s="12" t="s">
        <v>77</v>
      </c>
      <c r="E352" s="12" t="s">
        <v>571</v>
      </c>
      <c r="F352" s="10" t="str">
        <f t="shared" si="1"/>
        <v>Carl Miller</v>
      </c>
      <c r="G352" s="12" t="s">
        <v>26</v>
      </c>
      <c r="H352" s="13">
        <v>44408.0</v>
      </c>
      <c r="I352" s="13">
        <v>43452.0</v>
      </c>
      <c r="J352" s="11">
        <f t="shared" si="2"/>
        <v>956</v>
      </c>
      <c r="K352" s="14">
        <v>39900.0</v>
      </c>
      <c r="L352" s="14">
        <v>0.0</v>
      </c>
      <c r="M352" s="12">
        <v>10.0</v>
      </c>
      <c r="N352" s="12">
        <v>3.0</v>
      </c>
    </row>
    <row r="353" ht="15.75" customHeight="1">
      <c r="D353" s="12" t="s">
        <v>572</v>
      </c>
      <c r="E353" s="12" t="s">
        <v>571</v>
      </c>
      <c r="F353" s="10" t="str">
        <f t="shared" si="1"/>
        <v>Dean Miller</v>
      </c>
      <c r="G353" s="12" t="s">
        <v>26</v>
      </c>
      <c r="H353" s="13">
        <v>44408.0</v>
      </c>
      <c r="I353" s="13">
        <v>43347.0</v>
      </c>
      <c r="J353" s="11">
        <f t="shared" si="2"/>
        <v>1061</v>
      </c>
      <c r="K353" s="14">
        <v>46900.0</v>
      </c>
      <c r="L353" s="14">
        <v>2200.0</v>
      </c>
      <c r="M353" s="12">
        <v>4.0</v>
      </c>
      <c r="N353" s="12">
        <v>3.0</v>
      </c>
    </row>
    <row r="354" ht="15.75" customHeight="1">
      <c r="D354" s="12" t="s">
        <v>573</v>
      </c>
      <c r="E354" s="12" t="s">
        <v>574</v>
      </c>
      <c r="F354" s="10" t="str">
        <f t="shared" si="1"/>
        <v>Alva Miranda</v>
      </c>
      <c r="G354" s="12" t="s">
        <v>26</v>
      </c>
      <c r="H354" s="13">
        <v>44408.0</v>
      </c>
      <c r="I354" s="13">
        <v>43361.0</v>
      </c>
      <c r="J354" s="11">
        <f t="shared" si="2"/>
        <v>1047</v>
      </c>
      <c r="K354" s="14">
        <v>40500.0</v>
      </c>
      <c r="L354" s="14">
        <v>1300.0</v>
      </c>
      <c r="M354" s="12">
        <v>4.0</v>
      </c>
      <c r="N354" s="12">
        <v>3.0</v>
      </c>
    </row>
    <row r="355" ht="15.75" customHeight="1">
      <c r="D355" s="12" t="s">
        <v>237</v>
      </c>
      <c r="E355" s="12" t="s">
        <v>575</v>
      </c>
      <c r="F355" s="10" t="str">
        <f t="shared" si="1"/>
        <v>Dale Mitchell</v>
      </c>
      <c r="G355" s="12" t="s">
        <v>70</v>
      </c>
      <c r="H355" s="13">
        <v>44408.0</v>
      </c>
      <c r="I355" s="13">
        <v>43632.0</v>
      </c>
      <c r="J355" s="11">
        <f t="shared" si="2"/>
        <v>776</v>
      </c>
      <c r="K355" s="14">
        <v>48300.0</v>
      </c>
      <c r="L355" s="14">
        <v>1000.0</v>
      </c>
      <c r="M355" s="12">
        <v>6.0</v>
      </c>
      <c r="N355" s="12">
        <v>5.0</v>
      </c>
    </row>
    <row r="356" ht="15.75" customHeight="1">
      <c r="D356" s="12" t="s">
        <v>576</v>
      </c>
      <c r="E356" s="12" t="s">
        <v>575</v>
      </c>
      <c r="F356" s="10" t="str">
        <f t="shared" si="1"/>
        <v>Martha Mitchell</v>
      </c>
      <c r="G356" s="12" t="s">
        <v>47</v>
      </c>
      <c r="H356" s="13">
        <v>44408.0</v>
      </c>
      <c r="I356" s="13">
        <v>43681.0</v>
      </c>
      <c r="J356" s="11">
        <f t="shared" si="2"/>
        <v>727</v>
      </c>
      <c r="K356" s="14">
        <v>35100.0</v>
      </c>
      <c r="L356" s="14">
        <v>1900.0</v>
      </c>
      <c r="M356" s="12">
        <v>1.0</v>
      </c>
      <c r="N356" s="12">
        <v>2.0</v>
      </c>
    </row>
    <row r="357" ht="15.75" customHeight="1">
      <c r="D357" s="12" t="s">
        <v>113</v>
      </c>
      <c r="E357" s="12" t="s">
        <v>577</v>
      </c>
      <c r="F357" s="10" t="str">
        <f t="shared" si="1"/>
        <v>Wendy Modica</v>
      </c>
      <c r="G357" s="12" t="s">
        <v>56</v>
      </c>
      <c r="H357" s="13">
        <v>44408.0</v>
      </c>
      <c r="I357" s="13">
        <v>43802.0</v>
      </c>
      <c r="J357" s="11">
        <f t="shared" si="2"/>
        <v>606</v>
      </c>
      <c r="K357" s="14">
        <v>55300.0</v>
      </c>
      <c r="L357" s="14">
        <v>100.0</v>
      </c>
      <c r="M357" s="12">
        <v>4.0</v>
      </c>
      <c r="N357" s="12">
        <v>4.0</v>
      </c>
    </row>
    <row r="358" ht="15.75" customHeight="1">
      <c r="D358" s="12" t="s">
        <v>253</v>
      </c>
      <c r="E358" s="12" t="s">
        <v>578</v>
      </c>
      <c r="F358" s="10" t="str">
        <f t="shared" si="1"/>
        <v>David Molina</v>
      </c>
      <c r="G358" s="12" t="s">
        <v>30</v>
      </c>
      <c r="H358" s="13">
        <v>44408.0</v>
      </c>
      <c r="I358" s="13">
        <v>44203.0</v>
      </c>
      <c r="J358" s="11">
        <f t="shared" si="2"/>
        <v>205</v>
      </c>
      <c r="K358" s="14">
        <v>125000.0</v>
      </c>
      <c r="L358" s="14">
        <v>5900.0</v>
      </c>
      <c r="M358" s="12">
        <v>2.0</v>
      </c>
      <c r="N358" s="12">
        <v>2.0</v>
      </c>
    </row>
    <row r="359" ht="15.75" customHeight="1">
      <c r="D359" s="12" t="s">
        <v>304</v>
      </c>
      <c r="E359" s="12" t="s">
        <v>579</v>
      </c>
      <c r="F359" s="10" t="str">
        <f t="shared" si="1"/>
        <v>Mark Montano</v>
      </c>
      <c r="G359" s="12" t="s">
        <v>47</v>
      </c>
      <c r="H359" s="13">
        <v>44408.0</v>
      </c>
      <c r="I359" s="13">
        <v>43266.0</v>
      </c>
      <c r="J359" s="11">
        <f t="shared" si="2"/>
        <v>1142</v>
      </c>
      <c r="K359" s="14">
        <v>24300.0</v>
      </c>
      <c r="L359" s="14">
        <v>3300.0</v>
      </c>
      <c r="M359" s="12">
        <v>10.0</v>
      </c>
      <c r="N359" s="12">
        <v>4.0</v>
      </c>
    </row>
    <row r="360" ht="15.75" customHeight="1">
      <c r="D360" s="12" t="s">
        <v>580</v>
      </c>
      <c r="E360" s="12" t="s">
        <v>581</v>
      </c>
      <c r="F360" s="10" t="str">
        <f t="shared" si="1"/>
        <v>Cristobal Montgomery</v>
      </c>
      <c r="G360" s="12" t="s">
        <v>56</v>
      </c>
      <c r="H360" s="13">
        <v>44408.0</v>
      </c>
      <c r="I360" s="13">
        <v>42180.0</v>
      </c>
      <c r="J360" s="11">
        <f t="shared" si="2"/>
        <v>2228</v>
      </c>
      <c r="K360" s="14">
        <v>32700.0</v>
      </c>
      <c r="L360" s="14">
        <v>1600.0</v>
      </c>
      <c r="M360" s="12">
        <v>4.0</v>
      </c>
      <c r="N360" s="12">
        <v>4.0</v>
      </c>
    </row>
    <row r="361" ht="15.75" customHeight="1">
      <c r="D361" s="12" t="s">
        <v>156</v>
      </c>
      <c r="E361" s="12" t="s">
        <v>582</v>
      </c>
      <c r="F361" s="10" t="str">
        <f t="shared" si="1"/>
        <v>Jamie Moore</v>
      </c>
      <c r="G361" s="12" t="s">
        <v>22</v>
      </c>
      <c r="H361" s="13">
        <v>44408.0</v>
      </c>
      <c r="I361" s="13">
        <v>43207.0</v>
      </c>
      <c r="J361" s="11">
        <f t="shared" si="2"/>
        <v>1201</v>
      </c>
      <c r="K361" s="14">
        <v>117200.0</v>
      </c>
      <c r="L361" s="14">
        <v>4400.0</v>
      </c>
      <c r="M361" s="12">
        <v>6.0</v>
      </c>
      <c r="N361" s="12">
        <v>4.0</v>
      </c>
    </row>
    <row r="362" ht="15.75" customHeight="1">
      <c r="D362" s="12" t="s">
        <v>583</v>
      </c>
      <c r="E362" s="12" t="s">
        <v>582</v>
      </c>
      <c r="F362" s="10" t="str">
        <f t="shared" si="1"/>
        <v>Lynne Moore</v>
      </c>
      <c r="G362" s="12" t="s">
        <v>70</v>
      </c>
      <c r="H362" s="13">
        <v>44408.0</v>
      </c>
      <c r="I362" s="13">
        <v>42744.0</v>
      </c>
      <c r="J362" s="11">
        <f t="shared" si="2"/>
        <v>1664</v>
      </c>
      <c r="K362" s="14">
        <v>62500.0</v>
      </c>
      <c r="L362" s="14">
        <v>6200.0</v>
      </c>
      <c r="M362" s="12">
        <v>5.0</v>
      </c>
      <c r="N362" s="12">
        <v>4.0</v>
      </c>
    </row>
    <row r="363" ht="15.75" customHeight="1">
      <c r="D363" s="12" t="s">
        <v>584</v>
      </c>
      <c r="E363" s="12" t="s">
        <v>582</v>
      </c>
      <c r="F363" s="10" t="str">
        <f t="shared" si="1"/>
        <v>Scott Moore</v>
      </c>
      <c r="G363" s="12" t="s">
        <v>70</v>
      </c>
      <c r="H363" s="13">
        <v>44408.0</v>
      </c>
      <c r="I363" s="13">
        <v>43967.0</v>
      </c>
      <c r="J363" s="11">
        <f t="shared" si="2"/>
        <v>441</v>
      </c>
      <c r="K363" s="14">
        <v>51200.0</v>
      </c>
      <c r="L363" s="14">
        <v>3200.0</v>
      </c>
      <c r="M363" s="12">
        <v>5.0</v>
      </c>
      <c r="N363" s="12">
        <v>3.0</v>
      </c>
    </row>
    <row r="364" ht="15.75" customHeight="1">
      <c r="D364" s="12" t="s">
        <v>185</v>
      </c>
      <c r="E364" s="12" t="s">
        <v>585</v>
      </c>
      <c r="F364" s="10" t="str">
        <f t="shared" si="1"/>
        <v>Richard Morehouse</v>
      </c>
      <c r="G364" s="12" t="s">
        <v>26</v>
      </c>
      <c r="H364" s="13">
        <v>44408.0</v>
      </c>
      <c r="I364" s="13">
        <v>42181.0</v>
      </c>
      <c r="J364" s="11">
        <f t="shared" si="2"/>
        <v>2227</v>
      </c>
      <c r="K364" s="14">
        <v>60300.0</v>
      </c>
      <c r="L364" s="14">
        <v>2100.0</v>
      </c>
      <c r="M364" s="12">
        <v>4.0</v>
      </c>
      <c r="N364" s="12">
        <v>4.0</v>
      </c>
    </row>
    <row r="365" ht="15.75" customHeight="1">
      <c r="D365" s="12" t="s">
        <v>151</v>
      </c>
      <c r="E365" s="12" t="s">
        <v>586</v>
      </c>
      <c r="F365" s="10" t="str">
        <f t="shared" si="1"/>
        <v>Michael Morgan</v>
      </c>
      <c r="G365" s="12" t="s">
        <v>70</v>
      </c>
      <c r="H365" s="13">
        <v>44408.0</v>
      </c>
      <c r="I365" s="13">
        <v>42168.0</v>
      </c>
      <c r="J365" s="11">
        <f t="shared" si="2"/>
        <v>2240</v>
      </c>
      <c r="K365" s="14">
        <v>52600.0</v>
      </c>
      <c r="L365" s="14">
        <v>2400.0</v>
      </c>
      <c r="M365" s="12">
        <v>6.0</v>
      </c>
      <c r="N365" s="12">
        <v>1.0</v>
      </c>
    </row>
    <row r="366" ht="15.75" customHeight="1">
      <c r="D366" s="12" t="s">
        <v>298</v>
      </c>
      <c r="E366" s="12" t="s">
        <v>587</v>
      </c>
      <c r="F366" s="10" t="str">
        <f t="shared" si="1"/>
        <v>Pamela Mork</v>
      </c>
      <c r="G366" s="12" t="s">
        <v>70</v>
      </c>
      <c r="H366" s="13">
        <v>44408.0</v>
      </c>
      <c r="I366" s="13">
        <v>44107.0</v>
      </c>
      <c r="J366" s="11">
        <f t="shared" si="2"/>
        <v>301</v>
      </c>
      <c r="K366" s="14">
        <v>39200.0</v>
      </c>
      <c r="L366" s="14">
        <v>3800.0</v>
      </c>
      <c r="M366" s="12">
        <v>4.0</v>
      </c>
      <c r="N366" s="12">
        <v>5.0</v>
      </c>
    </row>
    <row r="367" ht="15.75" customHeight="1">
      <c r="D367" s="12" t="s">
        <v>588</v>
      </c>
      <c r="E367" s="12" t="s">
        <v>589</v>
      </c>
      <c r="F367" s="10" t="str">
        <f t="shared" si="1"/>
        <v>Stefani Morris</v>
      </c>
      <c r="G367" s="12" t="s">
        <v>47</v>
      </c>
      <c r="H367" s="13">
        <v>44408.0</v>
      </c>
      <c r="I367" s="13">
        <v>44034.0</v>
      </c>
      <c r="J367" s="11">
        <f t="shared" si="2"/>
        <v>374</v>
      </c>
      <c r="K367" s="14">
        <v>55800.0</v>
      </c>
      <c r="L367" s="14">
        <v>3300.0</v>
      </c>
      <c r="M367" s="12">
        <v>7.0</v>
      </c>
      <c r="N367" s="12">
        <v>5.0</v>
      </c>
    </row>
    <row r="368" ht="15.75" customHeight="1">
      <c r="D368" s="12" t="s">
        <v>203</v>
      </c>
      <c r="E368" s="12" t="s">
        <v>590</v>
      </c>
      <c r="F368" s="10" t="str">
        <f t="shared" si="1"/>
        <v>Donald Morrison</v>
      </c>
      <c r="G368" s="12" t="s">
        <v>81</v>
      </c>
      <c r="H368" s="13">
        <v>44408.0</v>
      </c>
      <c r="I368" s="13">
        <v>42284.0</v>
      </c>
      <c r="J368" s="11">
        <f t="shared" si="2"/>
        <v>2124</v>
      </c>
      <c r="K368" s="14">
        <v>95000.0</v>
      </c>
      <c r="L368" s="14">
        <v>6800.0</v>
      </c>
      <c r="M368" s="12">
        <v>4.0</v>
      </c>
      <c r="N368" s="12">
        <v>1.0</v>
      </c>
    </row>
    <row r="369" ht="15.75" customHeight="1">
      <c r="D369" s="12" t="s">
        <v>426</v>
      </c>
      <c r="E369" s="12" t="s">
        <v>591</v>
      </c>
      <c r="F369" s="10" t="str">
        <f t="shared" si="1"/>
        <v>Margaret Moses</v>
      </c>
      <c r="G369" s="12" t="s">
        <v>56</v>
      </c>
      <c r="H369" s="13">
        <v>44408.0</v>
      </c>
      <c r="I369" s="13">
        <v>43631.0</v>
      </c>
      <c r="J369" s="11">
        <f t="shared" si="2"/>
        <v>777</v>
      </c>
      <c r="K369" s="14">
        <v>43600.0</v>
      </c>
      <c r="L369" s="14">
        <v>700.0</v>
      </c>
      <c r="M369" s="12">
        <v>5.0</v>
      </c>
      <c r="N369" s="12">
        <v>4.0</v>
      </c>
    </row>
    <row r="370" ht="15.75" customHeight="1">
      <c r="D370" s="12" t="s">
        <v>300</v>
      </c>
      <c r="E370" s="12" t="s">
        <v>592</v>
      </c>
      <c r="F370" s="10" t="str">
        <f t="shared" si="1"/>
        <v>Henry Mowers</v>
      </c>
      <c r="G370" s="12" t="s">
        <v>33</v>
      </c>
      <c r="H370" s="13">
        <v>44408.0</v>
      </c>
      <c r="I370" s="13">
        <v>42617.0</v>
      </c>
      <c r="J370" s="11">
        <f t="shared" si="2"/>
        <v>1791</v>
      </c>
      <c r="K370" s="14">
        <v>36800.0</v>
      </c>
      <c r="L370" s="14">
        <v>1500.0</v>
      </c>
      <c r="M370" s="12">
        <v>5.0</v>
      </c>
      <c r="N370" s="12">
        <v>3.0</v>
      </c>
    </row>
    <row r="371" ht="15.75" customHeight="1">
      <c r="D371" s="12" t="s">
        <v>593</v>
      </c>
      <c r="E371" s="12" t="s">
        <v>594</v>
      </c>
      <c r="F371" s="10" t="str">
        <f t="shared" si="1"/>
        <v>Jodi Muir</v>
      </c>
      <c r="G371" s="12" t="s">
        <v>26</v>
      </c>
      <c r="H371" s="13">
        <v>44408.0</v>
      </c>
      <c r="I371" s="13">
        <v>42493.0</v>
      </c>
      <c r="J371" s="11">
        <f t="shared" si="2"/>
        <v>1915</v>
      </c>
      <c r="K371" s="14">
        <v>58100.0</v>
      </c>
      <c r="L371" s="14">
        <v>300.0</v>
      </c>
      <c r="M371" s="12">
        <v>5.0</v>
      </c>
      <c r="N371" s="12">
        <v>5.0</v>
      </c>
    </row>
    <row r="372" ht="15.75" customHeight="1">
      <c r="D372" s="12" t="s">
        <v>595</v>
      </c>
      <c r="E372" s="12" t="s">
        <v>596</v>
      </c>
      <c r="F372" s="10" t="str">
        <f t="shared" si="1"/>
        <v>Faith Mullins</v>
      </c>
      <c r="G372" s="12" t="s">
        <v>33</v>
      </c>
      <c r="H372" s="13">
        <v>44408.0</v>
      </c>
      <c r="I372" s="13">
        <v>43767.0</v>
      </c>
      <c r="J372" s="11">
        <f t="shared" si="2"/>
        <v>641</v>
      </c>
      <c r="K372" s="14">
        <v>51700.0</v>
      </c>
      <c r="L372" s="14">
        <v>2000.0</v>
      </c>
      <c r="M372" s="12">
        <v>8.0</v>
      </c>
      <c r="N372" s="12">
        <v>3.0</v>
      </c>
    </row>
    <row r="373" ht="15.75" customHeight="1">
      <c r="D373" s="12" t="s">
        <v>597</v>
      </c>
      <c r="E373" s="12" t="s">
        <v>598</v>
      </c>
      <c r="F373" s="10" t="str">
        <f t="shared" si="1"/>
        <v>Brian Murray</v>
      </c>
      <c r="G373" s="12" t="s">
        <v>26</v>
      </c>
      <c r="H373" s="13">
        <v>44408.0</v>
      </c>
      <c r="I373" s="13">
        <v>43257.0</v>
      </c>
      <c r="J373" s="11">
        <f t="shared" si="2"/>
        <v>1151</v>
      </c>
      <c r="K373" s="14">
        <v>40000.0</v>
      </c>
      <c r="L373" s="14">
        <v>1600.0</v>
      </c>
      <c r="M373" s="12">
        <v>3.0</v>
      </c>
      <c r="N373" s="12">
        <v>2.0</v>
      </c>
    </row>
    <row r="374" ht="15.75" customHeight="1">
      <c r="D374" s="12" t="s">
        <v>226</v>
      </c>
      <c r="E374" s="12" t="s">
        <v>598</v>
      </c>
      <c r="F374" s="10" t="str">
        <f t="shared" si="1"/>
        <v>Marie Murray</v>
      </c>
      <c r="G374" s="12" t="s">
        <v>33</v>
      </c>
      <c r="H374" s="13">
        <v>44408.0</v>
      </c>
      <c r="I374" s="13">
        <v>42338.0</v>
      </c>
      <c r="J374" s="11">
        <f t="shared" si="2"/>
        <v>2070</v>
      </c>
      <c r="K374" s="14">
        <v>47500.0</v>
      </c>
      <c r="L374" s="14">
        <v>1800.0</v>
      </c>
      <c r="M374" s="12">
        <v>3.0</v>
      </c>
      <c r="N374" s="12">
        <v>4.0</v>
      </c>
    </row>
    <row r="375" ht="15.75" customHeight="1">
      <c r="D375" s="12" t="s">
        <v>599</v>
      </c>
      <c r="E375" s="12" t="s">
        <v>600</v>
      </c>
      <c r="F375" s="10" t="str">
        <f t="shared" si="1"/>
        <v>Debra Musgrave</v>
      </c>
      <c r="G375" s="12" t="s">
        <v>26</v>
      </c>
      <c r="H375" s="13">
        <v>44408.0</v>
      </c>
      <c r="I375" s="13">
        <v>42909.0</v>
      </c>
      <c r="J375" s="11">
        <f t="shared" si="2"/>
        <v>1499</v>
      </c>
      <c r="K375" s="14">
        <v>37000.0</v>
      </c>
      <c r="L375" s="14">
        <v>0.0</v>
      </c>
      <c r="M375" s="12">
        <v>5.0</v>
      </c>
      <c r="N375" s="12">
        <v>2.0</v>
      </c>
    </row>
    <row r="376" ht="15.75" customHeight="1">
      <c r="D376" s="12" t="s">
        <v>601</v>
      </c>
      <c r="E376" s="12" t="s">
        <v>602</v>
      </c>
      <c r="F376" s="10" t="str">
        <f t="shared" si="1"/>
        <v>Jesse Musial</v>
      </c>
      <c r="G376" s="12" t="s">
        <v>47</v>
      </c>
      <c r="H376" s="13">
        <v>44408.0</v>
      </c>
      <c r="I376" s="13">
        <v>43719.0</v>
      </c>
      <c r="J376" s="11">
        <f t="shared" si="2"/>
        <v>689</v>
      </c>
      <c r="K376" s="14">
        <v>38500.0</v>
      </c>
      <c r="L376" s="14">
        <v>2300.0</v>
      </c>
      <c r="M376" s="12">
        <v>0.0</v>
      </c>
      <c r="N376" s="12">
        <v>5.0</v>
      </c>
    </row>
    <row r="377" ht="15.75" customHeight="1">
      <c r="D377" s="12" t="s">
        <v>119</v>
      </c>
      <c r="E377" s="12" t="s">
        <v>603</v>
      </c>
      <c r="F377" s="10" t="str">
        <f t="shared" si="1"/>
        <v>Robert Myers</v>
      </c>
      <c r="G377" s="12" t="s">
        <v>47</v>
      </c>
      <c r="H377" s="13">
        <v>44408.0</v>
      </c>
      <c r="I377" s="13">
        <v>43174.0</v>
      </c>
      <c r="J377" s="11">
        <f t="shared" si="2"/>
        <v>1234</v>
      </c>
      <c r="K377" s="14">
        <v>40000.0</v>
      </c>
      <c r="L377" s="14">
        <v>3700.0</v>
      </c>
      <c r="M377" s="12">
        <v>3.0</v>
      </c>
      <c r="N377" s="12">
        <v>3.0</v>
      </c>
    </row>
    <row r="378" ht="15.75" customHeight="1">
      <c r="D378" s="12" t="s">
        <v>494</v>
      </c>
      <c r="E378" s="12" t="s">
        <v>604</v>
      </c>
      <c r="F378" s="10" t="str">
        <f t="shared" si="1"/>
        <v>Leon Narvaez</v>
      </c>
      <c r="G378" s="12" t="s">
        <v>33</v>
      </c>
      <c r="H378" s="13">
        <v>44408.0</v>
      </c>
      <c r="I378" s="13">
        <v>42080.0</v>
      </c>
      <c r="J378" s="11">
        <f t="shared" si="2"/>
        <v>2328</v>
      </c>
      <c r="K378" s="14">
        <v>32700.0</v>
      </c>
      <c r="L378" s="14">
        <v>0.0</v>
      </c>
      <c r="M378" s="12">
        <v>8.0</v>
      </c>
      <c r="N378" s="12">
        <v>3.0</v>
      </c>
    </row>
    <row r="379" ht="15.75" customHeight="1">
      <c r="D379" s="12" t="s">
        <v>471</v>
      </c>
      <c r="E379" s="12" t="s">
        <v>605</v>
      </c>
      <c r="F379" s="10" t="str">
        <f t="shared" si="1"/>
        <v>Terry Nash</v>
      </c>
      <c r="G379" s="12" t="s">
        <v>26</v>
      </c>
      <c r="H379" s="13">
        <v>44408.0</v>
      </c>
      <c r="I379" s="13">
        <v>42515.0</v>
      </c>
      <c r="J379" s="11">
        <f t="shared" si="2"/>
        <v>1893</v>
      </c>
      <c r="K379" s="14">
        <v>47000.0</v>
      </c>
      <c r="L379" s="14">
        <v>3000.0</v>
      </c>
      <c r="M379" s="12">
        <v>4.0</v>
      </c>
      <c r="N379" s="12">
        <v>4.0</v>
      </c>
    </row>
    <row r="380" ht="15.75" customHeight="1">
      <c r="D380" s="12" t="s">
        <v>606</v>
      </c>
      <c r="E380" s="12" t="s">
        <v>607</v>
      </c>
      <c r="F380" s="10" t="str">
        <f t="shared" si="1"/>
        <v>Bronwyn Natali</v>
      </c>
      <c r="G380" s="12" t="s">
        <v>56</v>
      </c>
      <c r="H380" s="13">
        <v>44408.0</v>
      </c>
      <c r="I380" s="13">
        <v>42976.0</v>
      </c>
      <c r="J380" s="11">
        <f t="shared" si="2"/>
        <v>1432</v>
      </c>
      <c r="K380" s="14">
        <v>55300.0</v>
      </c>
      <c r="L380" s="14">
        <v>400.0</v>
      </c>
      <c r="M380" s="12">
        <v>6.0</v>
      </c>
      <c r="N380" s="12">
        <v>4.0</v>
      </c>
    </row>
    <row r="381" ht="15.75" customHeight="1">
      <c r="D381" s="12" t="s">
        <v>608</v>
      </c>
      <c r="E381" s="12" t="s">
        <v>609</v>
      </c>
      <c r="F381" s="10" t="str">
        <f t="shared" si="1"/>
        <v>Kelli Nehring</v>
      </c>
      <c r="G381" s="12" t="s">
        <v>26</v>
      </c>
      <c r="H381" s="13">
        <v>44408.0</v>
      </c>
      <c r="I381" s="13">
        <v>43769.0</v>
      </c>
      <c r="J381" s="11">
        <f t="shared" si="2"/>
        <v>639</v>
      </c>
      <c r="K381" s="14">
        <v>39200.0</v>
      </c>
      <c r="L381" s="14">
        <v>1200.0</v>
      </c>
      <c r="M381" s="12">
        <v>2.0</v>
      </c>
      <c r="N381" s="12">
        <v>3.0</v>
      </c>
    </row>
    <row r="382" ht="15.75" customHeight="1">
      <c r="D382" s="12" t="s">
        <v>610</v>
      </c>
      <c r="E382" s="12" t="s">
        <v>611</v>
      </c>
      <c r="F382" s="10" t="str">
        <f t="shared" si="1"/>
        <v>Debbie Nelson</v>
      </c>
      <c r="G382" s="12" t="s">
        <v>47</v>
      </c>
      <c r="H382" s="13">
        <v>44408.0</v>
      </c>
      <c r="I382" s="13">
        <v>43564.0</v>
      </c>
      <c r="J382" s="11">
        <f t="shared" si="2"/>
        <v>844</v>
      </c>
      <c r="K382" s="14">
        <v>33600.0</v>
      </c>
      <c r="L382" s="14">
        <v>2700.0</v>
      </c>
      <c r="M382" s="12">
        <v>4.0</v>
      </c>
      <c r="N382" s="12">
        <v>3.0</v>
      </c>
    </row>
    <row r="383" ht="15.75" customHeight="1">
      <c r="D383" s="12" t="s">
        <v>466</v>
      </c>
      <c r="E383" s="12" t="s">
        <v>612</v>
      </c>
      <c r="F383" s="10" t="str">
        <f t="shared" si="1"/>
        <v>Kelly Newton</v>
      </c>
      <c r="G383" s="12" t="s">
        <v>81</v>
      </c>
      <c r="H383" s="13">
        <v>44408.0</v>
      </c>
      <c r="I383" s="13">
        <v>43856.0</v>
      </c>
      <c r="J383" s="11">
        <f t="shared" si="2"/>
        <v>552</v>
      </c>
      <c r="K383" s="14">
        <v>105900.0</v>
      </c>
      <c r="L383" s="14">
        <v>3200.0</v>
      </c>
      <c r="M383" s="12">
        <v>6.0</v>
      </c>
      <c r="N383" s="12">
        <v>4.0</v>
      </c>
    </row>
    <row r="384" ht="15.75" customHeight="1">
      <c r="D384" s="12" t="s">
        <v>613</v>
      </c>
      <c r="E384" s="12" t="s">
        <v>614</v>
      </c>
      <c r="F384" s="10" t="str">
        <f t="shared" si="1"/>
        <v>Sophie Nieves</v>
      </c>
      <c r="G384" s="12" t="s">
        <v>47</v>
      </c>
      <c r="H384" s="13">
        <v>44408.0</v>
      </c>
      <c r="I384" s="13">
        <v>44342.0</v>
      </c>
      <c r="J384" s="11">
        <f t="shared" si="2"/>
        <v>66</v>
      </c>
      <c r="K384" s="14">
        <v>29300.0</v>
      </c>
      <c r="L384" s="14">
        <v>900.0</v>
      </c>
      <c r="M384" s="12">
        <v>7.0</v>
      </c>
      <c r="N384" s="12">
        <v>4.0</v>
      </c>
    </row>
    <row r="385" ht="15.75" customHeight="1">
      <c r="D385" s="12" t="s">
        <v>615</v>
      </c>
      <c r="E385" s="12" t="s">
        <v>616</v>
      </c>
      <c r="F385" s="10" t="str">
        <f t="shared" si="1"/>
        <v>Emmy Noblitt</v>
      </c>
      <c r="G385" s="12" t="s">
        <v>81</v>
      </c>
      <c r="H385" s="13">
        <v>44408.0</v>
      </c>
      <c r="I385" s="13">
        <v>44328.0</v>
      </c>
      <c r="J385" s="11">
        <f t="shared" si="2"/>
        <v>80</v>
      </c>
      <c r="K385" s="14">
        <v>106900.0</v>
      </c>
      <c r="L385" s="14">
        <v>5900.0</v>
      </c>
      <c r="M385" s="12">
        <v>8.0</v>
      </c>
      <c r="N385" s="12">
        <v>4.0</v>
      </c>
    </row>
    <row r="386" ht="15.75" customHeight="1">
      <c r="D386" s="12" t="s">
        <v>617</v>
      </c>
      <c r="E386" s="12" t="s">
        <v>360</v>
      </c>
      <c r="F386" s="10" t="str">
        <f t="shared" si="1"/>
        <v>Evonne Noel</v>
      </c>
      <c r="G386" s="12" t="s">
        <v>47</v>
      </c>
      <c r="H386" s="13">
        <v>44408.0</v>
      </c>
      <c r="I386" s="13">
        <v>44008.0</v>
      </c>
      <c r="J386" s="11">
        <f t="shared" si="2"/>
        <v>400</v>
      </c>
      <c r="K386" s="14">
        <v>49800.0</v>
      </c>
      <c r="L386" s="14">
        <v>3000.0</v>
      </c>
      <c r="M386" s="12">
        <v>5.0</v>
      </c>
      <c r="N386" s="12">
        <v>4.0</v>
      </c>
    </row>
    <row r="387" ht="15.75" customHeight="1">
      <c r="D387" s="12" t="s">
        <v>618</v>
      </c>
      <c r="E387" s="12" t="s">
        <v>557</v>
      </c>
      <c r="F387" s="10" t="str">
        <f t="shared" si="1"/>
        <v>Gary Norman</v>
      </c>
      <c r="G387" s="12" t="s">
        <v>26</v>
      </c>
      <c r="H387" s="13">
        <v>44408.0</v>
      </c>
      <c r="I387" s="13">
        <v>42128.0</v>
      </c>
      <c r="J387" s="11">
        <f t="shared" si="2"/>
        <v>2280</v>
      </c>
      <c r="K387" s="14">
        <v>50400.0</v>
      </c>
      <c r="L387" s="14">
        <v>2900.0</v>
      </c>
      <c r="M387" s="12">
        <v>5.0</v>
      </c>
      <c r="N387" s="12">
        <v>2.0</v>
      </c>
    </row>
    <row r="388" ht="15.75" customHeight="1">
      <c r="D388" s="12" t="s">
        <v>324</v>
      </c>
      <c r="E388" s="12" t="s">
        <v>619</v>
      </c>
      <c r="F388" s="10" t="str">
        <f t="shared" si="1"/>
        <v>Connie Norton</v>
      </c>
      <c r="G388" s="12" t="s">
        <v>81</v>
      </c>
      <c r="H388" s="13">
        <v>44408.0</v>
      </c>
      <c r="I388" s="13">
        <v>43635.0</v>
      </c>
      <c r="J388" s="11">
        <f t="shared" si="2"/>
        <v>773</v>
      </c>
      <c r="K388" s="14">
        <v>84700.0</v>
      </c>
      <c r="L388" s="14">
        <v>2700.0</v>
      </c>
      <c r="M388" s="12">
        <v>4.0</v>
      </c>
      <c r="N388" s="12">
        <v>4.0</v>
      </c>
    </row>
    <row r="389" ht="15.75" customHeight="1">
      <c r="D389" s="12" t="s">
        <v>119</v>
      </c>
      <c r="E389" s="12" t="s">
        <v>619</v>
      </c>
      <c r="F389" s="10" t="str">
        <f t="shared" si="1"/>
        <v>Robert Norton</v>
      </c>
      <c r="G389" s="12" t="s">
        <v>26</v>
      </c>
      <c r="H389" s="13">
        <v>44408.0</v>
      </c>
      <c r="I389" s="13">
        <v>44156.0</v>
      </c>
      <c r="J389" s="11">
        <f t="shared" si="2"/>
        <v>252</v>
      </c>
      <c r="K389" s="14">
        <v>52800.0</v>
      </c>
      <c r="L389" s="14">
        <v>1900.0</v>
      </c>
      <c r="M389" s="12">
        <v>10.0</v>
      </c>
      <c r="N389" s="12">
        <v>4.0</v>
      </c>
    </row>
    <row r="390" ht="15.75" customHeight="1">
      <c r="D390" s="12" t="s">
        <v>236</v>
      </c>
      <c r="E390" s="12" t="s">
        <v>620</v>
      </c>
      <c r="F390" s="10" t="str">
        <f t="shared" si="1"/>
        <v>Willie Nunn</v>
      </c>
      <c r="G390" s="12" t="s">
        <v>47</v>
      </c>
      <c r="H390" s="13">
        <v>44408.0</v>
      </c>
      <c r="I390" s="13">
        <v>42775.0</v>
      </c>
      <c r="J390" s="11">
        <f t="shared" si="2"/>
        <v>1633</v>
      </c>
      <c r="K390" s="14">
        <v>43500.0</v>
      </c>
      <c r="L390" s="14">
        <v>300.0</v>
      </c>
      <c r="M390" s="12">
        <v>6.0</v>
      </c>
      <c r="N390" s="12">
        <v>3.0</v>
      </c>
    </row>
    <row r="391" ht="15.75" customHeight="1">
      <c r="D391" s="12" t="s">
        <v>621</v>
      </c>
      <c r="E391" s="12" t="s">
        <v>622</v>
      </c>
      <c r="F391" s="10" t="str">
        <f t="shared" si="1"/>
        <v>Sara Obryan</v>
      </c>
      <c r="G391" s="12" t="s">
        <v>47</v>
      </c>
      <c r="H391" s="13">
        <v>44408.0</v>
      </c>
      <c r="I391" s="13">
        <v>43228.0</v>
      </c>
      <c r="J391" s="11">
        <f t="shared" si="2"/>
        <v>1180</v>
      </c>
      <c r="K391" s="14">
        <v>47300.0</v>
      </c>
      <c r="L391" s="14">
        <v>1700.0</v>
      </c>
      <c r="M391" s="12">
        <v>5.0</v>
      </c>
      <c r="N391" s="12">
        <v>4.0</v>
      </c>
    </row>
    <row r="392" ht="15.75" customHeight="1">
      <c r="D392" s="12" t="s">
        <v>147</v>
      </c>
      <c r="E392" s="12" t="s">
        <v>623</v>
      </c>
      <c r="F392" s="10" t="str">
        <f t="shared" si="1"/>
        <v>Charles Odell</v>
      </c>
      <c r="G392" s="12" t="s">
        <v>33</v>
      </c>
      <c r="H392" s="13">
        <v>44408.0</v>
      </c>
      <c r="I392" s="13">
        <v>42973.0</v>
      </c>
      <c r="J392" s="11">
        <f t="shared" si="2"/>
        <v>1435</v>
      </c>
      <c r="K392" s="14">
        <v>48000.0</v>
      </c>
      <c r="L392" s="14">
        <v>3200.0</v>
      </c>
      <c r="M392" s="12">
        <v>4.0</v>
      </c>
      <c r="N392" s="12">
        <v>3.0</v>
      </c>
    </row>
    <row r="393" ht="15.75" customHeight="1">
      <c r="D393" s="12" t="s">
        <v>624</v>
      </c>
      <c r="E393" s="12" t="s">
        <v>625</v>
      </c>
      <c r="F393" s="10" t="str">
        <f t="shared" si="1"/>
        <v>Krista Olson</v>
      </c>
      <c r="G393" s="12" t="s">
        <v>22</v>
      </c>
      <c r="H393" s="13">
        <v>44408.0</v>
      </c>
      <c r="I393" s="13">
        <v>42212.0</v>
      </c>
      <c r="J393" s="11">
        <f t="shared" si="2"/>
        <v>2196</v>
      </c>
      <c r="K393" s="14">
        <v>54600.0</v>
      </c>
      <c r="L393" s="14">
        <v>2600.0</v>
      </c>
      <c r="M393" s="12">
        <v>8.0</v>
      </c>
      <c r="N393" s="12">
        <v>2.0</v>
      </c>
    </row>
    <row r="394" ht="15.75" customHeight="1">
      <c r="D394" s="12" t="s">
        <v>626</v>
      </c>
      <c r="E394" s="12" t="s">
        <v>627</v>
      </c>
      <c r="F394" s="10" t="str">
        <f t="shared" si="1"/>
        <v>Luis Orta</v>
      </c>
      <c r="G394" s="12" t="s">
        <v>33</v>
      </c>
      <c r="H394" s="13">
        <v>44408.0</v>
      </c>
      <c r="I394" s="13">
        <v>42016.0</v>
      </c>
      <c r="J394" s="11">
        <f t="shared" si="2"/>
        <v>2392</v>
      </c>
      <c r="K394" s="14">
        <v>40000.0</v>
      </c>
      <c r="L394" s="14">
        <v>1000.0</v>
      </c>
      <c r="M394" s="12">
        <v>3.0</v>
      </c>
      <c r="N394" s="12">
        <v>4.0</v>
      </c>
    </row>
    <row r="395" ht="15.75" customHeight="1">
      <c r="D395" s="12" t="s">
        <v>628</v>
      </c>
      <c r="E395" s="12" t="s">
        <v>629</v>
      </c>
      <c r="F395" s="10" t="str">
        <f t="shared" si="1"/>
        <v>Jill Ortiz</v>
      </c>
      <c r="G395" s="12" t="s">
        <v>56</v>
      </c>
      <c r="H395" s="13">
        <v>44408.0</v>
      </c>
      <c r="I395" s="13">
        <v>44141.0</v>
      </c>
      <c r="J395" s="11">
        <f t="shared" si="2"/>
        <v>267</v>
      </c>
      <c r="K395" s="14">
        <v>51600.0</v>
      </c>
      <c r="L395" s="14">
        <v>1900.0</v>
      </c>
      <c r="M395" s="12">
        <v>6.0</v>
      </c>
      <c r="N395" s="12">
        <v>2.0</v>
      </c>
    </row>
    <row r="396" ht="15.75" customHeight="1">
      <c r="D396" s="12" t="s">
        <v>630</v>
      </c>
      <c r="E396" s="12" t="s">
        <v>629</v>
      </c>
      <c r="F396" s="10" t="str">
        <f t="shared" si="1"/>
        <v>Sebastian Ortiz</v>
      </c>
      <c r="G396" s="12" t="s">
        <v>30</v>
      </c>
      <c r="H396" s="13">
        <v>44408.0</v>
      </c>
      <c r="I396" s="13">
        <v>44377.0</v>
      </c>
      <c r="J396" s="11">
        <f t="shared" si="2"/>
        <v>31</v>
      </c>
      <c r="K396" s="14">
        <v>71700.0</v>
      </c>
      <c r="L396" s="14">
        <v>2900.0</v>
      </c>
      <c r="M396" s="12">
        <v>3.0</v>
      </c>
      <c r="N396" s="12">
        <v>3.0</v>
      </c>
    </row>
    <row r="397" ht="15.75" customHeight="1">
      <c r="D397" s="12" t="s">
        <v>631</v>
      </c>
      <c r="E397" s="12" t="s">
        <v>629</v>
      </c>
      <c r="F397" s="10" t="str">
        <f t="shared" si="1"/>
        <v>Tiffany Ortiz</v>
      </c>
      <c r="G397" s="12" t="s">
        <v>26</v>
      </c>
      <c r="H397" s="13">
        <v>44408.0</v>
      </c>
      <c r="I397" s="13">
        <v>43845.0</v>
      </c>
      <c r="J397" s="11">
        <f t="shared" si="2"/>
        <v>563</v>
      </c>
      <c r="K397" s="14">
        <v>63000.0</v>
      </c>
      <c r="L397" s="14">
        <v>4300.0</v>
      </c>
      <c r="M397" s="12">
        <v>9.0</v>
      </c>
      <c r="N397" s="12">
        <v>4.0</v>
      </c>
    </row>
    <row r="398" ht="15.75" customHeight="1">
      <c r="D398" s="12" t="s">
        <v>632</v>
      </c>
      <c r="E398" s="12" t="s">
        <v>633</v>
      </c>
      <c r="F398" s="10" t="str">
        <f t="shared" si="1"/>
        <v>Rose Owen</v>
      </c>
      <c r="G398" s="12" t="s">
        <v>81</v>
      </c>
      <c r="H398" s="13">
        <v>44408.0</v>
      </c>
      <c r="I398" s="13">
        <v>43247.0</v>
      </c>
      <c r="J398" s="11">
        <f t="shared" si="2"/>
        <v>1161</v>
      </c>
      <c r="K398" s="14">
        <v>80300.0</v>
      </c>
      <c r="L398" s="14">
        <v>4500.0</v>
      </c>
      <c r="M398" s="12">
        <v>7.0</v>
      </c>
      <c r="N398" s="12">
        <v>1.0</v>
      </c>
    </row>
    <row r="399" ht="15.75" customHeight="1">
      <c r="D399" s="12" t="s">
        <v>634</v>
      </c>
      <c r="E399" s="12" t="s">
        <v>635</v>
      </c>
      <c r="F399" s="10" t="str">
        <f t="shared" si="1"/>
        <v>Beatrice Owens</v>
      </c>
      <c r="G399" s="12" t="s">
        <v>33</v>
      </c>
      <c r="H399" s="13">
        <v>44408.0</v>
      </c>
      <c r="I399" s="13">
        <v>42234.0</v>
      </c>
      <c r="J399" s="11">
        <f t="shared" si="2"/>
        <v>2174</v>
      </c>
      <c r="K399" s="14">
        <v>52700.0</v>
      </c>
      <c r="L399" s="14">
        <v>3500.0</v>
      </c>
      <c r="M399" s="12">
        <v>4.0</v>
      </c>
      <c r="N399" s="12">
        <v>3.0</v>
      </c>
    </row>
    <row r="400" ht="15.75" customHeight="1">
      <c r="D400" s="12" t="s">
        <v>636</v>
      </c>
      <c r="E400" s="12" t="s">
        <v>635</v>
      </c>
      <c r="F400" s="10" t="str">
        <f t="shared" si="1"/>
        <v>Larry Owens</v>
      </c>
      <c r="G400" s="12" t="s">
        <v>22</v>
      </c>
      <c r="H400" s="13">
        <v>44408.0</v>
      </c>
      <c r="I400" s="13">
        <v>42690.0</v>
      </c>
      <c r="J400" s="11">
        <f t="shared" si="2"/>
        <v>1718</v>
      </c>
      <c r="K400" s="14">
        <v>112200.0</v>
      </c>
      <c r="L400" s="14">
        <v>6500.0</v>
      </c>
      <c r="M400" s="12">
        <v>2.0</v>
      </c>
      <c r="N400" s="12">
        <v>5.0</v>
      </c>
    </row>
    <row r="401" ht="15.75" customHeight="1">
      <c r="D401" s="12" t="s">
        <v>584</v>
      </c>
      <c r="E401" s="12" t="s">
        <v>637</v>
      </c>
      <c r="F401" s="10" t="str">
        <f t="shared" si="1"/>
        <v>Scott Owings</v>
      </c>
      <c r="G401" s="12" t="s">
        <v>33</v>
      </c>
      <c r="H401" s="13">
        <v>44408.0</v>
      </c>
      <c r="I401" s="13">
        <v>42479.0</v>
      </c>
      <c r="J401" s="11">
        <f t="shared" si="2"/>
        <v>1929</v>
      </c>
      <c r="K401" s="14">
        <v>50600.0</v>
      </c>
      <c r="L401" s="14">
        <v>3900.0</v>
      </c>
      <c r="M401" s="12">
        <v>4.0</v>
      </c>
      <c r="N401" s="12">
        <v>2.0</v>
      </c>
    </row>
    <row r="402" ht="15.75" customHeight="1">
      <c r="D402" s="12" t="s">
        <v>638</v>
      </c>
      <c r="E402" s="12" t="s">
        <v>639</v>
      </c>
      <c r="F402" s="10" t="str">
        <f t="shared" si="1"/>
        <v>Ava Parke</v>
      </c>
      <c r="G402" s="12" t="s">
        <v>56</v>
      </c>
      <c r="H402" s="13">
        <v>44408.0</v>
      </c>
      <c r="I402" s="13">
        <v>43149.0</v>
      </c>
      <c r="J402" s="11">
        <f t="shared" si="2"/>
        <v>1259</v>
      </c>
      <c r="K402" s="14">
        <v>50100.0</v>
      </c>
      <c r="L402" s="14">
        <v>2300.0</v>
      </c>
      <c r="M402" s="12">
        <v>7.0</v>
      </c>
      <c r="N402" s="12">
        <v>3.0</v>
      </c>
    </row>
    <row r="403" ht="15.75" customHeight="1">
      <c r="D403" s="12" t="s">
        <v>203</v>
      </c>
      <c r="E403" s="12" t="s">
        <v>640</v>
      </c>
      <c r="F403" s="10" t="str">
        <f t="shared" si="1"/>
        <v>Donald Parker</v>
      </c>
      <c r="G403" s="12" t="s">
        <v>47</v>
      </c>
      <c r="H403" s="13">
        <v>44408.0</v>
      </c>
      <c r="I403" s="13">
        <v>42564.0</v>
      </c>
      <c r="J403" s="11">
        <f t="shared" si="2"/>
        <v>1844</v>
      </c>
      <c r="K403" s="14">
        <v>27300.0</v>
      </c>
      <c r="L403" s="14">
        <v>2400.0</v>
      </c>
      <c r="M403" s="12">
        <v>7.0</v>
      </c>
      <c r="N403" s="12">
        <v>3.0</v>
      </c>
    </row>
    <row r="404" ht="15.75" customHeight="1">
      <c r="D404" s="12" t="s">
        <v>641</v>
      </c>
      <c r="E404" s="12" t="s">
        <v>640</v>
      </c>
      <c r="F404" s="10" t="str">
        <f t="shared" si="1"/>
        <v>Marcus Parker</v>
      </c>
      <c r="G404" s="12" t="s">
        <v>26</v>
      </c>
      <c r="H404" s="13">
        <v>44408.0</v>
      </c>
      <c r="I404" s="13">
        <v>43589.0</v>
      </c>
      <c r="J404" s="11">
        <f t="shared" si="2"/>
        <v>819</v>
      </c>
      <c r="K404" s="14">
        <v>27900.0</v>
      </c>
      <c r="L404" s="14">
        <v>2400.0</v>
      </c>
      <c r="M404" s="12">
        <v>5.0</v>
      </c>
      <c r="N404" s="12">
        <v>2.0</v>
      </c>
    </row>
    <row r="405" ht="15.75" customHeight="1">
      <c r="D405" s="12" t="s">
        <v>642</v>
      </c>
      <c r="E405" s="12" t="s">
        <v>643</v>
      </c>
      <c r="F405" s="10" t="str">
        <f t="shared" si="1"/>
        <v>Rogelio Parrish</v>
      </c>
      <c r="G405" s="12" t="s">
        <v>70</v>
      </c>
      <c r="H405" s="13">
        <v>44408.0</v>
      </c>
      <c r="I405" s="13">
        <v>42461.0</v>
      </c>
      <c r="J405" s="11">
        <f t="shared" si="2"/>
        <v>1947</v>
      </c>
      <c r="K405" s="14">
        <v>42400.0</v>
      </c>
      <c r="L405" s="14">
        <v>2000.0</v>
      </c>
      <c r="M405" s="12">
        <v>7.0</v>
      </c>
      <c r="N405" s="12">
        <v>3.0</v>
      </c>
    </row>
    <row r="406" ht="15.75" customHeight="1">
      <c r="D406" s="12" t="s">
        <v>644</v>
      </c>
      <c r="E406" s="12" t="s">
        <v>645</v>
      </c>
      <c r="F406" s="10" t="str">
        <f t="shared" si="1"/>
        <v>Deborah Patel</v>
      </c>
      <c r="G406" s="12" t="s">
        <v>30</v>
      </c>
      <c r="H406" s="13">
        <v>44408.0</v>
      </c>
      <c r="I406" s="13">
        <v>43173.0</v>
      </c>
      <c r="J406" s="11">
        <f t="shared" si="2"/>
        <v>1235</v>
      </c>
      <c r="K406" s="14">
        <v>87600.0</v>
      </c>
      <c r="L406" s="14">
        <v>5200.0</v>
      </c>
      <c r="M406" s="12">
        <v>5.0</v>
      </c>
      <c r="N406" s="12">
        <v>5.0</v>
      </c>
    </row>
    <row r="407" ht="15.75" customHeight="1">
      <c r="D407" s="12" t="s">
        <v>646</v>
      </c>
      <c r="E407" s="12" t="s">
        <v>358</v>
      </c>
      <c r="F407" s="10" t="str">
        <f t="shared" si="1"/>
        <v>Edith Paul</v>
      </c>
      <c r="G407" s="12" t="s">
        <v>30</v>
      </c>
      <c r="H407" s="13">
        <v>44408.0</v>
      </c>
      <c r="I407" s="13">
        <v>42099.0</v>
      </c>
      <c r="J407" s="11">
        <f t="shared" si="2"/>
        <v>2309</v>
      </c>
      <c r="K407" s="14">
        <v>77600.0</v>
      </c>
      <c r="L407" s="14">
        <v>3500.0</v>
      </c>
      <c r="M407" s="12">
        <v>6.0</v>
      </c>
      <c r="N407" s="12">
        <v>2.0</v>
      </c>
    </row>
    <row r="408" ht="15.75" customHeight="1">
      <c r="D408" s="12" t="s">
        <v>647</v>
      </c>
      <c r="E408" s="12" t="s">
        <v>358</v>
      </c>
      <c r="F408" s="10" t="str">
        <f t="shared" si="1"/>
        <v>Estelle Paul</v>
      </c>
      <c r="G408" s="12" t="s">
        <v>33</v>
      </c>
      <c r="H408" s="13">
        <v>44408.0</v>
      </c>
      <c r="I408" s="13">
        <v>44100.0</v>
      </c>
      <c r="J408" s="11">
        <f t="shared" si="2"/>
        <v>308</v>
      </c>
      <c r="K408" s="14">
        <v>45100.0</v>
      </c>
      <c r="L408" s="14">
        <v>1500.0</v>
      </c>
      <c r="M408" s="12">
        <v>4.0</v>
      </c>
      <c r="N408" s="12">
        <v>3.0</v>
      </c>
    </row>
    <row r="409" ht="15.75" customHeight="1">
      <c r="D409" s="12" t="s">
        <v>89</v>
      </c>
      <c r="E409" s="12" t="s">
        <v>648</v>
      </c>
      <c r="F409" s="10" t="str">
        <f t="shared" si="1"/>
        <v>Kevin Pauley</v>
      </c>
      <c r="G409" s="12" t="s">
        <v>70</v>
      </c>
      <c r="H409" s="13">
        <v>44408.0</v>
      </c>
      <c r="I409" s="13">
        <v>42691.0</v>
      </c>
      <c r="J409" s="11">
        <f t="shared" si="2"/>
        <v>1717</v>
      </c>
      <c r="K409" s="14">
        <v>45400.0</v>
      </c>
      <c r="L409" s="14">
        <v>1300.0</v>
      </c>
      <c r="M409" s="12">
        <v>2.0</v>
      </c>
      <c r="N409" s="12">
        <v>5.0</v>
      </c>
    </row>
    <row r="410" ht="15.75" customHeight="1">
      <c r="D410" s="12" t="s">
        <v>649</v>
      </c>
      <c r="E410" s="12" t="s">
        <v>650</v>
      </c>
      <c r="F410" s="10" t="str">
        <f t="shared" si="1"/>
        <v>Maurice Pelletier</v>
      </c>
      <c r="G410" s="12" t="s">
        <v>81</v>
      </c>
      <c r="H410" s="13">
        <v>44408.0</v>
      </c>
      <c r="I410" s="13">
        <v>44165.0</v>
      </c>
      <c r="J410" s="11">
        <f t="shared" si="2"/>
        <v>243</v>
      </c>
      <c r="K410" s="14">
        <v>78500.0</v>
      </c>
      <c r="L410" s="14">
        <v>4700.0</v>
      </c>
      <c r="M410" s="12">
        <v>4.0</v>
      </c>
      <c r="N410" s="12">
        <v>4.0</v>
      </c>
    </row>
    <row r="411" ht="15.75" customHeight="1">
      <c r="D411" s="12" t="s">
        <v>282</v>
      </c>
      <c r="E411" s="12" t="s">
        <v>651</v>
      </c>
      <c r="F411" s="10" t="str">
        <f t="shared" si="1"/>
        <v>Thomas Penton</v>
      </c>
      <c r="G411" s="12" t="s">
        <v>26</v>
      </c>
      <c r="H411" s="13">
        <v>44408.0</v>
      </c>
      <c r="I411" s="13">
        <v>42798.0</v>
      </c>
      <c r="J411" s="11">
        <f t="shared" si="2"/>
        <v>1610</v>
      </c>
      <c r="K411" s="14">
        <v>25400.0</v>
      </c>
      <c r="L411" s="14">
        <v>0.0</v>
      </c>
      <c r="M411" s="12">
        <v>4.0</v>
      </c>
      <c r="N411" s="12">
        <v>3.0</v>
      </c>
    </row>
    <row r="412" ht="15.75" customHeight="1">
      <c r="D412" s="12" t="s">
        <v>243</v>
      </c>
      <c r="E412" s="12" t="s">
        <v>652</v>
      </c>
      <c r="F412" s="10" t="str">
        <f t="shared" si="1"/>
        <v>Alice Perez</v>
      </c>
      <c r="G412" s="12" t="s">
        <v>47</v>
      </c>
      <c r="H412" s="13">
        <v>44408.0</v>
      </c>
      <c r="I412" s="13">
        <v>42620.0</v>
      </c>
      <c r="J412" s="11">
        <f t="shared" si="2"/>
        <v>1788</v>
      </c>
      <c r="K412" s="14">
        <v>54100.0</v>
      </c>
      <c r="L412" s="14">
        <v>4300.0</v>
      </c>
      <c r="M412" s="12">
        <v>6.0</v>
      </c>
      <c r="N412" s="12">
        <v>3.0</v>
      </c>
    </row>
    <row r="413" ht="15.75" customHeight="1">
      <c r="D413" s="12" t="s">
        <v>653</v>
      </c>
      <c r="E413" s="12" t="s">
        <v>652</v>
      </c>
      <c r="F413" s="10" t="str">
        <f t="shared" si="1"/>
        <v>Annie Perez</v>
      </c>
      <c r="G413" s="12" t="s">
        <v>81</v>
      </c>
      <c r="H413" s="13">
        <v>44408.0</v>
      </c>
      <c r="I413" s="13">
        <v>43657.0</v>
      </c>
      <c r="J413" s="11">
        <f t="shared" si="2"/>
        <v>751</v>
      </c>
      <c r="K413" s="14">
        <v>94000.0</v>
      </c>
      <c r="L413" s="14">
        <v>4000.0</v>
      </c>
      <c r="M413" s="12">
        <v>12.0</v>
      </c>
      <c r="N413" s="12">
        <v>3.0</v>
      </c>
    </row>
    <row r="414" ht="15.75" customHeight="1">
      <c r="D414" s="12" t="s">
        <v>654</v>
      </c>
      <c r="E414" s="12" t="s">
        <v>652</v>
      </c>
      <c r="F414" s="10" t="str">
        <f t="shared" si="1"/>
        <v>Lewis Perez</v>
      </c>
      <c r="G414" s="12" t="s">
        <v>56</v>
      </c>
      <c r="H414" s="13">
        <v>44408.0</v>
      </c>
      <c r="I414" s="13">
        <v>44040.0</v>
      </c>
      <c r="J414" s="11">
        <f t="shared" si="2"/>
        <v>368</v>
      </c>
      <c r="K414" s="14">
        <v>51400.0</v>
      </c>
      <c r="L414" s="14">
        <v>3000.0</v>
      </c>
      <c r="M414" s="12">
        <v>8.0</v>
      </c>
      <c r="N414" s="12">
        <v>3.0</v>
      </c>
    </row>
    <row r="415" ht="15.75" customHeight="1">
      <c r="D415" s="12" t="s">
        <v>63</v>
      </c>
      <c r="E415" s="12" t="s">
        <v>655</v>
      </c>
      <c r="F415" s="10" t="str">
        <f t="shared" si="1"/>
        <v>Marc Pickett</v>
      </c>
      <c r="G415" s="12" t="s">
        <v>81</v>
      </c>
      <c r="H415" s="13">
        <v>44408.0</v>
      </c>
      <c r="I415" s="13">
        <v>43893.0</v>
      </c>
      <c r="J415" s="11">
        <f t="shared" si="2"/>
        <v>515</v>
      </c>
      <c r="K415" s="14">
        <v>110400.0</v>
      </c>
      <c r="L415" s="14">
        <v>6800.0</v>
      </c>
      <c r="M415" s="12">
        <v>8.0</v>
      </c>
      <c r="N415" s="12">
        <v>3.0</v>
      </c>
    </row>
    <row r="416" ht="15.75" customHeight="1">
      <c r="D416" s="12" t="s">
        <v>656</v>
      </c>
      <c r="E416" s="12" t="s">
        <v>657</v>
      </c>
      <c r="F416" s="10" t="str">
        <f t="shared" si="1"/>
        <v>Della Pierson</v>
      </c>
      <c r="G416" s="12" t="s">
        <v>26</v>
      </c>
      <c r="H416" s="13">
        <v>44408.0</v>
      </c>
      <c r="I416" s="13">
        <v>43135.0</v>
      </c>
      <c r="J416" s="11">
        <f t="shared" si="2"/>
        <v>1273</v>
      </c>
      <c r="K416" s="14">
        <v>47000.0</v>
      </c>
      <c r="L416" s="14">
        <v>2100.0</v>
      </c>
      <c r="M416" s="12">
        <v>5.0</v>
      </c>
      <c r="N416" s="12">
        <v>2.0</v>
      </c>
    </row>
    <row r="417" ht="15.75" customHeight="1">
      <c r="D417" s="12" t="s">
        <v>658</v>
      </c>
      <c r="E417" s="12" t="s">
        <v>659</v>
      </c>
      <c r="F417" s="10" t="str">
        <f t="shared" si="1"/>
        <v>Edward Pless</v>
      </c>
      <c r="G417" s="12" t="s">
        <v>81</v>
      </c>
      <c r="H417" s="13">
        <v>44408.0</v>
      </c>
      <c r="I417" s="13">
        <v>44027.0</v>
      </c>
      <c r="J417" s="11">
        <f t="shared" si="2"/>
        <v>381</v>
      </c>
      <c r="K417" s="14">
        <v>90300.0</v>
      </c>
      <c r="L417" s="14">
        <v>2900.0</v>
      </c>
      <c r="M417" s="12">
        <v>1.0</v>
      </c>
      <c r="N417" s="12">
        <v>3.0</v>
      </c>
    </row>
    <row r="418" ht="15.75" customHeight="1">
      <c r="D418" s="12" t="s">
        <v>618</v>
      </c>
      <c r="E418" s="12" t="s">
        <v>660</v>
      </c>
      <c r="F418" s="10" t="str">
        <f t="shared" si="1"/>
        <v>Gary Poole</v>
      </c>
      <c r="G418" s="12" t="s">
        <v>56</v>
      </c>
      <c r="H418" s="13">
        <v>44408.0</v>
      </c>
      <c r="I418" s="13">
        <v>42576.0</v>
      </c>
      <c r="J418" s="11">
        <f t="shared" si="2"/>
        <v>1832</v>
      </c>
      <c r="K418" s="14">
        <v>43900.0</v>
      </c>
      <c r="L418" s="14">
        <v>1900.0</v>
      </c>
      <c r="M418" s="12">
        <v>5.0</v>
      </c>
      <c r="N418" s="12">
        <v>3.0</v>
      </c>
    </row>
    <row r="419" ht="15.75" customHeight="1">
      <c r="D419" s="12" t="s">
        <v>661</v>
      </c>
      <c r="E419" s="12" t="s">
        <v>662</v>
      </c>
      <c r="F419" s="10" t="str">
        <f t="shared" si="1"/>
        <v>Louis Porter</v>
      </c>
      <c r="G419" s="12" t="s">
        <v>33</v>
      </c>
      <c r="H419" s="13">
        <v>44408.0</v>
      </c>
      <c r="I419" s="13">
        <v>43885.0</v>
      </c>
      <c r="J419" s="11">
        <f t="shared" si="2"/>
        <v>523</v>
      </c>
      <c r="K419" s="14">
        <v>23900.0</v>
      </c>
      <c r="L419" s="14">
        <v>3300.0</v>
      </c>
      <c r="M419" s="12">
        <v>4.0</v>
      </c>
      <c r="N419" s="12">
        <v>5.0</v>
      </c>
    </row>
    <row r="420" ht="15.75" customHeight="1">
      <c r="D420" s="12" t="s">
        <v>663</v>
      </c>
      <c r="E420" s="12" t="s">
        <v>664</v>
      </c>
      <c r="F420" s="10" t="str">
        <f t="shared" si="1"/>
        <v>Augusta Price</v>
      </c>
      <c r="G420" s="12" t="s">
        <v>47</v>
      </c>
      <c r="H420" s="13">
        <v>44408.0</v>
      </c>
      <c r="I420" s="13">
        <v>42061.0</v>
      </c>
      <c r="J420" s="11">
        <f t="shared" si="2"/>
        <v>2347</v>
      </c>
      <c r="K420" s="14">
        <v>48600.0</v>
      </c>
      <c r="L420" s="14">
        <v>4500.0</v>
      </c>
      <c r="M420" s="12">
        <v>2.0</v>
      </c>
      <c r="N420" s="12">
        <v>4.0</v>
      </c>
    </row>
    <row r="421" ht="15.75" customHeight="1">
      <c r="D421" s="12" t="s">
        <v>665</v>
      </c>
      <c r="E421" s="12" t="s">
        <v>666</v>
      </c>
      <c r="F421" s="10" t="str">
        <f t="shared" si="1"/>
        <v>Luz Pritchard</v>
      </c>
      <c r="G421" s="12" t="s">
        <v>56</v>
      </c>
      <c r="H421" s="13">
        <v>44408.0</v>
      </c>
      <c r="I421" s="13">
        <v>43041.0</v>
      </c>
      <c r="J421" s="11">
        <f t="shared" si="2"/>
        <v>1367</v>
      </c>
      <c r="K421" s="14">
        <v>66300.0</v>
      </c>
      <c r="L421" s="14">
        <v>2100.0</v>
      </c>
      <c r="M421" s="12">
        <v>8.0</v>
      </c>
      <c r="N421" s="12">
        <v>5.0</v>
      </c>
    </row>
    <row r="422" ht="15.75" customHeight="1">
      <c r="D422" s="12" t="s">
        <v>667</v>
      </c>
      <c r="E422" s="12" t="s">
        <v>668</v>
      </c>
      <c r="F422" s="10" t="str">
        <f t="shared" si="1"/>
        <v>Rebecca Prout</v>
      </c>
      <c r="G422" s="12" t="s">
        <v>22</v>
      </c>
      <c r="H422" s="13">
        <v>44408.0</v>
      </c>
      <c r="I422" s="13">
        <v>42361.0</v>
      </c>
      <c r="J422" s="11">
        <f t="shared" si="2"/>
        <v>2047</v>
      </c>
      <c r="K422" s="14">
        <v>97800.0</v>
      </c>
      <c r="L422" s="14">
        <v>4700.0</v>
      </c>
      <c r="M422" s="12">
        <v>5.0</v>
      </c>
      <c r="N422" s="12">
        <v>5.0</v>
      </c>
    </row>
    <row r="423" ht="15.75" customHeight="1">
      <c r="D423" s="12" t="s">
        <v>669</v>
      </c>
      <c r="E423" s="12" t="s">
        <v>670</v>
      </c>
      <c r="F423" s="10" t="str">
        <f t="shared" si="1"/>
        <v>Cristina Pruitt</v>
      </c>
      <c r="G423" s="12" t="s">
        <v>26</v>
      </c>
      <c r="H423" s="13">
        <v>44408.0</v>
      </c>
      <c r="I423" s="13">
        <v>42999.0</v>
      </c>
      <c r="J423" s="11">
        <f t="shared" si="2"/>
        <v>1409</v>
      </c>
      <c r="K423" s="14">
        <v>25700.0</v>
      </c>
      <c r="L423" s="14">
        <v>0.0</v>
      </c>
      <c r="M423" s="12">
        <v>5.0</v>
      </c>
      <c r="N423" s="12">
        <v>2.0</v>
      </c>
    </row>
    <row r="424" ht="15.75" customHeight="1">
      <c r="D424" s="12" t="s">
        <v>151</v>
      </c>
      <c r="E424" s="12" t="s">
        <v>671</v>
      </c>
      <c r="F424" s="10" t="str">
        <f t="shared" si="1"/>
        <v>Michael Putnam</v>
      </c>
      <c r="G424" s="12" t="s">
        <v>33</v>
      </c>
      <c r="H424" s="13">
        <v>44408.0</v>
      </c>
      <c r="I424" s="13">
        <v>43959.0</v>
      </c>
      <c r="J424" s="11">
        <f t="shared" si="2"/>
        <v>449</v>
      </c>
      <c r="K424" s="14">
        <v>65100.0</v>
      </c>
      <c r="L424" s="14">
        <v>1200.0</v>
      </c>
      <c r="M424" s="12">
        <v>2.0</v>
      </c>
      <c r="N424" s="12">
        <v>2.0</v>
      </c>
    </row>
    <row r="425" ht="15.75" customHeight="1">
      <c r="D425" s="12" t="s">
        <v>99</v>
      </c>
      <c r="E425" s="12" t="s">
        <v>672</v>
      </c>
      <c r="F425" s="10" t="str">
        <f t="shared" si="1"/>
        <v>John Quan</v>
      </c>
      <c r="G425" s="12" t="s">
        <v>81</v>
      </c>
      <c r="H425" s="13">
        <v>44408.0</v>
      </c>
      <c r="I425" s="13">
        <v>43068.0</v>
      </c>
      <c r="J425" s="11">
        <f t="shared" si="2"/>
        <v>1340</v>
      </c>
      <c r="K425" s="14">
        <v>136000.0</v>
      </c>
      <c r="L425" s="14">
        <v>8000.0</v>
      </c>
      <c r="M425" s="12">
        <v>4.0</v>
      </c>
      <c r="N425" s="12">
        <v>5.0</v>
      </c>
    </row>
    <row r="426" ht="15.75" customHeight="1">
      <c r="D426" s="12" t="s">
        <v>251</v>
      </c>
      <c r="E426" s="12" t="s">
        <v>673</v>
      </c>
      <c r="F426" s="10" t="str">
        <f t="shared" si="1"/>
        <v>Matthew Quillen</v>
      </c>
      <c r="G426" s="12" t="s">
        <v>33</v>
      </c>
      <c r="H426" s="13">
        <v>44408.0</v>
      </c>
      <c r="I426" s="13">
        <v>43039.0</v>
      </c>
      <c r="J426" s="11">
        <f t="shared" si="2"/>
        <v>1369</v>
      </c>
      <c r="K426" s="14">
        <v>45800.0</v>
      </c>
      <c r="L426" s="14">
        <v>1700.0</v>
      </c>
      <c r="M426" s="12">
        <v>3.0</v>
      </c>
      <c r="N426" s="12">
        <v>4.0</v>
      </c>
    </row>
    <row r="427" ht="15.75" customHeight="1">
      <c r="D427" s="12" t="s">
        <v>674</v>
      </c>
      <c r="E427" s="12" t="s">
        <v>675</v>
      </c>
      <c r="F427" s="10" t="str">
        <f t="shared" si="1"/>
        <v>Royce Quinn</v>
      </c>
      <c r="G427" s="12" t="s">
        <v>33</v>
      </c>
      <c r="H427" s="13">
        <v>44408.0</v>
      </c>
      <c r="I427" s="13">
        <v>43012.0</v>
      </c>
      <c r="J427" s="11">
        <f t="shared" si="2"/>
        <v>1396</v>
      </c>
      <c r="K427" s="14">
        <v>50100.0</v>
      </c>
      <c r="L427" s="14">
        <v>4400.0</v>
      </c>
      <c r="M427" s="12">
        <v>3.0</v>
      </c>
      <c r="N427" s="12">
        <v>3.0</v>
      </c>
    </row>
    <row r="428" ht="15.75" customHeight="1">
      <c r="D428" s="12" t="s">
        <v>676</v>
      </c>
      <c r="E428" s="12" t="s">
        <v>677</v>
      </c>
      <c r="F428" s="10" t="str">
        <f t="shared" si="1"/>
        <v>Jessie Quintanilla</v>
      </c>
      <c r="G428" s="12" t="s">
        <v>26</v>
      </c>
      <c r="H428" s="13">
        <v>44408.0</v>
      </c>
      <c r="I428" s="13">
        <v>42879.0</v>
      </c>
      <c r="J428" s="11">
        <f t="shared" si="2"/>
        <v>1529</v>
      </c>
      <c r="K428" s="14">
        <v>43900.0</v>
      </c>
      <c r="L428" s="14">
        <v>1100.0</v>
      </c>
      <c r="M428" s="12">
        <v>4.0</v>
      </c>
      <c r="N428" s="12">
        <v>5.0</v>
      </c>
    </row>
    <row r="429" ht="15.75" customHeight="1">
      <c r="D429" s="12" t="s">
        <v>119</v>
      </c>
      <c r="E429" s="12" t="s">
        <v>678</v>
      </c>
      <c r="F429" s="10" t="str">
        <f t="shared" si="1"/>
        <v>Robert Rakes</v>
      </c>
      <c r="G429" s="12" t="s">
        <v>26</v>
      </c>
      <c r="H429" s="13">
        <v>44408.0</v>
      </c>
      <c r="I429" s="13">
        <v>43928.0</v>
      </c>
      <c r="J429" s="11">
        <f t="shared" si="2"/>
        <v>480</v>
      </c>
      <c r="K429" s="14">
        <v>33600.0</v>
      </c>
      <c r="L429" s="14">
        <v>2700.0</v>
      </c>
      <c r="M429" s="12">
        <v>1.0</v>
      </c>
      <c r="N429" s="12">
        <v>2.0</v>
      </c>
    </row>
    <row r="430" ht="15.75" customHeight="1">
      <c r="D430" s="12" t="s">
        <v>358</v>
      </c>
      <c r="E430" s="12" t="s">
        <v>679</v>
      </c>
      <c r="F430" s="10" t="str">
        <f t="shared" si="1"/>
        <v>Paul Ramos</v>
      </c>
      <c r="G430" s="12" t="s">
        <v>70</v>
      </c>
      <c r="H430" s="13">
        <v>44408.0</v>
      </c>
      <c r="I430" s="13">
        <v>43559.0</v>
      </c>
      <c r="J430" s="11">
        <f t="shared" si="2"/>
        <v>849</v>
      </c>
      <c r="K430" s="14">
        <v>55800.0</v>
      </c>
      <c r="L430" s="14">
        <v>6700.0</v>
      </c>
      <c r="M430" s="12">
        <v>7.0</v>
      </c>
      <c r="N430" s="12">
        <v>3.0</v>
      </c>
    </row>
    <row r="431" ht="15.75" customHeight="1">
      <c r="D431" s="12" t="s">
        <v>298</v>
      </c>
      <c r="E431" s="12" t="s">
        <v>680</v>
      </c>
      <c r="F431" s="10" t="str">
        <f t="shared" si="1"/>
        <v>Pamela Randazzo</v>
      </c>
      <c r="G431" s="12" t="s">
        <v>47</v>
      </c>
      <c r="H431" s="13">
        <v>44408.0</v>
      </c>
      <c r="I431" s="13">
        <v>43105.0</v>
      </c>
      <c r="J431" s="11">
        <f t="shared" si="2"/>
        <v>1303</v>
      </c>
      <c r="K431" s="14">
        <v>64400.0</v>
      </c>
      <c r="L431" s="14">
        <v>1700.0</v>
      </c>
      <c r="M431" s="12">
        <v>10.0</v>
      </c>
      <c r="N431" s="12">
        <v>4.0</v>
      </c>
    </row>
    <row r="432" ht="15.75" customHeight="1">
      <c r="D432" s="12" t="s">
        <v>681</v>
      </c>
      <c r="E432" s="12" t="s">
        <v>385</v>
      </c>
      <c r="F432" s="10" t="str">
        <f t="shared" si="1"/>
        <v>George Raymond</v>
      </c>
      <c r="G432" s="12" t="s">
        <v>33</v>
      </c>
      <c r="H432" s="13">
        <v>44408.0</v>
      </c>
      <c r="I432" s="13">
        <v>43056.0</v>
      </c>
      <c r="J432" s="11">
        <f t="shared" si="2"/>
        <v>1352</v>
      </c>
      <c r="K432" s="14">
        <v>44600.0</v>
      </c>
      <c r="L432" s="14">
        <v>3800.0</v>
      </c>
      <c r="M432" s="12">
        <v>6.0</v>
      </c>
      <c r="N432" s="12">
        <v>3.0</v>
      </c>
    </row>
    <row r="433" ht="15.75" customHeight="1">
      <c r="D433" s="12" t="s">
        <v>682</v>
      </c>
      <c r="E433" s="12" t="s">
        <v>385</v>
      </c>
      <c r="F433" s="10" t="str">
        <f t="shared" si="1"/>
        <v>Ronald Raymond</v>
      </c>
      <c r="G433" s="12" t="s">
        <v>26</v>
      </c>
      <c r="H433" s="13">
        <v>44408.0</v>
      </c>
      <c r="I433" s="13">
        <v>43449.0</v>
      </c>
      <c r="J433" s="11">
        <f t="shared" si="2"/>
        <v>959</v>
      </c>
      <c r="K433" s="14">
        <v>63500.0</v>
      </c>
      <c r="L433" s="14">
        <v>1700.0</v>
      </c>
      <c r="M433" s="12">
        <v>8.0</v>
      </c>
      <c r="N433" s="12">
        <v>3.0</v>
      </c>
    </row>
    <row r="434" ht="15.75" customHeight="1">
      <c r="D434" s="12" t="s">
        <v>683</v>
      </c>
      <c r="E434" s="12" t="s">
        <v>684</v>
      </c>
      <c r="F434" s="10" t="str">
        <f t="shared" si="1"/>
        <v>Ashley Razo</v>
      </c>
      <c r="G434" s="12" t="s">
        <v>47</v>
      </c>
      <c r="H434" s="13">
        <v>44408.0</v>
      </c>
      <c r="I434" s="13">
        <v>43877.0</v>
      </c>
      <c r="J434" s="11">
        <f t="shared" si="2"/>
        <v>531</v>
      </c>
      <c r="K434" s="14">
        <v>46700.0</v>
      </c>
      <c r="L434" s="14">
        <v>1400.0</v>
      </c>
      <c r="M434" s="12">
        <v>6.0</v>
      </c>
      <c r="N434" s="12">
        <v>4.0</v>
      </c>
    </row>
    <row r="435" ht="15.75" customHeight="1">
      <c r="D435" s="12" t="s">
        <v>685</v>
      </c>
      <c r="E435" s="12" t="s">
        <v>686</v>
      </c>
      <c r="F435" s="10" t="str">
        <f t="shared" si="1"/>
        <v>Caroline Reynolds</v>
      </c>
      <c r="G435" s="12" t="s">
        <v>81</v>
      </c>
      <c r="H435" s="13">
        <v>44408.0</v>
      </c>
      <c r="I435" s="13">
        <v>42709.0</v>
      </c>
      <c r="J435" s="11">
        <f t="shared" si="2"/>
        <v>1699</v>
      </c>
      <c r="K435" s="14">
        <v>87300.0</v>
      </c>
      <c r="L435" s="14">
        <v>5700.0</v>
      </c>
      <c r="M435" s="12">
        <v>4.0</v>
      </c>
      <c r="N435" s="12">
        <v>2.0</v>
      </c>
    </row>
    <row r="436" ht="15.75" customHeight="1">
      <c r="D436" s="12" t="s">
        <v>99</v>
      </c>
      <c r="E436" s="12" t="s">
        <v>687</v>
      </c>
      <c r="F436" s="10" t="str">
        <f t="shared" si="1"/>
        <v>John Reynoso</v>
      </c>
      <c r="G436" s="12" t="s">
        <v>26</v>
      </c>
      <c r="H436" s="13">
        <v>44408.0</v>
      </c>
      <c r="I436" s="13">
        <v>43564.0</v>
      </c>
      <c r="J436" s="11">
        <f t="shared" si="2"/>
        <v>844</v>
      </c>
      <c r="K436" s="14">
        <v>46200.0</v>
      </c>
      <c r="L436" s="14">
        <v>2700.0</v>
      </c>
      <c r="M436" s="12">
        <v>7.0</v>
      </c>
      <c r="N436" s="12">
        <v>3.0</v>
      </c>
    </row>
    <row r="437" ht="15.75" customHeight="1">
      <c r="D437" s="12" t="s">
        <v>128</v>
      </c>
      <c r="E437" s="12" t="s">
        <v>185</v>
      </c>
      <c r="F437" s="10" t="str">
        <f t="shared" si="1"/>
        <v>William Richard</v>
      </c>
      <c r="G437" s="12" t="s">
        <v>56</v>
      </c>
      <c r="H437" s="13">
        <v>44408.0</v>
      </c>
      <c r="I437" s="13">
        <v>42115.0</v>
      </c>
      <c r="J437" s="11">
        <f t="shared" si="2"/>
        <v>2293</v>
      </c>
      <c r="K437" s="14">
        <v>50500.0</v>
      </c>
      <c r="L437" s="14">
        <v>4000.0</v>
      </c>
      <c r="M437" s="12">
        <v>9.0</v>
      </c>
      <c r="N437" s="12">
        <v>3.0</v>
      </c>
    </row>
    <row r="438" ht="15.75" customHeight="1">
      <c r="D438" s="12" t="s">
        <v>688</v>
      </c>
      <c r="E438" s="12" t="s">
        <v>689</v>
      </c>
      <c r="F438" s="10" t="str">
        <f t="shared" si="1"/>
        <v>Tamar Richards</v>
      </c>
      <c r="G438" s="12" t="s">
        <v>81</v>
      </c>
      <c r="H438" s="13">
        <v>44408.0</v>
      </c>
      <c r="I438" s="13">
        <v>44202.0</v>
      </c>
      <c r="J438" s="11">
        <f t="shared" si="2"/>
        <v>206</v>
      </c>
      <c r="K438" s="14">
        <v>100700.0</v>
      </c>
      <c r="L438" s="14">
        <v>5900.0</v>
      </c>
      <c r="M438" s="12">
        <v>4.0</v>
      </c>
      <c r="N438" s="12">
        <v>2.0</v>
      </c>
    </row>
    <row r="439" ht="15.75" customHeight="1">
      <c r="D439" s="12" t="s">
        <v>690</v>
      </c>
      <c r="E439" s="12" t="s">
        <v>691</v>
      </c>
      <c r="F439" s="10" t="str">
        <f t="shared" si="1"/>
        <v>Diane Richardson</v>
      </c>
      <c r="G439" s="12" t="s">
        <v>26</v>
      </c>
      <c r="H439" s="13">
        <v>44408.0</v>
      </c>
      <c r="I439" s="13">
        <v>42842.0</v>
      </c>
      <c r="J439" s="11">
        <f t="shared" si="2"/>
        <v>1566</v>
      </c>
      <c r="K439" s="14">
        <v>37100.0</v>
      </c>
      <c r="L439" s="14">
        <v>2300.0</v>
      </c>
      <c r="M439" s="12">
        <v>6.0</v>
      </c>
      <c r="N439" s="12">
        <v>4.0</v>
      </c>
    </row>
    <row r="440" ht="15.75" customHeight="1">
      <c r="D440" s="12" t="s">
        <v>368</v>
      </c>
      <c r="E440" s="12" t="s">
        <v>691</v>
      </c>
      <c r="F440" s="10" t="str">
        <f t="shared" si="1"/>
        <v>Joseph Richardson</v>
      </c>
      <c r="G440" s="12" t="s">
        <v>47</v>
      </c>
      <c r="H440" s="13">
        <v>44408.0</v>
      </c>
      <c r="I440" s="13">
        <v>44300.0</v>
      </c>
      <c r="J440" s="11">
        <f t="shared" si="2"/>
        <v>108</v>
      </c>
      <c r="K440" s="14">
        <v>23900.0</v>
      </c>
      <c r="L440" s="14">
        <v>2400.0</v>
      </c>
      <c r="M440" s="12">
        <v>4.0</v>
      </c>
      <c r="N440" s="12">
        <v>5.0</v>
      </c>
    </row>
    <row r="441" ht="15.75" customHeight="1">
      <c r="D441" s="12" t="s">
        <v>282</v>
      </c>
      <c r="E441" s="12" t="s">
        <v>691</v>
      </c>
      <c r="F441" s="10" t="str">
        <f t="shared" si="1"/>
        <v>Thomas Richardson</v>
      </c>
      <c r="G441" s="12" t="s">
        <v>33</v>
      </c>
      <c r="H441" s="13">
        <v>44408.0</v>
      </c>
      <c r="I441" s="13">
        <v>44155.0</v>
      </c>
      <c r="J441" s="11">
        <f t="shared" si="2"/>
        <v>253</v>
      </c>
      <c r="K441" s="14">
        <v>50900.0</v>
      </c>
      <c r="L441" s="14">
        <v>2200.0</v>
      </c>
      <c r="M441" s="12">
        <v>7.0</v>
      </c>
      <c r="N441" s="12">
        <v>4.0</v>
      </c>
    </row>
    <row r="442" ht="15.75" customHeight="1">
      <c r="D442" s="12" t="s">
        <v>471</v>
      </c>
      <c r="E442" s="12" t="s">
        <v>692</v>
      </c>
      <c r="F442" s="10" t="str">
        <f t="shared" si="1"/>
        <v>Terry Richmond</v>
      </c>
      <c r="G442" s="12" t="s">
        <v>26</v>
      </c>
      <c r="H442" s="13">
        <v>44408.0</v>
      </c>
      <c r="I442" s="13">
        <v>43565.0</v>
      </c>
      <c r="J442" s="11">
        <f t="shared" si="2"/>
        <v>843</v>
      </c>
      <c r="K442" s="14">
        <v>49100.0</v>
      </c>
      <c r="L442" s="14">
        <v>3000.0</v>
      </c>
      <c r="M442" s="12">
        <v>4.0</v>
      </c>
      <c r="N442" s="12">
        <v>4.0</v>
      </c>
    </row>
    <row r="443" ht="15.75" customHeight="1">
      <c r="D443" s="12" t="s">
        <v>147</v>
      </c>
      <c r="E443" s="12" t="s">
        <v>693</v>
      </c>
      <c r="F443" s="10" t="str">
        <f t="shared" si="1"/>
        <v>Charles Riddick</v>
      </c>
      <c r="G443" s="12" t="s">
        <v>81</v>
      </c>
      <c r="H443" s="13">
        <v>44408.0</v>
      </c>
      <c r="I443" s="13">
        <v>42759.0</v>
      </c>
      <c r="J443" s="11">
        <f t="shared" si="2"/>
        <v>1649</v>
      </c>
      <c r="K443" s="14">
        <v>85500.0</v>
      </c>
      <c r="L443" s="14">
        <v>6800.0</v>
      </c>
      <c r="M443" s="12">
        <v>6.0</v>
      </c>
      <c r="N443" s="12">
        <v>3.0</v>
      </c>
    </row>
    <row r="444" ht="15.75" customHeight="1">
      <c r="D444" s="12" t="s">
        <v>694</v>
      </c>
      <c r="E444" s="12" t="s">
        <v>695</v>
      </c>
      <c r="F444" s="10" t="str">
        <f t="shared" si="1"/>
        <v>Clifford Riggs</v>
      </c>
      <c r="G444" s="12" t="s">
        <v>70</v>
      </c>
      <c r="H444" s="13">
        <v>44408.0</v>
      </c>
      <c r="I444" s="13">
        <v>44123.0</v>
      </c>
      <c r="J444" s="11">
        <f t="shared" si="2"/>
        <v>285</v>
      </c>
      <c r="K444" s="14">
        <v>42800.0</v>
      </c>
      <c r="L444" s="14">
        <v>1800.0</v>
      </c>
      <c r="M444" s="12">
        <v>4.0</v>
      </c>
      <c r="N444" s="12">
        <v>5.0</v>
      </c>
    </row>
    <row r="445" ht="15.75" customHeight="1">
      <c r="D445" s="12" t="s">
        <v>696</v>
      </c>
      <c r="E445" s="12" t="s">
        <v>695</v>
      </c>
      <c r="F445" s="10" t="str">
        <f t="shared" si="1"/>
        <v>Sylvester Riggs</v>
      </c>
      <c r="G445" s="12" t="s">
        <v>26</v>
      </c>
      <c r="H445" s="13">
        <v>44408.0</v>
      </c>
      <c r="I445" s="13">
        <v>42744.0</v>
      </c>
      <c r="J445" s="11">
        <f t="shared" si="2"/>
        <v>1664</v>
      </c>
      <c r="K445" s="14">
        <v>39300.0</v>
      </c>
      <c r="L445" s="14">
        <v>100.0</v>
      </c>
      <c r="M445" s="12">
        <v>4.0</v>
      </c>
      <c r="N445" s="12">
        <v>3.0</v>
      </c>
    </row>
    <row r="446" ht="15.75" customHeight="1">
      <c r="D446" s="12" t="s">
        <v>697</v>
      </c>
      <c r="E446" s="12" t="s">
        <v>698</v>
      </c>
      <c r="F446" s="10" t="str">
        <f t="shared" si="1"/>
        <v>Sandy Rivera</v>
      </c>
      <c r="G446" s="12" t="s">
        <v>47</v>
      </c>
      <c r="H446" s="13">
        <v>44408.0</v>
      </c>
      <c r="I446" s="13">
        <v>42016.0</v>
      </c>
      <c r="J446" s="11">
        <f t="shared" si="2"/>
        <v>2392</v>
      </c>
      <c r="K446" s="14">
        <v>43700.0</v>
      </c>
      <c r="L446" s="14">
        <v>2200.0</v>
      </c>
      <c r="M446" s="12">
        <v>6.0</v>
      </c>
      <c r="N446" s="12">
        <v>5.0</v>
      </c>
    </row>
    <row r="447" ht="15.75" customHeight="1">
      <c r="D447" s="12" t="s">
        <v>621</v>
      </c>
      <c r="E447" s="12" t="s">
        <v>698</v>
      </c>
      <c r="F447" s="10" t="str">
        <f t="shared" si="1"/>
        <v>Sara Rivera</v>
      </c>
      <c r="G447" s="12" t="s">
        <v>81</v>
      </c>
      <c r="H447" s="13">
        <v>44408.0</v>
      </c>
      <c r="I447" s="13">
        <v>43912.0</v>
      </c>
      <c r="J447" s="11">
        <f t="shared" si="2"/>
        <v>496</v>
      </c>
      <c r="K447" s="14">
        <v>90500.0</v>
      </c>
      <c r="L447" s="14">
        <v>6800.0</v>
      </c>
      <c r="M447" s="12">
        <v>7.0</v>
      </c>
      <c r="N447" s="12">
        <v>3.0</v>
      </c>
    </row>
    <row r="448" ht="15.75" customHeight="1">
      <c r="D448" s="12" t="s">
        <v>699</v>
      </c>
      <c r="E448" s="12" t="s">
        <v>700</v>
      </c>
      <c r="F448" s="10" t="str">
        <f t="shared" si="1"/>
        <v>Justin Robeson</v>
      </c>
      <c r="G448" s="12" t="s">
        <v>56</v>
      </c>
      <c r="H448" s="13">
        <v>44408.0</v>
      </c>
      <c r="I448" s="13">
        <v>43818.0</v>
      </c>
      <c r="J448" s="11">
        <f t="shared" si="2"/>
        <v>590</v>
      </c>
      <c r="K448" s="14">
        <v>40700.0</v>
      </c>
      <c r="L448" s="14">
        <v>1200.0</v>
      </c>
      <c r="M448" s="12">
        <v>10.0</v>
      </c>
      <c r="N448" s="12">
        <v>4.0</v>
      </c>
    </row>
    <row r="449" ht="15.75" customHeight="1">
      <c r="D449" s="12" t="s">
        <v>119</v>
      </c>
      <c r="E449" s="12" t="s">
        <v>701</v>
      </c>
      <c r="F449" s="10" t="str">
        <f t="shared" si="1"/>
        <v>Robert Roddy</v>
      </c>
      <c r="G449" s="12" t="s">
        <v>81</v>
      </c>
      <c r="H449" s="13">
        <v>44408.0</v>
      </c>
      <c r="I449" s="13">
        <v>43984.0</v>
      </c>
      <c r="J449" s="11">
        <f t="shared" si="2"/>
        <v>424</v>
      </c>
      <c r="K449" s="14">
        <v>104600.0</v>
      </c>
      <c r="L449" s="14">
        <v>5900.0</v>
      </c>
      <c r="M449" s="12">
        <v>9.0</v>
      </c>
      <c r="N449" s="12">
        <v>3.0</v>
      </c>
    </row>
    <row r="450" ht="15.75" customHeight="1">
      <c r="D450" s="12" t="s">
        <v>466</v>
      </c>
      <c r="E450" s="12" t="s">
        <v>702</v>
      </c>
      <c r="F450" s="10" t="str">
        <f t="shared" si="1"/>
        <v>Kelly Rodriguez</v>
      </c>
      <c r="G450" s="12" t="s">
        <v>70</v>
      </c>
      <c r="H450" s="13">
        <v>44408.0</v>
      </c>
      <c r="I450" s="13">
        <v>42479.0</v>
      </c>
      <c r="J450" s="11">
        <f t="shared" si="2"/>
        <v>1929</v>
      </c>
      <c r="K450" s="14">
        <v>44300.0</v>
      </c>
      <c r="L450" s="14">
        <v>2700.0</v>
      </c>
      <c r="M450" s="12">
        <v>4.0</v>
      </c>
      <c r="N450" s="12">
        <v>3.0</v>
      </c>
    </row>
    <row r="451" ht="15.75" customHeight="1">
      <c r="D451" s="12" t="s">
        <v>703</v>
      </c>
      <c r="E451" s="12" t="s">
        <v>702</v>
      </c>
      <c r="F451" s="10" t="str">
        <f t="shared" si="1"/>
        <v>Whitney Rodriguez</v>
      </c>
      <c r="G451" s="12" t="s">
        <v>70</v>
      </c>
      <c r="H451" s="13">
        <v>44408.0</v>
      </c>
      <c r="I451" s="13">
        <v>42032.0</v>
      </c>
      <c r="J451" s="11">
        <f t="shared" si="2"/>
        <v>2376</v>
      </c>
      <c r="K451" s="14">
        <v>33500.0</v>
      </c>
      <c r="L451" s="14">
        <v>0.0</v>
      </c>
      <c r="M451" s="12">
        <v>9.0</v>
      </c>
      <c r="N451" s="12">
        <v>1.0</v>
      </c>
    </row>
    <row r="452" ht="15.75" customHeight="1">
      <c r="D452" s="12" t="s">
        <v>704</v>
      </c>
      <c r="E452" s="12" t="s">
        <v>705</v>
      </c>
      <c r="F452" s="10" t="str">
        <f t="shared" si="1"/>
        <v>Lucretia Rogers</v>
      </c>
      <c r="G452" s="12" t="s">
        <v>70</v>
      </c>
      <c r="H452" s="13">
        <v>44408.0</v>
      </c>
      <c r="I452" s="13">
        <v>44016.0</v>
      </c>
      <c r="J452" s="11">
        <f t="shared" si="2"/>
        <v>392</v>
      </c>
      <c r="K452" s="14">
        <v>51200.0</v>
      </c>
      <c r="L452" s="14">
        <v>600.0</v>
      </c>
      <c r="M452" s="12">
        <v>7.0</v>
      </c>
      <c r="N452" s="12">
        <v>4.0</v>
      </c>
    </row>
    <row r="453" ht="15.75" customHeight="1">
      <c r="D453" s="12" t="s">
        <v>555</v>
      </c>
      <c r="E453" s="12" t="s">
        <v>706</v>
      </c>
      <c r="F453" s="10" t="str">
        <f t="shared" si="1"/>
        <v>Angela Roosa</v>
      </c>
      <c r="G453" s="12" t="s">
        <v>22</v>
      </c>
      <c r="H453" s="13">
        <v>44408.0</v>
      </c>
      <c r="I453" s="13">
        <v>42887.0</v>
      </c>
      <c r="J453" s="11">
        <f t="shared" si="2"/>
        <v>1521</v>
      </c>
      <c r="K453" s="14">
        <v>109800.0</v>
      </c>
      <c r="L453" s="14">
        <v>5600.0</v>
      </c>
      <c r="M453" s="12">
        <v>5.0</v>
      </c>
      <c r="N453" s="12">
        <v>3.0</v>
      </c>
    </row>
    <row r="454" ht="15.75" customHeight="1">
      <c r="D454" s="12" t="s">
        <v>183</v>
      </c>
      <c r="E454" s="12" t="s">
        <v>707</v>
      </c>
      <c r="F454" s="10" t="str">
        <f t="shared" si="1"/>
        <v>Michelle Rosenberg</v>
      </c>
      <c r="G454" s="12" t="s">
        <v>56</v>
      </c>
      <c r="H454" s="13">
        <v>44408.0</v>
      </c>
      <c r="I454" s="13">
        <v>42680.0</v>
      </c>
      <c r="J454" s="11">
        <f t="shared" si="2"/>
        <v>1728</v>
      </c>
      <c r="K454" s="14">
        <v>64400.0</v>
      </c>
      <c r="L454" s="14">
        <v>4000.0</v>
      </c>
      <c r="M454" s="12">
        <v>4.0</v>
      </c>
      <c r="N454" s="12">
        <v>3.0</v>
      </c>
    </row>
    <row r="455" ht="15.75" customHeight="1">
      <c r="D455" s="12" t="s">
        <v>708</v>
      </c>
      <c r="E455" s="12" t="s">
        <v>709</v>
      </c>
      <c r="F455" s="10" t="str">
        <f t="shared" si="1"/>
        <v>Olin Ross</v>
      </c>
      <c r="G455" s="12" t="s">
        <v>33</v>
      </c>
      <c r="H455" s="13">
        <v>44408.0</v>
      </c>
      <c r="I455" s="13">
        <v>42566.0</v>
      </c>
      <c r="J455" s="11">
        <f t="shared" si="2"/>
        <v>1842</v>
      </c>
      <c r="K455" s="14">
        <v>34700.0</v>
      </c>
      <c r="L455" s="14">
        <v>4100.0</v>
      </c>
      <c r="M455" s="12">
        <v>4.0</v>
      </c>
      <c r="N455" s="12">
        <v>1.0</v>
      </c>
    </row>
    <row r="456" ht="15.75" customHeight="1">
      <c r="D456" s="12" t="s">
        <v>147</v>
      </c>
      <c r="E456" s="12" t="s">
        <v>710</v>
      </c>
      <c r="F456" s="10" t="str">
        <f t="shared" si="1"/>
        <v>Charles Rowe</v>
      </c>
      <c r="G456" s="12" t="s">
        <v>33</v>
      </c>
      <c r="H456" s="13">
        <v>44408.0</v>
      </c>
      <c r="I456" s="13">
        <v>43870.0</v>
      </c>
      <c r="J456" s="11">
        <f t="shared" si="2"/>
        <v>538</v>
      </c>
      <c r="K456" s="14">
        <v>42700.0</v>
      </c>
      <c r="L456" s="14">
        <v>4500.0</v>
      </c>
      <c r="M456" s="12">
        <v>9.0</v>
      </c>
      <c r="N456" s="12">
        <v>1.0</v>
      </c>
    </row>
    <row r="457" ht="15.75" customHeight="1">
      <c r="D457" s="12" t="s">
        <v>282</v>
      </c>
      <c r="E457" s="12" t="s">
        <v>93</v>
      </c>
      <c r="F457" s="10" t="str">
        <f t="shared" si="1"/>
        <v>Thomas Roy</v>
      </c>
      <c r="G457" s="12" t="s">
        <v>70</v>
      </c>
      <c r="H457" s="13">
        <v>44408.0</v>
      </c>
      <c r="I457" s="13">
        <v>42969.0</v>
      </c>
      <c r="J457" s="11">
        <f t="shared" si="2"/>
        <v>1439</v>
      </c>
      <c r="K457" s="14">
        <v>71800.0</v>
      </c>
      <c r="L457" s="14">
        <v>2500.0</v>
      </c>
      <c r="M457" s="12">
        <v>2.0</v>
      </c>
      <c r="N457" s="12">
        <v>3.0</v>
      </c>
    </row>
    <row r="458" ht="15.75" customHeight="1">
      <c r="D458" s="12" t="s">
        <v>99</v>
      </c>
      <c r="E458" s="12" t="s">
        <v>711</v>
      </c>
      <c r="F458" s="10" t="str">
        <f t="shared" si="1"/>
        <v>John Ruck</v>
      </c>
      <c r="G458" s="12" t="s">
        <v>47</v>
      </c>
      <c r="H458" s="13">
        <v>44408.0</v>
      </c>
      <c r="I458" s="13">
        <v>42623.0</v>
      </c>
      <c r="J458" s="11">
        <f t="shared" si="2"/>
        <v>1785</v>
      </c>
      <c r="K458" s="14">
        <v>60800.0</v>
      </c>
      <c r="L458" s="14">
        <v>3400.0</v>
      </c>
      <c r="M458" s="12">
        <v>4.0</v>
      </c>
      <c r="N458" s="12">
        <v>2.0</v>
      </c>
    </row>
    <row r="459" ht="15.75" customHeight="1">
      <c r="D459" s="12" t="s">
        <v>712</v>
      </c>
      <c r="E459" s="12" t="s">
        <v>713</v>
      </c>
      <c r="F459" s="10" t="str">
        <f t="shared" si="1"/>
        <v>Virginia Rucker</v>
      </c>
      <c r="G459" s="12" t="s">
        <v>26</v>
      </c>
      <c r="H459" s="13">
        <v>44408.0</v>
      </c>
      <c r="I459" s="13">
        <v>43748.0</v>
      </c>
      <c r="J459" s="11">
        <f t="shared" si="2"/>
        <v>660</v>
      </c>
      <c r="K459" s="14">
        <v>78800.0</v>
      </c>
      <c r="L459" s="14">
        <v>5200.0</v>
      </c>
      <c r="M459" s="12">
        <v>4.0</v>
      </c>
      <c r="N459" s="12">
        <v>3.0</v>
      </c>
    </row>
    <row r="460" ht="15.75" customHeight="1">
      <c r="D460" s="12" t="s">
        <v>714</v>
      </c>
      <c r="E460" s="12" t="s">
        <v>715</v>
      </c>
      <c r="F460" s="10" t="str">
        <f t="shared" si="1"/>
        <v>Damon Ruiz</v>
      </c>
      <c r="G460" s="12" t="s">
        <v>70</v>
      </c>
      <c r="H460" s="13">
        <v>44408.0</v>
      </c>
      <c r="I460" s="13">
        <v>44271.0</v>
      </c>
      <c r="J460" s="11">
        <f t="shared" si="2"/>
        <v>137</v>
      </c>
      <c r="K460" s="14">
        <v>54300.0</v>
      </c>
      <c r="L460" s="14">
        <v>4400.0</v>
      </c>
      <c r="M460" s="12">
        <v>2.0</v>
      </c>
      <c r="N460" s="12">
        <v>3.0</v>
      </c>
    </row>
    <row r="461" ht="15.75" customHeight="1">
      <c r="D461" s="12" t="s">
        <v>716</v>
      </c>
      <c r="E461" s="12" t="s">
        <v>715</v>
      </c>
      <c r="F461" s="10" t="str">
        <f t="shared" si="1"/>
        <v>Samuel Ruiz</v>
      </c>
      <c r="G461" s="12" t="s">
        <v>33</v>
      </c>
      <c r="H461" s="13">
        <v>44408.0</v>
      </c>
      <c r="I461" s="13">
        <v>43545.0</v>
      </c>
      <c r="J461" s="11">
        <f t="shared" si="2"/>
        <v>863</v>
      </c>
      <c r="K461" s="14">
        <v>56300.0</v>
      </c>
      <c r="L461" s="14">
        <v>2300.0</v>
      </c>
      <c r="M461" s="12">
        <v>8.0</v>
      </c>
      <c r="N461" s="12">
        <v>3.0</v>
      </c>
    </row>
    <row r="462" ht="15.75" customHeight="1">
      <c r="D462" s="12" t="s">
        <v>563</v>
      </c>
      <c r="E462" s="12" t="s">
        <v>717</v>
      </c>
      <c r="F462" s="10" t="str">
        <f t="shared" si="1"/>
        <v>Harold Russel</v>
      </c>
      <c r="G462" s="12" t="s">
        <v>33</v>
      </c>
      <c r="H462" s="13">
        <v>44408.0</v>
      </c>
      <c r="I462" s="13">
        <v>43407.0</v>
      </c>
      <c r="J462" s="11">
        <f t="shared" si="2"/>
        <v>1001</v>
      </c>
      <c r="K462" s="14">
        <v>41200.0</v>
      </c>
      <c r="L462" s="14">
        <v>2200.0</v>
      </c>
      <c r="M462" s="12">
        <v>4.0</v>
      </c>
      <c r="N462" s="12">
        <v>4.0</v>
      </c>
    </row>
    <row r="463" ht="15.75" customHeight="1">
      <c r="D463" s="12" t="s">
        <v>241</v>
      </c>
      <c r="E463" s="12" t="s">
        <v>718</v>
      </c>
      <c r="F463" s="10" t="str">
        <f t="shared" si="1"/>
        <v>Christopher Russo</v>
      </c>
      <c r="G463" s="12" t="s">
        <v>70</v>
      </c>
      <c r="H463" s="13">
        <v>44408.0</v>
      </c>
      <c r="I463" s="13">
        <v>42663.0</v>
      </c>
      <c r="J463" s="11">
        <f t="shared" si="2"/>
        <v>1745</v>
      </c>
      <c r="K463" s="14">
        <v>49100.0</v>
      </c>
      <c r="L463" s="14">
        <v>3700.0</v>
      </c>
      <c r="M463" s="12">
        <v>3.0</v>
      </c>
      <c r="N463" s="12">
        <v>5.0</v>
      </c>
    </row>
    <row r="464" ht="15.75" customHeight="1">
      <c r="D464" s="12" t="s">
        <v>488</v>
      </c>
      <c r="E464" s="12" t="s">
        <v>719</v>
      </c>
      <c r="F464" s="10" t="str">
        <f t="shared" si="1"/>
        <v>Francis Sanchez</v>
      </c>
      <c r="G464" s="12" t="s">
        <v>22</v>
      </c>
      <c r="H464" s="13">
        <v>44408.0</v>
      </c>
      <c r="I464" s="13">
        <v>42872.0</v>
      </c>
      <c r="J464" s="11">
        <f t="shared" si="2"/>
        <v>1536</v>
      </c>
      <c r="K464" s="14">
        <v>55900.0</v>
      </c>
      <c r="L464" s="14">
        <v>2500.0</v>
      </c>
      <c r="M464" s="12">
        <v>9.0</v>
      </c>
      <c r="N464" s="12">
        <v>2.0</v>
      </c>
    </row>
    <row r="465" ht="15.75" customHeight="1">
      <c r="D465" s="12" t="s">
        <v>368</v>
      </c>
      <c r="E465" s="12" t="s">
        <v>720</v>
      </c>
      <c r="F465" s="10" t="str">
        <f t="shared" si="1"/>
        <v>Joseph Sandberg</v>
      </c>
      <c r="G465" s="12" t="s">
        <v>33</v>
      </c>
      <c r="H465" s="13">
        <v>44408.0</v>
      </c>
      <c r="I465" s="13">
        <v>42553.0</v>
      </c>
      <c r="J465" s="11">
        <f t="shared" si="2"/>
        <v>1855</v>
      </c>
      <c r="K465" s="14">
        <v>45800.0</v>
      </c>
      <c r="L465" s="14">
        <v>3300.0</v>
      </c>
      <c r="M465" s="12">
        <v>4.0</v>
      </c>
      <c r="N465" s="12">
        <v>3.0</v>
      </c>
    </row>
    <row r="466" ht="15.75" customHeight="1">
      <c r="D466" s="12" t="s">
        <v>721</v>
      </c>
      <c r="E466" s="12" t="s">
        <v>722</v>
      </c>
      <c r="F466" s="10" t="str">
        <f t="shared" si="1"/>
        <v>Lincoln Sanderson</v>
      </c>
      <c r="G466" s="12" t="s">
        <v>81</v>
      </c>
      <c r="H466" s="13">
        <v>44408.0</v>
      </c>
      <c r="I466" s="13">
        <v>43037.0</v>
      </c>
      <c r="J466" s="11">
        <f t="shared" si="2"/>
        <v>1371</v>
      </c>
      <c r="K466" s="14">
        <v>74800.0</v>
      </c>
      <c r="L466" s="14">
        <v>6400.0</v>
      </c>
      <c r="M466" s="12">
        <v>5.0</v>
      </c>
      <c r="N466" s="12">
        <v>2.0</v>
      </c>
    </row>
    <row r="467" ht="15.75" customHeight="1">
      <c r="D467" s="12" t="s">
        <v>86</v>
      </c>
      <c r="E467" s="12" t="s">
        <v>723</v>
      </c>
      <c r="F467" s="10" t="str">
        <f t="shared" si="1"/>
        <v>Bryan Sandoval</v>
      </c>
      <c r="G467" s="12" t="s">
        <v>33</v>
      </c>
      <c r="H467" s="13">
        <v>44408.0</v>
      </c>
      <c r="I467" s="13">
        <v>44251.0</v>
      </c>
      <c r="J467" s="11">
        <f t="shared" si="2"/>
        <v>157</v>
      </c>
      <c r="K467" s="14">
        <v>41400.0</v>
      </c>
      <c r="L467" s="14">
        <v>1300.0</v>
      </c>
      <c r="M467" s="12">
        <v>7.0</v>
      </c>
      <c r="N467" s="12">
        <v>3.0</v>
      </c>
    </row>
    <row r="468" ht="15.75" customHeight="1">
      <c r="D468" s="12" t="s">
        <v>553</v>
      </c>
      <c r="E468" s="12" t="s">
        <v>724</v>
      </c>
      <c r="F468" s="10" t="str">
        <f t="shared" si="1"/>
        <v>Lori Santos</v>
      </c>
      <c r="G468" s="12" t="s">
        <v>47</v>
      </c>
      <c r="H468" s="13">
        <v>44408.0</v>
      </c>
      <c r="I468" s="13">
        <v>42764.0</v>
      </c>
      <c r="J468" s="11">
        <f t="shared" si="2"/>
        <v>1644</v>
      </c>
      <c r="K468" s="14">
        <v>56800.0</v>
      </c>
      <c r="L468" s="14">
        <v>1300.0</v>
      </c>
      <c r="M468" s="12">
        <v>3.0</v>
      </c>
      <c r="N468" s="12">
        <v>1.0</v>
      </c>
    </row>
    <row r="469" ht="15.75" customHeight="1">
      <c r="D469" s="12" t="s">
        <v>725</v>
      </c>
      <c r="E469" s="12" t="s">
        <v>726</v>
      </c>
      <c r="F469" s="10" t="str">
        <f t="shared" si="1"/>
        <v>Marjorie Saragosa</v>
      </c>
      <c r="G469" s="12" t="s">
        <v>56</v>
      </c>
      <c r="H469" s="13">
        <v>44408.0</v>
      </c>
      <c r="I469" s="13">
        <v>43657.0</v>
      </c>
      <c r="J469" s="11">
        <f t="shared" si="2"/>
        <v>751</v>
      </c>
      <c r="K469" s="14">
        <v>42300.0</v>
      </c>
      <c r="L469" s="14">
        <v>4700.0</v>
      </c>
      <c r="M469" s="12">
        <v>6.0</v>
      </c>
      <c r="N469" s="12">
        <v>4.0</v>
      </c>
    </row>
    <row r="470" ht="15.75" customHeight="1">
      <c r="D470" s="12" t="s">
        <v>140</v>
      </c>
      <c r="E470" s="12" t="s">
        <v>727</v>
      </c>
      <c r="F470" s="10" t="str">
        <f t="shared" si="1"/>
        <v>Lisa Scheer</v>
      </c>
      <c r="G470" s="12" t="s">
        <v>30</v>
      </c>
      <c r="H470" s="13">
        <v>44408.0</v>
      </c>
      <c r="I470" s="13">
        <v>42412.0</v>
      </c>
      <c r="J470" s="11">
        <f t="shared" si="2"/>
        <v>1996</v>
      </c>
      <c r="K470" s="14">
        <v>113600.0</v>
      </c>
      <c r="L470" s="14">
        <v>7400.0</v>
      </c>
      <c r="M470" s="12">
        <v>5.0</v>
      </c>
      <c r="N470" s="12">
        <v>2.0</v>
      </c>
    </row>
    <row r="471" ht="15.75" customHeight="1">
      <c r="D471" s="12" t="s">
        <v>728</v>
      </c>
      <c r="E471" s="12" t="s">
        <v>729</v>
      </c>
      <c r="F471" s="10" t="str">
        <f t="shared" si="1"/>
        <v>Duane Schmitt</v>
      </c>
      <c r="G471" s="12" t="s">
        <v>26</v>
      </c>
      <c r="H471" s="13">
        <v>44408.0</v>
      </c>
      <c r="I471" s="13">
        <v>42265.0</v>
      </c>
      <c r="J471" s="11">
        <f t="shared" si="2"/>
        <v>2143</v>
      </c>
      <c r="K471" s="14">
        <v>62000.0</v>
      </c>
      <c r="L471" s="14">
        <v>4100.0</v>
      </c>
      <c r="M471" s="12">
        <v>4.0</v>
      </c>
      <c r="N471" s="12">
        <v>2.0</v>
      </c>
    </row>
    <row r="472" ht="15.75" customHeight="1">
      <c r="D472" s="12" t="s">
        <v>117</v>
      </c>
      <c r="E472" s="12" t="s">
        <v>730</v>
      </c>
      <c r="F472" s="10" t="str">
        <f t="shared" si="1"/>
        <v>James Schrader</v>
      </c>
      <c r="G472" s="12" t="s">
        <v>81</v>
      </c>
      <c r="H472" s="13">
        <v>44408.0</v>
      </c>
      <c r="I472" s="13">
        <v>44204.0</v>
      </c>
      <c r="J472" s="11">
        <f t="shared" si="2"/>
        <v>204</v>
      </c>
      <c r="K472" s="14">
        <v>71700.0</v>
      </c>
      <c r="L472" s="14">
        <v>7200.0</v>
      </c>
      <c r="M472" s="12">
        <v>8.0</v>
      </c>
      <c r="N472" s="12">
        <v>3.0</v>
      </c>
    </row>
    <row r="473" ht="15.75" customHeight="1">
      <c r="D473" s="12" t="s">
        <v>731</v>
      </c>
      <c r="E473" s="12" t="s">
        <v>732</v>
      </c>
      <c r="F473" s="10" t="str">
        <f t="shared" si="1"/>
        <v>Gillian Schreiber</v>
      </c>
      <c r="G473" s="12" t="s">
        <v>33</v>
      </c>
      <c r="H473" s="13">
        <v>44408.0</v>
      </c>
      <c r="I473" s="13">
        <v>42513.0</v>
      </c>
      <c r="J473" s="11">
        <f t="shared" si="2"/>
        <v>1895</v>
      </c>
      <c r="K473" s="14">
        <v>63300.0</v>
      </c>
      <c r="L473" s="14">
        <v>3000.0</v>
      </c>
      <c r="M473" s="12">
        <v>4.0</v>
      </c>
      <c r="N473" s="12">
        <v>3.0</v>
      </c>
    </row>
    <row r="474" ht="15.75" customHeight="1">
      <c r="D474" s="12" t="s">
        <v>203</v>
      </c>
      <c r="E474" s="12" t="s">
        <v>733</v>
      </c>
      <c r="F474" s="10" t="str">
        <f t="shared" si="1"/>
        <v>Donald Schwartz</v>
      </c>
      <c r="G474" s="12" t="s">
        <v>33</v>
      </c>
      <c r="H474" s="13">
        <v>44408.0</v>
      </c>
      <c r="I474" s="13">
        <v>43225.0</v>
      </c>
      <c r="J474" s="11">
        <f t="shared" si="2"/>
        <v>1183</v>
      </c>
      <c r="K474" s="14">
        <v>29700.0</v>
      </c>
      <c r="L474" s="14">
        <v>200.0</v>
      </c>
      <c r="M474" s="12">
        <v>2.0</v>
      </c>
      <c r="N474" s="12">
        <v>4.0</v>
      </c>
    </row>
    <row r="475" ht="15.75" customHeight="1">
      <c r="D475" s="12" t="s">
        <v>734</v>
      </c>
      <c r="E475" s="12" t="s">
        <v>735</v>
      </c>
      <c r="F475" s="10" t="str">
        <f t="shared" si="1"/>
        <v>Liz Shaw</v>
      </c>
      <c r="G475" s="12" t="s">
        <v>26</v>
      </c>
      <c r="H475" s="13">
        <v>44408.0</v>
      </c>
      <c r="I475" s="13">
        <v>42787.0</v>
      </c>
      <c r="J475" s="11">
        <f t="shared" si="2"/>
        <v>1621</v>
      </c>
      <c r="K475" s="14">
        <v>31200.0</v>
      </c>
      <c r="L475" s="14">
        <v>0.0</v>
      </c>
      <c r="M475" s="12">
        <v>2.0</v>
      </c>
      <c r="N475" s="12">
        <v>1.0</v>
      </c>
    </row>
    <row r="476" ht="15.75" customHeight="1">
      <c r="D476" s="12" t="s">
        <v>736</v>
      </c>
      <c r="E476" s="12" t="s">
        <v>737</v>
      </c>
      <c r="F476" s="10" t="str">
        <f t="shared" si="1"/>
        <v>Orville Shelley</v>
      </c>
      <c r="G476" s="12" t="s">
        <v>81</v>
      </c>
      <c r="H476" s="13">
        <v>44408.0</v>
      </c>
      <c r="I476" s="13">
        <v>42302.0</v>
      </c>
      <c r="J476" s="11">
        <f t="shared" si="2"/>
        <v>2106</v>
      </c>
      <c r="K476" s="14">
        <v>84700.0</v>
      </c>
      <c r="L476" s="14">
        <v>4300.0</v>
      </c>
      <c r="M476" s="12">
        <v>2.0</v>
      </c>
      <c r="N476" s="12">
        <v>3.0</v>
      </c>
    </row>
    <row r="477" ht="15.75" customHeight="1">
      <c r="D477" s="12" t="s">
        <v>466</v>
      </c>
      <c r="E477" s="12" t="s">
        <v>738</v>
      </c>
      <c r="F477" s="10" t="str">
        <f t="shared" si="1"/>
        <v>Kelly Shepard</v>
      </c>
      <c r="G477" s="12" t="s">
        <v>33</v>
      </c>
      <c r="H477" s="13">
        <v>44408.0</v>
      </c>
      <c r="I477" s="13">
        <v>42767.0</v>
      </c>
      <c r="J477" s="11">
        <f t="shared" si="2"/>
        <v>1641</v>
      </c>
      <c r="K477" s="14">
        <v>48400.0</v>
      </c>
      <c r="L477" s="14">
        <v>5100.0</v>
      </c>
      <c r="M477" s="12">
        <v>2.0</v>
      </c>
      <c r="N477" s="12">
        <v>3.0</v>
      </c>
    </row>
    <row r="478" ht="15.75" customHeight="1">
      <c r="D478" s="12" t="s">
        <v>739</v>
      </c>
      <c r="E478" s="12" t="s">
        <v>740</v>
      </c>
      <c r="F478" s="10" t="str">
        <f t="shared" si="1"/>
        <v>Lamar Sherwood</v>
      </c>
      <c r="G478" s="12" t="s">
        <v>26</v>
      </c>
      <c r="H478" s="13">
        <v>44408.0</v>
      </c>
      <c r="I478" s="13">
        <v>44106.0</v>
      </c>
      <c r="J478" s="11">
        <f t="shared" si="2"/>
        <v>302</v>
      </c>
      <c r="K478" s="14">
        <v>50100.0</v>
      </c>
      <c r="L478" s="14">
        <v>600.0</v>
      </c>
      <c r="M478" s="12">
        <v>5.0</v>
      </c>
      <c r="N478" s="12">
        <v>1.0</v>
      </c>
    </row>
    <row r="479" ht="15.75" customHeight="1">
      <c r="D479" s="12" t="s">
        <v>741</v>
      </c>
      <c r="E479" s="12" t="s">
        <v>742</v>
      </c>
      <c r="F479" s="10" t="str">
        <f t="shared" si="1"/>
        <v>Belinda Shoemaker</v>
      </c>
      <c r="G479" s="12" t="s">
        <v>81</v>
      </c>
      <c r="H479" s="13">
        <v>44408.0</v>
      </c>
      <c r="I479" s="13">
        <v>42963.0</v>
      </c>
      <c r="J479" s="11">
        <f t="shared" si="2"/>
        <v>1445</v>
      </c>
      <c r="K479" s="14">
        <v>88600.0</v>
      </c>
      <c r="L479" s="14">
        <v>5600.0</v>
      </c>
      <c r="M479" s="12">
        <v>9.0</v>
      </c>
      <c r="N479" s="12">
        <v>1.0</v>
      </c>
    </row>
    <row r="480" ht="15.75" customHeight="1">
      <c r="D480" s="12" t="s">
        <v>231</v>
      </c>
      <c r="E480" s="12" t="s">
        <v>743</v>
      </c>
      <c r="F480" s="10" t="str">
        <f t="shared" si="1"/>
        <v>Betty Short</v>
      </c>
      <c r="G480" s="12" t="s">
        <v>81</v>
      </c>
      <c r="H480" s="13">
        <v>44408.0</v>
      </c>
      <c r="I480" s="13">
        <v>44022.0</v>
      </c>
      <c r="J480" s="11">
        <f t="shared" si="2"/>
        <v>386</v>
      </c>
      <c r="K480" s="14">
        <v>101600.0</v>
      </c>
      <c r="L480" s="14">
        <v>2600.0</v>
      </c>
      <c r="M480" s="12">
        <v>6.0</v>
      </c>
      <c r="N480" s="12">
        <v>3.0</v>
      </c>
    </row>
    <row r="481" ht="15.75" customHeight="1">
      <c r="D481" s="12" t="s">
        <v>91</v>
      </c>
      <c r="E481" s="12" t="s">
        <v>744</v>
      </c>
      <c r="F481" s="10" t="str">
        <f t="shared" si="1"/>
        <v>Keith Shorter</v>
      </c>
      <c r="G481" s="12" t="s">
        <v>26</v>
      </c>
      <c r="H481" s="13">
        <v>44408.0</v>
      </c>
      <c r="I481" s="13">
        <v>43011.0</v>
      </c>
      <c r="J481" s="11">
        <f t="shared" si="2"/>
        <v>1397</v>
      </c>
      <c r="K481" s="14">
        <v>35300.0</v>
      </c>
      <c r="L481" s="14">
        <v>4000.0</v>
      </c>
      <c r="M481" s="12">
        <v>9.0</v>
      </c>
      <c r="N481" s="12">
        <v>5.0</v>
      </c>
    </row>
    <row r="482" ht="15.75" customHeight="1">
      <c r="D482" s="12" t="s">
        <v>745</v>
      </c>
      <c r="E482" s="12" t="s">
        <v>746</v>
      </c>
      <c r="F482" s="10" t="str">
        <f t="shared" si="1"/>
        <v>Kimberley Siders</v>
      </c>
      <c r="G482" s="12" t="s">
        <v>26</v>
      </c>
      <c r="H482" s="13">
        <v>44408.0</v>
      </c>
      <c r="I482" s="13">
        <v>42837.0</v>
      </c>
      <c r="J482" s="11">
        <f t="shared" si="2"/>
        <v>1571</v>
      </c>
      <c r="K482" s="14">
        <v>45500.0</v>
      </c>
      <c r="L482" s="14">
        <v>4200.0</v>
      </c>
      <c r="M482" s="12">
        <v>4.0</v>
      </c>
      <c r="N482" s="12">
        <v>3.0</v>
      </c>
    </row>
    <row r="483" ht="15.75" customHeight="1">
      <c r="D483" s="12" t="s">
        <v>71</v>
      </c>
      <c r="E483" s="12" t="s">
        <v>747</v>
      </c>
      <c r="F483" s="10" t="str">
        <f t="shared" si="1"/>
        <v>Linda Sigler</v>
      </c>
      <c r="G483" s="12" t="s">
        <v>30</v>
      </c>
      <c r="H483" s="13">
        <v>44408.0</v>
      </c>
      <c r="I483" s="13">
        <v>44146.0</v>
      </c>
      <c r="J483" s="11">
        <f t="shared" si="2"/>
        <v>262</v>
      </c>
      <c r="K483" s="14">
        <v>82800.0</v>
      </c>
      <c r="L483" s="14">
        <v>4700.0</v>
      </c>
      <c r="M483" s="12">
        <v>5.0</v>
      </c>
      <c r="N483" s="12">
        <v>3.0</v>
      </c>
    </row>
    <row r="484" ht="15.75" customHeight="1">
      <c r="D484" s="12" t="s">
        <v>115</v>
      </c>
      <c r="E484" s="12" t="s">
        <v>747</v>
      </c>
      <c r="F484" s="10" t="str">
        <f t="shared" si="1"/>
        <v>Troy Sigler</v>
      </c>
      <c r="G484" s="12" t="s">
        <v>56</v>
      </c>
      <c r="H484" s="13">
        <v>44408.0</v>
      </c>
      <c r="I484" s="13">
        <v>42179.0</v>
      </c>
      <c r="J484" s="11">
        <f t="shared" si="2"/>
        <v>2229</v>
      </c>
      <c r="K484" s="14">
        <v>61300.0</v>
      </c>
      <c r="L484" s="14">
        <v>2200.0</v>
      </c>
      <c r="M484" s="12">
        <v>3.0</v>
      </c>
      <c r="N484" s="12">
        <v>5.0</v>
      </c>
    </row>
    <row r="485" ht="15.75" customHeight="1">
      <c r="D485" s="12" t="s">
        <v>748</v>
      </c>
      <c r="E485" s="12" t="s">
        <v>749</v>
      </c>
      <c r="F485" s="10" t="str">
        <f t="shared" si="1"/>
        <v>Loretta Silva</v>
      </c>
      <c r="G485" s="12" t="s">
        <v>81</v>
      </c>
      <c r="H485" s="13">
        <v>44408.0</v>
      </c>
      <c r="I485" s="13">
        <v>42949.0</v>
      </c>
      <c r="J485" s="11">
        <f t="shared" si="2"/>
        <v>1459</v>
      </c>
      <c r="K485" s="14">
        <v>96100.0</v>
      </c>
      <c r="L485" s="14">
        <v>5400.0</v>
      </c>
      <c r="M485" s="12">
        <v>3.0</v>
      </c>
      <c r="N485" s="12">
        <v>5.0</v>
      </c>
    </row>
    <row r="486" ht="15.75" customHeight="1">
      <c r="D486" s="12" t="s">
        <v>750</v>
      </c>
      <c r="E486" s="12" t="s">
        <v>751</v>
      </c>
      <c r="F486" s="10" t="str">
        <f t="shared" si="1"/>
        <v>Dalia Singleton</v>
      </c>
      <c r="G486" s="12" t="s">
        <v>30</v>
      </c>
      <c r="H486" s="13">
        <v>44408.0</v>
      </c>
      <c r="I486" s="13">
        <v>42452.0</v>
      </c>
      <c r="J486" s="11">
        <f t="shared" si="2"/>
        <v>1956</v>
      </c>
      <c r="K486" s="14">
        <v>128500.0</v>
      </c>
      <c r="L486" s="14">
        <v>3500.0</v>
      </c>
      <c r="M486" s="12">
        <v>5.0</v>
      </c>
      <c r="N486" s="12">
        <v>2.0</v>
      </c>
    </row>
    <row r="487" ht="15.75" customHeight="1">
      <c r="D487" s="12" t="s">
        <v>752</v>
      </c>
      <c r="E487" s="12" t="s">
        <v>753</v>
      </c>
      <c r="F487" s="10" t="str">
        <f t="shared" si="1"/>
        <v>Antonia Sisk</v>
      </c>
      <c r="G487" s="12" t="s">
        <v>33</v>
      </c>
      <c r="H487" s="13">
        <v>44408.0</v>
      </c>
      <c r="I487" s="13">
        <v>43673.0</v>
      </c>
      <c r="J487" s="11">
        <f t="shared" si="2"/>
        <v>735</v>
      </c>
      <c r="K487" s="14">
        <v>63800.0</v>
      </c>
      <c r="L487" s="14">
        <v>800.0</v>
      </c>
      <c r="M487" s="12">
        <v>4.0</v>
      </c>
      <c r="N487" s="12">
        <v>4.0</v>
      </c>
    </row>
    <row r="488" ht="15.75" customHeight="1">
      <c r="D488" s="12" t="s">
        <v>754</v>
      </c>
      <c r="E488" s="12" t="s">
        <v>755</v>
      </c>
      <c r="F488" s="10" t="str">
        <f t="shared" si="1"/>
        <v>Vergie Skinner</v>
      </c>
      <c r="G488" s="12" t="s">
        <v>26</v>
      </c>
      <c r="H488" s="13">
        <v>44408.0</v>
      </c>
      <c r="I488" s="13">
        <v>43906.0</v>
      </c>
      <c r="J488" s="11">
        <f t="shared" si="2"/>
        <v>502</v>
      </c>
      <c r="K488" s="14">
        <v>46700.0</v>
      </c>
      <c r="L488" s="14">
        <v>2600.0</v>
      </c>
      <c r="M488" s="12">
        <v>5.0</v>
      </c>
      <c r="N488" s="12">
        <v>2.0</v>
      </c>
    </row>
    <row r="489" ht="15.75" customHeight="1">
      <c r="D489" s="12" t="s">
        <v>756</v>
      </c>
      <c r="E489" s="12" t="s">
        <v>757</v>
      </c>
      <c r="F489" s="10" t="str">
        <f t="shared" si="1"/>
        <v>Eric Slater</v>
      </c>
      <c r="G489" s="12" t="s">
        <v>33</v>
      </c>
      <c r="H489" s="13">
        <v>44408.0</v>
      </c>
      <c r="I489" s="13">
        <v>44355.0</v>
      </c>
      <c r="J489" s="11">
        <f t="shared" si="2"/>
        <v>53</v>
      </c>
      <c r="K489" s="14">
        <v>67700.0</v>
      </c>
      <c r="L489" s="14">
        <v>4500.0</v>
      </c>
      <c r="M489" s="12">
        <v>2.0</v>
      </c>
      <c r="N489" s="12">
        <v>4.0</v>
      </c>
    </row>
    <row r="490" ht="15.75" customHeight="1">
      <c r="D490" s="12" t="s">
        <v>758</v>
      </c>
      <c r="E490" s="12" t="s">
        <v>759</v>
      </c>
      <c r="F490" s="10" t="str">
        <f t="shared" si="1"/>
        <v>Rhonda Slaughter</v>
      </c>
      <c r="G490" s="12" t="s">
        <v>26</v>
      </c>
      <c r="H490" s="13">
        <v>44408.0</v>
      </c>
      <c r="I490" s="13">
        <v>43341.0</v>
      </c>
      <c r="J490" s="11">
        <f t="shared" si="2"/>
        <v>1067</v>
      </c>
      <c r="K490" s="14">
        <v>49200.0</v>
      </c>
      <c r="L490" s="14">
        <v>1500.0</v>
      </c>
      <c r="M490" s="12">
        <v>5.0</v>
      </c>
      <c r="N490" s="12">
        <v>3.0</v>
      </c>
    </row>
    <row r="491" ht="15.75" customHeight="1">
      <c r="D491" s="12" t="s">
        <v>760</v>
      </c>
      <c r="E491" s="12" t="s">
        <v>761</v>
      </c>
      <c r="F491" s="10" t="str">
        <f t="shared" si="1"/>
        <v>Edna Smart</v>
      </c>
      <c r="G491" s="12" t="s">
        <v>22</v>
      </c>
      <c r="H491" s="13">
        <v>44408.0</v>
      </c>
      <c r="I491" s="13">
        <v>42625.0</v>
      </c>
      <c r="J491" s="11">
        <f t="shared" si="2"/>
        <v>1783</v>
      </c>
      <c r="K491" s="14">
        <v>79500.0</v>
      </c>
      <c r="L491" s="14">
        <v>3100.0</v>
      </c>
      <c r="M491" s="12">
        <v>2.0</v>
      </c>
      <c r="N491" s="12">
        <v>5.0</v>
      </c>
    </row>
    <row r="492" ht="15.75" customHeight="1">
      <c r="D492" s="12" t="s">
        <v>306</v>
      </c>
      <c r="E492" s="12" t="s">
        <v>762</v>
      </c>
      <c r="F492" s="10" t="str">
        <f t="shared" si="1"/>
        <v>Dorothy Smith</v>
      </c>
      <c r="G492" s="12" t="s">
        <v>30</v>
      </c>
      <c r="H492" s="13">
        <v>44408.0</v>
      </c>
      <c r="I492" s="13">
        <v>42975.0</v>
      </c>
      <c r="J492" s="11">
        <f t="shared" si="2"/>
        <v>1433</v>
      </c>
      <c r="K492" s="14">
        <v>61000.0</v>
      </c>
      <c r="L492" s="14">
        <v>4800.0</v>
      </c>
      <c r="M492" s="12">
        <v>8.0</v>
      </c>
      <c r="N492" s="12">
        <v>5.0</v>
      </c>
    </row>
    <row r="493" ht="15.75" customHeight="1">
      <c r="D493" s="12" t="s">
        <v>489</v>
      </c>
      <c r="E493" s="12" t="s">
        <v>762</v>
      </c>
      <c r="F493" s="10" t="str">
        <f t="shared" si="1"/>
        <v>Lee Smith</v>
      </c>
      <c r="G493" s="12" t="s">
        <v>30</v>
      </c>
      <c r="H493" s="13">
        <v>44408.0</v>
      </c>
      <c r="I493" s="13">
        <v>42635.0</v>
      </c>
      <c r="J493" s="11">
        <f t="shared" si="2"/>
        <v>1773</v>
      </c>
      <c r="K493" s="14">
        <v>80800.0</v>
      </c>
      <c r="L493" s="14">
        <v>4500.0</v>
      </c>
      <c r="M493" s="12">
        <v>9.0</v>
      </c>
      <c r="N493" s="12">
        <v>3.0</v>
      </c>
    </row>
    <row r="494" ht="15.75" customHeight="1">
      <c r="D494" s="12" t="s">
        <v>304</v>
      </c>
      <c r="E494" s="12" t="s">
        <v>762</v>
      </c>
      <c r="F494" s="10" t="str">
        <f t="shared" si="1"/>
        <v>Mark Smith</v>
      </c>
      <c r="G494" s="12" t="s">
        <v>33</v>
      </c>
      <c r="H494" s="13">
        <v>44408.0</v>
      </c>
      <c r="I494" s="13">
        <v>42428.0</v>
      </c>
      <c r="J494" s="11">
        <f t="shared" si="2"/>
        <v>1980</v>
      </c>
      <c r="K494" s="14">
        <v>34200.0</v>
      </c>
      <c r="L494" s="14">
        <v>0.0</v>
      </c>
      <c r="M494" s="12">
        <v>5.0</v>
      </c>
      <c r="N494" s="12">
        <v>3.0</v>
      </c>
    </row>
    <row r="495" ht="15.75" customHeight="1">
      <c r="D495" s="12" t="s">
        <v>763</v>
      </c>
      <c r="E495" s="12" t="s">
        <v>762</v>
      </c>
      <c r="F495" s="10" t="str">
        <f t="shared" si="1"/>
        <v>Mattie Smith</v>
      </c>
      <c r="G495" s="12" t="s">
        <v>70</v>
      </c>
      <c r="H495" s="13">
        <v>44408.0</v>
      </c>
      <c r="I495" s="13">
        <v>44106.0</v>
      </c>
      <c r="J495" s="11">
        <f t="shared" si="2"/>
        <v>302</v>
      </c>
      <c r="K495" s="14">
        <v>43400.0</v>
      </c>
      <c r="L495" s="14">
        <v>2300.0</v>
      </c>
      <c r="M495" s="12">
        <v>7.0</v>
      </c>
      <c r="N495" s="12">
        <v>3.0</v>
      </c>
    </row>
    <row r="496" ht="15.75" customHeight="1">
      <c r="D496" s="12" t="s">
        <v>764</v>
      </c>
      <c r="E496" s="12" t="s">
        <v>762</v>
      </c>
      <c r="F496" s="10" t="str">
        <f t="shared" si="1"/>
        <v>Susann Smith</v>
      </c>
      <c r="G496" s="12" t="s">
        <v>33</v>
      </c>
      <c r="H496" s="13">
        <v>44408.0</v>
      </c>
      <c r="I496" s="13">
        <v>42445.0</v>
      </c>
      <c r="J496" s="11">
        <f t="shared" si="2"/>
        <v>1963</v>
      </c>
      <c r="K496" s="14">
        <v>33700.0</v>
      </c>
      <c r="L496" s="14">
        <v>4100.0</v>
      </c>
      <c r="M496" s="12">
        <v>5.0</v>
      </c>
      <c r="N496" s="12">
        <v>5.0</v>
      </c>
    </row>
    <row r="497" ht="15.75" customHeight="1">
      <c r="D497" s="12" t="s">
        <v>294</v>
      </c>
      <c r="E497" s="12" t="s">
        <v>762</v>
      </c>
      <c r="F497" s="10" t="str">
        <f t="shared" si="1"/>
        <v>Wayne Smith</v>
      </c>
      <c r="G497" s="12" t="s">
        <v>81</v>
      </c>
      <c r="H497" s="13">
        <v>44408.0</v>
      </c>
      <c r="I497" s="13">
        <v>42097.0</v>
      </c>
      <c r="J497" s="11">
        <f t="shared" si="2"/>
        <v>2311</v>
      </c>
      <c r="K497" s="14">
        <v>46100.0</v>
      </c>
      <c r="L497" s="14">
        <v>0.0</v>
      </c>
      <c r="M497" s="12">
        <v>5.0</v>
      </c>
      <c r="N497" s="12">
        <v>5.0</v>
      </c>
    </row>
    <row r="498" ht="15.75" customHeight="1">
      <c r="D498" s="12" t="s">
        <v>765</v>
      </c>
      <c r="E498" s="12" t="s">
        <v>766</v>
      </c>
      <c r="F498" s="10" t="str">
        <f t="shared" si="1"/>
        <v>Sharon Snyder</v>
      </c>
      <c r="G498" s="12" t="s">
        <v>70</v>
      </c>
      <c r="H498" s="13">
        <v>44408.0</v>
      </c>
      <c r="I498" s="13">
        <v>43567.0</v>
      </c>
      <c r="J498" s="11">
        <f t="shared" si="2"/>
        <v>841</v>
      </c>
      <c r="K498" s="14">
        <v>38600.0</v>
      </c>
      <c r="L498" s="14">
        <v>0.0</v>
      </c>
      <c r="M498" s="12">
        <v>8.0</v>
      </c>
      <c r="N498" s="12">
        <v>4.0</v>
      </c>
    </row>
    <row r="499" ht="15.75" customHeight="1">
      <c r="D499" s="12" t="s">
        <v>767</v>
      </c>
      <c r="E499" s="12" t="s">
        <v>766</v>
      </c>
      <c r="F499" s="10" t="str">
        <f t="shared" si="1"/>
        <v>Thelma Snyder</v>
      </c>
      <c r="G499" s="12" t="s">
        <v>81</v>
      </c>
      <c r="H499" s="13">
        <v>44408.0</v>
      </c>
      <c r="I499" s="13">
        <v>44362.0</v>
      </c>
      <c r="J499" s="11">
        <f t="shared" si="2"/>
        <v>46</v>
      </c>
      <c r="K499" s="14">
        <v>120700.0</v>
      </c>
      <c r="L499" s="14">
        <v>7000.0</v>
      </c>
      <c r="M499" s="12">
        <v>2.0</v>
      </c>
      <c r="N499" s="12">
        <v>1.0</v>
      </c>
    </row>
    <row r="500" ht="15.75" customHeight="1">
      <c r="D500" s="12" t="s">
        <v>332</v>
      </c>
      <c r="E500" s="12" t="s">
        <v>768</v>
      </c>
      <c r="F500" s="10" t="str">
        <f t="shared" si="1"/>
        <v>Amy Solomon</v>
      </c>
      <c r="G500" s="12" t="s">
        <v>81</v>
      </c>
      <c r="H500" s="13">
        <v>44408.0</v>
      </c>
      <c r="I500" s="13">
        <v>44050.0</v>
      </c>
      <c r="J500" s="11">
        <f t="shared" si="2"/>
        <v>358</v>
      </c>
      <c r="K500" s="14">
        <v>74300.0</v>
      </c>
      <c r="L500" s="14">
        <v>3700.0</v>
      </c>
      <c r="M500" s="12">
        <v>3.0</v>
      </c>
      <c r="N500" s="12">
        <v>3.0</v>
      </c>
    </row>
    <row r="501" ht="15.75" customHeight="1">
      <c r="D501" s="12" t="s">
        <v>117</v>
      </c>
      <c r="E501" s="12" t="s">
        <v>769</v>
      </c>
      <c r="F501" s="10" t="str">
        <f t="shared" si="1"/>
        <v>James Soto</v>
      </c>
      <c r="G501" s="12" t="s">
        <v>47</v>
      </c>
      <c r="H501" s="13">
        <v>44408.0</v>
      </c>
      <c r="I501" s="13">
        <v>42031.0</v>
      </c>
      <c r="J501" s="11">
        <f t="shared" si="2"/>
        <v>2377</v>
      </c>
      <c r="K501" s="14">
        <v>65400.0</v>
      </c>
      <c r="L501" s="14">
        <v>4500.0</v>
      </c>
      <c r="M501" s="12">
        <v>4.0</v>
      </c>
      <c r="N501" s="12">
        <v>3.0</v>
      </c>
    </row>
    <row r="502" ht="15.75" customHeight="1">
      <c r="D502" s="12" t="s">
        <v>597</v>
      </c>
      <c r="E502" s="12" t="s">
        <v>770</v>
      </c>
      <c r="F502" s="10" t="str">
        <f t="shared" si="1"/>
        <v>Brian Stacy</v>
      </c>
      <c r="G502" s="12" t="s">
        <v>26</v>
      </c>
      <c r="H502" s="13">
        <v>44408.0</v>
      </c>
      <c r="I502" s="13">
        <v>43518.0</v>
      </c>
      <c r="J502" s="11">
        <f t="shared" si="2"/>
        <v>890</v>
      </c>
      <c r="K502" s="14">
        <v>36900.0</v>
      </c>
      <c r="L502" s="14">
        <v>1800.0</v>
      </c>
      <c r="M502" s="12">
        <v>11.0</v>
      </c>
      <c r="N502" s="12">
        <v>4.0</v>
      </c>
    </row>
    <row r="503" ht="15.75" customHeight="1">
      <c r="D503" s="12" t="s">
        <v>246</v>
      </c>
      <c r="E503" s="12" t="s">
        <v>302</v>
      </c>
      <c r="F503" s="10" t="str">
        <f t="shared" si="1"/>
        <v>Frank Stanley</v>
      </c>
      <c r="G503" s="12" t="s">
        <v>70</v>
      </c>
      <c r="H503" s="13">
        <v>44408.0</v>
      </c>
      <c r="I503" s="13">
        <v>43940.0</v>
      </c>
      <c r="J503" s="11">
        <f t="shared" si="2"/>
        <v>468</v>
      </c>
      <c r="K503" s="14">
        <v>32400.0</v>
      </c>
      <c r="L503" s="14">
        <v>100.0</v>
      </c>
      <c r="M503" s="12">
        <v>1.0</v>
      </c>
      <c r="N503" s="12">
        <v>1.0</v>
      </c>
    </row>
    <row r="504" ht="15.75" customHeight="1">
      <c r="D504" s="12" t="s">
        <v>771</v>
      </c>
      <c r="E504" s="12" t="s">
        <v>772</v>
      </c>
      <c r="F504" s="10" t="str">
        <f t="shared" si="1"/>
        <v>Gregory Staples</v>
      </c>
      <c r="G504" s="12" t="s">
        <v>81</v>
      </c>
      <c r="H504" s="13">
        <v>44408.0</v>
      </c>
      <c r="I504" s="13">
        <v>43089.0</v>
      </c>
      <c r="J504" s="11">
        <f t="shared" si="2"/>
        <v>1319</v>
      </c>
      <c r="K504" s="14">
        <v>143100.0</v>
      </c>
      <c r="L504" s="14">
        <v>6600.0</v>
      </c>
      <c r="M504" s="12">
        <v>3.0</v>
      </c>
      <c r="N504" s="12">
        <v>3.0</v>
      </c>
    </row>
    <row r="505" ht="15.75" customHeight="1">
      <c r="D505" s="12" t="s">
        <v>267</v>
      </c>
      <c r="E505" s="12" t="s">
        <v>773</v>
      </c>
      <c r="F505" s="10" t="str">
        <f t="shared" si="1"/>
        <v>Jason Steele</v>
      </c>
      <c r="G505" s="12" t="s">
        <v>70</v>
      </c>
      <c r="H505" s="13">
        <v>44408.0</v>
      </c>
      <c r="I505" s="13">
        <v>42320.0</v>
      </c>
      <c r="J505" s="11">
        <f t="shared" si="2"/>
        <v>2088</v>
      </c>
      <c r="K505" s="14">
        <v>54100.0</v>
      </c>
      <c r="L505" s="14">
        <v>1500.0</v>
      </c>
      <c r="M505" s="12">
        <v>3.0</v>
      </c>
      <c r="N505" s="12">
        <v>4.0</v>
      </c>
    </row>
    <row r="506" ht="15.75" customHeight="1">
      <c r="D506" s="12" t="s">
        <v>774</v>
      </c>
      <c r="E506" s="12" t="s">
        <v>775</v>
      </c>
      <c r="F506" s="10" t="str">
        <f t="shared" si="1"/>
        <v>Bertha Steiner</v>
      </c>
      <c r="G506" s="12" t="s">
        <v>70</v>
      </c>
      <c r="H506" s="13">
        <v>44408.0</v>
      </c>
      <c r="I506" s="13">
        <v>42539.0</v>
      </c>
      <c r="J506" s="11">
        <f t="shared" si="2"/>
        <v>1869</v>
      </c>
      <c r="K506" s="14">
        <v>38000.0</v>
      </c>
      <c r="L506" s="14">
        <v>1900.0</v>
      </c>
      <c r="M506" s="12">
        <v>6.0</v>
      </c>
      <c r="N506" s="12">
        <v>2.0</v>
      </c>
    </row>
    <row r="507" ht="15.75" customHeight="1">
      <c r="D507" s="12" t="s">
        <v>776</v>
      </c>
      <c r="E507" s="12" t="s">
        <v>777</v>
      </c>
      <c r="F507" s="10" t="str">
        <f t="shared" si="1"/>
        <v>Toby Stone</v>
      </c>
      <c r="G507" s="12" t="s">
        <v>22</v>
      </c>
      <c r="H507" s="13">
        <v>44408.0</v>
      </c>
      <c r="I507" s="13">
        <v>43330.0</v>
      </c>
      <c r="J507" s="11">
        <f t="shared" si="2"/>
        <v>1078</v>
      </c>
      <c r="K507" s="14">
        <v>79900.0</v>
      </c>
      <c r="L507" s="14">
        <v>5000.0</v>
      </c>
      <c r="M507" s="12">
        <v>1.0</v>
      </c>
      <c r="N507" s="12">
        <v>3.0</v>
      </c>
    </row>
    <row r="508" ht="15.75" customHeight="1">
      <c r="D508" s="12" t="s">
        <v>778</v>
      </c>
      <c r="E508" s="12" t="s">
        <v>779</v>
      </c>
      <c r="F508" s="10" t="str">
        <f t="shared" si="1"/>
        <v>Lena Story</v>
      </c>
      <c r="G508" s="12" t="s">
        <v>26</v>
      </c>
      <c r="H508" s="13">
        <v>44408.0</v>
      </c>
      <c r="I508" s="13">
        <v>43054.0</v>
      </c>
      <c r="J508" s="11">
        <f t="shared" si="2"/>
        <v>1354</v>
      </c>
      <c r="K508" s="14">
        <v>26700.0</v>
      </c>
      <c r="L508" s="14">
        <v>2100.0</v>
      </c>
      <c r="M508" s="12">
        <v>5.0</v>
      </c>
      <c r="N508" s="12">
        <v>3.0</v>
      </c>
    </row>
    <row r="509" ht="15.75" customHeight="1">
      <c r="D509" s="12" t="s">
        <v>393</v>
      </c>
      <c r="E509" s="12" t="s">
        <v>780</v>
      </c>
      <c r="F509" s="10" t="str">
        <f t="shared" si="1"/>
        <v>Amanda Strong</v>
      </c>
      <c r="G509" s="12" t="s">
        <v>30</v>
      </c>
      <c r="H509" s="13">
        <v>44408.0</v>
      </c>
      <c r="I509" s="13">
        <v>44075.0</v>
      </c>
      <c r="J509" s="11">
        <f t="shared" si="2"/>
        <v>333</v>
      </c>
      <c r="K509" s="14">
        <v>136700.0</v>
      </c>
      <c r="L509" s="14">
        <v>6600.0</v>
      </c>
      <c r="M509" s="12">
        <v>8.0</v>
      </c>
      <c r="N509" s="12">
        <v>5.0</v>
      </c>
    </row>
    <row r="510" ht="15.75" customHeight="1">
      <c r="D510" s="12" t="s">
        <v>99</v>
      </c>
      <c r="E510" s="12" t="s">
        <v>780</v>
      </c>
      <c r="F510" s="10" t="str">
        <f t="shared" si="1"/>
        <v>John Strong</v>
      </c>
      <c r="G510" s="12" t="s">
        <v>81</v>
      </c>
      <c r="H510" s="13">
        <v>44408.0</v>
      </c>
      <c r="I510" s="13">
        <v>44148.0</v>
      </c>
      <c r="J510" s="11">
        <f t="shared" si="2"/>
        <v>260</v>
      </c>
      <c r="K510" s="14">
        <v>121000.0</v>
      </c>
      <c r="L510" s="14">
        <v>1900.0</v>
      </c>
      <c r="M510" s="12">
        <v>8.0</v>
      </c>
      <c r="N510" s="12">
        <v>5.0</v>
      </c>
    </row>
    <row r="511" ht="15.75" customHeight="1">
      <c r="D511" s="12" t="s">
        <v>198</v>
      </c>
      <c r="E511" s="12" t="s">
        <v>781</v>
      </c>
      <c r="F511" s="10" t="str">
        <f t="shared" si="1"/>
        <v>Ray Sullivan</v>
      </c>
      <c r="G511" s="12" t="s">
        <v>70</v>
      </c>
      <c r="H511" s="13">
        <v>44408.0</v>
      </c>
      <c r="I511" s="13">
        <v>42955.0</v>
      </c>
      <c r="J511" s="11">
        <f t="shared" si="2"/>
        <v>1453</v>
      </c>
      <c r="K511" s="14">
        <v>55600.0</v>
      </c>
      <c r="L511" s="14">
        <v>1200.0</v>
      </c>
      <c r="M511" s="12">
        <v>2.0</v>
      </c>
      <c r="N511" s="12">
        <v>3.0</v>
      </c>
    </row>
    <row r="512" ht="15.75" customHeight="1">
      <c r="D512" s="12" t="s">
        <v>782</v>
      </c>
      <c r="E512" s="12" t="s">
        <v>783</v>
      </c>
      <c r="F512" s="10" t="str">
        <f t="shared" si="1"/>
        <v>Teresa Surrett</v>
      </c>
      <c r="G512" s="12" t="s">
        <v>70</v>
      </c>
      <c r="H512" s="13">
        <v>44408.0</v>
      </c>
      <c r="I512" s="13">
        <v>42316.0</v>
      </c>
      <c r="J512" s="11">
        <f t="shared" si="2"/>
        <v>2092</v>
      </c>
      <c r="K512" s="14">
        <v>20000.0</v>
      </c>
      <c r="L512" s="14">
        <v>1300.0</v>
      </c>
      <c r="M512" s="12">
        <v>5.0</v>
      </c>
      <c r="N512" s="12">
        <v>2.0</v>
      </c>
    </row>
    <row r="513" ht="15.75" customHeight="1">
      <c r="D513" s="12" t="s">
        <v>784</v>
      </c>
      <c r="E513" s="12" t="s">
        <v>785</v>
      </c>
      <c r="F513" s="10" t="str">
        <f t="shared" si="1"/>
        <v>Natalie Sutton</v>
      </c>
      <c r="G513" s="12" t="s">
        <v>81</v>
      </c>
      <c r="H513" s="13">
        <v>44408.0</v>
      </c>
      <c r="I513" s="13">
        <v>42108.0</v>
      </c>
      <c r="J513" s="11">
        <f t="shared" si="2"/>
        <v>2300</v>
      </c>
      <c r="K513" s="14">
        <v>109700.0</v>
      </c>
      <c r="L513" s="14">
        <v>3200.0</v>
      </c>
      <c r="M513" s="12">
        <v>5.0</v>
      </c>
      <c r="N513" s="12">
        <v>2.0</v>
      </c>
    </row>
    <row r="514" ht="15.75" customHeight="1">
      <c r="D514" s="12" t="s">
        <v>267</v>
      </c>
      <c r="E514" s="12" t="s">
        <v>786</v>
      </c>
      <c r="F514" s="10" t="str">
        <f t="shared" si="1"/>
        <v>Jason Swann</v>
      </c>
      <c r="G514" s="12" t="s">
        <v>30</v>
      </c>
      <c r="H514" s="13">
        <v>44408.0</v>
      </c>
      <c r="I514" s="13">
        <v>44093.0</v>
      </c>
      <c r="J514" s="11">
        <f t="shared" si="2"/>
        <v>315</v>
      </c>
      <c r="K514" s="14">
        <v>81100.0</v>
      </c>
      <c r="L514" s="14">
        <v>3800.0</v>
      </c>
      <c r="M514" s="12">
        <v>7.0</v>
      </c>
      <c r="N514" s="12">
        <v>4.0</v>
      </c>
    </row>
    <row r="515" ht="15.75" customHeight="1">
      <c r="D515" s="12" t="s">
        <v>300</v>
      </c>
      <c r="E515" s="12" t="s">
        <v>787</v>
      </c>
      <c r="F515" s="10" t="str">
        <f t="shared" si="1"/>
        <v>Henry Sweeney</v>
      </c>
      <c r="G515" s="12" t="s">
        <v>26</v>
      </c>
      <c r="H515" s="13">
        <v>44408.0</v>
      </c>
      <c r="I515" s="13">
        <v>42581.0</v>
      </c>
      <c r="J515" s="11">
        <f t="shared" si="2"/>
        <v>1827</v>
      </c>
      <c r="K515" s="14">
        <v>44500.0</v>
      </c>
      <c r="L515" s="14">
        <v>0.0</v>
      </c>
      <c r="M515" s="12">
        <v>7.0</v>
      </c>
      <c r="N515" s="12">
        <v>2.0</v>
      </c>
    </row>
    <row r="516" ht="15.75" customHeight="1">
      <c r="D516" s="12" t="s">
        <v>788</v>
      </c>
      <c r="E516" s="12" t="s">
        <v>789</v>
      </c>
      <c r="F516" s="10" t="str">
        <f t="shared" si="1"/>
        <v>Elsie Tadlock</v>
      </c>
      <c r="G516" s="12" t="s">
        <v>70</v>
      </c>
      <c r="H516" s="13">
        <v>44408.0</v>
      </c>
      <c r="I516" s="13">
        <v>43199.0</v>
      </c>
      <c r="J516" s="11">
        <f t="shared" si="2"/>
        <v>1209</v>
      </c>
      <c r="K516" s="14">
        <v>34500.0</v>
      </c>
      <c r="L516" s="14">
        <v>3000.0</v>
      </c>
      <c r="M516" s="12">
        <v>6.0</v>
      </c>
      <c r="N516" s="12">
        <v>3.0</v>
      </c>
    </row>
    <row r="517" ht="15.75" customHeight="1">
      <c r="D517" s="12" t="s">
        <v>790</v>
      </c>
      <c r="E517" s="12" t="s">
        <v>791</v>
      </c>
      <c r="F517" s="10" t="str">
        <f t="shared" si="1"/>
        <v>Rafael Taylor</v>
      </c>
      <c r="G517" s="12" t="s">
        <v>26</v>
      </c>
      <c r="H517" s="13">
        <v>44408.0</v>
      </c>
      <c r="I517" s="13">
        <v>42353.0</v>
      </c>
      <c r="J517" s="11">
        <f t="shared" si="2"/>
        <v>2055</v>
      </c>
      <c r="K517" s="14">
        <v>53700.0</v>
      </c>
      <c r="L517" s="14">
        <v>1100.0</v>
      </c>
      <c r="M517" s="12">
        <v>7.0</v>
      </c>
      <c r="N517" s="12">
        <v>2.0</v>
      </c>
    </row>
    <row r="518" ht="15.75" customHeight="1">
      <c r="D518" s="12" t="s">
        <v>716</v>
      </c>
      <c r="E518" s="12" t="s">
        <v>791</v>
      </c>
      <c r="F518" s="10" t="str">
        <f t="shared" si="1"/>
        <v>Samuel Taylor</v>
      </c>
      <c r="G518" s="12" t="s">
        <v>47</v>
      </c>
      <c r="H518" s="13">
        <v>44408.0</v>
      </c>
      <c r="I518" s="13">
        <v>44310.0</v>
      </c>
      <c r="J518" s="11">
        <f t="shared" si="2"/>
        <v>98</v>
      </c>
      <c r="K518" s="14">
        <v>58800.0</v>
      </c>
      <c r="L518" s="14">
        <v>3800.0</v>
      </c>
      <c r="M518" s="12">
        <v>4.0</v>
      </c>
      <c r="N518" s="12">
        <v>4.0</v>
      </c>
    </row>
    <row r="519" ht="15.75" customHeight="1">
      <c r="D519" s="12" t="s">
        <v>792</v>
      </c>
      <c r="E519" s="12" t="s">
        <v>793</v>
      </c>
      <c r="F519" s="10" t="str">
        <f t="shared" si="1"/>
        <v>Becky Temple</v>
      </c>
      <c r="G519" s="12" t="s">
        <v>30</v>
      </c>
      <c r="H519" s="13">
        <v>44408.0</v>
      </c>
      <c r="I519" s="13">
        <v>43255.0</v>
      </c>
      <c r="J519" s="11">
        <f t="shared" si="2"/>
        <v>1153</v>
      </c>
      <c r="K519" s="14">
        <v>84100.0</v>
      </c>
      <c r="L519" s="14">
        <v>5300.0</v>
      </c>
      <c r="M519" s="12">
        <v>4.0</v>
      </c>
      <c r="N519" s="12">
        <v>3.0</v>
      </c>
    </row>
    <row r="520" ht="15.75" customHeight="1">
      <c r="D520" s="12" t="s">
        <v>794</v>
      </c>
      <c r="E520" s="12" t="s">
        <v>471</v>
      </c>
      <c r="F520" s="10" t="str">
        <f t="shared" si="1"/>
        <v>Vanessa Terry</v>
      </c>
      <c r="G520" s="12" t="s">
        <v>70</v>
      </c>
      <c r="H520" s="13">
        <v>44408.0</v>
      </c>
      <c r="I520" s="13">
        <v>42497.0</v>
      </c>
      <c r="J520" s="11">
        <f t="shared" si="2"/>
        <v>1911</v>
      </c>
      <c r="K520" s="14">
        <v>31100.0</v>
      </c>
      <c r="L520" s="14">
        <v>900.0</v>
      </c>
      <c r="M520" s="12">
        <v>5.0</v>
      </c>
      <c r="N520" s="12">
        <v>2.0</v>
      </c>
    </row>
    <row r="521" ht="15.75" customHeight="1">
      <c r="D521" s="12" t="s">
        <v>119</v>
      </c>
      <c r="E521" s="12" t="s">
        <v>282</v>
      </c>
      <c r="F521" s="10" t="str">
        <f t="shared" si="1"/>
        <v>Robert Thomas</v>
      </c>
      <c r="G521" s="12" t="s">
        <v>56</v>
      </c>
      <c r="H521" s="13">
        <v>44408.0</v>
      </c>
      <c r="I521" s="13">
        <v>44374.0</v>
      </c>
      <c r="J521" s="11">
        <f t="shared" si="2"/>
        <v>34</v>
      </c>
      <c r="K521" s="14">
        <v>38500.0</v>
      </c>
      <c r="L521" s="14">
        <v>400.0</v>
      </c>
      <c r="M521" s="12">
        <v>9.0</v>
      </c>
      <c r="N521" s="12">
        <v>2.0</v>
      </c>
    </row>
    <row r="522" ht="15.75" customHeight="1">
      <c r="D522" s="12" t="s">
        <v>647</v>
      </c>
      <c r="E522" s="12" t="s">
        <v>795</v>
      </c>
      <c r="F522" s="10" t="str">
        <f t="shared" si="1"/>
        <v>Estelle Thompson</v>
      </c>
      <c r="G522" s="12" t="s">
        <v>33</v>
      </c>
      <c r="H522" s="13">
        <v>44408.0</v>
      </c>
      <c r="I522" s="13">
        <v>42881.0</v>
      </c>
      <c r="J522" s="11">
        <f t="shared" si="2"/>
        <v>1527</v>
      </c>
      <c r="K522" s="14">
        <v>36000.0</v>
      </c>
      <c r="L522" s="14">
        <v>800.0</v>
      </c>
      <c r="M522" s="12">
        <v>4.0</v>
      </c>
      <c r="N522" s="12">
        <v>5.0</v>
      </c>
    </row>
    <row r="523" ht="15.75" customHeight="1">
      <c r="D523" s="12" t="s">
        <v>117</v>
      </c>
      <c r="E523" s="12" t="s">
        <v>795</v>
      </c>
      <c r="F523" s="10" t="str">
        <f t="shared" si="1"/>
        <v>James Thompson</v>
      </c>
      <c r="G523" s="12" t="s">
        <v>70</v>
      </c>
      <c r="H523" s="13">
        <v>44408.0</v>
      </c>
      <c r="I523" s="13">
        <v>43896.0</v>
      </c>
      <c r="J523" s="11">
        <f t="shared" si="2"/>
        <v>512</v>
      </c>
      <c r="K523" s="14">
        <v>26300.0</v>
      </c>
      <c r="L523" s="14">
        <v>100.0</v>
      </c>
      <c r="M523" s="12">
        <v>7.0</v>
      </c>
      <c r="N523" s="12">
        <v>3.0</v>
      </c>
    </row>
    <row r="524" ht="15.75" customHeight="1">
      <c r="D524" s="12" t="s">
        <v>478</v>
      </c>
      <c r="E524" s="12" t="s">
        <v>796</v>
      </c>
      <c r="F524" s="10" t="str">
        <f t="shared" si="1"/>
        <v>Rachel Thorpe</v>
      </c>
      <c r="G524" s="12" t="s">
        <v>81</v>
      </c>
      <c r="H524" s="13">
        <v>44408.0</v>
      </c>
      <c r="I524" s="13">
        <v>44362.0</v>
      </c>
      <c r="J524" s="11">
        <f t="shared" si="2"/>
        <v>46</v>
      </c>
      <c r="K524" s="14">
        <v>85400.0</v>
      </c>
      <c r="L524" s="14">
        <v>4300.0</v>
      </c>
      <c r="M524" s="12">
        <v>9.0</v>
      </c>
      <c r="N524" s="12">
        <v>4.0</v>
      </c>
    </row>
    <row r="525" ht="15.75" customHeight="1">
      <c r="D525" s="12" t="s">
        <v>797</v>
      </c>
      <c r="E525" s="12" t="s">
        <v>798</v>
      </c>
      <c r="F525" s="10" t="str">
        <f t="shared" si="1"/>
        <v>Betsy Trinh</v>
      </c>
      <c r="G525" s="12" t="s">
        <v>30</v>
      </c>
      <c r="H525" s="13">
        <v>44408.0</v>
      </c>
      <c r="I525" s="13">
        <v>44068.0</v>
      </c>
      <c r="J525" s="11">
        <f t="shared" si="2"/>
        <v>340</v>
      </c>
      <c r="K525" s="14">
        <v>84600.0</v>
      </c>
      <c r="L525" s="14">
        <v>2200.0</v>
      </c>
      <c r="M525" s="12">
        <v>7.0</v>
      </c>
      <c r="N525" s="12">
        <v>3.0</v>
      </c>
    </row>
    <row r="526" ht="15.75" customHeight="1">
      <c r="D526" s="12" t="s">
        <v>799</v>
      </c>
      <c r="E526" s="12" t="s">
        <v>800</v>
      </c>
      <c r="F526" s="10" t="str">
        <f t="shared" si="1"/>
        <v>Alan True</v>
      </c>
      <c r="G526" s="12" t="s">
        <v>33</v>
      </c>
      <c r="H526" s="13">
        <v>44408.0</v>
      </c>
      <c r="I526" s="13">
        <v>42821.0</v>
      </c>
      <c r="J526" s="11">
        <f t="shared" si="2"/>
        <v>1587</v>
      </c>
      <c r="K526" s="14">
        <v>46600.0</v>
      </c>
      <c r="L526" s="14">
        <v>1400.0</v>
      </c>
      <c r="M526" s="12">
        <v>4.0</v>
      </c>
      <c r="N526" s="12">
        <v>4.0</v>
      </c>
    </row>
    <row r="527" ht="15.75" customHeight="1">
      <c r="D527" s="12" t="s">
        <v>117</v>
      </c>
      <c r="E527" s="12" t="s">
        <v>801</v>
      </c>
      <c r="F527" s="10" t="str">
        <f t="shared" si="1"/>
        <v>James Tsao</v>
      </c>
      <c r="G527" s="12" t="s">
        <v>81</v>
      </c>
      <c r="H527" s="13">
        <v>44408.0</v>
      </c>
      <c r="I527" s="13">
        <v>43247.0</v>
      </c>
      <c r="J527" s="11">
        <f t="shared" si="2"/>
        <v>1161</v>
      </c>
      <c r="K527" s="14">
        <v>161300.0</v>
      </c>
      <c r="L527" s="14">
        <v>7200.0</v>
      </c>
      <c r="M527" s="12">
        <v>4.0</v>
      </c>
      <c r="N527" s="12">
        <v>3.0</v>
      </c>
    </row>
    <row r="528" ht="15.75" customHeight="1">
      <c r="D528" s="12" t="s">
        <v>802</v>
      </c>
      <c r="E528" s="12" t="s">
        <v>803</v>
      </c>
      <c r="F528" s="10" t="str">
        <f t="shared" si="1"/>
        <v>Eugene Turner</v>
      </c>
      <c r="G528" s="12" t="s">
        <v>30</v>
      </c>
      <c r="H528" s="13">
        <v>44408.0</v>
      </c>
      <c r="I528" s="13">
        <v>43331.0</v>
      </c>
      <c r="J528" s="11">
        <f t="shared" si="2"/>
        <v>1077</v>
      </c>
      <c r="K528" s="14">
        <v>87000.0</v>
      </c>
      <c r="L528" s="14">
        <v>5900.0</v>
      </c>
      <c r="M528" s="12">
        <v>6.0</v>
      </c>
      <c r="N528" s="12">
        <v>4.0</v>
      </c>
    </row>
    <row r="529" ht="15.75" customHeight="1">
      <c r="D529" s="12" t="s">
        <v>804</v>
      </c>
      <c r="E529" s="12" t="s">
        <v>803</v>
      </c>
      <c r="F529" s="10" t="str">
        <f t="shared" si="1"/>
        <v>Mamie Turner</v>
      </c>
      <c r="G529" s="12" t="s">
        <v>33</v>
      </c>
      <c r="H529" s="13">
        <v>44408.0</v>
      </c>
      <c r="I529" s="13">
        <v>44025.0</v>
      </c>
      <c r="J529" s="11">
        <f t="shared" si="2"/>
        <v>383</v>
      </c>
      <c r="K529" s="14">
        <v>55600.0</v>
      </c>
      <c r="L529" s="14">
        <v>2000.0</v>
      </c>
      <c r="M529" s="12">
        <v>10.0</v>
      </c>
      <c r="N529" s="12">
        <v>5.0</v>
      </c>
    </row>
    <row r="530" ht="15.75" customHeight="1">
      <c r="D530" s="12" t="s">
        <v>58</v>
      </c>
      <c r="E530" s="12" t="s">
        <v>805</v>
      </c>
      <c r="F530" s="10" t="str">
        <f t="shared" si="1"/>
        <v>Mary Twomey</v>
      </c>
      <c r="G530" s="12" t="s">
        <v>33</v>
      </c>
      <c r="H530" s="13">
        <v>44408.0</v>
      </c>
      <c r="I530" s="13">
        <v>42450.0</v>
      </c>
      <c r="J530" s="11">
        <f t="shared" si="2"/>
        <v>1958</v>
      </c>
      <c r="K530" s="14">
        <v>51600.0</v>
      </c>
      <c r="L530" s="14">
        <v>3700.0</v>
      </c>
      <c r="M530" s="12">
        <v>7.0</v>
      </c>
      <c r="N530" s="12">
        <v>3.0</v>
      </c>
    </row>
    <row r="531" ht="15.75" customHeight="1">
      <c r="D531" s="12" t="s">
        <v>806</v>
      </c>
      <c r="E531" s="12" t="s">
        <v>807</v>
      </c>
      <c r="F531" s="10" t="str">
        <f t="shared" si="1"/>
        <v>Malcolm Tyler</v>
      </c>
      <c r="G531" s="12" t="s">
        <v>81</v>
      </c>
      <c r="H531" s="13">
        <v>44408.0</v>
      </c>
      <c r="I531" s="13">
        <v>44102.0</v>
      </c>
      <c r="J531" s="11">
        <f t="shared" si="2"/>
        <v>306</v>
      </c>
      <c r="K531" s="14">
        <v>91200.0</v>
      </c>
      <c r="L531" s="14">
        <v>5100.0</v>
      </c>
      <c r="M531" s="12">
        <v>5.0</v>
      </c>
      <c r="N531" s="12">
        <v>4.0</v>
      </c>
    </row>
    <row r="532" ht="15.75" customHeight="1">
      <c r="D532" s="12" t="s">
        <v>808</v>
      </c>
      <c r="E532" s="12" t="s">
        <v>809</v>
      </c>
      <c r="F532" s="10" t="str">
        <f t="shared" si="1"/>
        <v>Caitlyn Uribe</v>
      </c>
      <c r="G532" s="12" t="s">
        <v>47</v>
      </c>
      <c r="H532" s="13">
        <v>44408.0</v>
      </c>
      <c r="I532" s="13">
        <v>44035.0</v>
      </c>
      <c r="J532" s="11">
        <f t="shared" si="2"/>
        <v>373</v>
      </c>
      <c r="K532" s="14">
        <v>47400.0</v>
      </c>
      <c r="L532" s="14">
        <v>1500.0</v>
      </c>
      <c r="M532" s="12">
        <v>5.0</v>
      </c>
      <c r="N532" s="12">
        <v>3.0</v>
      </c>
    </row>
    <row r="533" ht="15.75" customHeight="1">
      <c r="D533" s="12" t="s">
        <v>393</v>
      </c>
      <c r="E533" s="12" t="s">
        <v>810</v>
      </c>
      <c r="F533" s="10" t="str">
        <f t="shared" si="1"/>
        <v>Amanda Valdez</v>
      </c>
      <c r="G533" s="12" t="s">
        <v>81</v>
      </c>
      <c r="H533" s="13">
        <v>44408.0</v>
      </c>
      <c r="I533" s="13">
        <v>43558.0</v>
      </c>
      <c r="J533" s="11">
        <f t="shared" si="2"/>
        <v>850</v>
      </c>
      <c r="K533" s="14">
        <v>58600.0</v>
      </c>
      <c r="L533" s="14">
        <v>800.0</v>
      </c>
      <c r="M533" s="12">
        <v>6.0</v>
      </c>
      <c r="N533" s="12">
        <v>5.0</v>
      </c>
    </row>
    <row r="534" ht="15.75" customHeight="1">
      <c r="D534" s="12" t="s">
        <v>58</v>
      </c>
      <c r="E534" s="12" t="s">
        <v>811</v>
      </c>
      <c r="F534" s="10" t="str">
        <f t="shared" si="1"/>
        <v>Mary Vanslyke</v>
      </c>
      <c r="G534" s="12" t="s">
        <v>56</v>
      </c>
      <c r="H534" s="13">
        <v>44408.0</v>
      </c>
      <c r="I534" s="13">
        <v>42890.0</v>
      </c>
      <c r="J534" s="11">
        <f t="shared" si="2"/>
        <v>1518</v>
      </c>
      <c r="K534" s="14">
        <v>57400.0</v>
      </c>
      <c r="L534" s="14">
        <v>2800.0</v>
      </c>
      <c r="M534" s="12">
        <v>0.0</v>
      </c>
      <c r="N534" s="12">
        <v>2.0</v>
      </c>
    </row>
    <row r="535" ht="15.75" customHeight="1">
      <c r="D535" s="12" t="s">
        <v>117</v>
      </c>
      <c r="E535" s="12" t="s">
        <v>812</v>
      </c>
      <c r="F535" s="10" t="str">
        <f t="shared" si="1"/>
        <v>James Varela</v>
      </c>
      <c r="G535" s="12" t="s">
        <v>33</v>
      </c>
      <c r="H535" s="13">
        <v>44408.0</v>
      </c>
      <c r="I535" s="13">
        <v>44368.0</v>
      </c>
      <c r="J535" s="11">
        <f t="shared" si="2"/>
        <v>40</v>
      </c>
      <c r="K535" s="14">
        <v>64800.0</v>
      </c>
      <c r="L535" s="14">
        <v>4100.0</v>
      </c>
      <c r="M535" s="12">
        <v>4.0</v>
      </c>
      <c r="N535" s="12">
        <v>5.0</v>
      </c>
    </row>
    <row r="536" ht="15.75" customHeight="1">
      <c r="D536" s="12" t="s">
        <v>813</v>
      </c>
      <c r="E536" s="12" t="s">
        <v>814</v>
      </c>
      <c r="F536" s="10" t="str">
        <f t="shared" si="1"/>
        <v>Brenda Vargas</v>
      </c>
      <c r="G536" s="12" t="s">
        <v>26</v>
      </c>
      <c r="H536" s="13">
        <v>44408.0</v>
      </c>
      <c r="I536" s="13">
        <v>43861.0</v>
      </c>
      <c r="J536" s="11">
        <f t="shared" si="2"/>
        <v>547</v>
      </c>
      <c r="K536" s="14">
        <v>40000.0</v>
      </c>
      <c r="L536" s="14">
        <v>2500.0</v>
      </c>
      <c r="M536" s="12">
        <v>2.0</v>
      </c>
      <c r="N536" s="12">
        <v>4.0</v>
      </c>
    </row>
    <row r="537" ht="15.75" customHeight="1">
      <c r="D537" s="12" t="s">
        <v>99</v>
      </c>
      <c r="E537" s="12" t="s">
        <v>814</v>
      </c>
      <c r="F537" s="10" t="str">
        <f t="shared" si="1"/>
        <v>John Vargas</v>
      </c>
      <c r="G537" s="12" t="s">
        <v>30</v>
      </c>
      <c r="H537" s="13">
        <v>44408.0</v>
      </c>
      <c r="I537" s="13">
        <v>43432.0</v>
      </c>
      <c r="J537" s="11">
        <f t="shared" si="2"/>
        <v>976</v>
      </c>
      <c r="K537" s="14">
        <v>50600.0</v>
      </c>
      <c r="L537" s="14">
        <v>3900.0</v>
      </c>
      <c r="M537" s="12">
        <v>5.0</v>
      </c>
      <c r="N537" s="12">
        <v>4.0</v>
      </c>
    </row>
    <row r="538" ht="15.75" customHeight="1">
      <c r="D538" s="12" t="s">
        <v>815</v>
      </c>
      <c r="E538" s="12" t="s">
        <v>816</v>
      </c>
      <c r="F538" s="10" t="str">
        <f t="shared" si="1"/>
        <v>Marisha Varghese</v>
      </c>
      <c r="G538" s="12" t="s">
        <v>81</v>
      </c>
      <c r="H538" s="13">
        <v>44408.0</v>
      </c>
      <c r="I538" s="13">
        <v>43710.0</v>
      </c>
      <c r="J538" s="11">
        <f t="shared" si="2"/>
        <v>698</v>
      </c>
      <c r="K538" s="14">
        <v>85000.0</v>
      </c>
      <c r="L538" s="14">
        <v>5000.0</v>
      </c>
      <c r="M538" s="12">
        <v>3.0</v>
      </c>
      <c r="N538" s="12">
        <v>4.0</v>
      </c>
    </row>
    <row r="539" ht="15.75" customHeight="1">
      <c r="D539" s="12" t="s">
        <v>332</v>
      </c>
      <c r="E539" s="12" t="s">
        <v>817</v>
      </c>
      <c r="F539" s="10" t="str">
        <f t="shared" si="1"/>
        <v>Amy Varner</v>
      </c>
      <c r="G539" s="12" t="s">
        <v>47</v>
      </c>
      <c r="H539" s="13">
        <v>44408.0</v>
      </c>
      <c r="I539" s="13">
        <v>42662.0</v>
      </c>
      <c r="J539" s="11">
        <f t="shared" si="2"/>
        <v>1746</v>
      </c>
      <c r="K539" s="14">
        <v>56600.0</v>
      </c>
      <c r="L539" s="14">
        <v>1700.0</v>
      </c>
      <c r="M539" s="12">
        <v>3.0</v>
      </c>
      <c r="N539" s="12">
        <v>3.0</v>
      </c>
    </row>
    <row r="540" ht="15.75" customHeight="1">
      <c r="D540" s="12" t="s">
        <v>220</v>
      </c>
      <c r="E540" s="12" t="s">
        <v>68</v>
      </c>
      <c r="F540" s="10" t="str">
        <f t="shared" si="1"/>
        <v>Craig Vaughn</v>
      </c>
      <c r="G540" s="12" t="s">
        <v>26</v>
      </c>
      <c r="H540" s="13">
        <v>44408.0</v>
      </c>
      <c r="I540" s="13">
        <v>43048.0</v>
      </c>
      <c r="J540" s="11">
        <f t="shared" si="2"/>
        <v>1360</v>
      </c>
      <c r="K540" s="14">
        <v>44500.0</v>
      </c>
      <c r="L540" s="14">
        <v>0.0</v>
      </c>
      <c r="M540" s="12">
        <v>7.0</v>
      </c>
      <c r="N540" s="12">
        <v>4.0</v>
      </c>
    </row>
    <row r="541" ht="15.75" customHeight="1">
      <c r="D541" s="12" t="s">
        <v>818</v>
      </c>
      <c r="E541" s="12" t="s">
        <v>819</v>
      </c>
      <c r="F541" s="10" t="str">
        <f t="shared" si="1"/>
        <v>Geoffrey Vazquez</v>
      </c>
      <c r="G541" s="12" t="s">
        <v>70</v>
      </c>
      <c r="H541" s="13">
        <v>44408.0</v>
      </c>
      <c r="I541" s="13">
        <v>43894.0</v>
      </c>
      <c r="J541" s="11">
        <f t="shared" si="2"/>
        <v>514</v>
      </c>
      <c r="K541" s="14">
        <v>37100.0</v>
      </c>
      <c r="L541" s="14">
        <v>700.0</v>
      </c>
      <c r="M541" s="12">
        <v>3.0</v>
      </c>
      <c r="N541" s="12">
        <v>4.0</v>
      </c>
    </row>
    <row r="542" ht="15.75" customHeight="1">
      <c r="D542" s="12" t="s">
        <v>282</v>
      </c>
      <c r="E542" s="12" t="s">
        <v>819</v>
      </c>
      <c r="F542" s="10" t="str">
        <f t="shared" si="1"/>
        <v>Thomas Vazquez</v>
      </c>
      <c r="G542" s="12" t="s">
        <v>56</v>
      </c>
      <c r="H542" s="13">
        <v>44408.0</v>
      </c>
      <c r="I542" s="13">
        <v>43742.0</v>
      </c>
      <c r="J542" s="11">
        <f t="shared" si="2"/>
        <v>666</v>
      </c>
      <c r="K542" s="14">
        <v>55700.0</v>
      </c>
      <c r="L542" s="14">
        <v>2200.0</v>
      </c>
      <c r="M542" s="12">
        <v>3.0</v>
      </c>
      <c r="N542" s="12">
        <v>4.0</v>
      </c>
    </row>
    <row r="543" ht="15.75" customHeight="1">
      <c r="D543" s="12" t="s">
        <v>820</v>
      </c>
      <c r="E543" s="12" t="s">
        <v>821</v>
      </c>
      <c r="F543" s="10" t="str">
        <f t="shared" si="1"/>
        <v>Pedro Vega</v>
      </c>
      <c r="G543" s="12" t="s">
        <v>56</v>
      </c>
      <c r="H543" s="13">
        <v>44408.0</v>
      </c>
      <c r="I543" s="13">
        <v>42771.0</v>
      </c>
      <c r="J543" s="11">
        <f t="shared" si="2"/>
        <v>1637</v>
      </c>
      <c r="K543" s="14">
        <v>47200.0</v>
      </c>
      <c r="L543" s="14">
        <v>700.0</v>
      </c>
      <c r="M543" s="12">
        <v>3.0</v>
      </c>
      <c r="N543" s="12">
        <v>3.0</v>
      </c>
    </row>
    <row r="544" ht="15.75" customHeight="1">
      <c r="D544" s="12" t="s">
        <v>151</v>
      </c>
      <c r="E544" s="12" t="s">
        <v>822</v>
      </c>
      <c r="F544" s="10" t="str">
        <f t="shared" si="1"/>
        <v>Michael Villalobos</v>
      </c>
      <c r="G544" s="12" t="s">
        <v>81</v>
      </c>
      <c r="H544" s="13">
        <v>44408.0</v>
      </c>
      <c r="I544" s="13">
        <v>43164.0</v>
      </c>
      <c r="J544" s="11">
        <f t="shared" si="2"/>
        <v>1244</v>
      </c>
      <c r="K544" s="14">
        <v>54400.0</v>
      </c>
      <c r="L544" s="14">
        <v>2800.0</v>
      </c>
      <c r="M544" s="12">
        <v>1.0</v>
      </c>
      <c r="N544" s="12">
        <v>5.0</v>
      </c>
    </row>
    <row r="545" ht="15.75" customHeight="1">
      <c r="D545" s="12" t="s">
        <v>208</v>
      </c>
      <c r="E545" s="12" t="s">
        <v>823</v>
      </c>
      <c r="F545" s="10" t="str">
        <f t="shared" si="1"/>
        <v>Mildred Villanueva</v>
      </c>
      <c r="G545" s="12" t="s">
        <v>33</v>
      </c>
      <c r="H545" s="13">
        <v>44408.0</v>
      </c>
      <c r="I545" s="13">
        <v>42597.0</v>
      </c>
      <c r="J545" s="11">
        <f t="shared" si="2"/>
        <v>1811</v>
      </c>
      <c r="K545" s="14">
        <v>41800.0</v>
      </c>
      <c r="L545" s="14">
        <v>900.0</v>
      </c>
      <c r="M545" s="12">
        <v>6.0</v>
      </c>
      <c r="N545" s="12">
        <v>2.0</v>
      </c>
    </row>
    <row r="546" ht="15.75" customHeight="1">
      <c r="D546" s="12" t="s">
        <v>824</v>
      </c>
      <c r="E546" s="12" t="s">
        <v>825</v>
      </c>
      <c r="F546" s="10" t="str">
        <f t="shared" si="1"/>
        <v>Mona Villarreal</v>
      </c>
      <c r="G546" s="12" t="s">
        <v>70</v>
      </c>
      <c r="H546" s="13">
        <v>44408.0</v>
      </c>
      <c r="I546" s="13">
        <v>42399.0</v>
      </c>
      <c r="J546" s="11">
        <f t="shared" si="2"/>
        <v>2009</v>
      </c>
      <c r="K546" s="14">
        <v>37800.0</v>
      </c>
      <c r="L546" s="14">
        <v>2600.0</v>
      </c>
      <c r="M546" s="12">
        <v>3.0</v>
      </c>
      <c r="N546" s="12">
        <v>3.0</v>
      </c>
    </row>
    <row r="547" ht="15.75" customHeight="1">
      <c r="D547" s="12" t="s">
        <v>183</v>
      </c>
      <c r="E547" s="12" t="s">
        <v>826</v>
      </c>
      <c r="F547" s="10" t="str">
        <f t="shared" si="1"/>
        <v>Michelle Voorhies</v>
      </c>
      <c r="G547" s="12" t="s">
        <v>81</v>
      </c>
      <c r="H547" s="13">
        <v>44408.0</v>
      </c>
      <c r="I547" s="13">
        <v>43437.0</v>
      </c>
      <c r="J547" s="11">
        <f t="shared" si="2"/>
        <v>971</v>
      </c>
      <c r="K547" s="14">
        <v>81200.0</v>
      </c>
      <c r="L547" s="14">
        <v>4000.0</v>
      </c>
      <c r="M547" s="12">
        <v>4.0</v>
      </c>
      <c r="N547" s="12">
        <v>3.0</v>
      </c>
    </row>
    <row r="548" ht="15.75" customHeight="1">
      <c r="D548" s="12" t="s">
        <v>99</v>
      </c>
      <c r="E548" s="12" t="s">
        <v>827</v>
      </c>
      <c r="F548" s="10" t="str">
        <f t="shared" si="1"/>
        <v>John Wakefield</v>
      </c>
      <c r="G548" s="12" t="s">
        <v>33</v>
      </c>
      <c r="H548" s="13">
        <v>44408.0</v>
      </c>
      <c r="I548" s="13">
        <v>42397.0</v>
      </c>
      <c r="J548" s="11">
        <f t="shared" si="2"/>
        <v>2011</v>
      </c>
      <c r="K548" s="14">
        <v>40400.0</v>
      </c>
      <c r="L548" s="14">
        <v>1500.0</v>
      </c>
      <c r="M548" s="12">
        <v>2.0</v>
      </c>
      <c r="N548" s="12">
        <v>4.0</v>
      </c>
    </row>
    <row r="549" ht="15.75" customHeight="1">
      <c r="D549" s="12" t="s">
        <v>658</v>
      </c>
      <c r="E549" s="12" t="s">
        <v>828</v>
      </c>
      <c r="F549" s="10" t="str">
        <f t="shared" si="1"/>
        <v>Edward Wakeland</v>
      </c>
      <c r="G549" s="12" t="s">
        <v>81</v>
      </c>
      <c r="H549" s="13">
        <v>44408.0</v>
      </c>
      <c r="I549" s="13">
        <v>43102.0</v>
      </c>
      <c r="J549" s="11">
        <f t="shared" si="2"/>
        <v>1306</v>
      </c>
      <c r="K549" s="14">
        <v>94300.0</v>
      </c>
      <c r="L549" s="14">
        <v>6300.0</v>
      </c>
      <c r="M549" s="12">
        <v>7.0</v>
      </c>
      <c r="N549" s="12">
        <v>2.0</v>
      </c>
    </row>
    <row r="550" ht="15.75" customHeight="1">
      <c r="D550" s="12" t="s">
        <v>288</v>
      </c>
      <c r="E550" s="12" t="s">
        <v>829</v>
      </c>
      <c r="F550" s="10" t="str">
        <f t="shared" si="1"/>
        <v>Katie Walker</v>
      </c>
      <c r="G550" s="12" t="s">
        <v>33</v>
      </c>
      <c r="H550" s="13">
        <v>44408.0</v>
      </c>
      <c r="I550" s="13">
        <v>43925.0</v>
      </c>
      <c r="J550" s="11">
        <f t="shared" si="2"/>
        <v>483</v>
      </c>
      <c r="K550" s="14">
        <v>40700.0</v>
      </c>
      <c r="L550" s="14">
        <v>2500.0</v>
      </c>
      <c r="M550" s="12">
        <v>7.0</v>
      </c>
      <c r="N550" s="12">
        <v>2.0</v>
      </c>
    </row>
    <row r="551" ht="15.75" customHeight="1">
      <c r="D551" s="12" t="s">
        <v>330</v>
      </c>
      <c r="E551" s="12" t="s">
        <v>829</v>
      </c>
      <c r="F551" s="10" t="str">
        <f t="shared" si="1"/>
        <v>Laura Walker</v>
      </c>
      <c r="G551" s="12" t="s">
        <v>56</v>
      </c>
      <c r="H551" s="13">
        <v>44408.0</v>
      </c>
      <c r="I551" s="13">
        <v>42458.0</v>
      </c>
      <c r="J551" s="11">
        <f t="shared" si="2"/>
        <v>1950</v>
      </c>
      <c r="K551" s="14">
        <v>56400.0</v>
      </c>
      <c r="L551" s="14">
        <v>2300.0</v>
      </c>
      <c r="M551" s="12">
        <v>6.0</v>
      </c>
      <c r="N551" s="12">
        <v>4.0</v>
      </c>
    </row>
    <row r="552" ht="15.75" customHeight="1">
      <c r="D552" s="12" t="s">
        <v>246</v>
      </c>
      <c r="E552" s="12" t="s">
        <v>830</v>
      </c>
      <c r="F552" s="10" t="str">
        <f t="shared" si="1"/>
        <v>Frank Wallen</v>
      </c>
      <c r="G552" s="12" t="s">
        <v>70</v>
      </c>
      <c r="H552" s="13">
        <v>44408.0</v>
      </c>
      <c r="I552" s="13">
        <v>44163.0</v>
      </c>
      <c r="J552" s="11">
        <f t="shared" si="2"/>
        <v>245</v>
      </c>
      <c r="K552" s="14">
        <v>38300.0</v>
      </c>
      <c r="L552" s="14">
        <v>1000.0</v>
      </c>
      <c r="M552" s="12">
        <v>10.0</v>
      </c>
      <c r="N552" s="12">
        <v>4.0</v>
      </c>
    </row>
    <row r="553" ht="15.75" customHeight="1">
      <c r="D553" s="12" t="s">
        <v>430</v>
      </c>
      <c r="E553" s="12" t="s">
        <v>831</v>
      </c>
      <c r="F553" s="10" t="str">
        <f t="shared" si="1"/>
        <v>Geraldine Wark</v>
      </c>
      <c r="G553" s="12" t="s">
        <v>56</v>
      </c>
      <c r="H553" s="13">
        <v>44408.0</v>
      </c>
      <c r="I553" s="13">
        <v>42075.0</v>
      </c>
      <c r="J553" s="11">
        <f t="shared" si="2"/>
        <v>2333</v>
      </c>
      <c r="K553" s="14">
        <v>47400.0</v>
      </c>
      <c r="L553" s="14">
        <v>1100.0</v>
      </c>
      <c r="M553" s="12">
        <v>2.0</v>
      </c>
      <c r="N553" s="12">
        <v>5.0</v>
      </c>
    </row>
    <row r="554" ht="15.75" customHeight="1">
      <c r="D554" s="12" t="s">
        <v>832</v>
      </c>
      <c r="E554" s="12" t="s">
        <v>833</v>
      </c>
      <c r="F554" s="10" t="str">
        <f t="shared" si="1"/>
        <v>Bernice Washington</v>
      </c>
      <c r="G554" s="12" t="s">
        <v>33</v>
      </c>
      <c r="H554" s="13">
        <v>44408.0</v>
      </c>
      <c r="I554" s="13">
        <v>42241.0</v>
      </c>
      <c r="J554" s="11">
        <f t="shared" si="2"/>
        <v>2167</v>
      </c>
      <c r="K554" s="14">
        <v>37500.0</v>
      </c>
      <c r="L554" s="14">
        <v>3700.0</v>
      </c>
      <c r="M554" s="12">
        <v>3.0</v>
      </c>
      <c r="N554" s="12">
        <v>3.0</v>
      </c>
    </row>
    <row r="555" ht="15.75" customHeight="1">
      <c r="D555" s="12" t="s">
        <v>234</v>
      </c>
      <c r="E555" s="12" t="s">
        <v>834</v>
      </c>
      <c r="F555" s="10" t="str">
        <f t="shared" si="1"/>
        <v>Donna Watkins</v>
      </c>
      <c r="G555" s="12" t="s">
        <v>33</v>
      </c>
      <c r="H555" s="13">
        <v>44408.0</v>
      </c>
      <c r="I555" s="13">
        <v>43983.0</v>
      </c>
      <c r="J555" s="11">
        <f t="shared" si="2"/>
        <v>425</v>
      </c>
      <c r="K555" s="14">
        <v>50600.0</v>
      </c>
      <c r="L555" s="14">
        <v>5900.0</v>
      </c>
      <c r="M555" s="12">
        <v>6.0</v>
      </c>
      <c r="N555" s="12">
        <v>2.0</v>
      </c>
    </row>
    <row r="556" ht="15.75" customHeight="1">
      <c r="D556" s="12" t="s">
        <v>139</v>
      </c>
      <c r="E556" s="12" t="s">
        <v>835</v>
      </c>
      <c r="F556" s="10" t="str">
        <f t="shared" si="1"/>
        <v>Maria Weiner</v>
      </c>
      <c r="G556" s="12" t="s">
        <v>81</v>
      </c>
      <c r="H556" s="13">
        <v>44408.0</v>
      </c>
      <c r="I556" s="13">
        <v>43780.0</v>
      </c>
      <c r="J556" s="11">
        <f t="shared" si="2"/>
        <v>628</v>
      </c>
      <c r="K556" s="14">
        <v>101000.0</v>
      </c>
      <c r="L556" s="14">
        <v>3900.0</v>
      </c>
      <c r="M556" s="12">
        <v>4.0</v>
      </c>
      <c r="N556" s="12">
        <v>4.0</v>
      </c>
    </row>
    <row r="557" ht="15.75" customHeight="1">
      <c r="D557" s="12" t="s">
        <v>836</v>
      </c>
      <c r="E557" s="12" t="s">
        <v>837</v>
      </c>
      <c r="F557" s="10" t="str">
        <f t="shared" si="1"/>
        <v>Chester Wenzel</v>
      </c>
      <c r="G557" s="12" t="s">
        <v>26</v>
      </c>
      <c r="H557" s="13">
        <v>44408.0</v>
      </c>
      <c r="I557" s="13">
        <v>42526.0</v>
      </c>
      <c r="J557" s="11">
        <f t="shared" si="2"/>
        <v>1882</v>
      </c>
      <c r="K557" s="14">
        <v>31300.0</v>
      </c>
      <c r="L557" s="14">
        <v>0.0</v>
      </c>
      <c r="M557" s="12">
        <v>4.0</v>
      </c>
      <c r="N557" s="12">
        <v>5.0</v>
      </c>
    </row>
    <row r="558" ht="15.75" customHeight="1">
      <c r="D558" s="12" t="s">
        <v>838</v>
      </c>
      <c r="E558" s="12" t="s">
        <v>839</v>
      </c>
      <c r="F558" s="10" t="str">
        <f t="shared" si="1"/>
        <v>Adriane Wesley</v>
      </c>
      <c r="G558" s="12" t="s">
        <v>30</v>
      </c>
      <c r="H558" s="13">
        <v>44408.0</v>
      </c>
      <c r="I558" s="13">
        <v>42491.0</v>
      </c>
      <c r="J558" s="11">
        <f t="shared" si="2"/>
        <v>1917</v>
      </c>
      <c r="K558" s="14">
        <v>88700.0</v>
      </c>
      <c r="L558" s="14">
        <v>3000.0</v>
      </c>
      <c r="M558" s="12">
        <v>3.0</v>
      </c>
      <c r="N558" s="12">
        <v>3.0</v>
      </c>
    </row>
    <row r="559" ht="15.75" customHeight="1">
      <c r="D559" s="12" t="s">
        <v>406</v>
      </c>
      <c r="E559" s="12" t="s">
        <v>839</v>
      </c>
      <c r="F559" s="10" t="str">
        <f t="shared" si="1"/>
        <v>Julio Wesley</v>
      </c>
      <c r="G559" s="12" t="s">
        <v>47</v>
      </c>
      <c r="H559" s="13">
        <v>44408.0</v>
      </c>
      <c r="I559" s="13">
        <v>44343.0</v>
      </c>
      <c r="J559" s="11">
        <f t="shared" si="2"/>
        <v>65</v>
      </c>
      <c r="K559" s="14">
        <v>45600.0</v>
      </c>
      <c r="L559" s="14">
        <v>2900.0</v>
      </c>
      <c r="M559" s="12">
        <v>8.0</v>
      </c>
      <c r="N559" s="12">
        <v>4.0</v>
      </c>
    </row>
    <row r="560" ht="15.75" customHeight="1">
      <c r="D560" s="12" t="s">
        <v>153</v>
      </c>
      <c r="E560" s="12" t="s">
        <v>840</v>
      </c>
      <c r="F560" s="10" t="str">
        <f t="shared" si="1"/>
        <v>Carlos Wheeler</v>
      </c>
      <c r="G560" s="12" t="s">
        <v>22</v>
      </c>
      <c r="H560" s="13">
        <v>44408.0</v>
      </c>
      <c r="I560" s="13">
        <v>42040.0</v>
      </c>
      <c r="J560" s="11">
        <f t="shared" si="2"/>
        <v>2368</v>
      </c>
      <c r="K560" s="14">
        <v>103700.0</v>
      </c>
      <c r="L560" s="14">
        <v>5700.0</v>
      </c>
      <c r="M560" s="12">
        <v>2.0</v>
      </c>
      <c r="N560" s="12">
        <v>1.0</v>
      </c>
    </row>
    <row r="561" ht="15.75" customHeight="1">
      <c r="D561" s="12" t="s">
        <v>841</v>
      </c>
      <c r="E561" s="12" t="s">
        <v>842</v>
      </c>
      <c r="F561" s="10" t="str">
        <f t="shared" si="1"/>
        <v>Darlene Whipple</v>
      </c>
      <c r="G561" s="12" t="s">
        <v>26</v>
      </c>
      <c r="H561" s="13">
        <v>44408.0</v>
      </c>
      <c r="I561" s="13">
        <v>42905.0</v>
      </c>
      <c r="J561" s="11">
        <f t="shared" si="2"/>
        <v>1503</v>
      </c>
      <c r="K561" s="14">
        <v>69700.0</v>
      </c>
      <c r="L561" s="14">
        <v>3800.0</v>
      </c>
      <c r="M561" s="12">
        <v>4.0</v>
      </c>
      <c r="N561" s="12">
        <v>3.0</v>
      </c>
    </row>
    <row r="562" ht="15.75" customHeight="1">
      <c r="D562" s="12" t="s">
        <v>82</v>
      </c>
      <c r="E562" s="12" t="s">
        <v>843</v>
      </c>
      <c r="F562" s="10" t="str">
        <f t="shared" si="1"/>
        <v>Kimberly White</v>
      </c>
      <c r="G562" s="12" t="s">
        <v>70</v>
      </c>
      <c r="H562" s="13">
        <v>44408.0</v>
      </c>
      <c r="I562" s="13">
        <v>42672.0</v>
      </c>
      <c r="J562" s="11">
        <f t="shared" si="2"/>
        <v>1736</v>
      </c>
      <c r="K562" s="14">
        <v>48900.0</v>
      </c>
      <c r="L562" s="14">
        <v>700.0</v>
      </c>
      <c r="M562" s="12">
        <v>2.0</v>
      </c>
      <c r="N562" s="12">
        <v>3.0</v>
      </c>
    </row>
    <row r="563" ht="15.75" customHeight="1">
      <c r="D563" s="12" t="s">
        <v>119</v>
      </c>
      <c r="E563" s="12" t="s">
        <v>843</v>
      </c>
      <c r="F563" s="10" t="str">
        <f t="shared" si="1"/>
        <v>Robert White</v>
      </c>
      <c r="G563" s="12" t="s">
        <v>81</v>
      </c>
      <c r="H563" s="13">
        <v>44408.0</v>
      </c>
      <c r="I563" s="13">
        <v>44040.0</v>
      </c>
      <c r="J563" s="11">
        <f t="shared" si="2"/>
        <v>368</v>
      </c>
      <c r="K563" s="14">
        <v>82200.0</v>
      </c>
      <c r="L563" s="14">
        <v>5800.0</v>
      </c>
      <c r="M563" s="12">
        <v>5.0</v>
      </c>
      <c r="N563" s="12">
        <v>5.0</v>
      </c>
    </row>
    <row r="564" ht="15.75" customHeight="1">
      <c r="D564" s="12" t="s">
        <v>128</v>
      </c>
      <c r="E564" s="12" t="s">
        <v>843</v>
      </c>
      <c r="F564" s="10" t="str">
        <f t="shared" si="1"/>
        <v>William White</v>
      </c>
      <c r="G564" s="12" t="s">
        <v>22</v>
      </c>
      <c r="H564" s="13">
        <v>44408.0</v>
      </c>
      <c r="I564" s="13">
        <v>42609.0</v>
      </c>
      <c r="J564" s="11">
        <f t="shared" si="2"/>
        <v>1799</v>
      </c>
      <c r="K564" s="14">
        <v>65500.0</v>
      </c>
      <c r="L564" s="14">
        <v>3800.0</v>
      </c>
      <c r="M564" s="12">
        <v>7.0</v>
      </c>
      <c r="N564" s="12">
        <v>3.0</v>
      </c>
    </row>
    <row r="565" ht="15.75" customHeight="1">
      <c r="D565" s="12" t="s">
        <v>241</v>
      </c>
      <c r="E565" s="12" t="s">
        <v>844</v>
      </c>
      <c r="F565" s="10" t="str">
        <f t="shared" si="1"/>
        <v>Christopher Whitehead</v>
      </c>
      <c r="G565" s="12" t="s">
        <v>30</v>
      </c>
      <c r="H565" s="13">
        <v>44408.0</v>
      </c>
      <c r="I565" s="13">
        <v>42790.0</v>
      </c>
      <c r="J565" s="11">
        <f t="shared" si="2"/>
        <v>1618</v>
      </c>
      <c r="K565" s="14">
        <v>114600.0</v>
      </c>
      <c r="L565" s="14">
        <v>8100.0</v>
      </c>
      <c r="M565" s="12">
        <v>3.0</v>
      </c>
      <c r="N565" s="12">
        <v>1.0</v>
      </c>
    </row>
    <row r="566" ht="15.75" customHeight="1">
      <c r="D566" s="12" t="s">
        <v>139</v>
      </c>
      <c r="E566" s="12" t="s">
        <v>845</v>
      </c>
      <c r="F566" s="10" t="str">
        <f t="shared" si="1"/>
        <v>Maria Whitlock</v>
      </c>
      <c r="G566" s="12" t="s">
        <v>33</v>
      </c>
      <c r="H566" s="13">
        <v>44408.0</v>
      </c>
      <c r="I566" s="13">
        <v>42379.0</v>
      </c>
      <c r="J566" s="11">
        <f t="shared" si="2"/>
        <v>2029</v>
      </c>
      <c r="K566" s="14">
        <v>60600.0</v>
      </c>
      <c r="L566" s="14">
        <v>3900.0</v>
      </c>
      <c r="M566" s="12">
        <v>9.0</v>
      </c>
      <c r="N566" s="12">
        <v>2.0</v>
      </c>
    </row>
    <row r="567" ht="15.75" customHeight="1">
      <c r="D567" s="12" t="s">
        <v>309</v>
      </c>
      <c r="E567" s="12" t="s">
        <v>846</v>
      </c>
      <c r="F567" s="10" t="str">
        <f t="shared" si="1"/>
        <v>Judy Wilcher</v>
      </c>
      <c r="G567" s="12" t="s">
        <v>70</v>
      </c>
      <c r="H567" s="13">
        <v>44408.0</v>
      </c>
      <c r="I567" s="13">
        <v>42924.0</v>
      </c>
      <c r="J567" s="11">
        <f t="shared" si="2"/>
        <v>1484</v>
      </c>
      <c r="K567" s="14">
        <v>34200.0</v>
      </c>
      <c r="L567" s="14">
        <v>2000.0</v>
      </c>
      <c r="M567" s="12">
        <v>5.0</v>
      </c>
      <c r="N567" s="12">
        <v>4.0</v>
      </c>
    </row>
    <row r="568" ht="15.75" customHeight="1">
      <c r="D568" s="12" t="s">
        <v>185</v>
      </c>
      <c r="E568" s="12" t="s">
        <v>847</v>
      </c>
      <c r="F568" s="10" t="str">
        <f t="shared" si="1"/>
        <v>Richard Wild</v>
      </c>
      <c r="G568" s="12" t="s">
        <v>81</v>
      </c>
      <c r="H568" s="13">
        <v>44408.0</v>
      </c>
      <c r="I568" s="13">
        <v>42023.0</v>
      </c>
      <c r="J568" s="11">
        <f t="shared" si="2"/>
        <v>2385</v>
      </c>
      <c r="K568" s="14">
        <v>68500.0</v>
      </c>
      <c r="L568" s="14">
        <v>4200.0</v>
      </c>
      <c r="M568" s="12">
        <v>4.0</v>
      </c>
      <c r="N568" s="12">
        <v>2.0</v>
      </c>
    </row>
    <row r="569" ht="15.75" customHeight="1">
      <c r="D569" s="12" t="s">
        <v>848</v>
      </c>
      <c r="E569" s="12" t="s">
        <v>849</v>
      </c>
      <c r="F569" s="10" t="str">
        <f t="shared" si="1"/>
        <v>Dawn Williams</v>
      </c>
      <c r="G569" s="12" t="s">
        <v>70</v>
      </c>
      <c r="H569" s="13">
        <v>44408.0</v>
      </c>
      <c r="I569" s="13">
        <v>43913.0</v>
      </c>
      <c r="J569" s="11">
        <f t="shared" si="2"/>
        <v>495</v>
      </c>
      <c r="K569" s="14">
        <v>47300.0</v>
      </c>
      <c r="L569" s="14">
        <v>2300.0</v>
      </c>
      <c r="M569" s="12">
        <v>10.0</v>
      </c>
      <c r="N569" s="12">
        <v>3.0</v>
      </c>
    </row>
    <row r="570" ht="15.75" customHeight="1">
      <c r="D570" s="12" t="s">
        <v>368</v>
      </c>
      <c r="E570" s="12" t="s">
        <v>849</v>
      </c>
      <c r="F570" s="10" t="str">
        <f t="shared" si="1"/>
        <v>Joseph Williams</v>
      </c>
      <c r="G570" s="12" t="s">
        <v>30</v>
      </c>
      <c r="H570" s="13">
        <v>44408.0</v>
      </c>
      <c r="I570" s="13">
        <v>42156.0</v>
      </c>
      <c r="J570" s="11">
        <f t="shared" si="2"/>
        <v>2252</v>
      </c>
      <c r="K570" s="14">
        <v>34000.0</v>
      </c>
      <c r="L570" s="14">
        <v>1900.0</v>
      </c>
      <c r="M570" s="12">
        <v>6.0</v>
      </c>
      <c r="N570" s="12">
        <v>3.0</v>
      </c>
    </row>
    <row r="571" ht="15.75" customHeight="1">
      <c r="D571" s="12" t="s">
        <v>401</v>
      </c>
      <c r="E571" s="12" t="s">
        <v>849</v>
      </c>
      <c r="F571" s="10" t="str">
        <f t="shared" si="1"/>
        <v>Katherine Williams</v>
      </c>
      <c r="G571" s="12" t="s">
        <v>81</v>
      </c>
      <c r="H571" s="13">
        <v>44408.0</v>
      </c>
      <c r="I571" s="13">
        <v>43263.0</v>
      </c>
      <c r="J571" s="11">
        <f t="shared" si="2"/>
        <v>1145</v>
      </c>
      <c r="K571" s="14">
        <v>115800.0</v>
      </c>
      <c r="L571" s="14">
        <v>3400.0</v>
      </c>
      <c r="M571" s="12">
        <v>6.0</v>
      </c>
      <c r="N571" s="12">
        <v>5.0</v>
      </c>
    </row>
    <row r="572" ht="15.75" customHeight="1">
      <c r="D572" s="12" t="s">
        <v>636</v>
      </c>
      <c r="E572" s="12" t="s">
        <v>849</v>
      </c>
      <c r="F572" s="10" t="str">
        <f t="shared" si="1"/>
        <v>Larry Williams</v>
      </c>
      <c r="G572" s="12" t="s">
        <v>26</v>
      </c>
      <c r="H572" s="13">
        <v>44408.0</v>
      </c>
      <c r="I572" s="13">
        <v>43651.0</v>
      </c>
      <c r="J572" s="11">
        <f t="shared" si="2"/>
        <v>757</v>
      </c>
      <c r="K572" s="14">
        <v>58700.0</v>
      </c>
      <c r="L572" s="14">
        <v>4800.0</v>
      </c>
      <c r="M572" s="12">
        <v>3.0</v>
      </c>
      <c r="N572" s="12">
        <v>1.0</v>
      </c>
    </row>
    <row r="573" ht="15.75" customHeight="1">
      <c r="D573" s="12" t="s">
        <v>71</v>
      </c>
      <c r="E573" s="12" t="s">
        <v>849</v>
      </c>
      <c r="F573" s="10" t="str">
        <f t="shared" si="1"/>
        <v>Linda Williams</v>
      </c>
      <c r="G573" s="12" t="s">
        <v>47</v>
      </c>
      <c r="H573" s="13">
        <v>44408.0</v>
      </c>
      <c r="I573" s="13">
        <v>43233.0</v>
      </c>
      <c r="J573" s="11">
        <f t="shared" si="2"/>
        <v>1175</v>
      </c>
      <c r="K573" s="14">
        <v>59100.0</v>
      </c>
      <c r="L573" s="14">
        <v>5700.0</v>
      </c>
      <c r="M573" s="12">
        <v>5.0</v>
      </c>
      <c r="N573" s="12">
        <v>3.0</v>
      </c>
    </row>
    <row r="574" ht="15.75" customHeight="1">
      <c r="D574" s="12" t="s">
        <v>850</v>
      </c>
      <c r="E574" s="12" t="s">
        <v>851</v>
      </c>
      <c r="F574" s="10" t="str">
        <f t="shared" si="1"/>
        <v>Derek Williford</v>
      </c>
      <c r="G574" s="12" t="s">
        <v>70</v>
      </c>
      <c r="H574" s="13">
        <v>44408.0</v>
      </c>
      <c r="I574" s="13">
        <v>42261.0</v>
      </c>
      <c r="J574" s="11">
        <f t="shared" si="2"/>
        <v>2147</v>
      </c>
      <c r="K574" s="14">
        <v>58900.0</v>
      </c>
      <c r="L574" s="14">
        <v>2000.0</v>
      </c>
      <c r="M574" s="12">
        <v>2.0</v>
      </c>
      <c r="N574" s="12">
        <v>4.0</v>
      </c>
    </row>
    <row r="575" ht="15.75" customHeight="1">
      <c r="D575" s="12" t="s">
        <v>89</v>
      </c>
      <c r="E575" s="12" t="s">
        <v>852</v>
      </c>
      <c r="F575" s="10" t="str">
        <f t="shared" si="1"/>
        <v>Kevin Willis</v>
      </c>
      <c r="G575" s="12" t="s">
        <v>33</v>
      </c>
      <c r="H575" s="13">
        <v>44408.0</v>
      </c>
      <c r="I575" s="13">
        <v>44311.0</v>
      </c>
      <c r="J575" s="11">
        <f t="shared" si="2"/>
        <v>97</v>
      </c>
      <c r="K575" s="14">
        <v>45500.0</v>
      </c>
      <c r="L575" s="14">
        <v>2500.0</v>
      </c>
      <c r="M575" s="12">
        <v>3.0</v>
      </c>
      <c r="N575" s="12">
        <v>1.0</v>
      </c>
    </row>
    <row r="576" ht="15.75" customHeight="1">
      <c r="D576" s="12" t="s">
        <v>489</v>
      </c>
      <c r="E576" s="12" t="s">
        <v>853</v>
      </c>
      <c r="F576" s="10" t="str">
        <f t="shared" si="1"/>
        <v>Lee Wold</v>
      </c>
      <c r="G576" s="12" t="s">
        <v>26</v>
      </c>
      <c r="H576" s="13">
        <v>44408.0</v>
      </c>
      <c r="I576" s="13">
        <v>43760.0</v>
      </c>
      <c r="J576" s="11">
        <f t="shared" si="2"/>
        <v>648</v>
      </c>
      <c r="K576" s="14">
        <v>58700.0</v>
      </c>
      <c r="L576" s="14">
        <v>2400.0</v>
      </c>
      <c r="M576" s="12">
        <v>9.0</v>
      </c>
      <c r="N576" s="12">
        <v>3.0</v>
      </c>
    </row>
    <row r="577" ht="15.75" customHeight="1">
      <c r="D577" s="12" t="s">
        <v>854</v>
      </c>
      <c r="E577" s="12" t="s">
        <v>855</v>
      </c>
      <c r="F577" s="10" t="str">
        <f t="shared" si="1"/>
        <v>Gwendolyn Woodall</v>
      </c>
      <c r="G577" s="12" t="s">
        <v>30</v>
      </c>
      <c r="H577" s="13">
        <v>44408.0</v>
      </c>
      <c r="I577" s="13">
        <v>44321.0</v>
      </c>
      <c r="J577" s="11">
        <f t="shared" si="2"/>
        <v>87</v>
      </c>
      <c r="K577" s="14">
        <v>66500.0</v>
      </c>
      <c r="L577" s="14">
        <v>1900.0</v>
      </c>
      <c r="M577" s="12">
        <v>3.0</v>
      </c>
      <c r="N577" s="12">
        <v>1.0</v>
      </c>
    </row>
    <row r="578" ht="15.75" customHeight="1">
      <c r="D578" s="12" t="s">
        <v>856</v>
      </c>
      <c r="E578" s="12" t="s">
        <v>857</v>
      </c>
      <c r="F578" s="10" t="str">
        <f t="shared" si="1"/>
        <v>Karen Wright</v>
      </c>
      <c r="G578" s="12" t="s">
        <v>81</v>
      </c>
      <c r="H578" s="13">
        <v>44408.0</v>
      </c>
      <c r="I578" s="13">
        <v>43378.0</v>
      </c>
      <c r="J578" s="11">
        <f t="shared" si="2"/>
        <v>1030</v>
      </c>
      <c r="K578" s="14">
        <v>104400.0</v>
      </c>
      <c r="L578" s="14">
        <v>6600.0</v>
      </c>
      <c r="M578" s="12">
        <v>4.0</v>
      </c>
      <c r="N578" s="12">
        <v>2.0</v>
      </c>
    </row>
    <row r="579" ht="15.75" customHeight="1">
      <c r="D579" s="12" t="s">
        <v>555</v>
      </c>
      <c r="E579" s="12" t="s">
        <v>858</v>
      </c>
      <c r="F579" s="10" t="str">
        <f t="shared" si="1"/>
        <v>Angela Ybarra</v>
      </c>
      <c r="G579" s="12" t="s">
        <v>33</v>
      </c>
      <c r="H579" s="13">
        <v>44408.0</v>
      </c>
      <c r="I579" s="13">
        <v>43911.0</v>
      </c>
      <c r="J579" s="11">
        <f t="shared" si="2"/>
        <v>497</v>
      </c>
      <c r="K579" s="14">
        <v>45600.0</v>
      </c>
      <c r="L579" s="14">
        <v>2000.0</v>
      </c>
      <c r="M579" s="12">
        <v>5.0</v>
      </c>
      <c r="N579" s="12">
        <v>3.0</v>
      </c>
    </row>
    <row r="580" ht="15.75" customHeight="1">
      <c r="D580" s="12" t="s">
        <v>115</v>
      </c>
      <c r="E580" s="12" t="s">
        <v>859</v>
      </c>
      <c r="F580" s="10" t="str">
        <f t="shared" si="1"/>
        <v>Troy Young</v>
      </c>
      <c r="G580" s="12" t="s">
        <v>26</v>
      </c>
      <c r="H580" s="13">
        <v>44408.0</v>
      </c>
      <c r="I580" s="13">
        <v>42435.0</v>
      </c>
      <c r="J580" s="11">
        <f t="shared" si="2"/>
        <v>1973</v>
      </c>
      <c r="K580" s="14">
        <v>41200.0</v>
      </c>
      <c r="L580" s="14">
        <v>100.0</v>
      </c>
      <c r="M580" s="12">
        <v>4.0</v>
      </c>
      <c r="N580" s="12">
        <v>5.0</v>
      </c>
    </row>
    <row r="581" ht="15.75" customHeight="1">
      <c r="D581" s="12" t="s">
        <v>99</v>
      </c>
      <c r="E581" s="12" t="s">
        <v>860</v>
      </c>
      <c r="F581" s="10" t="str">
        <f t="shared" si="1"/>
        <v>John Zeigler</v>
      </c>
      <c r="G581" s="12" t="s">
        <v>70</v>
      </c>
      <c r="H581" s="13">
        <v>44408.0</v>
      </c>
      <c r="I581" s="13">
        <v>43999.0</v>
      </c>
      <c r="J581" s="11">
        <f t="shared" si="2"/>
        <v>409</v>
      </c>
      <c r="K581" s="14">
        <v>54500.0</v>
      </c>
      <c r="L581" s="14">
        <v>6000.0</v>
      </c>
      <c r="M581" s="12">
        <v>5.0</v>
      </c>
      <c r="N581" s="12">
        <v>2.0</v>
      </c>
    </row>
    <row r="582" ht="15.75" customHeight="1">
      <c r="D582" s="12" t="s">
        <v>861</v>
      </c>
      <c r="E582" s="12" t="s">
        <v>862</v>
      </c>
      <c r="F582" s="10" t="str">
        <f t="shared" si="1"/>
        <v>Nicole Zylstra</v>
      </c>
      <c r="G582" s="12" t="s">
        <v>22</v>
      </c>
      <c r="H582" s="13">
        <v>44408.0</v>
      </c>
      <c r="I582" s="13">
        <v>42311.0</v>
      </c>
      <c r="J582" s="11">
        <f t="shared" si="2"/>
        <v>2097</v>
      </c>
      <c r="K582" s="14">
        <v>93500.0</v>
      </c>
      <c r="L582" s="14">
        <v>5400.0</v>
      </c>
      <c r="M582" s="12">
        <v>6.0</v>
      </c>
      <c r="N582" s="12">
        <v>1.0</v>
      </c>
    </row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scale="43" orientation="portrait"/>
  <drawing r:id="rId1"/>
</worksheet>
</file>