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9\Module\"/>
    </mc:Choice>
  </mc:AlternateContent>
  <xr:revisionPtr revIDLastSave="0" documentId="13_ncr:1_{2EF32F98-305C-4316-99E0-073C604BCD11}" xr6:coauthVersionLast="37" xr6:coauthVersionMax="37" xr10:uidLastSave="{00000000-0000-0000-0000-000000000000}"/>
  <bookViews>
    <workbookView xWindow="0" yWindow="0" windowWidth="20490" windowHeight="7485" xr2:uid="{00000000-000D-0000-FFFF-FFFF00000000}"/>
  </bookViews>
  <sheets>
    <sheet name="Documentation" sheetId="1" r:id="rId1"/>
    <sheet name="Startup" sheetId="2" r:id="rId2"/>
    <sheet name="Income Statement" sheetId="3" r:id="rId3"/>
    <sheet name="Balance Sheet" sheetId="4" r:id="rId4"/>
    <sheet name="Cash Flow" sheetId="5" r:id="rId5"/>
    <sheet name="Loan Analysis" sheetId="6" r:id="rId6"/>
    <sheet name="Loan Schedule" sheetId="7" r:id="rId7"/>
    <sheet name="Depreciation" sheetId="8" r:id="rId8"/>
    <sheet name="Investment Analysis" sheetId="9" r:id="rId9"/>
    <sheet name="Terms and Defintions" sheetId="11" r:id="rId10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5" i="4" l="1"/>
  <c r="F15" i="5" l="1"/>
  <c r="E8" i="5"/>
  <c r="F16" i="5"/>
  <c r="E16" i="5"/>
  <c r="D16" i="5"/>
  <c r="C16" i="5"/>
  <c r="B16" i="5"/>
  <c r="E15" i="5"/>
  <c r="B15" i="5"/>
  <c r="B30" i="4" s="1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B33" i="2"/>
  <c r="B28" i="4" s="1"/>
  <c r="B28" i="2"/>
  <c r="B19" i="2"/>
  <c r="B18" i="2"/>
  <c r="B14" i="2"/>
  <c r="B8" i="2"/>
  <c r="E29" i="4" s="1"/>
  <c r="B20" i="5"/>
  <c r="C15" i="5" l="1"/>
  <c r="C30" i="4" s="1"/>
  <c r="D30" i="4" s="1"/>
  <c r="E30" i="4" s="1"/>
  <c r="F30" i="4" s="1"/>
  <c r="D15" i="5"/>
  <c r="D18" i="5"/>
  <c r="B8" i="5"/>
  <c r="C8" i="5"/>
  <c r="F8" i="5"/>
  <c r="F19" i="5"/>
  <c r="E19" i="5"/>
  <c r="D19" i="5"/>
  <c r="C19" i="5"/>
  <c r="B19" i="5"/>
  <c r="B18" i="5"/>
  <c r="D8" i="5"/>
  <c r="B37" i="2"/>
  <c r="B15" i="2"/>
  <c r="B29" i="4"/>
  <c r="C29" i="4"/>
  <c r="F29" i="4"/>
  <c r="B41" i="2"/>
  <c r="C28" i="4"/>
  <c r="D28" i="4"/>
  <c r="E28" i="4"/>
  <c r="F28" i="4"/>
  <c r="B36" i="2"/>
  <c r="D29" i="4"/>
  <c r="B38" i="2" l="1"/>
  <c r="B39" i="2" s="1"/>
  <c r="B22" i="2" s="1"/>
  <c r="B20" i="2" s="1"/>
  <c r="B21" i="2" s="1"/>
  <c r="B4" i="5" s="1"/>
  <c r="C18" i="5"/>
  <c r="E18" i="5"/>
  <c r="F18" i="5"/>
  <c r="B15" i="4"/>
  <c r="B16" i="4" s="1"/>
  <c r="F7" i="5"/>
  <c r="F12" i="5" s="1"/>
  <c r="D7" i="5"/>
  <c r="D12" i="5" s="1"/>
  <c r="C7" i="5"/>
  <c r="C12" i="5" s="1"/>
  <c r="E7" i="5"/>
  <c r="E12" i="5" s="1"/>
  <c r="B7" i="5"/>
  <c r="B12" i="5" s="1"/>
  <c r="C15" i="4" l="1"/>
  <c r="C16" i="4" s="1"/>
  <c r="F17" i="5"/>
  <c r="F20" i="5" s="1"/>
  <c r="F22" i="5" s="1"/>
  <c r="E17" i="5"/>
  <c r="E20" i="5" s="1"/>
  <c r="E22" i="5" s="1"/>
  <c r="C17" i="5"/>
  <c r="C20" i="5" s="1"/>
  <c r="C22" i="5" s="1"/>
  <c r="D17" i="5"/>
  <c r="D20" i="5" s="1"/>
  <c r="D22" i="5" s="1"/>
  <c r="B17" i="5"/>
  <c r="B22" i="5" s="1"/>
  <c r="B23" i="5" s="1"/>
  <c r="B25" i="4"/>
  <c r="C23" i="5" l="1"/>
  <c r="D23" i="5" s="1"/>
  <c r="D6" i="4" s="1"/>
  <c r="D9" i="4" s="1"/>
  <c r="B6" i="4"/>
  <c r="B9" i="4" s="1"/>
  <c r="B18" i="4" s="1"/>
  <c r="B36" i="4" s="1"/>
  <c r="B31" i="4"/>
  <c r="C25" i="4"/>
  <c r="D15" i="4" l="1"/>
  <c r="D16" i="4" s="1"/>
  <c r="D18" i="4" s="1"/>
  <c r="E15" i="4"/>
  <c r="E16" i="4" s="1"/>
  <c r="C6" i="4"/>
  <c r="C9" i="4" s="1"/>
  <c r="C18" i="4" s="1"/>
  <c r="C36" i="4" s="1"/>
  <c r="E23" i="5"/>
  <c r="F23" i="5" s="1"/>
  <c r="F6" i="4" s="1"/>
  <c r="F9" i="4" s="1"/>
  <c r="C31" i="4"/>
  <c r="B32" i="4"/>
  <c r="B34" i="4" s="1"/>
  <c r="D25" i="4"/>
  <c r="F15" i="4" l="1"/>
  <c r="F16" i="4" s="1"/>
  <c r="F18" i="4" s="1"/>
  <c r="E6" i="4"/>
  <c r="E9" i="4" s="1"/>
  <c r="E18" i="4" s="1"/>
  <c r="D31" i="4"/>
  <c r="C32" i="4"/>
  <c r="C34" i="4" s="1"/>
  <c r="E25" i="4"/>
  <c r="D36" i="4"/>
  <c r="E31" i="4" l="1"/>
  <c r="D32" i="4"/>
  <c r="D34" i="4" s="1"/>
  <c r="E36" i="4"/>
  <c r="F36" i="4"/>
  <c r="F31" i="4" l="1"/>
  <c r="F32" i="4" s="1"/>
  <c r="F34" i="4" s="1"/>
  <c r="E32" i="4"/>
  <c r="E34" i="4" s="1"/>
</calcChain>
</file>

<file path=xl/sharedStrings.xml><?xml version="1.0" encoding="utf-8"?>
<sst xmlns="http://schemas.openxmlformats.org/spreadsheetml/2006/main" count="289" uniqueCount="215">
  <si>
    <t>Author</t>
  </si>
  <si>
    <t>Date</t>
  </si>
  <si>
    <t>Purpose</t>
  </si>
  <si>
    <t>Start-Up Requirements</t>
  </si>
  <si>
    <t>Required Expenses</t>
  </si>
  <si>
    <t>Total Required Expenses</t>
  </si>
  <si>
    <t>Required Assets</t>
  </si>
  <si>
    <t>Cash</t>
  </si>
  <si>
    <t>Property</t>
  </si>
  <si>
    <t>Miscellaneous Assets</t>
  </si>
  <si>
    <t>Long-Term Assets</t>
  </si>
  <si>
    <t xml:space="preserve">Total Required Assets </t>
  </si>
  <si>
    <t>TOTAL REQUIRED EXPENSES AND ASSETS</t>
  </si>
  <si>
    <t>Start-Up Assets</t>
  </si>
  <si>
    <t>Non-Cash Assets</t>
  </si>
  <si>
    <t>Cash Assets</t>
  </si>
  <si>
    <t>Additional Available Cash</t>
  </si>
  <si>
    <t>Cash Balance on Starting Date</t>
  </si>
  <si>
    <t>TOTAL START-UP ASSETS</t>
  </si>
  <si>
    <t>Liabilities and Capital</t>
  </si>
  <si>
    <t>Start-Up Liabilities</t>
  </si>
  <si>
    <t>Long-Term Business Loan</t>
  </si>
  <si>
    <t>Outstanding Debts</t>
  </si>
  <si>
    <t>Total Liabilities</t>
  </si>
  <si>
    <t>Start-Up Capital</t>
  </si>
  <si>
    <t>Owners</t>
  </si>
  <si>
    <t>Investors</t>
  </si>
  <si>
    <t>Total Available Capital</t>
  </si>
  <si>
    <t>Project Summary</t>
  </si>
  <si>
    <t>START-UP INVESTMENT</t>
  </si>
  <si>
    <t>START-UP EXPENSES</t>
  </si>
  <si>
    <t>INITIAL EQUITY</t>
  </si>
  <si>
    <t>TOTAL LIABILITIES AND EQUITY</t>
  </si>
  <si>
    <t>TOTAL FUNDING</t>
  </si>
  <si>
    <t>Pro Forma Income Statement</t>
  </si>
  <si>
    <t>Assumed Tax Rate</t>
  </si>
  <si>
    <t>Income</t>
  </si>
  <si>
    <t>Year 1</t>
  </si>
  <si>
    <t>Year 2</t>
  </si>
  <si>
    <t>Year 3</t>
  </si>
  <si>
    <t>Year 4</t>
  </si>
  <si>
    <t>Year 5</t>
  </si>
  <si>
    <t>GROSS PROFIT</t>
  </si>
  <si>
    <t>Expenses</t>
  </si>
  <si>
    <t>Payroll</t>
  </si>
  <si>
    <t>Utilities</t>
  </si>
  <si>
    <t>Occupancy Costs</t>
  </si>
  <si>
    <t>Insurance</t>
  </si>
  <si>
    <t>TOTAL GENERAL EXPENSES</t>
  </si>
  <si>
    <t>Earnings</t>
  </si>
  <si>
    <t>Initial Earnings</t>
  </si>
  <si>
    <t>Depreciation</t>
  </si>
  <si>
    <t>Operating Profit</t>
  </si>
  <si>
    <t>Interest Expense</t>
  </si>
  <si>
    <t>Pretax Profit</t>
  </si>
  <si>
    <t>Taxes Liability</t>
  </si>
  <si>
    <t>After-Tax Profit</t>
  </si>
  <si>
    <t>Dividends to Shareholders</t>
  </si>
  <si>
    <t>Retained Earnings</t>
  </si>
  <si>
    <t>Pro Forma Balance Sheet</t>
  </si>
  <si>
    <t>Assets</t>
  </si>
  <si>
    <t>Current Assets</t>
  </si>
  <si>
    <t>Accounts Receivable</t>
  </si>
  <si>
    <t>Inventory</t>
  </si>
  <si>
    <t>Total Current Assets</t>
  </si>
  <si>
    <t>Property and Equipment</t>
  </si>
  <si>
    <t>Less Accumulated Depreciation</t>
  </si>
  <si>
    <t>Net Property &amp; Equipment</t>
  </si>
  <si>
    <t>TOTAL ASSETS</t>
  </si>
  <si>
    <t>Liabilities and Equity</t>
  </si>
  <si>
    <t>Current Liabilities</t>
  </si>
  <si>
    <t>Total Current Liabilities</t>
  </si>
  <si>
    <t>Long-Term Liabilities</t>
  </si>
  <si>
    <t>Total Long-Term Liabilities</t>
  </si>
  <si>
    <t>Equity</t>
  </si>
  <si>
    <t>Initial Investment</t>
  </si>
  <si>
    <t>Less Start-Up Expenses</t>
  </si>
  <si>
    <t>Less Investor Repayment</t>
  </si>
  <si>
    <t>Accumulated Retained Earnings</t>
  </si>
  <si>
    <t>Total Equity</t>
  </si>
  <si>
    <t>TOTAL LIABILITIES  AND EQUITY</t>
  </si>
  <si>
    <t>NET WORTH</t>
  </si>
  <si>
    <t>Pro Forma Cash Flow</t>
  </si>
  <si>
    <t>Cash Inflows</t>
  </si>
  <si>
    <t>Depreciation Add-Back</t>
  </si>
  <si>
    <t xml:space="preserve">Additional Cash Received </t>
  </si>
  <si>
    <t>New Borrowing</t>
  </si>
  <si>
    <t>Sales of Other Current Assets</t>
  </si>
  <si>
    <t>TOTAL CASH INFLOW</t>
  </si>
  <si>
    <t>Cash Outflows</t>
  </si>
  <si>
    <t>Loan Payment to Investors</t>
  </si>
  <si>
    <t>Dividends</t>
  </si>
  <si>
    <t>Estimated Tax</t>
  </si>
  <si>
    <t>Interest Payments</t>
  </si>
  <si>
    <t>Debt Payment</t>
  </si>
  <si>
    <t>TOTAL CASH OUTFLOW</t>
  </si>
  <si>
    <t>NET CASH FLOW</t>
  </si>
  <si>
    <t>CASH BALANCE</t>
  </si>
  <si>
    <t>Loan Analysis</t>
  </si>
  <si>
    <t>Annual Interest Rate</t>
  </si>
  <si>
    <t>Financial Value</t>
  </si>
  <si>
    <t>Business Loan 
(PV)</t>
  </si>
  <si>
    <t>Future Value
(FV)</t>
  </si>
  <si>
    <t>Years</t>
  </si>
  <si>
    <t>Payments per Year</t>
  </si>
  <si>
    <t>Payments
(NPER)</t>
  </si>
  <si>
    <t>Annual Rate</t>
  </si>
  <si>
    <t>Quarterly Payment (PMT)</t>
  </si>
  <si>
    <t>Future Value (FV)</t>
  </si>
  <si>
    <t>Payments (NPER)</t>
  </si>
  <si>
    <t>Business Loan (PV)</t>
  </si>
  <si>
    <t>Loan Schedule</t>
  </si>
  <si>
    <t>Loan (PV)</t>
  </si>
  <si>
    <t>Annual  Rate</t>
  </si>
  <si>
    <t>Rate per Period (RATE)</t>
  </si>
  <si>
    <t>Payment
(PMT)</t>
  </si>
  <si>
    <t>Amortization Schedule</t>
  </si>
  <si>
    <t>Year</t>
  </si>
  <si>
    <t>Period</t>
  </si>
  <si>
    <t>Remaining 
Principal</t>
  </si>
  <si>
    <t>Interest 
Payment</t>
  </si>
  <si>
    <t>Principal 
Payment</t>
  </si>
  <si>
    <t>Total Payment</t>
  </si>
  <si>
    <t>Final Balance</t>
  </si>
  <si>
    <t>Cumulative Interest and Principal Payments per Year</t>
  </si>
  <si>
    <t>Quarters</t>
  </si>
  <si>
    <t>Total</t>
  </si>
  <si>
    <t>Interest</t>
  </si>
  <si>
    <t>Principal</t>
  </si>
  <si>
    <t>Principal Remaining</t>
  </si>
  <si>
    <t>Salvage Value (Salvage)</t>
  </si>
  <si>
    <t>Life of Asset (Life)</t>
  </si>
  <si>
    <t>Straight-Line (SLN)</t>
  </si>
  <si>
    <t>Yearly Depreciation</t>
  </si>
  <si>
    <t>Cumulative Depreciation</t>
  </si>
  <si>
    <t>Depreciated Asset Value</t>
  </si>
  <si>
    <t>Declining Balance (DB)</t>
  </si>
  <si>
    <t>Investment Analysis</t>
  </si>
  <si>
    <t>Proposed Repayment Schedule to Investors</t>
  </si>
  <si>
    <t>Investment (PV)</t>
  </si>
  <si>
    <t>Yearly Payments (PMT)</t>
  </si>
  <si>
    <t>Interest Rate (RATE)</t>
  </si>
  <si>
    <t>Payments</t>
  </si>
  <si>
    <t>Return on the Investment</t>
  </si>
  <si>
    <t>Net Cash Flow</t>
  </si>
  <si>
    <t>Startup</t>
  </si>
  <si>
    <t>Desired Rate of Return</t>
  </si>
  <si>
    <t>Present Value (NPV)</t>
  </si>
  <si>
    <t>Net Present Value</t>
  </si>
  <si>
    <t>Internal Rate of Return (IRR)</t>
  </si>
  <si>
    <t>Plant Construction</t>
  </si>
  <si>
    <t>Plant Equipment</t>
  </si>
  <si>
    <t>Tech Innovations Startup Grant</t>
  </si>
  <si>
    <t>Sales</t>
  </si>
  <si>
    <t>Cost of Sales &amp; Marketing</t>
  </si>
  <si>
    <t>Cost of Research and Development</t>
  </si>
  <si>
    <t>Percent Cost of Sales &amp; Marketing</t>
  </si>
  <si>
    <t>Percent Cost of Research and Development</t>
  </si>
  <si>
    <t>Licensing</t>
  </si>
  <si>
    <t>Licensing Fees</t>
  </si>
  <si>
    <t>Other Required Expenses</t>
  </si>
  <si>
    <t>Miscellaneous Expenses</t>
  </si>
  <si>
    <t>Long-Term Assets (Cost)</t>
  </si>
  <si>
    <t>To perform a financial analysis for the startup tech company, Holoease</t>
  </si>
  <si>
    <t>Holoease</t>
  </si>
  <si>
    <t>Terms and Definitions</t>
  </si>
  <si>
    <t>Term</t>
  </si>
  <si>
    <t>Definition</t>
  </si>
  <si>
    <t>Cash flow</t>
  </si>
  <si>
    <t>Present value</t>
  </si>
  <si>
    <t>Future value</t>
  </si>
  <si>
    <t>Gross profit</t>
  </si>
  <si>
    <t>Extrapolation</t>
  </si>
  <si>
    <t>Interpolation</t>
  </si>
  <si>
    <t>Tangible assets</t>
  </si>
  <si>
    <t>Straight-line depreciation</t>
  </si>
  <si>
    <t>Declining balance depreciation</t>
  </si>
  <si>
    <t>Negative cash flow</t>
  </si>
  <si>
    <t>Positive cash flow</t>
  </si>
  <si>
    <t>Cost of sales</t>
  </si>
  <si>
    <t>Linear trend</t>
  </si>
  <si>
    <t>Growth trend</t>
  </si>
  <si>
    <t>Payback period</t>
  </si>
  <si>
    <t>Rate of return</t>
  </si>
  <si>
    <t>Net present value</t>
  </si>
  <si>
    <t>Internal rate of return</t>
  </si>
  <si>
    <t>Notes</t>
  </si>
  <si>
    <t>The direction in which money flows either to or from the user</t>
  </si>
  <si>
    <t>Money that is flowing towards the user</t>
  </si>
  <si>
    <t>Money that is flowing from the user</t>
  </si>
  <si>
    <t>Excel returns negative cash flow values for loan payments</t>
  </si>
  <si>
    <t>Excel returns positive cash flow values for investments</t>
  </si>
  <si>
    <t>The current value of a loan or investment</t>
  </si>
  <si>
    <t>The future value of a loan or investment</t>
  </si>
  <si>
    <t>Use a future value of 0 for loans that will be completely repaid</t>
  </si>
  <si>
    <t>Rate per Period
(RATE)</t>
  </si>
  <si>
    <t>Periodic Payments
(PMT)</t>
  </si>
  <si>
    <t>Expenses which are directly related to production</t>
  </si>
  <si>
    <t>Noncash assets such as equipment, land, buildings, and vehicles</t>
  </si>
  <si>
    <t>The difference between the company's sales and the cost of goods sold</t>
  </si>
  <si>
    <t>A process by extending a series from a single value or a few values to project future values</t>
  </si>
  <si>
    <t>A process to fill in a series when given then starting and ending values of the series</t>
  </si>
  <si>
    <t>A trend by which values change by a constant amount</t>
  </si>
  <si>
    <t>A trend by which values change by a constant percentage</t>
  </si>
  <si>
    <t>The process of allocating the original cost of an asset over the lifetime of the asset</t>
  </si>
  <si>
    <t>Depreciation in which the asset drops in value by a constant amount</t>
  </si>
  <si>
    <t>Calculate using the SLN function</t>
  </si>
  <si>
    <t>Depreciation in which the asset drops in value by a constant percentage</t>
  </si>
  <si>
    <t>Calculate using the DB function</t>
  </si>
  <si>
    <t>The length of time before an investment recovers its initial cost</t>
  </si>
  <si>
    <t>An interest rate that compares of value of current dollars to future dollars from a series of cash flows</t>
  </si>
  <si>
    <t>The difference between the present value of an investment and the initial expenditure on that investment</t>
  </si>
  <si>
    <t>Calculate by adding the current expenditure to the value returned by the NPV function</t>
  </si>
  <si>
    <t>The return rate for a series of future cash flow that will will result in a net present value of 0</t>
  </si>
  <si>
    <t>Calculate using the IRR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</si>
</sst>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0.0000"/>
    <numFmt numFmtId="168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4"/>
      <name val="Bauhaus 93"/>
      <family val="5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4"/>
      <color theme="9" tint="-0.249977111117893"/>
      <name val="Lucida Calligraphy"/>
      <family val="4"/>
    </font>
    <font>
      <sz val="11"/>
      <color theme="9" tint="-0.249977111117893"/>
      <name val="Calibri"/>
      <family val="2"/>
      <scheme val="minor"/>
    </font>
    <font>
      <sz val="18"/>
      <color theme="9" tint="-0.249977111117893"/>
      <name val="Calibri Light"/>
      <family val="2"/>
      <scheme val="major"/>
    </font>
    <font>
      <sz val="11"/>
      <color rgb="FF3F3F3F"/>
      <name val="Calibri"/>
      <family val="2"/>
      <scheme val="minor"/>
    </font>
    <font>
      <sz val="18"/>
      <color theme="4"/>
      <name val="Calibri Light"/>
      <family val="2"/>
      <scheme val="major"/>
    </font>
    <font>
      <b/>
      <sz val="13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7" fillId="9" borderId="0" applyNumberFormat="0" applyBorder="0" applyAlignment="0" applyProtection="0"/>
    <xf numFmtId="0" fontId="1" fillId="10" borderId="0" applyNumberFormat="0" applyBorder="0" applyAlignment="0" applyProtection="0"/>
  </cellStyleXfs>
  <cellXfs count="136">
    <xf numFmtId="0" fontId="0" fillId="0" borderId="0" xfId="0"/>
    <xf numFmtId="0" fontId="8" fillId="0" borderId="0" xfId="4" applyFont="1"/>
    <xf numFmtId="0" fontId="7" fillId="2" borderId="4" xfId="9" applyBorder="1"/>
    <xf numFmtId="0" fontId="11" fillId="0" borderId="4" xfId="0" applyFont="1" applyBorder="1" applyAlignment="1">
      <alignment wrapText="1"/>
    </xf>
    <xf numFmtId="14" fontId="11" fillId="0" borderId="4" xfId="0" applyNumberFormat="1" applyFont="1" applyBorder="1" applyAlignment="1">
      <alignment wrapText="1"/>
    </xf>
    <xf numFmtId="0" fontId="12" fillId="0" borderId="0" xfId="4" applyFont="1" applyFill="1" applyBorder="1" applyAlignment="1"/>
    <xf numFmtId="0" fontId="13" fillId="0" borderId="0" xfId="0" applyFont="1" applyFill="1" applyBorder="1" applyAlignment="1"/>
    <xf numFmtId="0" fontId="14" fillId="0" borderId="0" xfId="4" applyFont="1" applyFill="1" applyBorder="1" applyAlignment="1"/>
    <xf numFmtId="0" fontId="0" fillId="0" borderId="0" xfId="0" applyFont="1" applyAlignment="1"/>
    <xf numFmtId="164" fontId="0" fillId="0" borderId="0" xfId="1" applyNumberFormat="1" applyFont="1" applyAlignment="1"/>
    <xf numFmtId="0" fontId="0" fillId="0" borderId="5" xfId="0" applyFont="1" applyBorder="1" applyAlignment="1"/>
    <xf numFmtId="164" fontId="0" fillId="0" borderId="5" xfId="1" applyNumberFormat="1" applyFont="1" applyBorder="1" applyAlignment="1"/>
    <xf numFmtId="0" fontId="0" fillId="5" borderId="5" xfId="0" applyFont="1" applyFill="1" applyBorder="1" applyAlignment="1"/>
    <xf numFmtId="165" fontId="0" fillId="5" borderId="5" xfId="1" applyNumberFormat="1" applyFont="1" applyFill="1" applyBorder="1" applyAlignment="1"/>
    <xf numFmtId="164" fontId="0" fillId="0" borderId="0" xfId="1" applyNumberFormat="1" applyFont="1" applyBorder="1" applyAlignment="1"/>
    <xf numFmtId="0" fontId="0" fillId="5" borderId="6" xfId="0" applyFont="1" applyFill="1" applyBorder="1" applyAlignment="1"/>
    <xf numFmtId="165" fontId="0" fillId="5" borderId="6" xfId="1" applyNumberFormat="1" applyFont="1" applyFill="1" applyBorder="1" applyAlignment="1"/>
    <xf numFmtId="0" fontId="0" fillId="6" borderId="0" xfId="0" applyFont="1" applyFill="1" applyAlignment="1"/>
    <xf numFmtId="165" fontId="0" fillId="6" borderId="0" xfId="0" applyNumberFormat="1" applyFont="1" applyFill="1" applyAlignment="1"/>
    <xf numFmtId="0" fontId="0" fillId="0" borderId="0" xfId="0" applyFont="1" applyFill="1" applyAlignment="1"/>
    <xf numFmtId="165" fontId="0" fillId="0" borderId="0" xfId="0" applyNumberFormat="1" applyFont="1" applyFill="1" applyAlignment="1"/>
    <xf numFmtId="0" fontId="0" fillId="0" borderId="5" xfId="0" applyFont="1" applyFill="1" applyBorder="1" applyAlignment="1"/>
    <xf numFmtId="164" fontId="0" fillId="0" borderId="0" xfId="1" applyNumberFormat="1" applyFont="1" applyFill="1" applyAlignment="1"/>
    <xf numFmtId="164" fontId="0" fillId="0" borderId="5" xfId="1" applyNumberFormat="1" applyFont="1" applyFill="1" applyBorder="1" applyAlignment="1"/>
    <xf numFmtId="0" fontId="0" fillId="0" borderId="6" xfId="0" applyFont="1" applyFill="1" applyBorder="1" applyAlignment="1"/>
    <xf numFmtId="164" fontId="0" fillId="0" borderId="6" xfId="1" applyNumberFormat="1" applyFont="1" applyFill="1" applyBorder="1" applyAlignment="1"/>
    <xf numFmtId="165" fontId="0" fillId="6" borderId="0" xfId="1" applyNumberFormat="1" applyFont="1" applyFill="1" applyAlignment="1"/>
    <xf numFmtId="6" fontId="0" fillId="0" borderId="0" xfId="0" applyNumberFormat="1" applyFont="1" applyFill="1" applyAlignment="1"/>
    <xf numFmtId="0" fontId="0" fillId="0" borderId="0" xfId="0" applyFont="1" applyFill="1" applyBorder="1" applyAlignment="1"/>
    <xf numFmtId="164" fontId="5" fillId="0" borderId="0" xfId="1" applyNumberFormat="1" applyFont="1" applyFill="1" applyBorder="1" applyAlignment="1"/>
    <xf numFmtId="0" fontId="1" fillId="0" borderId="3" xfId="8" applyFont="1" applyAlignment="1"/>
    <xf numFmtId="165" fontId="1" fillId="0" borderId="3" xfId="8" applyNumberFormat="1" applyFont="1" applyAlignment="1"/>
    <xf numFmtId="0" fontId="1" fillId="0" borderId="0" xfId="0" applyFont="1" applyAlignment="1"/>
    <xf numFmtId="0" fontId="10" fillId="0" borderId="0" xfId="0" applyFont="1" applyFill="1" applyBorder="1" applyAlignment="1">
      <alignment horizontal="right" indent="1"/>
    </xf>
    <xf numFmtId="165" fontId="1" fillId="0" borderId="0" xfId="1" applyNumberFormat="1" applyFont="1" applyFill="1" applyBorder="1" applyAlignment="1"/>
    <xf numFmtId="164" fontId="1" fillId="0" borderId="5" xfId="1" applyNumberFormat="1" applyFont="1" applyFill="1" applyBorder="1" applyAlignment="1"/>
    <xf numFmtId="0" fontId="0" fillId="6" borderId="3" xfId="8" applyFont="1" applyFill="1" applyAlignment="1"/>
    <xf numFmtId="164" fontId="1" fillId="6" borderId="3" xfId="8" applyNumberFormat="1" applyFont="1" applyFill="1" applyAlignment="1"/>
    <xf numFmtId="164" fontId="1" fillId="0" borderId="0" xfId="1" applyNumberFormat="1" applyFont="1" applyFill="1" applyBorder="1" applyAlignment="1"/>
    <xf numFmtId="0" fontId="1" fillId="6" borderId="3" xfId="8" applyFont="1" applyFill="1" applyAlignment="1"/>
    <xf numFmtId="0" fontId="0" fillId="0" borderId="0" xfId="0" applyFont="1" applyFill="1" applyBorder="1" applyAlignment="1">
      <alignment wrapText="1"/>
    </xf>
    <xf numFmtId="0" fontId="0" fillId="6" borderId="0" xfId="0" applyFont="1" applyFill="1" applyBorder="1" applyAlignment="1"/>
    <xf numFmtId="164" fontId="1" fillId="6" borderId="0" xfId="1" applyNumberFormat="1" applyFont="1" applyFill="1" applyBorder="1" applyAlignment="1"/>
    <xf numFmtId="6" fontId="0" fillId="0" borderId="0" xfId="0" applyNumberFormat="1" applyFont="1" applyFill="1" applyBorder="1" applyAlignment="1"/>
    <xf numFmtId="165" fontId="1" fillId="6" borderId="0" xfId="1" applyNumberFormat="1" applyFont="1" applyFill="1" applyBorder="1" applyAlignment="1"/>
    <xf numFmtId="0" fontId="1" fillId="0" borderId="3" xfId="8" applyFont="1" applyFill="1" applyAlignment="1"/>
    <xf numFmtId="165" fontId="1" fillId="0" borderId="3" xfId="8" applyNumberFormat="1" applyFont="1" applyFill="1" applyAlignment="1"/>
    <xf numFmtId="0" fontId="0" fillId="0" borderId="0" xfId="0" applyFont="1" applyBorder="1" applyAlignment="1"/>
    <xf numFmtId="164" fontId="1" fillId="0" borderId="0" xfId="1" applyNumberFormat="1" applyFont="1" applyBorder="1" applyAlignment="1"/>
    <xf numFmtId="0" fontId="0" fillId="6" borderId="7" xfId="0" applyFont="1" applyFill="1" applyBorder="1" applyAlignment="1"/>
    <xf numFmtId="164" fontId="0" fillId="6" borderId="7" xfId="0" applyNumberFormat="1" applyFont="1" applyFill="1" applyBorder="1" applyAlignment="1"/>
    <xf numFmtId="164" fontId="1" fillId="0" borderId="3" xfId="8" applyNumberFormat="1" applyFont="1" applyAlignment="1"/>
    <xf numFmtId="164" fontId="0" fillId="0" borderId="0" xfId="0" applyNumberFormat="1" applyFont="1" applyAlignment="1"/>
    <xf numFmtId="165" fontId="0" fillId="6" borderId="7" xfId="0" applyNumberFormat="1" applyFont="1" applyFill="1" applyBorder="1" applyAlignment="1"/>
    <xf numFmtId="6" fontId="0" fillId="0" borderId="0" xfId="0" applyNumberFormat="1" applyFont="1" applyAlignment="1"/>
    <xf numFmtId="165" fontId="0" fillId="0" borderId="0" xfId="0" applyNumberFormat="1" applyFont="1" applyFill="1" applyBorder="1" applyAlignme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center" vertical="top" wrapText="1"/>
    </xf>
    <xf numFmtId="165" fontId="0" fillId="0" borderId="0" xfId="1" applyNumberFormat="1" applyFont="1" applyBorder="1"/>
    <xf numFmtId="44" fontId="0" fillId="0" borderId="0" xfId="0" applyNumberFormat="1" applyFont="1" applyBorder="1"/>
    <xf numFmtId="164" fontId="0" fillId="0" borderId="0" xfId="1" applyNumberFormat="1" applyFont="1" applyFill="1" applyBorder="1"/>
    <xf numFmtId="10" fontId="0" fillId="0" borderId="0" xfId="0" applyNumberFormat="1" applyFont="1" applyBorder="1"/>
    <xf numFmtId="10" fontId="1" fillId="0" borderId="0" xfId="3" applyNumberFormat="1" applyFont="1" applyBorder="1"/>
    <xf numFmtId="164" fontId="15" fillId="0" borderId="0" xfId="1" applyNumberFormat="1" applyFont="1" applyFill="1" applyBorder="1"/>
    <xf numFmtId="165" fontId="0" fillId="0" borderId="0" xfId="0" applyNumberFormat="1" applyFont="1" applyBorder="1"/>
    <xf numFmtId="6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6" fontId="10" fillId="0" borderId="0" xfId="0" applyNumberFormat="1" applyFont="1"/>
    <xf numFmtId="0" fontId="1" fillId="0" borderId="0" xfId="10" applyFill="1"/>
    <xf numFmtId="165" fontId="0" fillId="0" borderId="0" xfId="0" applyNumberFormat="1"/>
    <xf numFmtId="164" fontId="0" fillId="0" borderId="0" xfId="1" applyNumberFormat="1" applyFont="1"/>
    <xf numFmtId="0" fontId="1" fillId="0" borderId="5" xfId="10" applyFill="1" applyBorder="1"/>
    <xf numFmtId="164" fontId="0" fillId="0" borderId="5" xfId="1" applyNumberFormat="1" applyFont="1" applyBorder="1"/>
    <xf numFmtId="0" fontId="10" fillId="0" borderId="0" xfId="0" applyFont="1" applyAlignment="1">
      <alignment horizontal="right" indent="1"/>
    </xf>
    <xf numFmtId="166" fontId="0" fillId="6" borderId="4" xfId="0" applyNumberFormat="1" applyFill="1" applyBorder="1"/>
    <xf numFmtId="6" fontId="0" fillId="0" borderId="0" xfId="0" applyNumberFormat="1" applyBorder="1"/>
    <xf numFmtId="8" fontId="0" fillId="0" borderId="0" xfId="0" applyNumberFormat="1"/>
    <xf numFmtId="0" fontId="0" fillId="0" borderId="0" xfId="0" applyBorder="1"/>
    <xf numFmtId="0" fontId="10" fillId="0" borderId="5" xfId="7" applyFont="1" applyBorder="1" applyAlignment="1">
      <alignment horizontal="center"/>
    </xf>
    <xf numFmtId="0" fontId="10" fillId="0" borderId="0" xfId="6" applyFont="1" applyBorder="1" applyAlignment="1">
      <alignment horizontal="center"/>
    </xf>
    <xf numFmtId="0" fontId="10" fillId="0" borderId="4" xfId="10" applyFont="1" applyFill="1" applyBorder="1" applyAlignment="1">
      <alignment horizontal="right" indent="1"/>
    </xf>
    <xf numFmtId="6" fontId="0" fillId="0" borderId="4" xfId="0" applyNumberFormat="1" applyBorder="1"/>
    <xf numFmtId="6" fontId="0" fillId="6" borderId="4" xfId="0" applyNumberFormat="1" applyFill="1" applyBorder="1"/>
    <xf numFmtId="0" fontId="0" fillId="0" borderId="4" xfId="0" applyBorder="1" applyAlignment="1">
      <alignment horizontal="right" indent="1"/>
    </xf>
    <xf numFmtId="0" fontId="0" fillId="0" borderId="0" xfId="0" applyFill="1" applyBorder="1"/>
    <xf numFmtId="165" fontId="0" fillId="0" borderId="4" xfId="1" applyNumberFormat="1" applyFont="1" applyFill="1" applyBorder="1"/>
    <xf numFmtId="0" fontId="0" fillId="0" borderId="4" xfId="0" applyFill="1" applyBorder="1"/>
    <xf numFmtId="0" fontId="1" fillId="0" borderId="0" xfId="10" applyFill="1" applyBorder="1"/>
    <xf numFmtId="164" fontId="0" fillId="0" borderId="5" xfId="1" applyNumberFormat="1" applyFont="1" applyFill="1" applyBorder="1"/>
    <xf numFmtId="0" fontId="1" fillId="6" borderId="0" xfId="8" applyFont="1" applyFill="1" applyBorder="1"/>
    <xf numFmtId="165" fontId="1" fillId="6" borderId="0" xfId="8" applyNumberFormat="1" applyFont="1" applyFill="1" applyBorder="1"/>
    <xf numFmtId="167" fontId="0" fillId="0" borderId="0" xfId="0" applyNumberFormat="1"/>
    <xf numFmtId="165" fontId="10" fillId="0" borderId="4" xfId="2" applyNumberFormat="1" applyFont="1" applyFill="1" applyBorder="1" applyAlignment="1"/>
    <xf numFmtId="164" fontId="0" fillId="0" borderId="4" xfId="1" applyNumberFormat="1" applyFont="1" applyFill="1" applyBorder="1" applyAlignment="1"/>
    <xf numFmtId="10" fontId="0" fillId="0" borderId="4" xfId="3" applyNumberFormat="1" applyFont="1" applyFill="1" applyBorder="1" applyAlignment="1"/>
    <xf numFmtId="0" fontId="0" fillId="0" borderId="4" xfId="0" applyFont="1" applyBorder="1" applyAlignment="1"/>
    <xf numFmtId="164" fontId="0" fillId="0" borderId="4" xfId="1" applyNumberFormat="1" applyFont="1" applyBorder="1" applyAlignment="1"/>
    <xf numFmtId="3" fontId="0" fillId="0" borderId="0" xfId="0" applyNumberFormat="1" applyFont="1" applyAlignment="1"/>
    <xf numFmtId="0" fontId="0" fillId="6" borderId="4" xfId="0" applyFont="1" applyFill="1" applyBorder="1" applyAlignment="1"/>
    <xf numFmtId="164" fontId="0" fillId="6" borderId="4" xfId="1" applyNumberFormat="1" applyFont="1" applyFill="1" applyBorder="1" applyAlignment="1"/>
    <xf numFmtId="0" fontId="0" fillId="0" borderId="4" xfId="0" applyFont="1" applyFill="1" applyBorder="1" applyAlignment="1"/>
    <xf numFmtId="165" fontId="0" fillId="0" borderId="4" xfId="1" applyNumberFormat="1" applyFont="1" applyFill="1" applyBorder="1" applyAlignment="1"/>
    <xf numFmtId="165" fontId="0" fillId="0" borderId="4" xfId="0" applyNumberFormat="1" applyFont="1" applyFill="1" applyBorder="1" applyAlignment="1"/>
    <xf numFmtId="8" fontId="0" fillId="0" borderId="0" xfId="0" applyNumberFormat="1" applyFont="1" applyAlignment="1"/>
    <xf numFmtId="6" fontId="0" fillId="0" borderId="4" xfId="0" applyNumberFormat="1" applyFont="1" applyBorder="1" applyAlignment="1">
      <alignment vertical="top"/>
    </xf>
    <xf numFmtId="164" fontId="10" fillId="0" borderId="4" xfId="0" applyNumberFormat="1" applyFont="1" applyBorder="1" applyAlignment="1">
      <alignment vertical="top"/>
    </xf>
    <xf numFmtId="10" fontId="0" fillId="0" borderId="4" xfId="0" applyNumberFormat="1" applyFont="1" applyBorder="1" applyAlignment="1">
      <alignment vertical="top"/>
    </xf>
    <xf numFmtId="0" fontId="16" fillId="0" borderId="0" xfId="4" applyFont="1" applyFill="1" applyBorder="1" applyAlignment="1"/>
    <xf numFmtId="0" fontId="17" fillId="0" borderId="0" xfId="5" applyFont="1" applyBorder="1" applyAlignment="1">
      <alignment horizontal="left" vertical="center"/>
    </xf>
    <xf numFmtId="0" fontId="9" fillId="0" borderId="0" xfId="0" applyFont="1" applyAlignment="1"/>
    <xf numFmtId="164" fontId="1" fillId="4" borderId="4" xfId="11" applyNumberFormat="1" applyBorder="1" applyAlignment="1"/>
    <xf numFmtId="0" fontId="0" fillId="7" borderId="0" xfId="0" applyFont="1" applyFill="1" applyBorder="1" applyAlignment="1">
      <alignment horizontal="center"/>
    </xf>
    <xf numFmtId="0" fontId="0" fillId="7" borderId="0" xfId="0" applyFont="1" applyFill="1" applyAlignment="1">
      <alignment horizontal="center" vertical="top" wrapText="1"/>
    </xf>
    <xf numFmtId="0" fontId="0" fillId="7" borderId="4" xfId="10" applyFont="1" applyFill="1" applyBorder="1"/>
    <xf numFmtId="0" fontId="4" fillId="7" borderId="0" xfId="6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7" borderId="4" xfId="0" applyFont="1" applyFill="1" applyBorder="1" applyAlignment="1"/>
    <xf numFmtId="0" fontId="10" fillId="7" borderId="4" xfId="0" applyFont="1" applyFill="1" applyBorder="1" applyAlignment="1"/>
    <xf numFmtId="0" fontId="10" fillId="7" borderId="4" xfId="7" applyFont="1" applyFill="1" applyBorder="1" applyAlignment="1">
      <alignment horizontal="center" vertical="center"/>
    </xf>
    <xf numFmtId="0" fontId="10" fillId="7" borderId="8" xfId="6" applyFont="1" applyFill="1" applyBorder="1" applyAlignment="1">
      <alignment horizontal="center" vertical="center"/>
    </xf>
    <xf numFmtId="165" fontId="1" fillId="4" borderId="4" xfId="11" applyNumberFormat="1" applyBorder="1"/>
    <xf numFmtId="43" fontId="1" fillId="4" borderId="4" xfId="11" applyNumberFormat="1" applyBorder="1"/>
    <xf numFmtId="165" fontId="0" fillId="0" borderId="0" xfId="2" applyNumberFormat="1" applyFont="1" applyAlignment="1"/>
    <xf numFmtId="9" fontId="10" fillId="8" borderId="4" xfId="0" applyNumberFormat="1" applyFont="1" applyFill="1" applyBorder="1" applyAlignment="1"/>
    <xf numFmtId="0" fontId="0" fillId="0" borderId="0" xfId="1" applyNumberFormat="1" applyFont="1" applyAlignment="1"/>
    <xf numFmtId="168" fontId="0" fillId="0" borderId="4" xfId="0" applyNumberFormat="1" applyFont="1" applyFill="1" applyBorder="1" applyAlignment="1">
      <alignment vertical="top"/>
    </xf>
    <xf numFmtId="0" fontId="7" fillId="9" borderId="4" xfId="12" applyBorder="1" applyAlignment="1">
      <alignment horizontal="left" vertical="top"/>
    </xf>
    <xf numFmtId="0" fontId="1" fillId="10" borderId="4" xfId="13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10" fontId="1" fillId="4" borderId="4" xfId="11" applyNumberFormat="1" applyBorder="1" applyAlignment="1"/>
    <xf numFmtId="0" fontId="10" fillId="0" borderId="8" xfId="0" applyFont="1" applyBorder="1" applyAlignment="1">
      <alignment horizontal="right" textRotation="90"/>
    </xf>
    <xf numFmtId="0" fontId="10" fillId="0" borderId="9" xfId="0" applyFont="1" applyBorder="1" applyAlignment="1">
      <alignment horizontal="right" textRotation="90"/>
    </xf>
    <xf numFmtId="0" fontId="10" fillId="0" borderId="0" xfId="7" applyFont="1" applyAlignment="1">
      <alignment horizontal="center"/>
    </xf>
    <xf numFmtId="0" fontId="0" fillId="7" borderId="10" xfId="0" applyFont="1" applyFill="1" applyBorder="1" applyAlignment="1">
      <alignment horizontal="left" vertical="top" wrapText="1"/>
    </xf>
    <xf numFmtId="0" fontId="0" fillId="7" borderId="11" xfId="0" applyFont="1" applyFill="1" applyBorder="1" applyAlignment="1">
      <alignment horizontal="left" vertical="top" wrapText="1"/>
    </xf>
  </cellXfs>
  <cellStyles count="14">
    <cellStyle name="20% - Accent2" xfId="13" builtinId="34"/>
    <cellStyle name="20% - Accent3" xfId="10" builtinId="38"/>
    <cellStyle name="40% - Accent6" xfId="11" builtinId="51"/>
    <cellStyle name="Accent1" xfId="9" builtinId="29"/>
    <cellStyle name="Accent2" xfId="12" builtinId="33"/>
    <cellStyle name="Comma" xfId="1" builtinId="3"/>
    <cellStyle name="Currency" xfId="2" builtinId="4"/>
    <cellStyle name="Heading 2" xfId="5" builtinId="17"/>
    <cellStyle name="Heading 3" xfId="6" builtinId="18"/>
    <cellStyle name="Heading 4" xfId="7" builtinId="19"/>
    <cellStyle name="Normal" xfId="0" builtinId="0"/>
    <cellStyle name="Percent" xfId="3" builtinId="5"/>
    <cellStyle name="Title" xfId="4" builtinId="15"/>
    <cellStyle name="Total" xfId="8" builtinId="25"/>
  </cellStyles>
  <dxfs count="1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42.75" x14ac:dyDescent="0.75">
      <c r="A1" s="1" t="s">
        <v>164</v>
      </c>
    </row>
    <row r="3" spans="1:2" x14ac:dyDescent="0.25">
      <c r="A3" s="2" t="s">
        <v>0</v>
      </c>
      <c r="B3" s="3"/>
    </row>
    <row r="4" spans="1:2" x14ac:dyDescent="0.25">
      <c r="A4" s="2" t="s">
        <v>1</v>
      </c>
      <c r="B4" s="4"/>
    </row>
    <row r="5" spans="1:2" ht="30" x14ac:dyDescent="0.25">
      <c r="A5" s="2" t="s">
        <v>2</v>
      </c>
      <c r="B5" s="3" t="s">
        <v>163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53"/>
  <sheetViews>
    <sheetView zoomScale="120" zoomScaleNormal="120" workbookViewId="0"/>
  </sheetViews>
  <sheetFormatPr defaultColWidth="9.140625" defaultRowHeight="15" x14ac:dyDescent="0.25"/>
  <cols>
    <col min="1" max="1" width="41.5703125" style="32" customWidth="1"/>
    <col min="2" max="2" width="13.42578125" style="32" customWidth="1"/>
    <col min="3" max="16384" width="9.140625" style="32"/>
  </cols>
  <sheetData>
    <row r="1" spans="1:2" s="6" customFormat="1" ht="42.75" x14ac:dyDescent="0.75">
      <c r="A1" s="1" t="s">
        <v>164</v>
      </c>
    </row>
    <row r="2" spans="1:2" s="6" customFormat="1" ht="23.25" x14ac:dyDescent="0.35">
      <c r="A2" s="108" t="s">
        <v>3</v>
      </c>
    </row>
    <row r="3" spans="1:2" s="8" customFormat="1" ht="15" customHeight="1" x14ac:dyDescent="0.25">
      <c r="A3" s="109" t="s">
        <v>4</v>
      </c>
    </row>
    <row r="4" spans="1:2" s="8" customFormat="1" x14ac:dyDescent="0.25">
      <c r="A4" s="8" t="s">
        <v>159</v>
      </c>
      <c r="B4" s="9">
        <v>90000</v>
      </c>
    </row>
    <row r="5" spans="1:2" s="8" customFormat="1" x14ac:dyDescent="0.25">
      <c r="A5" s="8" t="s">
        <v>150</v>
      </c>
      <c r="B5" s="9">
        <v>345000</v>
      </c>
    </row>
    <row r="6" spans="1:2" s="8" customFormat="1" x14ac:dyDescent="0.25">
      <c r="A6" s="8" t="s">
        <v>151</v>
      </c>
      <c r="B6" s="9">
        <v>200000</v>
      </c>
    </row>
    <row r="7" spans="1:2" s="8" customFormat="1" x14ac:dyDescent="0.25">
      <c r="A7" s="10" t="s">
        <v>160</v>
      </c>
      <c r="B7" s="11">
        <v>215000</v>
      </c>
    </row>
    <row r="8" spans="1:2" s="8" customFormat="1" x14ac:dyDescent="0.25">
      <c r="A8" s="12" t="s">
        <v>5</v>
      </c>
      <c r="B8" s="13">
        <f>SUM(B4:B7)</f>
        <v>850000</v>
      </c>
    </row>
    <row r="9" spans="1:2" s="8" customFormat="1" ht="17.25" x14ac:dyDescent="0.25">
      <c r="A9" s="109" t="s">
        <v>6</v>
      </c>
    </row>
    <row r="10" spans="1:2" s="8" customFormat="1" x14ac:dyDescent="0.25">
      <c r="A10" s="8" t="s">
        <v>7</v>
      </c>
      <c r="B10" s="9">
        <v>230000</v>
      </c>
    </row>
    <row r="11" spans="1:2" s="8" customFormat="1" x14ac:dyDescent="0.25">
      <c r="A11" s="8" t="s">
        <v>8</v>
      </c>
      <c r="B11" s="9">
        <v>120000</v>
      </c>
    </row>
    <row r="12" spans="1:2" s="8" customFormat="1" x14ac:dyDescent="0.25">
      <c r="A12" s="8" t="s">
        <v>9</v>
      </c>
      <c r="B12" s="14">
        <v>100000</v>
      </c>
    </row>
    <row r="13" spans="1:2" s="8" customFormat="1" x14ac:dyDescent="0.25">
      <c r="A13" s="10" t="s">
        <v>10</v>
      </c>
      <c r="B13" s="111"/>
    </row>
    <row r="14" spans="1:2" s="8" customFormat="1" x14ac:dyDescent="0.25">
      <c r="A14" s="15" t="s">
        <v>11</v>
      </c>
      <c r="B14" s="16">
        <f>SUM(B10:B13)</f>
        <v>450000</v>
      </c>
    </row>
    <row r="15" spans="1:2" s="8" customFormat="1" x14ac:dyDescent="0.25">
      <c r="A15" s="17" t="s">
        <v>12</v>
      </c>
      <c r="B15" s="18">
        <f>B8+B14</f>
        <v>1300000</v>
      </c>
    </row>
    <row r="16" spans="1:2" s="19" customFormat="1" x14ac:dyDescent="0.25">
      <c r="B16" s="20"/>
    </row>
    <row r="17" spans="1:2" s="8" customFormat="1" ht="23.25" x14ac:dyDescent="0.35">
      <c r="A17" s="108" t="s">
        <v>13</v>
      </c>
    </row>
    <row r="18" spans="1:2" s="19" customFormat="1" x14ac:dyDescent="0.25">
      <c r="A18" s="21" t="s">
        <v>14</v>
      </c>
      <c r="B18" s="11">
        <f>SUM($B$11:$B$13)</f>
        <v>220000</v>
      </c>
    </row>
    <row r="19" spans="1:2" s="19" customFormat="1" x14ac:dyDescent="0.25">
      <c r="A19" s="19" t="s">
        <v>15</v>
      </c>
      <c r="B19" s="22">
        <f>B10</f>
        <v>230000</v>
      </c>
    </row>
    <row r="20" spans="1:2" s="19" customFormat="1" x14ac:dyDescent="0.25">
      <c r="A20" s="21" t="s">
        <v>16</v>
      </c>
      <c r="B20" s="23">
        <f>B22-B18-B19</f>
        <v>-450000</v>
      </c>
    </row>
    <row r="21" spans="1:2" s="19" customFormat="1" x14ac:dyDescent="0.25">
      <c r="A21" s="24" t="s">
        <v>17</v>
      </c>
      <c r="B21" s="25">
        <f>SUM(B19:B20)</f>
        <v>-220000</v>
      </c>
    </row>
    <row r="22" spans="1:2" s="19" customFormat="1" x14ac:dyDescent="0.25">
      <c r="A22" s="17" t="s">
        <v>18</v>
      </c>
      <c r="B22" s="26">
        <f>B39</f>
        <v>0</v>
      </c>
    </row>
    <row r="23" spans="1:2" s="8" customFormat="1" x14ac:dyDescent="0.25"/>
    <row r="24" spans="1:2" s="8" customFormat="1" ht="23.25" x14ac:dyDescent="0.35">
      <c r="A24" s="108" t="s">
        <v>19</v>
      </c>
    </row>
    <row r="25" spans="1:2" s="8" customFormat="1" ht="17.25" x14ac:dyDescent="0.25">
      <c r="A25" s="109" t="s">
        <v>20</v>
      </c>
    </row>
    <row r="26" spans="1:2" s="8" customFormat="1" x14ac:dyDescent="0.25">
      <c r="A26" s="8" t="s">
        <v>21</v>
      </c>
      <c r="B26" s="111"/>
    </row>
    <row r="27" spans="1:2" s="8" customFormat="1" x14ac:dyDescent="0.25">
      <c r="A27" s="10" t="s">
        <v>22</v>
      </c>
      <c r="B27" s="11">
        <v>0</v>
      </c>
    </row>
    <row r="28" spans="1:2" s="8" customFormat="1" x14ac:dyDescent="0.25">
      <c r="A28" s="17" t="s">
        <v>23</v>
      </c>
      <c r="B28" s="26">
        <f>SUM(B26:B27)</f>
        <v>0</v>
      </c>
    </row>
    <row r="29" spans="1:2" s="8" customFormat="1" ht="17.25" x14ac:dyDescent="0.25">
      <c r="A29" s="109" t="s">
        <v>24</v>
      </c>
    </row>
    <row r="30" spans="1:2" s="8" customFormat="1" x14ac:dyDescent="0.25">
      <c r="A30" s="8" t="s">
        <v>25</v>
      </c>
      <c r="B30" s="9">
        <v>425000</v>
      </c>
    </row>
    <row r="31" spans="1:2" s="8" customFormat="1" x14ac:dyDescent="0.25">
      <c r="A31" s="8" t="s">
        <v>26</v>
      </c>
      <c r="B31" s="111"/>
    </row>
    <row r="32" spans="1:2" s="8" customFormat="1" x14ac:dyDescent="0.25">
      <c r="A32" s="10" t="s">
        <v>152</v>
      </c>
      <c r="B32" s="11">
        <v>425000</v>
      </c>
    </row>
    <row r="33" spans="1:2" s="8" customFormat="1" x14ac:dyDescent="0.25">
      <c r="A33" s="17" t="s">
        <v>27</v>
      </c>
      <c r="B33" s="18">
        <f>SUM(B30:B32)</f>
        <v>850000</v>
      </c>
    </row>
    <row r="34" spans="1:2" s="19" customFormat="1" x14ac:dyDescent="0.25">
      <c r="B34" s="27"/>
    </row>
    <row r="35" spans="1:2" s="19" customFormat="1" ht="23.25" x14ac:dyDescent="0.35">
      <c r="A35" s="108" t="s">
        <v>28</v>
      </c>
      <c r="B35" s="27"/>
    </row>
    <row r="36" spans="1:2" s="19" customFormat="1" x14ac:dyDescent="0.25">
      <c r="A36" s="19" t="s">
        <v>29</v>
      </c>
      <c r="B36" s="22">
        <f>B33</f>
        <v>850000</v>
      </c>
    </row>
    <row r="37" spans="1:2" s="19" customFormat="1" x14ac:dyDescent="0.25">
      <c r="A37" s="28" t="s">
        <v>30</v>
      </c>
      <c r="B37" s="29">
        <f>-B8</f>
        <v>-850000</v>
      </c>
    </row>
    <row r="38" spans="1:2" s="19" customFormat="1" x14ac:dyDescent="0.25">
      <c r="A38" s="21" t="s">
        <v>31</v>
      </c>
      <c r="B38" s="23">
        <f>B36+B37</f>
        <v>0</v>
      </c>
    </row>
    <row r="39" spans="1:2" s="19" customFormat="1" x14ac:dyDescent="0.25">
      <c r="A39" s="17" t="s">
        <v>32</v>
      </c>
      <c r="B39" s="18">
        <f>B28+B38</f>
        <v>0</v>
      </c>
    </row>
    <row r="40" spans="1:2" s="8" customFormat="1" x14ac:dyDescent="0.25"/>
    <row r="41" spans="1:2" s="8" customFormat="1" ht="15.75" thickBot="1" x14ac:dyDescent="0.3">
      <c r="A41" s="30" t="s">
        <v>33</v>
      </c>
      <c r="B41" s="31">
        <f>B28+B33</f>
        <v>850000</v>
      </c>
    </row>
    <row r="42" spans="1:2" s="8" customFormat="1" ht="15.75" thickTop="1" x14ac:dyDescent="0.25"/>
    <row r="43" spans="1:2" s="8" customFormat="1" x14ac:dyDescent="0.25"/>
    <row r="44" spans="1:2" s="8" customFormat="1" x14ac:dyDescent="0.25"/>
    <row r="45" spans="1:2" s="8" customFormat="1" x14ac:dyDescent="0.25"/>
    <row r="46" spans="1:2" s="8" customFormat="1" x14ac:dyDescent="0.25"/>
    <row r="47" spans="1:2" s="8" customFormat="1" x14ac:dyDescent="0.25"/>
    <row r="48" spans="1:2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</sheetData>
  <conditionalFormatting sqref="B3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  <headerFooter>
    <oddFooter>&amp;R&amp;F &amp;A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4"/>
  <sheetViews>
    <sheetView zoomScale="120" zoomScaleNormal="120" workbookViewId="0"/>
  </sheetViews>
  <sheetFormatPr defaultColWidth="9.140625" defaultRowHeight="15" x14ac:dyDescent="0.25"/>
  <cols>
    <col min="1" max="1" width="32.85546875" style="32" customWidth="1"/>
    <col min="2" max="6" width="14.28515625" style="32" customWidth="1"/>
    <col min="7" max="7" width="12.85546875" style="32" customWidth="1"/>
    <col min="8" max="9" width="9.140625" style="32"/>
    <col min="10" max="10" width="11.42578125" style="32" customWidth="1"/>
    <col min="11" max="11" width="10.28515625" style="32" customWidth="1"/>
    <col min="12" max="16384" width="9.140625" style="32"/>
  </cols>
  <sheetData>
    <row r="1" spans="1:6" s="6" customFormat="1" ht="42.75" x14ac:dyDescent="0.75">
      <c r="A1" s="1" t="s">
        <v>164</v>
      </c>
    </row>
    <row r="2" spans="1:6" s="6" customFormat="1" ht="23.25" x14ac:dyDescent="0.35">
      <c r="A2" s="108" t="s">
        <v>34</v>
      </c>
    </row>
    <row r="3" spans="1:6" s="6" customFormat="1" ht="15" customHeight="1" x14ac:dyDescent="0.35">
      <c r="A3" s="7"/>
      <c r="E3" s="33" t="s">
        <v>156</v>
      </c>
      <c r="F3" s="124"/>
    </row>
    <row r="4" spans="1:6" s="6" customFormat="1" ht="15" customHeight="1" x14ac:dyDescent="0.35">
      <c r="A4" s="7"/>
      <c r="E4" s="33" t="s">
        <v>157</v>
      </c>
      <c r="F4" s="124"/>
    </row>
    <row r="5" spans="1:6" s="6" customFormat="1" ht="15" customHeight="1" x14ac:dyDescent="0.35">
      <c r="A5" s="7"/>
      <c r="E5" s="33" t="s">
        <v>35</v>
      </c>
      <c r="F5" s="124"/>
    </row>
    <row r="6" spans="1:6" s="8" customFormat="1" ht="15" customHeight="1" x14ac:dyDescent="0.25"/>
    <row r="7" spans="1:6" s="19" customFormat="1" ht="15" customHeight="1" x14ac:dyDescent="0.25">
      <c r="A7" s="109" t="s">
        <v>36</v>
      </c>
      <c r="B7" s="112" t="s">
        <v>37</v>
      </c>
      <c r="C7" s="112" t="s">
        <v>38</v>
      </c>
      <c r="D7" s="112" t="s">
        <v>39</v>
      </c>
      <c r="E7" s="112" t="s">
        <v>40</v>
      </c>
      <c r="F7" s="112" t="s">
        <v>41</v>
      </c>
    </row>
    <row r="8" spans="1:6" s="28" customFormat="1" ht="15" customHeight="1" x14ac:dyDescent="0.25">
      <c r="A8" s="28" t="s">
        <v>153</v>
      </c>
      <c r="B8" s="34"/>
      <c r="C8" s="34"/>
      <c r="D8" s="34"/>
      <c r="E8" s="34"/>
      <c r="F8" s="34"/>
    </row>
    <row r="9" spans="1:6" s="28" customFormat="1" ht="15" customHeight="1" x14ac:dyDescent="0.25">
      <c r="A9" s="28" t="s">
        <v>154</v>
      </c>
      <c r="B9" s="38"/>
      <c r="C9" s="38"/>
      <c r="D9" s="38"/>
      <c r="E9" s="38"/>
      <c r="F9" s="38"/>
    </row>
    <row r="10" spans="1:6" s="28" customFormat="1" ht="15" customHeight="1" x14ac:dyDescent="0.25">
      <c r="A10" s="21" t="s">
        <v>155</v>
      </c>
      <c r="B10" s="35"/>
      <c r="C10" s="35"/>
      <c r="D10" s="35"/>
      <c r="E10" s="35"/>
      <c r="F10" s="35"/>
    </row>
    <row r="11" spans="1:6" s="28" customFormat="1" ht="15" customHeight="1" thickBot="1" x14ac:dyDescent="0.3">
      <c r="A11" s="36" t="s">
        <v>42</v>
      </c>
      <c r="B11" s="37"/>
      <c r="C11" s="37"/>
      <c r="D11" s="37"/>
      <c r="E11" s="37"/>
      <c r="F11" s="37"/>
    </row>
    <row r="12" spans="1:6" s="28" customFormat="1" ht="15" customHeight="1" thickTop="1" x14ac:dyDescent="0.25">
      <c r="B12" s="38"/>
      <c r="C12" s="38"/>
      <c r="D12" s="38"/>
      <c r="E12" s="38"/>
      <c r="F12" s="38"/>
    </row>
    <row r="13" spans="1:6" s="28" customFormat="1" ht="15" customHeight="1" x14ac:dyDescent="0.25">
      <c r="A13" s="109" t="s">
        <v>43</v>
      </c>
      <c r="B13" s="112" t="s">
        <v>37</v>
      </c>
      <c r="C13" s="112" t="s">
        <v>38</v>
      </c>
      <c r="D13" s="112" t="s">
        <v>39</v>
      </c>
      <c r="E13" s="112" t="s">
        <v>40</v>
      </c>
      <c r="F13" s="112" t="s">
        <v>41</v>
      </c>
    </row>
    <row r="14" spans="1:6" s="28" customFormat="1" ht="15" customHeight="1" x14ac:dyDescent="0.25">
      <c r="A14" s="28" t="s">
        <v>44</v>
      </c>
      <c r="B14" s="34"/>
      <c r="C14" s="34"/>
      <c r="D14" s="34"/>
      <c r="E14" s="34"/>
      <c r="F14" s="34"/>
    </row>
    <row r="15" spans="1:6" s="28" customFormat="1" ht="15" customHeight="1" x14ac:dyDescent="0.25">
      <c r="A15" s="28" t="s">
        <v>45</v>
      </c>
      <c r="B15" s="38"/>
      <c r="C15" s="38"/>
      <c r="D15" s="38"/>
      <c r="E15" s="38"/>
      <c r="F15" s="38"/>
    </row>
    <row r="16" spans="1:6" s="28" customFormat="1" ht="15" customHeight="1" x14ac:dyDescent="0.25">
      <c r="A16" s="28" t="s">
        <v>158</v>
      </c>
      <c r="B16" s="38"/>
      <c r="C16" s="38"/>
      <c r="D16" s="38"/>
      <c r="E16" s="38"/>
      <c r="F16" s="38"/>
    </row>
    <row r="17" spans="1:7" s="28" customFormat="1" ht="15" customHeight="1" x14ac:dyDescent="0.25">
      <c r="A17" s="28" t="s">
        <v>46</v>
      </c>
      <c r="B17" s="38"/>
      <c r="C17" s="38"/>
      <c r="D17" s="38"/>
      <c r="E17" s="38"/>
      <c r="F17" s="38"/>
    </row>
    <row r="18" spans="1:7" s="28" customFormat="1" ht="15" customHeight="1" x14ac:dyDescent="0.25">
      <c r="A18" s="28" t="s">
        <v>47</v>
      </c>
      <c r="B18" s="38"/>
      <c r="C18" s="38"/>
      <c r="D18" s="38"/>
      <c r="E18" s="38"/>
      <c r="F18" s="38"/>
    </row>
    <row r="19" spans="1:7" s="28" customFormat="1" ht="15" customHeight="1" x14ac:dyDescent="0.25">
      <c r="A19" s="28" t="s">
        <v>161</v>
      </c>
      <c r="B19" s="38"/>
      <c r="C19" s="38"/>
      <c r="D19" s="38"/>
      <c r="E19" s="38"/>
      <c r="F19" s="38"/>
    </row>
    <row r="20" spans="1:7" s="28" customFormat="1" ht="15" customHeight="1" thickBot="1" x14ac:dyDescent="0.3">
      <c r="A20" s="39" t="s">
        <v>48</v>
      </c>
      <c r="B20" s="37"/>
      <c r="C20" s="37"/>
      <c r="D20" s="37"/>
      <c r="E20" s="37"/>
      <c r="F20" s="37"/>
    </row>
    <row r="21" spans="1:7" s="28" customFormat="1" ht="15" customHeight="1" thickTop="1" x14ac:dyDescent="0.25">
      <c r="B21" s="38"/>
      <c r="C21" s="38"/>
      <c r="D21" s="38"/>
      <c r="E21" s="38"/>
      <c r="F21" s="38"/>
    </row>
    <row r="22" spans="1:7" s="28" customFormat="1" ht="17.25" x14ac:dyDescent="0.25">
      <c r="A22" s="109" t="s">
        <v>49</v>
      </c>
      <c r="B22" s="112" t="s">
        <v>37</v>
      </c>
      <c r="C22" s="112" t="s">
        <v>38</v>
      </c>
      <c r="D22" s="112" t="s">
        <v>39</v>
      </c>
      <c r="E22" s="112" t="s">
        <v>40</v>
      </c>
      <c r="F22" s="112" t="s">
        <v>41</v>
      </c>
    </row>
    <row r="23" spans="1:7" s="28" customFormat="1" ht="15" customHeight="1" x14ac:dyDescent="0.25">
      <c r="A23" s="40" t="s">
        <v>50</v>
      </c>
      <c r="B23" s="34"/>
      <c r="C23" s="34"/>
      <c r="D23" s="34"/>
      <c r="E23" s="34"/>
      <c r="F23" s="34"/>
    </row>
    <row r="24" spans="1:7" s="28" customFormat="1" ht="15" customHeight="1" x14ac:dyDescent="0.25">
      <c r="A24" s="21" t="s">
        <v>51</v>
      </c>
      <c r="B24" s="35"/>
      <c r="C24" s="35"/>
      <c r="D24" s="35"/>
      <c r="E24" s="35"/>
      <c r="F24" s="35"/>
    </row>
    <row r="25" spans="1:7" s="28" customFormat="1" ht="15" customHeight="1" x14ac:dyDescent="0.25">
      <c r="A25" s="41" t="s">
        <v>52</v>
      </c>
      <c r="B25" s="42"/>
      <c r="C25" s="42"/>
      <c r="D25" s="42"/>
      <c r="E25" s="42"/>
      <c r="F25" s="42"/>
    </row>
    <row r="26" spans="1:7" s="28" customFormat="1" ht="15" customHeight="1" x14ac:dyDescent="0.25">
      <c r="B26" s="38"/>
      <c r="C26" s="38"/>
      <c r="D26" s="38"/>
      <c r="E26" s="38"/>
      <c r="F26" s="38"/>
      <c r="G26" s="43"/>
    </row>
    <row r="27" spans="1:7" s="28" customFormat="1" ht="15" customHeight="1" x14ac:dyDescent="0.25">
      <c r="A27" s="21" t="s">
        <v>53</v>
      </c>
      <c r="B27" s="35"/>
      <c r="C27" s="35"/>
      <c r="D27" s="35"/>
      <c r="E27" s="35"/>
      <c r="F27" s="35"/>
      <c r="G27" s="43"/>
    </row>
    <row r="28" spans="1:7" s="28" customFormat="1" ht="15" customHeight="1" x14ac:dyDescent="0.25">
      <c r="A28" s="41" t="s">
        <v>54</v>
      </c>
      <c r="B28" s="42"/>
      <c r="C28" s="42"/>
      <c r="D28" s="42"/>
      <c r="E28" s="42"/>
      <c r="F28" s="42"/>
      <c r="G28" s="43"/>
    </row>
    <row r="29" spans="1:7" s="28" customFormat="1" ht="15" customHeight="1" x14ac:dyDescent="0.25">
      <c r="B29" s="38"/>
      <c r="C29" s="38"/>
      <c r="D29" s="38"/>
      <c r="E29" s="38"/>
      <c r="F29" s="38"/>
    </row>
    <row r="30" spans="1:7" s="28" customFormat="1" ht="15" customHeight="1" x14ac:dyDescent="0.25">
      <c r="A30" s="21" t="s">
        <v>55</v>
      </c>
      <c r="B30" s="35"/>
      <c r="C30" s="35"/>
      <c r="D30" s="35"/>
      <c r="E30" s="35"/>
      <c r="F30" s="35"/>
    </row>
    <row r="31" spans="1:7" s="28" customFormat="1" ht="15" customHeight="1" x14ac:dyDescent="0.25">
      <c r="A31" s="41" t="s">
        <v>56</v>
      </c>
      <c r="B31" s="44"/>
      <c r="C31" s="44"/>
      <c r="D31" s="44"/>
      <c r="E31" s="44"/>
      <c r="F31" s="44"/>
    </row>
    <row r="32" spans="1:7" s="28" customFormat="1" ht="15" customHeight="1" x14ac:dyDescent="0.25"/>
    <row r="33" spans="1:6" s="28" customFormat="1" ht="15" customHeight="1" x14ac:dyDescent="0.25">
      <c r="A33" s="21" t="s">
        <v>57</v>
      </c>
      <c r="B33" s="11"/>
      <c r="C33" s="11"/>
      <c r="D33" s="11"/>
      <c r="E33" s="11"/>
      <c r="F33" s="11"/>
    </row>
    <row r="34" spans="1:6" s="28" customFormat="1" ht="15" customHeight="1" x14ac:dyDescent="0.25"/>
    <row r="35" spans="1:6" s="28" customFormat="1" ht="15" customHeight="1" thickBot="1" x14ac:dyDescent="0.3">
      <c r="A35" s="45" t="s">
        <v>58</v>
      </c>
      <c r="B35" s="46"/>
      <c r="C35" s="46"/>
      <c r="D35" s="46"/>
      <c r="E35" s="46"/>
      <c r="F35" s="46"/>
    </row>
    <row r="36" spans="1:6" s="47" customFormat="1" ht="15" customHeight="1" thickTop="1" x14ac:dyDescent="0.25">
      <c r="B36" s="48"/>
      <c r="C36" s="48"/>
      <c r="D36" s="48"/>
      <c r="E36" s="48"/>
      <c r="F36" s="48"/>
    </row>
    <row r="37" spans="1:6" s="47" customFormat="1" ht="15" customHeight="1" x14ac:dyDescent="0.25">
      <c r="B37" s="14"/>
      <c r="C37" s="14"/>
      <c r="D37" s="14"/>
      <c r="E37" s="14"/>
      <c r="F37" s="14"/>
    </row>
    <row r="38" spans="1:6" s="47" customFormat="1" ht="15" customHeight="1" x14ac:dyDescent="0.25">
      <c r="B38" s="14"/>
      <c r="C38" s="14"/>
      <c r="D38" s="14"/>
      <c r="E38" s="14"/>
      <c r="F38" s="14"/>
    </row>
    <row r="39" spans="1:6" s="47" customFormat="1" ht="15" customHeight="1" x14ac:dyDescent="0.25">
      <c r="B39" s="14"/>
      <c r="C39" s="14"/>
      <c r="D39" s="14"/>
      <c r="E39" s="14"/>
      <c r="F39" s="14"/>
    </row>
    <row r="40" spans="1:6" s="47" customFormat="1" ht="15" customHeight="1" x14ac:dyDescent="0.25">
      <c r="B40" s="14"/>
      <c r="C40" s="14"/>
      <c r="D40" s="14"/>
      <c r="E40" s="14"/>
      <c r="F40" s="14"/>
    </row>
    <row r="41" spans="1:6" s="47" customFormat="1" ht="15" customHeight="1" x14ac:dyDescent="0.25">
      <c r="B41" s="14"/>
      <c r="C41" s="14"/>
      <c r="D41" s="14"/>
      <c r="E41" s="14"/>
      <c r="F41" s="14"/>
    </row>
    <row r="42" spans="1:6" s="47" customFormat="1" ht="15" customHeight="1" x14ac:dyDescent="0.25">
      <c r="B42" s="14"/>
      <c r="C42" s="14"/>
      <c r="D42" s="14"/>
      <c r="E42" s="14"/>
      <c r="F42" s="14"/>
    </row>
    <row r="43" spans="1:6" s="47" customFormat="1" ht="15" customHeight="1" x14ac:dyDescent="0.25">
      <c r="B43" s="14"/>
      <c r="C43" s="14"/>
      <c r="D43" s="14"/>
      <c r="E43" s="14"/>
      <c r="F43" s="14"/>
    </row>
    <row r="44" spans="1:6" s="8" customFormat="1" ht="15" customHeight="1" x14ac:dyDescent="0.25">
      <c r="B44" s="9"/>
      <c r="C44" s="9"/>
      <c r="D44" s="9"/>
      <c r="E44" s="9"/>
      <c r="F44" s="9"/>
    </row>
    <row r="45" spans="1:6" s="8" customFormat="1" ht="15" customHeight="1" x14ac:dyDescent="0.25">
      <c r="B45" s="9"/>
      <c r="C45" s="9"/>
      <c r="D45" s="9"/>
      <c r="E45" s="9"/>
      <c r="F45" s="9"/>
    </row>
    <row r="46" spans="1:6" s="8" customFormat="1" ht="15" customHeight="1" x14ac:dyDescent="0.25">
      <c r="B46" s="9"/>
      <c r="C46" s="9"/>
      <c r="D46" s="9"/>
      <c r="E46" s="9"/>
      <c r="F46" s="9"/>
    </row>
    <row r="47" spans="1:6" s="8" customFormat="1" ht="15" customHeight="1" x14ac:dyDescent="0.25">
      <c r="B47" s="9"/>
      <c r="C47" s="9"/>
      <c r="D47" s="9"/>
      <c r="E47" s="9"/>
      <c r="F47" s="9"/>
    </row>
    <row r="48" spans="1:6" s="8" customFormat="1" ht="15" customHeight="1" x14ac:dyDescent="0.25">
      <c r="B48" s="9"/>
      <c r="C48" s="9"/>
      <c r="D48" s="9"/>
      <c r="E48" s="9"/>
      <c r="F48" s="9"/>
    </row>
    <row r="49" spans="2:6" s="8" customFormat="1" ht="15" customHeight="1" x14ac:dyDescent="0.25">
      <c r="B49" s="9"/>
      <c r="C49" s="9"/>
      <c r="D49" s="9"/>
      <c r="E49" s="9"/>
      <c r="F49" s="9"/>
    </row>
    <row r="50" spans="2:6" s="8" customFormat="1" ht="15" customHeight="1" x14ac:dyDescent="0.25"/>
    <row r="51" spans="2:6" s="8" customFormat="1" ht="15" customHeight="1" x14ac:dyDescent="0.25"/>
    <row r="52" spans="2:6" s="8" customFormat="1" ht="15" customHeight="1" x14ac:dyDescent="0.25"/>
    <row r="53" spans="2:6" s="8" customFormat="1" ht="15" customHeight="1" x14ac:dyDescent="0.25"/>
    <row r="54" spans="2:6" s="8" customFormat="1" ht="15" customHeight="1" x14ac:dyDescent="0.25"/>
    <row r="55" spans="2:6" s="8" customFormat="1" ht="15" customHeight="1" x14ac:dyDescent="0.25"/>
    <row r="56" spans="2:6" s="8" customFormat="1" ht="15" customHeight="1" x14ac:dyDescent="0.25"/>
    <row r="57" spans="2:6" s="8" customFormat="1" ht="15" customHeight="1" x14ac:dyDescent="0.25"/>
    <row r="58" spans="2:6" s="8" customFormat="1" ht="15" customHeight="1" x14ac:dyDescent="0.25"/>
    <row r="59" spans="2:6" s="8" customFormat="1" ht="15" customHeight="1" x14ac:dyDescent="0.25"/>
    <row r="60" spans="2:6" s="8" customFormat="1" ht="15" customHeight="1" x14ac:dyDescent="0.25"/>
    <row r="61" spans="2:6" s="8" customFormat="1" ht="15" customHeight="1" x14ac:dyDescent="0.25"/>
    <row r="62" spans="2:6" s="8" customFormat="1" ht="15" customHeight="1" x14ac:dyDescent="0.25"/>
    <row r="63" spans="2:6" s="8" customFormat="1" ht="15" customHeight="1" x14ac:dyDescent="0.25"/>
    <row r="64" spans="2:6" s="8" customFormat="1" ht="15" customHeight="1" x14ac:dyDescent="0.25"/>
    <row r="65" s="8" customFormat="1" ht="15" customHeight="1" x14ac:dyDescent="0.25"/>
    <row r="66" s="8" customFormat="1" ht="15" customHeight="1" x14ac:dyDescent="0.25"/>
    <row r="67" s="8" customFormat="1" ht="15" customHeight="1" x14ac:dyDescent="0.25"/>
    <row r="68" s="8" customFormat="1" ht="15" customHeight="1" x14ac:dyDescent="0.25"/>
    <row r="69" s="8" customFormat="1" ht="15" customHeight="1" x14ac:dyDescent="0.25"/>
    <row r="70" s="8" customFormat="1" ht="15" customHeight="1" x14ac:dyDescent="0.25"/>
    <row r="71" s="8" customFormat="1" ht="15" customHeight="1" x14ac:dyDescent="0.25"/>
    <row r="72" s="8" customFormat="1" ht="15" customHeight="1" x14ac:dyDescent="0.25"/>
    <row r="73" s="8" customFormat="1" ht="15" customHeight="1" x14ac:dyDescent="0.25"/>
    <row r="74" s="8" customFormat="1" ht="15" customHeight="1" x14ac:dyDescent="0.25"/>
    <row r="75" s="8" customFormat="1" ht="15" customHeight="1" x14ac:dyDescent="0.25"/>
    <row r="76" s="8" customFormat="1" ht="15" customHeight="1" x14ac:dyDescent="0.25"/>
    <row r="77" s="8" customFormat="1" ht="15" customHeight="1" x14ac:dyDescent="0.25"/>
    <row r="78" s="8" customFormat="1" ht="15" customHeight="1" x14ac:dyDescent="0.25"/>
    <row r="79" s="8" customFormat="1" ht="15" customHeight="1" x14ac:dyDescent="0.25"/>
    <row r="80" s="8" customFormat="1" ht="15" customHeight="1" x14ac:dyDescent="0.25"/>
    <row r="81" s="8" customFormat="1" ht="15" customHeight="1" x14ac:dyDescent="0.25"/>
    <row r="82" s="8" customFormat="1" ht="15" customHeight="1" x14ac:dyDescent="0.25"/>
    <row r="83" s="8" customFormat="1" ht="15" customHeight="1" x14ac:dyDescent="0.25"/>
    <row r="84" s="8" customFormat="1" ht="15" customHeight="1" x14ac:dyDescent="0.25"/>
    <row r="85" s="8" customFormat="1" ht="15" customHeight="1" x14ac:dyDescent="0.25"/>
    <row r="86" s="8" customFormat="1" ht="15" customHeight="1" x14ac:dyDescent="0.25"/>
    <row r="87" s="8" customFormat="1" ht="15" customHeight="1" x14ac:dyDescent="0.25"/>
    <row r="88" s="8" customFormat="1" ht="15" customHeight="1" x14ac:dyDescent="0.25"/>
    <row r="89" s="8" customFormat="1" ht="15" customHeigh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</sheetData>
  <pageMargins left="0.7" right="0.7" top="0.75" bottom="0.75" header="0.3" footer="0.3"/>
  <pageSetup scale="86" orientation="portrait" r:id="rId1"/>
  <headerFooter>
    <oddFooter>&amp;R&amp;F &amp;A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13"/>
  <sheetViews>
    <sheetView zoomScale="120" zoomScaleNormal="120" workbookViewId="0"/>
  </sheetViews>
  <sheetFormatPr defaultColWidth="9.140625" defaultRowHeight="15" x14ac:dyDescent="0.25"/>
  <cols>
    <col min="1" max="1" width="36" style="32" customWidth="1"/>
    <col min="2" max="6" width="13.7109375" style="32" customWidth="1"/>
    <col min="7" max="16384" width="9.140625" style="32"/>
  </cols>
  <sheetData>
    <row r="1" spans="1:6" s="6" customFormat="1" ht="42.75" x14ac:dyDescent="0.75">
      <c r="A1" s="1" t="s">
        <v>164</v>
      </c>
    </row>
    <row r="2" spans="1:6" s="6" customFormat="1" ht="23.25" x14ac:dyDescent="0.35">
      <c r="A2" s="108" t="s">
        <v>59</v>
      </c>
    </row>
    <row r="4" spans="1:6" s="8" customFormat="1" ht="17.25" x14ac:dyDescent="0.25">
      <c r="A4" s="109" t="s">
        <v>60</v>
      </c>
      <c r="B4" s="112" t="s">
        <v>37</v>
      </c>
      <c r="C4" s="112" t="s">
        <v>38</v>
      </c>
      <c r="D4" s="112" t="s">
        <v>39</v>
      </c>
      <c r="E4" s="112" t="s">
        <v>40</v>
      </c>
      <c r="F4" s="112" t="s">
        <v>41</v>
      </c>
    </row>
    <row r="5" spans="1:6" s="8" customFormat="1" x14ac:dyDescent="0.25">
      <c r="A5" s="110" t="s">
        <v>61</v>
      </c>
    </row>
    <row r="6" spans="1:6" s="8" customFormat="1" x14ac:dyDescent="0.25">
      <c r="A6" s="8" t="s">
        <v>7</v>
      </c>
      <c r="B6" s="9" t="e">
        <f ca="1">'Cash Flow'!B23</f>
        <v>#NAME?</v>
      </c>
      <c r="C6" s="9" t="e">
        <f ca="1">'Cash Flow'!C23</f>
        <v>#NAME?</v>
      </c>
      <c r="D6" s="9" t="e">
        <f ca="1">'Cash Flow'!D23</f>
        <v>#NAME?</v>
      </c>
      <c r="E6" s="9" t="e">
        <f ca="1">'Cash Flow'!E23</f>
        <v>#NAME?</v>
      </c>
      <c r="F6" s="9" t="e">
        <f ca="1">'Cash Flow'!F23</f>
        <v>#NAME?</v>
      </c>
    </row>
    <row r="7" spans="1:6" s="8" customFormat="1" x14ac:dyDescent="0.25">
      <c r="A7" s="8" t="s">
        <v>62</v>
      </c>
      <c r="B7" s="9">
        <v>0</v>
      </c>
      <c r="C7" s="9">
        <v>0</v>
      </c>
      <c r="D7" s="9">
        <v>0</v>
      </c>
      <c r="E7" s="9">
        <v>0</v>
      </c>
      <c r="F7" s="9">
        <v>0</v>
      </c>
    </row>
    <row r="8" spans="1:6" s="8" customFormat="1" x14ac:dyDescent="0.25">
      <c r="A8" s="8" t="s">
        <v>63</v>
      </c>
      <c r="B8" s="9">
        <v>0</v>
      </c>
      <c r="C8" s="9">
        <v>0</v>
      </c>
      <c r="D8" s="9">
        <v>0</v>
      </c>
      <c r="E8" s="9">
        <v>0</v>
      </c>
      <c r="F8" s="9">
        <v>0</v>
      </c>
    </row>
    <row r="9" spans="1:6" s="8" customFormat="1" x14ac:dyDescent="0.25">
      <c r="A9" s="49" t="s">
        <v>64</v>
      </c>
      <c r="B9" s="50" t="e">
        <f ca="1">SUM(B6:B8)</f>
        <v>#NAME?</v>
      </c>
      <c r="C9" s="50" t="e">
        <f ca="1">SUM(C6:C8)</f>
        <v>#NAME?</v>
      </c>
      <c r="D9" s="50" t="e">
        <f ca="1">SUM(D6:D8)</f>
        <v>#NAME?</v>
      </c>
      <c r="E9" s="50" t="e">
        <f ca="1">SUM(E6:E8)</f>
        <v>#NAME?</v>
      </c>
      <c r="F9" s="50" t="e">
        <f ca="1">SUM(F6:F8)</f>
        <v>#NAME?</v>
      </c>
    </row>
    <row r="10" spans="1:6" s="8" customFormat="1" x14ac:dyDescent="0.25"/>
    <row r="11" spans="1:6" s="8" customFormat="1" x14ac:dyDescent="0.25">
      <c r="A11" s="110" t="s">
        <v>65</v>
      </c>
    </row>
    <row r="12" spans="1:6" s="8" customFormat="1" x14ac:dyDescent="0.25">
      <c r="A12" s="8" t="s">
        <v>8</v>
      </c>
      <c r="B12" s="9">
        <f>Startup!$B$11</f>
        <v>120000</v>
      </c>
      <c r="C12" s="9">
        <f>Startup!$B$11</f>
        <v>120000</v>
      </c>
      <c r="D12" s="9">
        <f>Startup!$B$11</f>
        <v>120000</v>
      </c>
      <c r="E12" s="9">
        <f>Startup!$B$11</f>
        <v>120000</v>
      </c>
      <c r="F12" s="9">
        <f>Startup!$B$11</f>
        <v>120000</v>
      </c>
    </row>
    <row r="13" spans="1:6" s="8" customFormat="1" x14ac:dyDescent="0.25">
      <c r="A13" s="8" t="s">
        <v>9</v>
      </c>
      <c r="B13" s="9">
        <f>Startup!$B$12</f>
        <v>100000</v>
      </c>
      <c r="C13" s="9">
        <f>Startup!$B$12</f>
        <v>100000</v>
      </c>
      <c r="D13" s="9">
        <f>Startup!$B$12</f>
        <v>100000</v>
      </c>
      <c r="E13" s="9">
        <f>Startup!$B$12</f>
        <v>100000</v>
      </c>
      <c r="F13" s="9">
        <f>Startup!$B$12</f>
        <v>100000</v>
      </c>
    </row>
    <row r="14" spans="1:6" s="8" customFormat="1" x14ac:dyDescent="0.25">
      <c r="A14" s="10" t="s">
        <v>10</v>
      </c>
      <c r="B14" s="11">
        <f>Startup!$B$13</f>
        <v>0</v>
      </c>
      <c r="C14" s="11">
        <f>Startup!$B$13</f>
        <v>0</v>
      </c>
      <c r="D14" s="11">
        <f>Startup!$B$13</f>
        <v>0</v>
      </c>
      <c r="E14" s="11">
        <f>Startup!$B$13</f>
        <v>0</v>
      </c>
      <c r="F14" s="11">
        <f>Startup!$B$13</f>
        <v>0</v>
      </c>
    </row>
    <row r="15" spans="1:6" s="8" customFormat="1" x14ac:dyDescent="0.25">
      <c r="A15" s="8" t="s">
        <v>66</v>
      </c>
      <c r="B15" s="9">
        <f>-Depreciation!B17</f>
        <v>0</v>
      </c>
      <c r="C15" s="9">
        <f>-Depreciation!C17</f>
        <v>0</v>
      </c>
      <c r="D15" s="9">
        <f>-Depreciation!D17</f>
        <v>0</v>
      </c>
      <c r="E15" s="9">
        <f>-Depreciation!E17</f>
        <v>0</v>
      </c>
      <c r="F15" s="9">
        <f>-Depreciation!F17</f>
        <v>0</v>
      </c>
    </row>
    <row r="16" spans="1:6" s="8" customFormat="1" x14ac:dyDescent="0.25">
      <c r="A16" s="49" t="s">
        <v>67</v>
      </c>
      <c r="B16" s="50">
        <f>SUM(B12:B15)</f>
        <v>220000</v>
      </c>
      <c r="C16" s="50">
        <f t="shared" ref="C16:F16" si="0">SUM(C12:C15)</f>
        <v>220000</v>
      </c>
      <c r="D16" s="50">
        <f t="shared" si="0"/>
        <v>220000</v>
      </c>
      <c r="E16" s="50">
        <f t="shared" si="0"/>
        <v>220000</v>
      </c>
      <c r="F16" s="50">
        <f t="shared" si="0"/>
        <v>220000</v>
      </c>
    </row>
    <row r="17" spans="1:6" s="8" customFormat="1" x14ac:dyDescent="0.25"/>
    <row r="18" spans="1:6" s="8" customFormat="1" ht="15.75" thickBot="1" x14ac:dyDescent="0.3">
      <c r="A18" s="30" t="s">
        <v>68</v>
      </c>
      <c r="B18" s="51" t="e">
        <f ca="1">B9+B16</f>
        <v>#NAME?</v>
      </c>
      <c r="C18" s="51" t="e">
        <f ca="1">C9+C16</f>
        <v>#NAME?</v>
      </c>
      <c r="D18" s="51" t="e">
        <f ca="1">D9+D16</f>
        <v>#NAME?</v>
      </c>
      <c r="E18" s="51" t="e">
        <f ca="1">E9+E16</f>
        <v>#NAME?</v>
      </c>
      <c r="F18" s="51" t="e">
        <f ca="1">F9+F16</f>
        <v>#NAME?</v>
      </c>
    </row>
    <row r="19" spans="1:6" s="8" customFormat="1" ht="15.75" thickTop="1" x14ac:dyDescent="0.25"/>
    <row r="20" spans="1:6" s="8" customFormat="1" ht="17.25" x14ac:dyDescent="0.25">
      <c r="A20" s="109" t="s">
        <v>69</v>
      </c>
      <c r="B20" s="112" t="s">
        <v>37</v>
      </c>
      <c r="C20" s="112" t="s">
        <v>38</v>
      </c>
      <c r="D20" s="112" t="s">
        <v>39</v>
      </c>
      <c r="E20" s="112" t="s">
        <v>40</v>
      </c>
      <c r="F20" s="112" t="s">
        <v>41</v>
      </c>
    </row>
    <row r="21" spans="1:6" s="8" customFormat="1" x14ac:dyDescent="0.25">
      <c r="A21" s="110" t="s">
        <v>70</v>
      </c>
    </row>
    <row r="22" spans="1:6" s="8" customFormat="1" x14ac:dyDescent="0.25">
      <c r="A22" s="49" t="s">
        <v>71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</row>
    <row r="23" spans="1:6" s="8" customFormat="1" x14ac:dyDescent="0.25"/>
    <row r="24" spans="1:6" s="8" customFormat="1" x14ac:dyDescent="0.25">
      <c r="A24" s="110" t="s">
        <v>72</v>
      </c>
    </row>
    <row r="25" spans="1:6" s="8" customFormat="1" x14ac:dyDescent="0.25">
      <c r="A25" s="49" t="s">
        <v>73</v>
      </c>
      <c r="B25" s="50">
        <f>'Loan Schedule'!B38</f>
        <v>0</v>
      </c>
      <c r="C25" s="50">
        <f>'Loan Schedule'!C38</f>
        <v>0</v>
      </c>
      <c r="D25" s="50">
        <f>'Loan Schedule'!D38</f>
        <v>0</v>
      </c>
      <c r="E25" s="50">
        <f>'Loan Schedule'!E38</f>
        <v>0</v>
      </c>
      <c r="F25" s="50">
        <f>'Loan Schedule'!E38</f>
        <v>0</v>
      </c>
    </row>
    <row r="26" spans="1:6" s="8" customFormat="1" x14ac:dyDescent="0.25"/>
    <row r="27" spans="1:6" s="8" customFormat="1" x14ac:dyDescent="0.25">
      <c r="A27" s="110" t="s">
        <v>74</v>
      </c>
    </row>
    <row r="28" spans="1:6" s="8" customFormat="1" x14ac:dyDescent="0.25">
      <c r="A28" s="47" t="s">
        <v>75</v>
      </c>
      <c r="B28" s="14">
        <f>Startup!$B$33</f>
        <v>850000</v>
      </c>
      <c r="C28" s="14">
        <f>Startup!$B$33</f>
        <v>850000</v>
      </c>
      <c r="D28" s="14">
        <f>Startup!$B$33</f>
        <v>850000</v>
      </c>
      <c r="E28" s="14">
        <f>Startup!$B$33</f>
        <v>850000</v>
      </c>
      <c r="F28" s="14">
        <f>Startup!$B$33</f>
        <v>850000</v>
      </c>
    </row>
    <row r="29" spans="1:6" s="8" customFormat="1" x14ac:dyDescent="0.25">
      <c r="A29" s="8" t="s">
        <v>76</v>
      </c>
      <c r="B29" s="9">
        <f>-Startup!$B$8</f>
        <v>-850000</v>
      </c>
      <c r="C29" s="9">
        <f>-Startup!$B$8</f>
        <v>-850000</v>
      </c>
      <c r="D29" s="9">
        <f>-Startup!$B$8</f>
        <v>-850000</v>
      </c>
      <c r="E29" s="9">
        <f>-Startup!$B$8</f>
        <v>-850000</v>
      </c>
      <c r="F29" s="9">
        <f>-Startup!$B$8</f>
        <v>-850000</v>
      </c>
    </row>
    <row r="30" spans="1:6" s="8" customFormat="1" x14ac:dyDescent="0.25">
      <c r="A30" s="10" t="s">
        <v>77</v>
      </c>
      <c r="B30" s="11">
        <f>-'Cash Flow'!B15</f>
        <v>0</v>
      </c>
      <c r="C30" s="11">
        <f>B30-'Cash Flow'!C15</f>
        <v>0</v>
      </c>
      <c r="D30" s="11">
        <f>C30-'Cash Flow'!D15</f>
        <v>0</v>
      </c>
      <c r="E30" s="11">
        <f>D30-'Cash Flow'!E15</f>
        <v>0</v>
      </c>
      <c r="F30" s="11">
        <f>E30-'Cash Flow'!F15</f>
        <v>0</v>
      </c>
    </row>
    <row r="31" spans="1:6" s="8" customFormat="1" x14ac:dyDescent="0.25">
      <c r="A31" s="8" t="s">
        <v>78</v>
      </c>
      <c r="B31" s="9">
        <f>'Income Statement'!B35</f>
        <v>0</v>
      </c>
      <c r="C31" s="9">
        <f>B31+'Income Statement'!C35</f>
        <v>0</v>
      </c>
      <c r="D31" s="9">
        <f>C31+'Income Statement'!D35</f>
        <v>0</v>
      </c>
      <c r="E31" s="9">
        <f>D31+'Income Statement'!E35</f>
        <v>0</v>
      </c>
      <c r="F31" s="9">
        <f>E31+'Income Statement'!F35</f>
        <v>0</v>
      </c>
    </row>
    <row r="32" spans="1:6" s="8" customFormat="1" x14ac:dyDescent="0.25">
      <c r="A32" s="49" t="s">
        <v>79</v>
      </c>
      <c r="B32" s="50">
        <f>SUM(B28:B31)</f>
        <v>0</v>
      </c>
      <c r="C32" s="50">
        <f>SUM(C28:C31)</f>
        <v>0</v>
      </c>
      <c r="D32" s="50">
        <f>SUM(D28:D31)</f>
        <v>0</v>
      </c>
      <c r="E32" s="50">
        <f>SUM(E28:E31)</f>
        <v>0</v>
      </c>
      <c r="F32" s="50">
        <f>SUM(F28:F31)</f>
        <v>0</v>
      </c>
    </row>
    <row r="33" spans="1:6" s="8" customFormat="1" x14ac:dyDescent="0.25"/>
    <row r="34" spans="1:6" s="8" customFormat="1" ht="15.75" thickBot="1" x14ac:dyDescent="0.3">
      <c r="A34" s="30" t="s">
        <v>80</v>
      </c>
      <c r="B34" s="51">
        <f>B22+B25+B32</f>
        <v>0</v>
      </c>
      <c r="C34" s="51">
        <f>C22+C25+C32</f>
        <v>0</v>
      </c>
      <c r="D34" s="51">
        <f>D22+D25+D32</f>
        <v>0</v>
      </c>
      <c r="E34" s="51">
        <f>E22+E25+E32</f>
        <v>0</v>
      </c>
      <c r="F34" s="51">
        <f>F22+F25+F32</f>
        <v>0</v>
      </c>
    </row>
    <row r="35" spans="1:6" s="8" customFormat="1" ht="15.75" thickTop="1" x14ac:dyDescent="0.25"/>
    <row r="36" spans="1:6" s="8" customFormat="1" ht="15.75" thickBot="1" x14ac:dyDescent="0.3">
      <c r="A36" s="30" t="s">
        <v>81</v>
      </c>
      <c r="B36" s="51" t="e">
        <f ca="1">B18-B25</f>
        <v>#NAME?</v>
      </c>
      <c r="C36" s="51" t="e">
        <f t="shared" ref="C36:F36" ca="1" si="1">C18-C25</f>
        <v>#NAME?</v>
      </c>
      <c r="D36" s="51" t="e">
        <f t="shared" ca="1" si="1"/>
        <v>#NAME?</v>
      </c>
      <c r="E36" s="51" t="e">
        <f t="shared" ca="1" si="1"/>
        <v>#NAME?</v>
      </c>
      <c r="F36" s="51" t="e">
        <f t="shared" ca="1" si="1"/>
        <v>#NAME?</v>
      </c>
    </row>
    <row r="37" spans="1:6" s="8" customFormat="1" ht="15.75" thickTop="1" x14ac:dyDescent="0.25"/>
    <row r="38" spans="1:6" s="8" customFormat="1" x14ac:dyDescent="0.25"/>
    <row r="39" spans="1:6" s="8" customFormat="1" x14ac:dyDescent="0.25"/>
    <row r="40" spans="1:6" s="8" customFormat="1" x14ac:dyDescent="0.25"/>
    <row r="41" spans="1:6" s="8" customFormat="1" x14ac:dyDescent="0.25"/>
    <row r="42" spans="1:6" s="8" customFormat="1" x14ac:dyDescent="0.25"/>
    <row r="43" spans="1:6" s="8" customFormat="1" x14ac:dyDescent="0.25"/>
    <row r="44" spans="1:6" s="8" customFormat="1" x14ac:dyDescent="0.25"/>
    <row r="45" spans="1:6" s="8" customFormat="1" x14ac:dyDescent="0.25"/>
    <row r="46" spans="1:6" s="8" customFormat="1" x14ac:dyDescent="0.25"/>
    <row r="47" spans="1:6" s="8" customFormat="1" x14ac:dyDescent="0.25"/>
    <row r="48" spans="1:6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</sheetData>
  <pageMargins left="0.7" right="0.7" top="0.75" bottom="0.75" header="0.3" footer="0.3"/>
  <pageSetup scale="86" orientation="portrait" r:id="rId1"/>
  <headerFooter>
    <oddFooter>&amp;R&amp;F &amp;A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57"/>
  <sheetViews>
    <sheetView zoomScale="120" zoomScaleNormal="120" workbookViewId="0"/>
  </sheetViews>
  <sheetFormatPr defaultColWidth="9.140625" defaultRowHeight="15" x14ac:dyDescent="0.25"/>
  <cols>
    <col min="1" max="1" width="34.85546875" style="32" customWidth="1"/>
    <col min="2" max="6" width="17" style="32" customWidth="1"/>
    <col min="7" max="7" width="9.140625" style="32"/>
    <col min="8" max="12" width="12.140625" style="32" customWidth="1"/>
    <col min="13" max="16384" width="9.140625" style="32"/>
  </cols>
  <sheetData>
    <row r="1" spans="1:12" s="6" customFormat="1" ht="42.75" x14ac:dyDescent="0.75">
      <c r="A1" s="1" t="s">
        <v>164</v>
      </c>
    </row>
    <row r="2" spans="1:12" s="6" customFormat="1" ht="23.25" x14ac:dyDescent="0.35">
      <c r="A2" s="108" t="s">
        <v>82</v>
      </c>
    </row>
    <row r="4" spans="1:12" s="8" customFormat="1" ht="17.25" x14ac:dyDescent="0.25">
      <c r="A4" s="109" t="s">
        <v>17</v>
      </c>
      <c r="B4" s="123">
        <f>Startup!B21</f>
        <v>-220000</v>
      </c>
    </row>
    <row r="5" spans="1:12" s="8" customFormat="1" x14ac:dyDescent="0.25"/>
    <row r="6" spans="1:12" s="8" customFormat="1" ht="17.25" x14ac:dyDescent="0.25">
      <c r="A6" s="109" t="s">
        <v>83</v>
      </c>
      <c r="B6" s="112" t="s">
        <v>37</v>
      </c>
      <c r="C6" s="112" t="s">
        <v>38</v>
      </c>
      <c r="D6" s="112" t="s">
        <v>39</v>
      </c>
      <c r="E6" s="112" t="s">
        <v>40</v>
      </c>
      <c r="F6" s="112" t="s">
        <v>41</v>
      </c>
    </row>
    <row r="7" spans="1:12" s="8" customFormat="1" x14ac:dyDescent="0.25">
      <c r="A7" s="19" t="s">
        <v>52</v>
      </c>
      <c r="B7" s="22">
        <f>'Income Statement'!B25</f>
        <v>0</v>
      </c>
      <c r="C7" s="22">
        <f>'Income Statement'!C25</f>
        <v>0</v>
      </c>
      <c r="D7" s="22">
        <f>'Income Statement'!D25</f>
        <v>0</v>
      </c>
      <c r="E7" s="22">
        <f>'Income Statement'!E25</f>
        <v>0</v>
      </c>
      <c r="F7" s="22">
        <f>'Income Statement'!F25</f>
        <v>0</v>
      </c>
    </row>
    <row r="8" spans="1:12" s="8" customFormat="1" x14ac:dyDescent="0.25">
      <c r="A8" s="19" t="s">
        <v>84</v>
      </c>
      <c r="B8" s="22">
        <f>'Income Statement'!B24</f>
        <v>0</v>
      </c>
      <c r="C8" s="22">
        <f>'Income Statement'!C24</f>
        <v>0</v>
      </c>
      <c r="D8" s="22">
        <f>'Income Statement'!D24</f>
        <v>0</v>
      </c>
      <c r="E8" s="22">
        <f>'Income Statement'!E24</f>
        <v>0</v>
      </c>
      <c r="F8" s="22">
        <f>'Income Statement'!F24</f>
        <v>0</v>
      </c>
    </row>
    <row r="9" spans="1:12" s="8" customFormat="1" x14ac:dyDescent="0.25">
      <c r="A9" s="8" t="s">
        <v>85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</row>
    <row r="10" spans="1:12" s="8" customFormat="1" x14ac:dyDescent="0.25">
      <c r="A10" s="8" t="s">
        <v>86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</row>
    <row r="11" spans="1:12" s="8" customFormat="1" x14ac:dyDescent="0.25">
      <c r="A11" s="8" t="s">
        <v>87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</row>
    <row r="12" spans="1:12" s="8" customFormat="1" x14ac:dyDescent="0.25">
      <c r="A12" s="49" t="s">
        <v>88</v>
      </c>
      <c r="B12" s="53">
        <f>SUM(B7:B11)</f>
        <v>0</v>
      </c>
      <c r="C12" s="53">
        <f t="shared" ref="C12:F12" si="0">SUM(C7:C11)</f>
        <v>0</v>
      </c>
      <c r="D12" s="53">
        <f t="shared" si="0"/>
        <v>0</v>
      </c>
      <c r="E12" s="53">
        <f t="shared" si="0"/>
        <v>0</v>
      </c>
      <c r="F12" s="53">
        <f t="shared" si="0"/>
        <v>0</v>
      </c>
    </row>
    <row r="13" spans="1:12" s="19" customFormat="1" x14ac:dyDescent="0.25">
      <c r="A13" s="8"/>
      <c r="B13" s="8"/>
      <c r="C13" s="8"/>
      <c r="D13" s="8"/>
      <c r="E13" s="8"/>
      <c r="F13" s="8"/>
    </row>
    <row r="14" spans="1:12" s="19" customFormat="1" ht="17.25" x14ac:dyDescent="0.25">
      <c r="A14" s="109" t="s">
        <v>89</v>
      </c>
      <c r="B14" s="112" t="s">
        <v>37</v>
      </c>
      <c r="C14" s="112" t="s">
        <v>38</v>
      </c>
      <c r="D14" s="112" t="s">
        <v>39</v>
      </c>
      <c r="E14" s="112" t="s">
        <v>40</v>
      </c>
      <c r="F14" s="112" t="s">
        <v>41</v>
      </c>
    </row>
    <row r="15" spans="1:12" s="8" customFormat="1" x14ac:dyDescent="0.25">
      <c r="A15" s="8" t="s">
        <v>90</v>
      </c>
      <c r="B15" s="22">
        <f>'Investment Analysis'!B12</f>
        <v>0</v>
      </c>
      <c r="C15" s="22">
        <f>'Investment Analysis'!C12</f>
        <v>0</v>
      </c>
      <c r="D15" s="22">
        <f>'Investment Analysis'!D12</f>
        <v>0</v>
      </c>
      <c r="E15" s="22">
        <f>'Investment Analysis'!E12</f>
        <v>0</v>
      </c>
      <c r="F15" s="22">
        <f>'Investment Analysis'!F12</f>
        <v>0</v>
      </c>
      <c r="H15" s="54"/>
      <c r="I15" s="54"/>
      <c r="J15" s="54"/>
      <c r="K15" s="54"/>
      <c r="L15" s="54"/>
    </row>
    <row r="16" spans="1:12" s="8" customFormat="1" x14ac:dyDescent="0.25">
      <c r="A16" s="8" t="s">
        <v>91</v>
      </c>
      <c r="B16" s="22">
        <f>'Investment Analysis'!B13</f>
        <v>0</v>
      </c>
      <c r="C16" s="22">
        <f>'Investment Analysis'!C13</f>
        <v>0</v>
      </c>
      <c r="D16" s="22">
        <f>'Investment Analysis'!D13</f>
        <v>0</v>
      </c>
      <c r="E16" s="22">
        <f>'Investment Analysis'!E13</f>
        <v>0</v>
      </c>
      <c r="F16" s="22">
        <f>'Investment Analysis'!F13</f>
        <v>0</v>
      </c>
      <c r="H16" s="54"/>
      <c r="I16" s="54"/>
      <c r="J16" s="54"/>
      <c r="K16" s="54"/>
      <c r="L16" s="54"/>
    </row>
    <row r="17" spans="1:12" s="8" customFormat="1" x14ac:dyDescent="0.25">
      <c r="A17" s="8" t="s">
        <v>92</v>
      </c>
      <c r="B17" s="22">
        <f>'Income Statement'!B30</f>
        <v>0</v>
      </c>
      <c r="C17" s="22">
        <f>'Income Statement'!C30</f>
        <v>0</v>
      </c>
      <c r="D17" s="22">
        <f>'Income Statement'!D30</f>
        <v>0</v>
      </c>
      <c r="E17" s="22">
        <f>'Income Statement'!E30</f>
        <v>0</v>
      </c>
      <c r="F17" s="22">
        <f>'Income Statement'!F30</f>
        <v>0</v>
      </c>
      <c r="H17" s="54"/>
      <c r="I17" s="54"/>
      <c r="J17" s="54"/>
      <c r="K17" s="54"/>
      <c r="L17" s="54"/>
    </row>
    <row r="18" spans="1:12" s="8" customFormat="1" x14ac:dyDescent="0.25">
      <c r="A18" s="8" t="s">
        <v>93</v>
      </c>
      <c r="B18" s="22">
        <f>-'Loan Schedule'!B36</f>
        <v>0</v>
      </c>
      <c r="C18" s="22">
        <f>-'Loan Schedule'!C36</f>
        <v>0</v>
      </c>
      <c r="D18" s="22">
        <f>-'Loan Schedule'!D36</f>
        <v>0</v>
      </c>
      <c r="E18" s="22">
        <f>-'Loan Schedule'!E36</f>
        <v>0</v>
      </c>
      <c r="F18" s="22">
        <f>-'Loan Schedule'!F36</f>
        <v>0</v>
      </c>
    </row>
    <row r="19" spans="1:12" s="19" customFormat="1" x14ac:dyDescent="0.25">
      <c r="A19" s="8" t="s">
        <v>94</v>
      </c>
      <c r="B19" s="22">
        <f>-'Loan Schedule'!B37</f>
        <v>0</v>
      </c>
      <c r="C19" s="22">
        <f>-'Loan Schedule'!C37</f>
        <v>0</v>
      </c>
      <c r="D19" s="22">
        <f>-'Loan Schedule'!D37</f>
        <v>0</v>
      </c>
      <c r="E19" s="22">
        <f>-'Loan Schedule'!E37</f>
        <v>0</v>
      </c>
      <c r="F19" s="22">
        <f>-'Loan Schedule'!F37</f>
        <v>0</v>
      </c>
    </row>
    <row r="20" spans="1:12" s="8" customFormat="1" x14ac:dyDescent="0.25">
      <c r="A20" s="49" t="s">
        <v>95</v>
      </c>
      <c r="B20" s="53" t="e">
        <f ca="1">SUMM(B15:B19)</f>
        <v>#NAME?</v>
      </c>
      <c r="C20" s="53">
        <f t="shared" ref="C20:F20" si="1">SUM(C15:C19)</f>
        <v>0</v>
      </c>
      <c r="D20" s="53">
        <f t="shared" si="1"/>
        <v>0</v>
      </c>
      <c r="E20" s="53">
        <f t="shared" si="1"/>
        <v>0</v>
      </c>
      <c r="F20" s="53">
        <f t="shared" si="1"/>
        <v>0</v>
      </c>
    </row>
    <row r="21" spans="1:12" s="8" customFormat="1" x14ac:dyDescent="0.25">
      <c r="A21" s="28"/>
      <c r="B21" s="55"/>
      <c r="C21" s="55"/>
      <c r="D21" s="55"/>
      <c r="E21" s="55"/>
      <c r="F21" s="55"/>
    </row>
    <row r="22" spans="1:12" s="8" customFormat="1" x14ac:dyDescent="0.25">
      <c r="A22" s="17" t="s">
        <v>96</v>
      </c>
      <c r="B22" s="18" t="e">
        <f ca="1">B12-B20</f>
        <v>#NAME?</v>
      </c>
      <c r="C22" s="18">
        <f>C12-C20</f>
        <v>0</v>
      </c>
      <c r="D22" s="18">
        <f>D12-D20</f>
        <v>0</v>
      </c>
      <c r="E22" s="18">
        <f>E12-E20</f>
        <v>0</v>
      </c>
      <c r="F22" s="18">
        <f>F12-F20</f>
        <v>0</v>
      </c>
    </row>
    <row r="23" spans="1:12" s="8" customFormat="1" x14ac:dyDescent="0.25">
      <c r="A23" s="17" t="s">
        <v>97</v>
      </c>
      <c r="B23" s="18" t="e">
        <f ca="1">B4+'Cash Flow'!B22</f>
        <v>#NAME?</v>
      </c>
      <c r="C23" s="18" t="e">
        <f ca="1">B23+C22</f>
        <v>#NAME?</v>
      </c>
      <c r="D23" s="18" t="e">
        <f t="shared" ref="D23:F23" ca="1" si="2">C23+D22</f>
        <v>#NAME?</v>
      </c>
      <c r="E23" s="18" t="e">
        <f t="shared" ca="1" si="2"/>
        <v>#NAME?</v>
      </c>
      <c r="F23" s="18" t="e">
        <f t="shared" ca="1" si="2"/>
        <v>#NAME?</v>
      </c>
    </row>
    <row r="24" spans="1:12" s="8" customFormat="1" x14ac:dyDescent="0.25"/>
    <row r="25" spans="1:12" s="8" customFormat="1" x14ac:dyDescent="0.25"/>
    <row r="26" spans="1:12" s="8" customFormat="1" x14ac:dyDescent="0.25"/>
    <row r="27" spans="1:12" s="8" customFormat="1" x14ac:dyDescent="0.25"/>
    <row r="28" spans="1:12" s="8" customFormat="1" x14ac:dyDescent="0.25"/>
    <row r="29" spans="1:12" s="8" customFormat="1" x14ac:dyDescent="0.25"/>
    <row r="30" spans="1:12" s="8" customFormat="1" x14ac:dyDescent="0.25"/>
    <row r="31" spans="1:12" s="8" customFormat="1" x14ac:dyDescent="0.25"/>
    <row r="32" spans="1:12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  <row r="48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</sheetData>
  <conditionalFormatting sqref="B22:F23">
    <cfRule type="cellIs" dxfId="8" priority="1" operator="lessThan">
      <formula>0</formula>
    </cfRule>
  </conditionalFormatting>
  <pageMargins left="0.7" right="0.7" top="0.75" bottom="0.75" header="0.3" footer="0.3"/>
  <pageSetup scale="75" orientation="portrait" r:id="rId1"/>
  <headerFooter>
    <oddFooter>&amp;R&amp;F &amp;A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0"/>
  <sheetViews>
    <sheetView zoomScale="120" zoomScaleNormal="120" workbookViewId="0">
      <selection activeCell="C8" sqref="C8"/>
    </sheetView>
  </sheetViews>
  <sheetFormatPr defaultColWidth="9.140625" defaultRowHeight="15" x14ac:dyDescent="0.25"/>
  <cols>
    <col min="1" max="1" width="25.5703125" style="32" customWidth="1"/>
    <col min="2" max="2" width="14.85546875" style="32" customWidth="1"/>
    <col min="3" max="3" width="13.7109375" style="32" customWidth="1"/>
    <col min="4" max="4" width="9.5703125" style="32" customWidth="1"/>
    <col min="5" max="5" width="13" style="32" customWidth="1"/>
    <col min="6" max="6" width="15.28515625" style="32" customWidth="1"/>
    <col min="7" max="7" width="11" style="32" customWidth="1"/>
    <col min="8" max="8" width="16.140625" style="32" customWidth="1"/>
    <col min="9" max="9" width="18.140625" style="32" customWidth="1"/>
    <col min="10" max="16384" width="9.140625" style="32"/>
  </cols>
  <sheetData>
    <row r="1" spans="1:9" s="6" customFormat="1" ht="42.75" x14ac:dyDescent="0.75">
      <c r="A1" s="1" t="s">
        <v>164</v>
      </c>
    </row>
    <row r="2" spans="1:9" s="6" customFormat="1" ht="23.25" x14ac:dyDescent="0.35">
      <c r="A2" s="108" t="s">
        <v>98</v>
      </c>
    </row>
    <row r="3" spans="1:9" s="6" customFormat="1" ht="15" customHeight="1" x14ac:dyDescent="0.35">
      <c r="A3" s="7"/>
    </row>
    <row r="4" spans="1:9" s="6" customFormat="1" ht="15" customHeight="1" x14ac:dyDescent="0.25">
      <c r="A4" s="56" t="s">
        <v>99</v>
      </c>
      <c r="B4" s="130"/>
    </row>
    <row r="5" spans="1:9" s="6" customFormat="1" ht="15" customHeight="1" x14ac:dyDescent="0.25">
      <c r="A5" s="56"/>
    </row>
    <row r="6" spans="1:9" s="57" customFormat="1" ht="33" customHeight="1" x14ac:dyDescent="0.25">
      <c r="A6" s="113" t="s">
        <v>100</v>
      </c>
      <c r="B6" s="113" t="s">
        <v>101</v>
      </c>
      <c r="C6" s="113" t="s">
        <v>102</v>
      </c>
      <c r="D6" s="113" t="s">
        <v>103</v>
      </c>
      <c r="E6" s="113" t="s">
        <v>104</v>
      </c>
      <c r="F6" s="113" t="s">
        <v>105</v>
      </c>
      <c r="G6" s="113" t="s">
        <v>106</v>
      </c>
      <c r="H6" s="113" t="s">
        <v>195</v>
      </c>
      <c r="I6" s="113" t="s">
        <v>196</v>
      </c>
    </row>
    <row r="7" spans="1:9" s="8" customFormat="1" ht="15" customHeight="1" x14ac:dyDescent="0.25">
      <c r="A7" s="8" t="s">
        <v>107</v>
      </c>
      <c r="B7" s="58"/>
      <c r="C7" s="59"/>
      <c r="D7" s="9"/>
      <c r="E7" s="60"/>
      <c r="F7" s="60"/>
      <c r="G7" s="61"/>
      <c r="H7" s="62"/>
      <c r="I7" s="121"/>
    </row>
    <row r="8" spans="1:9" s="8" customFormat="1" ht="15" customHeight="1" x14ac:dyDescent="0.25">
      <c r="A8" s="8" t="s">
        <v>108</v>
      </c>
      <c r="B8" s="58"/>
      <c r="C8" s="121"/>
      <c r="D8" s="9"/>
      <c r="E8" s="63"/>
      <c r="F8" s="60"/>
      <c r="G8" s="61"/>
      <c r="H8" s="62"/>
      <c r="I8" s="64"/>
    </row>
    <row r="9" spans="1:9" s="8" customFormat="1" ht="15" customHeight="1" x14ac:dyDescent="0.25">
      <c r="A9" s="8" t="s">
        <v>109</v>
      </c>
      <c r="B9" s="58"/>
      <c r="C9" s="59"/>
      <c r="D9" s="125"/>
      <c r="E9" s="60"/>
      <c r="F9" s="122"/>
      <c r="G9" s="61"/>
      <c r="H9" s="62"/>
      <c r="I9" s="64"/>
    </row>
    <row r="10" spans="1:9" s="8" customFormat="1" ht="15" customHeight="1" x14ac:dyDescent="0.25">
      <c r="A10" s="8" t="s">
        <v>110</v>
      </c>
      <c r="B10" s="121"/>
      <c r="C10" s="59"/>
      <c r="D10" s="9"/>
      <c r="E10" s="60"/>
      <c r="F10" s="60"/>
      <c r="G10" s="61"/>
      <c r="H10" s="62"/>
      <c r="I10" s="64"/>
    </row>
    <row r="11" spans="1:9" s="8" customFormat="1" x14ac:dyDescent="0.25">
      <c r="E11" s="19"/>
      <c r="F11" s="19"/>
    </row>
    <row r="12" spans="1:9" s="8" customFormat="1" x14ac:dyDescent="0.25"/>
    <row r="13" spans="1:9" s="8" customFormat="1" x14ac:dyDescent="0.25"/>
    <row r="14" spans="1:9" s="8" customFormat="1" x14ac:dyDescent="0.25"/>
    <row r="15" spans="1:9" s="8" customFormat="1" x14ac:dyDescent="0.25"/>
    <row r="16" spans="1:9" s="8" customFormat="1" x14ac:dyDescent="0.25"/>
    <row r="17" s="8" customFormat="1" x14ac:dyDescent="0.25"/>
    <row r="18" s="8" customFormat="1" x14ac:dyDescent="0.25"/>
    <row r="19" s="8" customFormat="1" x14ac:dyDescent="0.25"/>
    <row r="20" s="8" customFormat="1" x14ac:dyDescent="0.25"/>
    <row r="21" s="8" customFormat="1" x14ac:dyDescent="0.25"/>
    <row r="22" s="8" customFormat="1" x14ac:dyDescent="0.25"/>
    <row r="23" s="8" customFormat="1" x14ac:dyDescent="0.25"/>
    <row r="24" s="8" customFormat="1" x14ac:dyDescent="0.25"/>
    <row r="25" s="8" customFormat="1" x14ac:dyDescent="0.25"/>
    <row r="26" s="8" customFormat="1" x14ac:dyDescent="0.25"/>
    <row r="27" s="8" customFormat="1" x14ac:dyDescent="0.25"/>
    <row r="28" s="8" customFormat="1" x14ac:dyDescent="0.25"/>
    <row r="29" s="8" customFormat="1" x14ac:dyDescent="0.25"/>
    <row r="30" s="8" customFormat="1" x14ac:dyDescent="0.25"/>
    <row r="31" s="8" customFormat="1" x14ac:dyDescent="0.25"/>
    <row r="32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  <row r="48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</sheetData>
  <conditionalFormatting sqref="C7:C10 I7:I10 E7:F10">
    <cfRule type="cellIs" dxfId="7" priority="1" operator="lessThan">
      <formula>0</formula>
    </cfRule>
  </conditionalFormatting>
  <pageMargins left="0.7" right="0.7" top="0.75" bottom="0.75" header="0.3" footer="0.3"/>
  <pageSetup scale="65" orientation="portrait" r:id="rId1"/>
  <headerFooter>
    <oddFooter>&amp;R&amp;F &amp;A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8"/>
  <sheetViews>
    <sheetView zoomScale="120" zoomScaleNormal="120" workbookViewId="0"/>
  </sheetViews>
  <sheetFormatPr defaultRowHeight="15" x14ac:dyDescent="0.25"/>
  <cols>
    <col min="1" max="1" width="20.42578125" customWidth="1"/>
    <col min="2" max="2" width="14" customWidth="1"/>
    <col min="3" max="3" width="14.5703125" customWidth="1"/>
    <col min="4" max="4" width="14.85546875" customWidth="1"/>
    <col min="5" max="5" width="14.5703125" customWidth="1"/>
    <col min="6" max="6" width="13.42578125" customWidth="1"/>
    <col min="7" max="7" width="20.140625" customWidth="1"/>
    <col min="8" max="8" width="10.85546875" customWidth="1"/>
    <col min="9" max="9" width="12" customWidth="1"/>
  </cols>
  <sheetData>
    <row r="1" spans="1:7" ht="42.75" x14ac:dyDescent="0.75">
      <c r="A1" s="1" t="s">
        <v>164</v>
      </c>
      <c r="B1" s="5"/>
    </row>
    <row r="2" spans="1:7" ht="23.25" x14ac:dyDescent="0.35">
      <c r="A2" s="108" t="s">
        <v>111</v>
      </c>
    </row>
    <row r="3" spans="1:7" ht="15" customHeight="1" x14ac:dyDescent="0.35">
      <c r="A3" s="7"/>
    </row>
    <row r="4" spans="1:7" ht="30" x14ac:dyDescent="0.25">
      <c r="A4" s="113" t="s">
        <v>112</v>
      </c>
      <c r="B4" s="113" t="s">
        <v>113</v>
      </c>
      <c r="C4" s="113" t="s">
        <v>104</v>
      </c>
      <c r="D4" s="113" t="s">
        <v>114</v>
      </c>
      <c r="E4" s="113" t="s">
        <v>103</v>
      </c>
      <c r="F4" s="113" t="s">
        <v>105</v>
      </c>
      <c r="G4" s="113" t="s">
        <v>115</v>
      </c>
    </row>
    <row r="5" spans="1:7" ht="15.75" customHeight="1" x14ac:dyDescent="0.25">
      <c r="A5" s="65"/>
      <c r="B5" s="66"/>
      <c r="D5" s="67"/>
      <c r="G5" s="68"/>
    </row>
    <row r="6" spans="1:7" ht="15.75" customHeight="1" x14ac:dyDescent="0.25"/>
    <row r="7" spans="1:7" ht="17.25" x14ac:dyDescent="0.25">
      <c r="A7" s="109" t="s">
        <v>116</v>
      </c>
      <c r="F7" s="65"/>
    </row>
    <row r="8" spans="1:7" ht="30" x14ac:dyDescent="0.25">
      <c r="A8" s="113" t="s">
        <v>117</v>
      </c>
      <c r="B8" s="113" t="s">
        <v>118</v>
      </c>
      <c r="C8" s="113" t="s">
        <v>119</v>
      </c>
      <c r="D8" s="113" t="s">
        <v>120</v>
      </c>
      <c r="E8" s="113" t="s">
        <v>121</v>
      </c>
      <c r="F8" s="113" t="s">
        <v>122</v>
      </c>
    </row>
    <row r="9" spans="1:7" x14ac:dyDescent="0.25">
      <c r="A9" s="69">
        <v>1</v>
      </c>
      <c r="B9" s="69">
        <v>1</v>
      </c>
      <c r="C9" s="70"/>
      <c r="D9" s="70"/>
      <c r="E9" s="70"/>
      <c r="F9" s="70"/>
    </row>
    <row r="10" spans="1:7" x14ac:dyDescent="0.25">
      <c r="A10" s="69">
        <v>1</v>
      </c>
      <c r="B10" s="69">
        <v>2</v>
      </c>
      <c r="C10" s="71"/>
      <c r="D10" s="71"/>
      <c r="E10" s="71"/>
      <c r="F10" s="71"/>
    </row>
    <row r="11" spans="1:7" x14ac:dyDescent="0.25">
      <c r="A11" s="69">
        <v>1</v>
      </c>
      <c r="B11" s="69">
        <v>3</v>
      </c>
      <c r="C11" s="71"/>
      <c r="D11" s="71"/>
      <c r="E11" s="71"/>
      <c r="F11" s="71"/>
    </row>
    <row r="12" spans="1:7" x14ac:dyDescent="0.25">
      <c r="A12" s="72">
        <v>1</v>
      </c>
      <c r="B12" s="72">
        <v>4</v>
      </c>
      <c r="C12" s="73"/>
      <c r="D12" s="73"/>
      <c r="E12" s="73"/>
      <c r="F12" s="73"/>
    </row>
    <row r="13" spans="1:7" x14ac:dyDescent="0.25">
      <c r="A13" s="69">
        <v>2</v>
      </c>
      <c r="B13" s="69">
        <v>5</v>
      </c>
      <c r="C13" s="71"/>
      <c r="D13" s="71"/>
      <c r="E13" s="71"/>
      <c r="F13" s="71"/>
    </row>
    <row r="14" spans="1:7" x14ac:dyDescent="0.25">
      <c r="A14" s="69">
        <v>2</v>
      </c>
      <c r="B14" s="69">
        <v>6</v>
      </c>
      <c r="C14" s="71"/>
      <c r="D14" s="71"/>
      <c r="E14" s="71"/>
      <c r="F14" s="71"/>
    </row>
    <row r="15" spans="1:7" x14ac:dyDescent="0.25">
      <c r="A15" s="69">
        <v>2</v>
      </c>
      <c r="B15" s="69">
        <v>7</v>
      </c>
      <c r="C15" s="71"/>
      <c r="D15" s="71"/>
      <c r="E15" s="71"/>
      <c r="F15" s="71"/>
    </row>
    <row r="16" spans="1:7" x14ac:dyDescent="0.25">
      <c r="A16" s="72">
        <v>2</v>
      </c>
      <c r="B16" s="72">
        <v>8</v>
      </c>
      <c r="C16" s="73"/>
      <c r="D16" s="73"/>
      <c r="E16" s="73"/>
      <c r="F16" s="73"/>
    </row>
    <row r="17" spans="1:6" x14ac:dyDescent="0.25">
      <c r="A17" s="69">
        <v>3</v>
      </c>
      <c r="B17" s="69">
        <v>9</v>
      </c>
      <c r="C17" s="71"/>
      <c r="D17" s="71"/>
      <c r="E17" s="71"/>
      <c r="F17" s="71"/>
    </row>
    <row r="18" spans="1:6" x14ac:dyDescent="0.25">
      <c r="A18" s="69">
        <v>3</v>
      </c>
      <c r="B18" s="69">
        <v>10</v>
      </c>
      <c r="C18" s="71"/>
      <c r="D18" s="71"/>
      <c r="E18" s="71"/>
      <c r="F18" s="71"/>
    </row>
    <row r="19" spans="1:6" x14ac:dyDescent="0.25">
      <c r="A19" s="69">
        <v>3</v>
      </c>
      <c r="B19" s="69">
        <v>11</v>
      </c>
      <c r="C19" s="71"/>
      <c r="D19" s="71"/>
      <c r="E19" s="71"/>
      <c r="F19" s="71"/>
    </row>
    <row r="20" spans="1:6" x14ac:dyDescent="0.25">
      <c r="A20" s="72">
        <v>3</v>
      </c>
      <c r="B20" s="72">
        <v>12</v>
      </c>
      <c r="C20" s="73"/>
      <c r="D20" s="73"/>
      <c r="E20" s="73"/>
      <c r="F20" s="73"/>
    </row>
    <row r="21" spans="1:6" x14ac:dyDescent="0.25">
      <c r="A21" s="69">
        <v>4</v>
      </c>
      <c r="B21" s="69">
        <v>13</v>
      </c>
      <c r="C21" s="71"/>
      <c r="D21" s="71"/>
      <c r="E21" s="71"/>
      <c r="F21" s="71"/>
    </row>
    <row r="22" spans="1:6" x14ac:dyDescent="0.25">
      <c r="A22" s="69">
        <v>4</v>
      </c>
      <c r="B22" s="69">
        <v>14</v>
      </c>
      <c r="C22" s="71"/>
      <c r="D22" s="71"/>
      <c r="E22" s="71"/>
      <c r="F22" s="71"/>
    </row>
    <row r="23" spans="1:6" x14ac:dyDescent="0.25">
      <c r="A23" s="69">
        <v>4</v>
      </c>
      <c r="B23" s="69">
        <v>15</v>
      </c>
      <c r="C23" s="71"/>
      <c r="D23" s="71"/>
      <c r="E23" s="71"/>
      <c r="F23" s="71"/>
    </row>
    <row r="24" spans="1:6" x14ac:dyDescent="0.25">
      <c r="A24" s="72">
        <v>4</v>
      </c>
      <c r="B24" s="72">
        <v>16</v>
      </c>
      <c r="C24" s="73"/>
      <c r="D24" s="73"/>
      <c r="E24" s="73"/>
      <c r="F24" s="73"/>
    </row>
    <row r="25" spans="1:6" x14ac:dyDescent="0.25">
      <c r="A25" s="69">
        <v>5</v>
      </c>
      <c r="B25" s="69">
        <v>17</v>
      </c>
      <c r="C25" s="71"/>
      <c r="D25" s="71"/>
      <c r="E25" s="71"/>
      <c r="F25" s="71"/>
    </row>
    <row r="26" spans="1:6" x14ac:dyDescent="0.25">
      <c r="A26" s="69">
        <v>5</v>
      </c>
      <c r="B26" s="69">
        <v>18</v>
      </c>
      <c r="C26" s="71"/>
      <c r="D26" s="71"/>
      <c r="E26" s="71"/>
      <c r="F26" s="71"/>
    </row>
    <row r="27" spans="1:6" x14ac:dyDescent="0.25">
      <c r="A27" s="69">
        <v>5</v>
      </c>
      <c r="B27" s="69">
        <v>19</v>
      </c>
      <c r="C27" s="71"/>
      <c r="D27" s="71"/>
      <c r="E27" s="71"/>
      <c r="F27" s="71"/>
    </row>
    <row r="28" spans="1:6" x14ac:dyDescent="0.25">
      <c r="A28" s="72">
        <v>5</v>
      </c>
      <c r="B28" s="72">
        <v>20</v>
      </c>
      <c r="C28" s="73"/>
      <c r="D28" s="73"/>
      <c r="E28" s="73"/>
      <c r="F28" s="73"/>
    </row>
    <row r="29" spans="1:6" x14ac:dyDescent="0.25">
      <c r="B29" s="74" t="s">
        <v>123</v>
      </c>
      <c r="C29" s="75"/>
      <c r="D29" s="76"/>
      <c r="E29" s="76"/>
      <c r="F29" s="76"/>
    </row>
    <row r="30" spans="1:6" x14ac:dyDescent="0.25">
      <c r="C30" s="77"/>
      <c r="D30" s="77"/>
      <c r="E30" s="77"/>
    </row>
    <row r="32" spans="1:6" ht="17.25" x14ac:dyDescent="0.25">
      <c r="A32" s="109" t="s">
        <v>124</v>
      </c>
    </row>
    <row r="33" spans="1:7" x14ac:dyDescent="0.25">
      <c r="A33" s="78"/>
      <c r="B33" s="79" t="s">
        <v>37</v>
      </c>
      <c r="C33" s="79" t="s">
        <v>38</v>
      </c>
      <c r="D33" s="79" t="s">
        <v>39</v>
      </c>
      <c r="E33" s="79" t="s">
        <v>40</v>
      </c>
      <c r="F33" s="79" t="s">
        <v>41</v>
      </c>
    </row>
    <row r="34" spans="1:7" ht="24" customHeight="1" x14ac:dyDescent="0.25">
      <c r="A34" s="131" t="s">
        <v>125</v>
      </c>
      <c r="B34" s="119">
        <v>1</v>
      </c>
      <c r="C34" s="119">
        <v>5</v>
      </c>
      <c r="D34" s="119">
        <v>9</v>
      </c>
      <c r="E34" s="119">
        <v>13</v>
      </c>
      <c r="F34" s="119">
        <v>17</v>
      </c>
    </row>
    <row r="35" spans="1:7" ht="24" customHeight="1" x14ac:dyDescent="0.25">
      <c r="A35" s="132"/>
      <c r="B35" s="120">
        <v>4</v>
      </c>
      <c r="C35" s="120">
        <v>8</v>
      </c>
      <c r="D35" s="120">
        <v>12</v>
      </c>
      <c r="E35" s="120">
        <v>16</v>
      </c>
      <c r="F35" s="120">
        <v>20</v>
      </c>
      <c r="G35" s="80" t="s">
        <v>126</v>
      </c>
    </row>
    <row r="36" spans="1:7" x14ac:dyDescent="0.25">
      <c r="A36" s="81" t="s">
        <v>127</v>
      </c>
      <c r="B36" s="82"/>
      <c r="C36" s="82"/>
      <c r="D36" s="82"/>
      <c r="E36" s="82"/>
      <c r="F36" s="82"/>
      <c r="G36" s="83"/>
    </row>
    <row r="37" spans="1:7" x14ac:dyDescent="0.25">
      <c r="A37" s="81" t="s">
        <v>128</v>
      </c>
      <c r="B37" s="82"/>
      <c r="C37" s="82"/>
      <c r="D37" s="82"/>
      <c r="E37" s="82"/>
      <c r="F37" s="82"/>
      <c r="G37" s="83"/>
    </row>
    <row r="38" spans="1:7" x14ac:dyDescent="0.25">
      <c r="A38" s="84" t="s">
        <v>129</v>
      </c>
      <c r="B38" s="83"/>
      <c r="C38" s="83"/>
      <c r="D38" s="83"/>
      <c r="E38" s="83"/>
      <c r="F38" s="83"/>
      <c r="G38" s="85"/>
    </row>
  </sheetData>
  <mergeCells count="1">
    <mergeCell ref="A34:A35"/>
  </mergeCells>
  <conditionalFormatting sqref="D9:F28">
    <cfRule type="cellIs" dxfId="6" priority="3" operator="lessThan">
      <formula>0</formula>
    </cfRule>
  </conditionalFormatting>
  <conditionalFormatting sqref="G5">
    <cfRule type="cellIs" dxfId="5" priority="2" operator="lessThan">
      <formula>0</formula>
    </cfRule>
  </conditionalFormatting>
  <conditionalFormatting sqref="B36:G37">
    <cfRule type="cellIs" dxfId="4" priority="1" operator="lessThan">
      <formula>0</formula>
    </cfRule>
  </conditionalFormatting>
  <pageMargins left="0.7" right="0.7" top="0.75" bottom="0.75" header="0.3" footer="0.3"/>
  <pageSetup scale="80" orientation="portrait" r:id="rId1"/>
  <headerFooter>
    <oddFooter>&amp;R&amp;F &amp;A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9"/>
  <sheetViews>
    <sheetView zoomScale="120" zoomScaleNormal="120" workbookViewId="0"/>
  </sheetViews>
  <sheetFormatPr defaultRowHeight="15" x14ac:dyDescent="0.25"/>
  <cols>
    <col min="1" max="1" width="25.85546875" customWidth="1"/>
    <col min="2" max="2" width="15" customWidth="1"/>
    <col min="3" max="4" width="13.5703125" customWidth="1"/>
    <col min="5" max="5" width="12.28515625" customWidth="1"/>
    <col min="6" max="6" width="12.5703125" customWidth="1"/>
    <col min="7" max="9" width="14.28515625" customWidth="1"/>
    <col min="10" max="10" width="17" customWidth="1"/>
  </cols>
  <sheetData>
    <row r="1" spans="1:6" ht="42.75" x14ac:dyDescent="0.75">
      <c r="A1" s="1" t="s">
        <v>164</v>
      </c>
      <c r="B1" s="5"/>
    </row>
    <row r="2" spans="1:6" ht="23.25" x14ac:dyDescent="0.35">
      <c r="A2" s="108" t="s">
        <v>51</v>
      </c>
    </row>
    <row r="3" spans="1:6" ht="15" customHeight="1" x14ac:dyDescent="0.35">
      <c r="A3" s="7"/>
    </row>
    <row r="4" spans="1:6" x14ac:dyDescent="0.25">
      <c r="A4" s="114" t="s">
        <v>162</v>
      </c>
      <c r="B4" s="86"/>
    </row>
    <row r="5" spans="1:6" x14ac:dyDescent="0.25">
      <c r="A5" s="114" t="s">
        <v>130</v>
      </c>
      <c r="B5" s="86"/>
    </row>
    <row r="6" spans="1:6" x14ac:dyDescent="0.25">
      <c r="A6" s="114" t="s">
        <v>131</v>
      </c>
      <c r="B6" s="87"/>
    </row>
    <row r="8" spans="1:6" x14ac:dyDescent="0.25">
      <c r="B8" s="133" t="s">
        <v>117</v>
      </c>
      <c r="C8" s="133"/>
      <c r="D8" s="133"/>
      <c r="E8" s="133"/>
      <c r="F8" s="133"/>
    </row>
    <row r="9" spans="1:6" ht="17.25" x14ac:dyDescent="0.25">
      <c r="A9" s="109" t="s">
        <v>132</v>
      </c>
      <c r="B9" s="115">
        <v>1</v>
      </c>
      <c r="C9" s="115">
        <v>2</v>
      </c>
      <c r="D9" s="115">
        <v>3</v>
      </c>
      <c r="E9" s="115">
        <v>4</v>
      </c>
      <c r="F9" s="115">
        <v>5</v>
      </c>
    </row>
    <row r="10" spans="1:6" x14ac:dyDescent="0.25">
      <c r="A10" s="88" t="s">
        <v>133</v>
      </c>
      <c r="B10" s="60"/>
      <c r="C10" s="60"/>
      <c r="D10" s="60"/>
      <c r="E10" s="60"/>
      <c r="F10" s="60"/>
    </row>
    <row r="11" spans="1:6" x14ac:dyDescent="0.25">
      <c r="A11" s="72" t="s">
        <v>134</v>
      </c>
      <c r="B11" s="89"/>
      <c r="C11" s="89"/>
      <c r="D11" s="89"/>
      <c r="E11" s="89"/>
      <c r="F11" s="89"/>
    </row>
    <row r="12" spans="1:6" x14ac:dyDescent="0.25">
      <c r="A12" s="90" t="s">
        <v>135</v>
      </c>
      <c r="B12" s="91"/>
      <c r="C12" s="91"/>
      <c r="D12" s="91"/>
      <c r="E12" s="91"/>
      <c r="F12" s="91"/>
    </row>
    <row r="14" spans="1:6" x14ac:dyDescent="0.25">
      <c r="B14" s="133" t="s">
        <v>117</v>
      </c>
      <c r="C14" s="133"/>
      <c r="D14" s="133"/>
      <c r="E14" s="133"/>
      <c r="F14" s="133"/>
    </row>
    <row r="15" spans="1:6" ht="17.25" x14ac:dyDescent="0.25">
      <c r="A15" s="109" t="s">
        <v>136</v>
      </c>
      <c r="B15" s="115">
        <v>1</v>
      </c>
      <c r="C15" s="115">
        <v>2</v>
      </c>
      <c r="D15" s="115">
        <v>3</v>
      </c>
      <c r="E15" s="115">
        <v>4</v>
      </c>
      <c r="F15" s="115">
        <v>5</v>
      </c>
    </row>
    <row r="16" spans="1:6" x14ac:dyDescent="0.25">
      <c r="A16" s="88" t="s">
        <v>133</v>
      </c>
      <c r="B16" s="60"/>
      <c r="C16" s="60"/>
      <c r="D16" s="60"/>
      <c r="E16" s="60"/>
      <c r="F16" s="60"/>
    </row>
    <row r="17" spans="1:6" x14ac:dyDescent="0.25">
      <c r="A17" s="72" t="s">
        <v>134</v>
      </c>
      <c r="B17" s="89"/>
      <c r="C17" s="89"/>
      <c r="D17" s="89"/>
      <c r="E17" s="89"/>
      <c r="F17" s="89"/>
    </row>
    <row r="18" spans="1:6" x14ac:dyDescent="0.25">
      <c r="A18" s="90" t="s">
        <v>135</v>
      </c>
      <c r="B18" s="91"/>
      <c r="C18" s="91"/>
      <c r="D18" s="91"/>
      <c r="E18" s="91"/>
      <c r="F18" s="91"/>
    </row>
    <row r="19" spans="1:6" x14ac:dyDescent="0.25">
      <c r="C19" s="92"/>
      <c r="D19" s="92"/>
      <c r="E19" s="92"/>
      <c r="F19" s="92"/>
    </row>
  </sheetData>
  <mergeCells count="2">
    <mergeCell ref="B8:F8"/>
    <mergeCell ref="B14:F14"/>
  </mergeCells>
  <pageMargins left="0.7" right="0.7" top="0.75" bottom="0.75" header="0.3" footer="0.3"/>
  <pageSetup scale="97" orientation="portrait" r:id="rId1"/>
  <headerFooter>
    <oddFooter>&amp;R&amp;F &amp;A 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54"/>
  <sheetViews>
    <sheetView zoomScale="120" zoomScaleNormal="120" workbookViewId="0"/>
  </sheetViews>
  <sheetFormatPr defaultColWidth="9.140625" defaultRowHeight="15" x14ac:dyDescent="0.25"/>
  <cols>
    <col min="1" max="1" width="22.85546875" style="32" customWidth="1"/>
    <col min="2" max="6" width="16.42578125" style="32" customWidth="1"/>
    <col min="7" max="9" width="14.28515625" style="32" customWidth="1"/>
    <col min="10" max="10" width="17" style="32" customWidth="1"/>
    <col min="11" max="16384" width="9.140625" style="32"/>
  </cols>
  <sheetData>
    <row r="1" spans="1:9" s="6" customFormat="1" ht="42.75" x14ac:dyDescent="0.75">
      <c r="A1" s="1" t="s">
        <v>164</v>
      </c>
    </row>
    <row r="2" spans="1:9" s="6" customFormat="1" ht="23.25" x14ac:dyDescent="0.35">
      <c r="A2" s="108" t="s">
        <v>137</v>
      </c>
    </row>
    <row r="4" spans="1:9" s="8" customFormat="1" ht="17.25" x14ac:dyDescent="0.25">
      <c r="A4" s="109" t="s">
        <v>138</v>
      </c>
    </row>
    <row r="5" spans="1:9" s="8" customFormat="1" x14ac:dyDescent="0.25"/>
    <row r="6" spans="1:9" s="8" customFormat="1" x14ac:dyDescent="0.25">
      <c r="A6" s="117" t="s">
        <v>139</v>
      </c>
      <c r="B6" s="93"/>
    </row>
    <row r="7" spans="1:9" s="8" customFormat="1" x14ac:dyDescent="0.25">
      <c r="A7" s="118" t="s">
        <v>140</v>
      </c>
      <c r="B7" s="94"/>
    </row>
    <row r="8" spans="1:9" s="8" customFormat="1" x14ac:dyDescent="0.25">
      <c r="A8" s="118" t="s">
        <v>109</v>
      </c>
      <c r="B8" s="94"/>
    </row>
    <row r="9" spans="1:9" s="8" customFormat="1" x14ac:dyDescent="0.25">
      <c r="A9" s="118" t="s">
        <v>141</v>
      </c>
      <c r="B9" s="95"/>
    </row>
    <row r="10" spans="1:9" s="8" customFormat="1" x14ac:dyDescent="0.25"/>
    <row r="11" spans="1:9" s="8" customFormat="1" x14ac:dyDescent="0.25">
      <c r="A11" s="116"/>
      <c r="B11" s="116" t="s">
        <v>37</v>
      </c>
      <c r="C11" s="116" t="s">
        <v>38</v>
      </c>
      <c r="D11" s="116" t="s">
        <v>39</v>
      </c>
      <c r="E11" s="116" t="s">
        <v>40</v>
      </c>
      <c r="F11" s="116" t="s">
        <v>41</v>
      </c>
    </row>
    <row r="12" spans="1:9" s="8" customFormat="1" x14ac:dyDescent="0.25">
      <c r="A12" s="96" t="s">
        <v>142</v>
      </c>
      <c r="B12" s="97"/>
      <c r="C12" s="97"/>
      <c r="D12" s="97"/>
      <c r="E12" s="97"/>
      <c r="F12" s="97"/>
      <c r="G12" s="98"/>
      <c r="H12" s="98"/>
      <c r="I12" s="98"/>
    </row>
    <row r="13" spans="1:9" s="8" customFormat="1" x14ac:dyDescent="0.25">
      <c r="A13" s="96" t="s">
        <v>91</v>
      </c>
      <c r="B13" s="97"/>
      <c r="C13" s="97"/>
      <c r="D13" s="97"/>
      <c r="E13" s="97"/>
      <c r="F13" s="97"/>
      <c r="G13" s="98"/>
    </row>
    <row r="14" spans="1:9" s="8" customFormat="1" x14ac:dyDescent="0.25">
      <c r="A14" s="99" t="s">
        <v>126</v>
      </c>
      <c r="B14" s="100"/>
      <c r="C14" s="100"/>
      <c r="D14" s="100"/>
      <c r="E14" s="100"/>
      <c r="F14" s="100"/>
    </row>
    <row r="15" spans="1:9" s="8" customFormat="1" x14ac:dyDescent="0.25"/>
    <row r="16" spans="1:9" s="8" customFormat="1" ht="15" customHeight="1" x14ac:dyDescent="0.25">
      <c r="A16" s="109" t="s">
        <v>143</v>
      </c>
    </row>
    <row r="17" spans="1:10" s="8" customFormat="1" ht="15" customHeight="1" x14ac:dyDescent="0.25">
      <c r="A17" s="116"/>
      <c r="B17" s="116" t="s">
        <v>142</v>
      </c>
      <c r="C17" s="116" t="s">
        <v>144</v>
      </c>
      <c r="E17" s="98"/>
      <c r="F17" s="98"/>
    </row>
    <row r="18" spans="1:10" s="8" customFormat="1" ht="15" customHeight="1" x14ac:dyDescent="0.25">
      <c r="A18" s="101" t="s">
        <v>145</v>
      </c>
      <c r="B18" s="102"/>
      <c r="C18" s="103"/>
      <c r="D18" s="98"/>
      <c r="E18" s="98"/>
      <c r="F18" s="98"/>
      <c r="J18" s="104"/>
    </row>
    <row r="19" spans="1:10" s="8" customFormat="1" ht="15" customHeight="1" x14ac:dyDescent="0.25">
      <c r="A19" s="96" t="s">
        <v>37</v>
      </c>
      <c r="B19" s="97"/>
      <c r="C19" s="103"/>
      <c r="G19" s="9"/>
      <c r="H19" s="52"/>
      <c r="I19" s="52"/>
    </row>
    <row r="20" spans="1:10" s="8" customFormat="1" ht="15" customHeight="1" x14ac:dyDescent="0.25">
      <c r="A20" s="96" t="s">
        <v>38</v>
      </c>
      <c r="B20" s="97"/>
      <c r="C20" s="103"/>
      <c r="G20" s="9"/>
      <c r="H20" s="52"/>
      <c r="I20" s="52"/>
    </row>
    <row r="21" spans="1:10" s="8" customFormat="1" ht="15" customHeight="1" x14ac:dyDescent="0.25">
      <c r="A21" s="96" t="s">
        <v>39</v>
      </c>
      <c r="B21" s="97"/>
      <c r="C21" s="103"/>
    </row>
    <row r="22" spans="1:10" s="8" customFormat="1" ht="15" customHeight="1" x14ac:dyDescent="0.25">
      <c r="A22" s="96" t="s">
        <v>40</v>
      </c>
      <c r="B22" s="97"/>
      <c r="C22" s="103"/>
    </row>
    <row r="23" spans="1:10" s="8" customFormat="1" ht="15" customHeight="1" x14ac:dyDescent="0.25">
      <c r="A23" s="96" t="s">
        <v>41</v>
      </c>
      <c r="B23" s="97"/>
      <c r="C23" s="103"/>
    </row>
    <row r="24" spans="1:10" s="8" customFormat="1" ht="15" customHeight="1" x14ac:dyDescent="0.25">
      <c r="F24" s="9"/>
    </row>
    <row r="25" spans="1:10" s="8" customFormat="1" ht="15" customHeight="1" x14ac:dyDescent="0.25">
      <c r="A25" s="134" t="s">
        <v>146</v>
      </c>
      <c r="B25" s="135"/>
      <c r="C25" s="126"/>
    </row>
    <row r="26" spans="1:10" s="8" customFormat="1" ht="15" customHeight="1" x14ac:dyDescent="0.25">
      <c r="A26" s="134" t="s">
        <v>147</v>
      </c>
      <c r="B26" s="135"/>
      <c r="C26" s="105"/>
    </row>
    <row r="27" spans="1:10" s="8" customFormat="1" ht="15" customHeight="1" x14ac:dyDescent="0.25">
      <c r="A27" s="134" t="s">
        <v>148</v>
      </c>
      <c r="B27" s="135"/>
      <c r="C27" s="106"/>
    </row>
    <row r="28" spans="1:10" s="8" customFormat="1" ht="15" customHeight="1" x14ac:dyDescent="0.25">
      <c r="A28" s="134" t="s">
        <v>149</v>
      </c>
      <c r="B28" s="135"/>
      <c r="C28" s="107"/>
    </row>
    <row r="29" spans="1:10" s="8" customFormat="1" x14ac:dyDescent="0.25"/>
    <row r="30" spans="1:10" s="8" customFormat="1" x14ac:dyDescent="0.25"/>
    <row r="31" spans="1:10" s="8" customFormat="1" x14ac:dyDescent="0.25"/>
    <row r="32" spans="1:10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  <row r="48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</sheetData>
  <mergeCells count="4">
    <mergeCell ref="A25:B25"/>
    <mergeCell ref="A26:B26"/>
    <mergeCell ref="A27:B27"/>
    <mergeCell ref="A28:B28"/>
  </mergeCells>
  <conditionalFormatting sqref="C18:C23">
    <cfRule type="cellIs" dxfId="3" priority="4" operator="lessThan">
      <formula>0</formula>
    </cfRule>
  </conditionalFormatting>
  <conditionalFormatting sqref="B18:B23">
    <cfRule type="cellIs" dxfId="2" priority="3" operator="lessThan">
      <formula>0</formula>
    </cfRule>
  </conditionalFormatting>
  <conditionalFormatting sqref="B6">
    <cfRule type="cellIs" dxfId="1" priority="2" operator="lessThan">
      <formula>0</formula>
    </cfRule>
  </conditionalFormatting>
  <conditionalFormatting sqref="C27">
    <cfRule type="cellIs" dxfId="0" priority="1" operator="lessThan">
      <formula>0</formula>
    </cfRule>
  </conditionalFormatting>
  <pageMargins left="0.7" right="0.7" top="0.75" bottom="0.75" header="0.3" footer="0.3"/>
  <pageSetup scale="86" orientation="portrait" r:id="rId1"/>
  <headerFooter>
    <oddFooter>&amp;R&amp;F &amp;A 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6E66-B75F-4BB1-BE4A-A58639E89526}">
  <dimension ref="A1:C23"/>
  <sheetViews>
    <sheetView zoomScale="120" zoomScaleNormal="120" workbookViewId="0"/>
  </sheetViews>
  <sheetFormatPr defaultRowHeight="15" x14ac:dyDescent="0.25"/>
  <cols>
    <col min="1" max="1" width="29" customWidth="1"/>
    <col min="2" max="2" width="51.28515625" customWidth="1"/>
    <col min="3" max="3" width="36.5703125" customWidth="1"/>
  </cols>
  <sheetData>
    <row r="1" spans="1:3" ht="42.75" x14ac:dyDescent="0.75">
      <c r="A1" s="1" t="s">
        <v>164</v>
      </c>
    </row>
    <row r="2" spans="1:3" ht="23.25" x14ac:dyDescent="0.35">
      <c r="A2" s="108" t="s">
        <v>165</v>
      </c>
    </row>
    <row r="4" spans="1:3" x14ac:dyDescent="0.25">
      <c r="A4" s="127" t="s">
        <v>166</v>
      </c>
      <c r="B4" s="127" t="s">
        <v>167</v>
      </c>
      <c r="C4" s="127" t="s">
        <v>186</v>
      </c>
    </row>
    <row r="5" spans="1:3" ht="30" x14ac:dyDescent="0.25">
      <c r="A5" s="128" t="s">
        <v>168</v>
      </c>
      <c r="B5" s="129" t="s">
        <v>187</v>
      </c>
      <c r="C5" s="129"/>
    </row>
    <row r="6" spans="1:3" ht="30" x14ac:dyDescent="0.25">
      <c r="A6" s="128" t="s">
        <v>177</v>
      </c>
      <c r="B6" s="129" t="s">
        <v>189</v>
      </c>
      <c r="C6" s="129" t="s">
        <v>190</v>
      </c>
    </row>
    <row r="7" spans="1:3" ht="30" x14ac:dyDescent="0.25">
      <c r="A7" s="128" t="s">
        <v>178</v>
      </c>
      <c r="B7" s="129" t="s">
        <v>188</v>
      </c>
      <c r="C7" s="129" t="s">
        <v>191</v>
      </c>
    </row>
    <row r="8" spans="1:3" x14ac:dyDescent="0.25">
      <c r="A8" s="128" t="s">
        <v>169</v>
      </c>
      <c r="B8" s="129" t="s">
        <v>192</v>
      </c>
      <c r="C8" s="129"/>
    </row>
    <row r="9" spans="1:3" ht="30" x14ac:dyDescent="0.25">
      <c r="A9" s="128" t="s">
        <v>170</v>
      </c>
      <c r="B9" s="129" t="s">
        <v>193</v>
      </c>
      <c r="C9" s="129" t="s">
        <v>194</v>
      </c>
    </row>
    <row r="10" spans="1:3" x14ac:dyDescent="0.25">
      <c r="A10" s="128" t="s">
        <v>179</v>
      </c>
      <c r="B10" s="129" t="s">
        <v>197</v>
      </c>
      <c r="C10" s="129"/>
    </row>
    <row r="11" spans="1:3" ht="30" x14ac:dyDescent="0.25">
      <c r="A11" s="128" t="s">
        <v>174</v>
      </c>
      <c r="B11" s="129" t="s">
        <v>198</v>
      </c>
      <c r="C11" s="129"/>
    </row>
    <row r="12" spans="1:3" ht="30" x14ac:dyDescent="0.25">
      <c r="A12" s="128" t="s">
        <v>171</v>
      </c>
      <c r="B12" s="129" t="s">
        <v>199</v>
      </c>
      <c r="C12" s="129"/>
    </row>
    <row r="13" spans="1:3" ht="30" x14ac:dyDescent="0.25">
      <c r="A13" s="128" t="s">
        <v>172</v>
      </c>
      <c r="B13" s="129" t="s">
        <v>200</v>
      </c>
      <c r="C13" s="129"/>
    </row>
    <row r="14" spans="1:3" ht="30" x14ac:dyDescent="0.25">
      <c r="A14" s="128" t="s">
        <v>173</v>
      </c>
      <c r="B14" s="129" t="s">
        <v>201</v>
      </c>
      <c r="C14" s="129"/>
    </row>
    <row r="15" spans="1:3" x14ac:dyDescent="0.25">
      <c r="A15" s="128" t="s">
        <v>180</v>
      </c>
      <c r="B15" s="129" t="s">
        <v>202</v>
      </c>
      <c r="C15" s="129"/>
    </row>
    <row r="16" spans="1:3" ht="30" x14ac:dyDescent="0.25">
      <c r="A16" s="128" t="s">
        <v>181</v>
      </c>
      <c r="B16" s="129" t="s">
        <v>203</v>
      </c>
      <c r="C16" s="129"/>
    </row>
    <row r="17" spans="1:3" ht="30" x14ac:dyDescent="0.25">
      <c r="A17" s="128" t="s">
        <v>51</v>
      </c>
      <c r="B17" s="129" t="s">
        <v>204</v>
      </c>
      <c r="C17" s="129"/>
    </row>
    <row r="18" spans="1:3" ht="30" x14ac:dyDescent="0.25">
      <c r="A18" s="128" t="s">
        <v>175</v>
      </c>
      <c r="B18" s="129" t="s">
        <v>205</v>
      </c>
      <c r="C18" s="129" t="s">
        <v>206</v>
      </c>
    </row>
    <row r="19" spans="1:3" ht="30" x14ac:dyDescent="0.25">
      <c r="A19" s="128" t="s">
        <v>176</v>
      </c>
      <c r="B19" s="129" t="s">
        <v>207</v>
      </c>
      <c r="C19" s="129" t="s">
        <v>208</v>
      </c>
    </row>
    <row r="20" spans="1:3" ht="30" x14ac:dyDescent="0.25">
      <c r="A20" s="128" t="s">
        <v>182</v>
      </c>
      <c r="B20" s="129" t="s">
        <v>209</v>
      </c>
      <c r="C20" s="129"/>
    </row>
    <row r="21" spans="1:3" ht="30" x14ac:dyDescent="0.25">
      <c r="A21" s="128" t="s">
        <v>183</v>
      </c>
      <c r="B21" s="129" t="s">
        <v>210</v>
      </c>
      <c r="C21" s="129"/>
    </row>
    <row r="22" spans="1:3" ht="45" x14ac:dyDescent="0.25">
      <c r="A22" s="128" t="s">
        <v>184</v>
      </c>
      <c r="B22" s="129" t="s">
        <v>211</v>
      </c>
      <c r="C22" s="129" t="s">
        <v>212</v>
      </c>
    </row>
    <row r="23" spans="1:3" ht="30" x14ac:dyDescent="0.25">
      <c r="A23" s="128" t="s">
        <v>185</v>
      </c>
      <c r="B23" s="129" t="s">
        <v>213</v>
      </c>
      <c r="C23" s="12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Documentation</vt:lpstr>
      <vt:lpstr>Startup</vt:lpstr>
      <vt:lpstr>Income Statement</vt:lpstr>
      <vt:lpstr>Balance Sheet</vt:lpstr>
      <vt:lpstr>Cash Flow</vt:lpstr>
      <vt:lpstr>Loan Analysis</vt:lpstr>
      <vt:lpstr>Loan Schedule</vt:lpstr>
      <vt:lpstr>Depreciation</vt:lpstr>
      <vt:lpstr>Investment Analysis</vt:lpstr>
      <vt:lpstr>Terms and Defintions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Module Case</dc:title>
  <dc:creator>Your Name</dc:creator>
  <cp:lastModifiedBy>Your Name</cp:lastModifiedBy>
  <dcterms:created xsi:type="dcterms:W3CDTF">2015-11-12T22:55:14Z</dcterms:created>
  <dcterms:modified xsi:type="dcterms:W3CDTF">2019-01-28T16:42:18Z</dcterms:modified>
</cp:coreProperties>
</file>