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8\Case1\"/>
    </mc:Choice>
  </mc:AlternateContent>
  <xr:revisionPtr revIDLastSave="0" documentId="13_ncr:1_{8C03437B-526E-48B4-BB4B-E1FABF4DA09A}" xr6:coauthVersionLast="37" xr6:coauthVersionMax="37" xr10:uidLastSave="{00000000-0000-0000-0000-000000000000}"/>
  <bookViews>
    <workbookView xWindow="0" yWindow="0" windowWidth="28800" windowHeight="12330" xr2:uid="{00000000-000D-0000-FFFF-FFFF00000000}"/>
  </bookViews>
  <sheets>
    <sheet name="Documentation" sheetId="2" r:id="rId1"/>
    <sheet name="Budget" sheetId="1" r:id="rId2"/>
  </sheets>
  <definedNames>
    <definedName name="Attendees">Budget!$B$5</definedName>
    <definedName name="Balance">Budget!$B$29</definedName>
    <definedName name="Computing_Costs">Budget!$B$15</definedName>
    <definedName name="Cost_per_Person">Budget!$B$28</definedName>
    <definedName name="Meal_Costs">Budget!$B$24</definedName>
    <definedName name="Meal_Lookup">Budget!$D$14:$E$20</definedName>
    <definedName name="Miscellaneous">Budget!$B$19</definedName>
    <definedName name="Registration_Fee">Budget!$B$6</definedName>
    <definedName name="Room_Costs">Budget!$B$23</definedName>
    <definedName name="Room_Lookup">Budget!$D$5:$E$11</definedName>
    <definedName name="Seminar_Lookup">Budget!$D$23:$E$29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Budget!$B$6</definedName>
    <definedName name="solver_lhs2" localSheetId="1" hidden="1">Budget!$B$6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pre" localSheetId="1" hidden="1">0.000001</definedName>
    <definedName name="solver_rbv" localSheetId="1" hidden="1">1</definedName>
    <definedName name="solver_rel1" localSheetId="1" hidden="1">4</definedName>
    <definedName name="solver_rel2" localSheetId="1" hidden="1">4</definedName>
    <definedName name="solver_rhs1" localSheetId="1" hidden="1">integer</definedName>
    <definedName name="solver_rhs2" localSheetId="1" hidden="1">integer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  <definedName name="Speaker_Fees">Budget!$B$16</definedName>
    <definedName name="Speakers_Lodging">Budget!$B$18</definedName>
    <definedName name="Speakers_Travel">Budget!$B$17</definedName>
    <definedName name="Supplemental_Materials">Budget!$B$11</definedName>
    <definedName name="Support_Costs">Budget!$B$25</definedName>
    <definedName name="Total_Fixed_Costs">Budget!$B$20</definedName>
    <definedName name="Total_Mixed_Costs">Budget!$B$26</definedName>
    <definedName name="Total_Revenue">Budget!$B$7</definedName>
    <definedName name="Total_Variable_Costs">Budget!$B$12</definedName>
    <definedName name="Training_Materials">Budget!$B$10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6" i="1"/>
</calcChain>
</file>

<file path=xl/sharedStrings.xml><?xml version="1.0" encoding="utf-8"?>
<sst xmlns="http://schemas.openxmlformats.org/spreadsheetml/2006/main" count="48" uniqueCount="39">
  <si>
    <t>Author</t>
  </si>
  <si>
    <t>Date</t>
  </si>
  <si>
    <t>Purpose</t>
  </si>
  <si>
    <t>Revenue</t>
  </si>
  <si>
    <t>Variable Costs</t>
  </si>
  <si>
    <t>Fixed Costs</t>
  </si>
  <si>
    <t>Balance</t>
  </si>
  <si>
    <t>Break-Even Analysis</t>
  </si>
  <si>
    <t>Attendees</t>
  </si>
  <si>
    <t>Total Revenue</t>
  </si>
  <si>
    <t>Total Fixed Costs</t>
  </si>
  <si>
    <t>Total Variable Costs</t>
  </si>
  <si>
    <t>Mixed Costs</t>
  </si>
  <si>
    <t>Total Mixed Costs</t>
  </si>
  <si>
    <t>Charge</t>
  </si>
  <si>
    <t>Meal Catering</t>
  </si>
  <si>
    <t>Charge (per person)</t>
  </si>
  <si>
    <t>Balance Analysis</t>
  </si>
  <si>
    <t>Total Costs</t>
  </si>
  <si>
    <t>Miscellaneous</t>
  </si>
  <si>
    <t>Attendance</t>
  </si>
  <si>
    <t>Seminar Budget Projections</t>
  </si>
  <si>
    <t>Effect of the Registration Fee on Attendance</t>
  </si>
  <si>
    <t>Granite Life</t>
  </si>
  <si>
    <t>To project the revenue and costs for an upcoming seminar in Provo, Utah, and to determine a registration fee that maximizes the income from the seminar</t>
  </si>
  <si>
    <t>Room Fees</t>
  </si>
  <si>
    <t>Speaker Fees</t>
  </si>
  <si>
    <t>Training Materials</t>
  </si>
  <si>
    <t>Supplemental Materials</t>
  </si>
  <si>
    <t>Seminar Support</t>
  </si>
  <si>
    <t>Speakers Travel</t>
  </si>
  <si>
    <t>Speakers Lodging</t>
  </si>
  <si>
    <t>Computing Costs</t>
  </si>
  <si>
    <t>Room Costs</t>
  </si>
  <si>
    <t>Meal Costs</t>
  </si>
  <si>
    <t>Support Costs</t>
  </si>
  <si>
    <t>Fee</t>
  </si>
  <si>
    <t>Registration Fee per Attendee</t>
  </si>
  <si>
    <t>Cost per Attendee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</si>
</sst>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&quot;Attendees&quot;"/>
  </numFmts>
  <fonts count="10" x14ac:knownFonts="1">
    <font>
      <sz val="11"/>
      <color theme="1"/>
      <name val="Calibri Light"/>
      <family val="2"/>
      <scheme val="minor"/>
    </font>
    <font>
      <sz val="11"/>
      <color theme="1"/>
      <name val="Calibri Light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inor"/>
    </font>
    <font>
      <sz val="11"/>
      <color theme="0"/>
      <name val="Calibri Light"/>
      <family val="2"/>
      <scheme val="minor"/>
    </font>
    <font>
      <b/>
      <sz val="18"/>
      <color theme="3"/>
      <name val="Calibri Light"/>
      <family val="2"/>
      <scheme val="major"/>
    </font>
    <font>
      <sz val="11"/>
      <color theme="7" tint="-0.249977111117893"/>
      <name val="Calibri Light"/>
      <family val="2"/>
      <scheme val="minor"/>
    </font>
    <font>
      <sz val="28"/>
      <color theme="7" tint="-0.249977111117893"/>
      <name val="Bauhaus 93"/>
      <family val="5"/>
    </font>
    <font>
      <b/>
      <sz val="14"/>
      <color theme="7" tint="-0.249977111117893"/>
      <name val="Arial"/>
      <family val="2"/>
    </font>
    <font>
      <b/>
      <sz val="12"/>
      <color theme="1"/>
      <name val="Calibri Light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6" fillId="0" borderId="2" xfId="0" applyFont="1" applyBorder="1" applyAlignment="1">
      <alignment horizontal="left" vertical="top" wrapText="1"/>
    </xf>
    <xf numFmtId="0" fontId="7" fillId="0" borderId="0" xfId="3" applyFont="1"/>
    <xf numFmtId="0" fontId="8" fillId="0" borderId="0" xfId="4" applyFont="1" applyBorder="1"/>
    <xf numFmtId="6" fontId="0" fillId="0" borderId="0" xfId="0" applyNumberFormat="1"/>
    <xf numFmtId="0" fontId="4" fillId="2" borderId="0" xfId="5"/>
    <xf numFmtId="0" fontId="0" fillId="0" borderId="3" xfId="0" applyBorder="1"/>
    <xf numFmtId="6" fontId="0" fillId="0" borderId="3" xfId="0" applyNumberFormat="1" applyBorder="1"/>
    <xf numFmtId="0" fontId="0" fillId="4" borderId="0" xfId="0" applyFill="1"/>
    <xf numFmtId="6" fontId="0" fillId="4" borderId="0" xfId="0" applyNumberFormat="1" applyFill="1"/>
    <xf numFmtId="0" fontId="9" fillId="4" borderId="0" xfId="0" applyFont="1" applyFill="1"/>
    <xf numFmtId="6" fontId="9" fillId="4" borderId="0" xfId="0" applyNumberFormat="1" applyFont="1" applyFill="1"/>
    <xf numFmtId="0" fontId="0" fillId="0" borderId="4" xfId="0" applyBorder="1"/>
    <xf numFmtId="0" fontId="0" fillId="4" borderId="4" xfId="0" applyFill="1" applyBorder="1" applyAlignment="1">
      <alignment horizontal="center"/>
    </xf>
    <xf numFmtId="6" fontId="0" fillId="0" borderId="4" xfId="0" applyNumberFormat="1" applyBorder="1"/>
    <xf numFmtId="164" fontId="0" fillId="0" borderId="4" xfId="0" applyNumberFormat="1" applyBorder="1"/>
    <xf numFmtId="0" fontId="0" fillId="0" borderId="0" xfId="0" applyBorder="1"/>
    <xf numFmtId="6" fontId="0" fillId="0" borderId="0" xfId="0" applyNumberFormat="1" applyBorder="1"/>
    <xf numFmtId="0" fontId="0" fillId="0" borderId="3" xfId="0" applyFill="1" applyBorder="1"/>
    <xf numFmtId="0" fontId="0" fillId="4" borderId="4" xfId="0" applyFill="1" applyBorder="1"/>
    <xf numFmtId="164" fontId="0" fillId="0" borderId="4" xfId="0" applyNumberFormat="1" applyFill="1" applyBorder="1"/>
    <xf numFmtId="165" fontId="0" fillId="0" borderId="4" xfId="1" applyNumberFormat="1" applyFont="1" applyBorder="1"/>
    <xf numFmtId="0" fontId="0" fillId="3" borderId="2" xfId="0" applyFill="1" applyBorder="1" applyAlignment="1">
      <alignment vertical="top"/>
    </xf>
    <xf numFmtId="0" fontId="6" fillId="0" borderId="2" xfId="0" applyFont="1" applyBorder="1" applyAlignment="1">
      <alignment vertical="top" wrapText="1"/>
    </xf>
    <xf numFmtId="14" fontId="6" fillId="0" borderId="2" xfId="0" applyNumberFormat="1" applyFont="1" applyBorder="1" applyAlignment="1">
      <alignment vertical="top" wrapText="1"/>
    </xf>
    <xf numFmtId="164" fontId="0" fillId="0" borderId="4" xfId="2" applyNumberFormat="1" applyFont="1" applyBorder="1"/>
    <xf numFmtId="0" fontId="0" fillId="4" borderId="4" xfId="0" applyFill="1" applyBorder="1" applyAlignment="1">
      <alignment horizontal="center"/>
    </xf>
    <xf numFmtId="0" fontId="0" fillId="0" borderId="4" xfId="0" applyFill="1" applyBorder="1"/>
    <xf numFmtId="0" fontId="0" fillId="0" borderId="0" xfId="0" applyAlignment="1"/>
    <xf numFmtId="1" fontId="0" fillId="0" borderId="0" xfId="1" applyNumberFormat="1" applyFont="1"/>
    <xf numFmtId="166" fontId="0" fillId="4" borderId="4" xfId="0" applyNumberFormat="1" applyFill="1" applyBorder="1"/>
    <xf numFmtId="0" fontId="4" fillId="2" borderId="3" xfId="5" applyBorder="1" applyAlignment="1">
      <alignment horizontal="center"/>
    </xf>
    <xf numFmtId="0" fontId="4" fillId="2" borderId="0" xfId="5" applyAlignment="1">
      <alignment horizontal="center"/>
    </xf>
    <xf numFmtId="0" fontId="4" fillId="2" borderId="4" xfId="5" applyBorder="1" applyAlignment="1">
      <alignment horizontal="center"/>
    </xf>
    <xf numFmtId="0" fontId="0" fillId="4" borderId="4" xfId="0" applyFill="1" applyBorder="1" applyAlignment="1">
      <alignment horizontal="center"/>
    </xf>
    <xf numFmtId="1" fontId="0" fillId="0" borderId="4" xfId="0" applyNumberFormat="1" applyBorder="1"/>
  </cellXfs>
  <cellStyles count="7">
    <cellStyle name="Accent4" xfId="5" builtinId="41"/>
    <cellStyle name="Comma" xfId="1" builtinId="3"/>
    <cellStyle name="Currency" xfId="2" builtinId="4"/>
    <cellStyle name="Heading 1" xfId="4" builtinId="16"/>
    <cellStyle name="Normal" xfId="0" builtinId="0"/>
    <cellStyle name="Title" xfId="3" builtinId="15"/>
    <cellStyle name="Title 2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232279802234022"/>
          <c:y val="0.10476190476190476"/>
          <c:w val="0.68281208569858998"/>
          <c:h val="0.683793775778027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Budget!$S$5</c:f>
              <c:strCache>
                <c:ptCount val="1"/>
                <c:pt idx="0">
                  <c:v>Attendance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Budget!$R$6:$R$21</c:f>
              <c:numCache>
                <c:formatCode>"$"#,##0</c:formatCode>
                <c:ptCount val="1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</c:numCache>
            </c:numRef>
          </c:xVal>
          <c:yVal>
            <c:numRef>
              <c:f>Budget!$S$6:$S$21</c:f>
              <c:numCache>
                <c:formatCode>_(* #,##0_);_(* \(#,##0\);_(* "-"??_);_(@_)</c:formatCode>
                <c:ptCount val="16"/>
                <c:pt idx="0">
                  <c:v>1000</c:v>
                </c:pt>
                <c:pt idx="1">
                  <c:v>818.73075307798183</c:v>
                </c:pt>
                <c:pt idx="2">
                  <c:v>670.32004603563928</c:v>
                </c:pt>
                <c:pt idx="3">
                  <c:v>548.81163609402643</c:v>
                </c:pt>
                <c:pt idx="4">
                  <c:v>449.32896411722157</c:v>
                </c:pt>
                <c:pt idx="5">
                  <c:v>367.87944117144235</c:v>
                </c:pt>
                <c:pt idx="6">
                  <c:v>301.19421191220215</c:v>
                </c:pt>
                <c:pt idx="7">
                  <c:v>246.5969639416065</c:v>
                </c:pt>
                <c:pt idx="8">
                  <c:v>201.8965179946554</c:v>
                </c:pt>
                <c:pt idx="9">
                  <c:v>165.29888822158654</c:v>
                </c:pt>
                <c:pt idx="10">
                  <c:v>135.3352832366127</c:v>
                </c:pt>
                <c:pt idx="11">
                  <c:v>110.80315836233387</c:v>
                </c:pt>
                <c:pt idx="12">
                  <c:v>90.717953289412506</c:v>
                </c:pt>
                <c:pt idx="13">
                  <c:v>74.273578214333881</c:v>
                </c:pt>
                <c:pt idx="14">
                  <c:v>60.810062625217974</c:v>
                </c:pt>
                <c:pt idx="15">
                  <c:v>49.787068367863945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92-44CB-9B97-71522F6D0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540543"/>
        <c:axId val="265550527"/>
      </c:scatterChart>
      <c:valAx>
        <c:axId val="265540543"/>
        <c:scaling>
          <c:orientation val="minMax"/>
          <c:max val="1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Registration Fee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550527"/>
        <c:crosses val="autoZero"/>
        <c:crossBetween val="midCat"/>
      </c:valAx>
      <c:valAx>
        <c:axId val="2655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Attendance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540543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87313</xdr:colOff>
      <xdr:row>4</xdr:row>
      <xdr:rowOff>87312</xdr:rowOff>
    </xdr:from>
    <xdr:to>
      <xdr:col>24</xdr:col>
      <xdr:colOff>39688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etropolitan">
  <a:themeElements>
    <a:clrScheme name="Metropolitan">
      <a:dk1>
        <a:sysClr val="windowText" lastClr="000000"/>
      </a:dk1>
      <a:lt1>
        <a:sysClr val="window" lastClr="FFFFFF"/>
      </a:lt1>
      <a:dk2>
        <a:srgbClr val="162F33"/>
      </a:dk2>
      <a:lt2>
        <a:srgbClr val="EAF0E0"/>
      </a:lt2>
      <a:accent1>
        <a:srgbClr val="50B4C8"/>
      </a:accent1>
      <a:accent2>
        <a:srgbClr val="A8B97F"/>
      </a:accent2>
      <a:accent3>
        <a:srgbClr val="9B9256"/>
      </a:accent3>
      <a:accent4>
        <a:srgbClr val="657689"/>
      </a:accent4>
      <a:accent5>
        <a:srgbClr val="7A855D"/>
      </a:accent5>
      <a:accent6>
        <a:srgbClr val="84AC9D"/>
      </a:accent6>
      <a:hlink>
        <a:srgbClr val="2370CD"/>
      </a:hlink>
      <a:folHlink>
        <a:srgbClr val="877589"/>
      </a:folHlink>
    </a:clrScheme>
    <a:fontScheme name="Metropolitan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Metropolitan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00000"/>
                <a:lumMod val="110000"/>
              </a:schemeClr>
            </a:gs>
            <a:gs pos="50000">
              <a:schemeClr val="phClr">
                <a:tint val="75000"/>
                <a:satMod val="101000"/>
                <a:lumMod val="105000"/>
              </a:schemeClr>
            </a:gs>
            <a:gs pos="100000">
              <a:schemeClr val="phClr">
                <a:tint val="82000"/>
                <a:satMod val="104000"/>
                <a:lumMod val="105000"/>
              </a:schemeClr>
            </a:gs>
          </a:gsLst>
          <a:lin ang="27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0000"/>
                <a:lumMod val="100000"/>
              </a:schemeClr>
            </a:gs>
            <a:gs pos="100000">
              <a:schemeClr val="phClr">
                <a:shade val="80000"/>
                <a:satMod val="100000"/>
                <a:lumMod val="99000"/>
              </a:schemeClr>
            </a:gs>
          </a:gsLst>
          <a:lin ang="27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5000"/>
            <a:satMod val="17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tropolitan" id="{4C5440D6-04D2-4954-96CF-F251137069B2}" vid="{79CFCA13-9412-4290-BB4B-85112F88857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39.875" customWidth="1"/>
  </cols>
  <sheetData>
    <row r="1" spans="1:2" ht="42.75" x14ac:dyDescent="0.75">
      <c r="A1" s="2" t="s">
        <v>23</v>
      </c>
    </row>
    <row r="3" spans="1:2" x14ac:dyDescent="0.25">
      <c r="A3" s="22" t="s">
        <v>0</v>
      </c>
      <c r="B3" s="23"/>
    </row>
    <row r="4" spans="1:2" x14ac:dyDescent="0.25">
      <c r="A4" s="22" t="s">
        <v>1</v>
      </c>
      <c r="B4" s="24"/>
    </row>
    <row r="5" spans="1:2" ht="60" x14ac:dyDescent="0.25">
      <c r="A5" s="22" t="s">
        <v>2</v>
      </c>
      <c r="B5" s="1" t="s">
        <v>24</v>
      </c>
    </row>
  </sheetData>
  <pageMargins left="0.7" right="0.7" top="0.75" bottom="0.75" header="0.3" footer="0.3"/>
  <pageSetup orientation="portrait" r:id="rId1"/>
  <headerFooter>
    <oddHeader>&amp;R&amp;D</oddHeader>
    <oddFooter>&amp;L&amp;F&amp;CPage &amp;P&amp;R&amp;A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40"/>
  <sheetViews>
    <sheetView zoomScale="120" zoomScaleNormal="120" workbookViewId="0">
      <selection activeCell="G6" sqref="G6"/>
    </sheetView>
  </sheetViews>
  <sheetFormatPr defaultRowHeight="15" x14ac:dyDescent="0.25"/>
  <cols>
    <col min="1" max="1" width="29.125" customWidth="1"/>
    <col min="2" max="2" width="11.875" customWidth="1"/>
    <col min="3" max="3" width="2.625" customWidth="1"/>
    <col min="4" max="4" width="8.125" customWidth="1"/>
    <col min="5" max="5" width="17.625" customWidth="1"/>
    <col min="6" max="6" width="2.375" customWidth="1"/>
    <col min="7" max="10" width="12.75" customWidth="1"/>
    <col min="11" max="11" width="2" customWidth="1"/>
    <col min="12" max="12" width="10.625" customWidth="1"/>
    <col min="17" max="17" width="3.375" customWidth="1"/>
    <col min="18" max="18" width="13.625" customWidth="1"/>
    <col min="19" max="19" width="9.625" bestFit="1" customWidth="1"/>
  </cols>
  <sheetData>
    <row r="1" spans="1:24" ht="42.75" x14ac:dyDescent="0.75">
      <c r="A1" s="2" t="s">
        <v>23</v>
      </c>
    </row>
    <row r="2" spans="1:24" ht="18" x14ac:dyDescent="0.25">
      <c r="A2" s="3" t="s">
        <v>21</v>
      </c>
    </row>
    <row r="4" spans="1:24" x14ac:dyDescent="0.25">
      <c r="A4" s="5" t="s">
        <v>3</v>
      </c>
      <c r="B4" s="5"/>
      <c r="D4" s="31" t="s">
        <v>25</v>
      </c>
      <c r="E4" s="31"/>
      <c r="G4" s="33" t="s">
        <v>7</v>
      </c>
      <c r="H4" s="33"/>
      <c r="I4" s="33"/>
      <c r="J4" s="33"/>
      <c r="L4" s="32" t="s">
        <v>17</v>
      </c>
      <c r="M4" s="32"/>
      <c r="N4" s="32"/>
      <c r="O4" s="32"/>
      <c r="P4" s="32"/>
      <c r="R4" s="32" t="s">
        <v>22</v>
      </c>
      <c r="S4" s="32"/>
      <c r="T4" s="32"/>
      <c r="U4" s="32"/>
      <c r="V4" s="32"/>
      <c r="W4" s="32"/>
      <c r="X4" s="32"/>
    </row>
    <row r="5" spans="1:24" x14ac:dyDescent="0.25">
      <c r="A5" t="s">
        <v>8</v>
      </c>
      <c r="B5" s="29"/>
      <c r="D5" s="26" t="s">
        <v>8</v>
      </c>
      <c r="E5" s="26" t="s">
        <v>14</v>
      </c>
      <c r="G5" s="13" t="s">
        <v>8</v>
      </c>
      <c r="H5" s="13" t="s">
        <v>9</v>
      </c>
      <c r="I5" s="13" t="s">
        <v>18</v>
      </c>
      <c r="J5" s="13" t="s">
        <v>6</v>
      </c>
      <c r="L5" s="12"/>
      <c r="M5" s="34" t="s">
        <v>36</v>
      </c>
      <c r="N5" s="34"/>
      <c r="O5" s="34"/>
      <c r="P5" s="34"/>
      <c r="R5" s="19" t="s">
        <v>36</v>
      </c>
      <c r="S5" s="19" t="s">
        <v>20</v>
      </c>
    </row>
    <row r="6" spans="1:24" x14ac:dyDescent="0.25">
      <c r="A6" s="6" t="s">
        <v>37</v>
      </c>
      <c r="B6" s="7"/>
      <c r="D6" s="12">
        <v>0</v>
      </c>
      <c r="E6" s="15">
        <v>1500</v>
      </c>
      <c r="G6" s="35"/>
      <c r="H6" s="14"/>
      <c r="I6" s="14"/>
      <c r="J6" s="14"/>
      <c r="L6" s="30"/>
      <c r="M6" s="15"/>
      <c r="N6" s="15"/>
      <c r="O6" s="15"/>
      <c r="P6" s="15"/>
      <c r="R6" s="20">
        <v>0</v>
      </c>
      <c r="S6" s="21">
        <f>1000*EXP(-R6/500)</f>
        <v>1000</v>
      </c>
    </row>
    <row r="7" spans="1:24" x14ac:dyDescent="0.25">
      <c r="A7" s="8" t="s">
        <v>9</v>
      </c>
      <c r="B7" s="9"/>
      <c r="D7" s="12">
        <v>100</v>
      </c>
      <c r="E7" s="15">
        <v>1750</v>
      </c>
      <c r="G7" s="12"/>
      <c r="H7" s="14"/>
      <c r="I7" s="14"/>
      <c r="J7" s="14"/>
      <c r="L7" s="12"/>
      <c r="M7" s="14"/>
      <c r="N7" s="14"/>
      <c r="O7" s="14"/>
      <c r="P7" s="14"/>
      <c r="R7" s="20">
        <v>100</v>
      </c>
      <c r="S7" s="21">
        <f t="shared" ref="S7:S21" si="0">1000*EXP(-R7/500)</f>
        <v>818.73075307798183</v>
      </c>
    </row>
    <row r="8" spans="1:24" x14ac:dyDescent="0.25">
      <c r="D8" s="12">
        <v>200</v>
      </c>
      <c r="E8" s="15">
        <v>1800</v>
      </c>
      <c r="G8" s="12"/>
      <c r="H8" s="14"/>
      <c r="I8" s="14"/>
      <c r="J8" s="14"/>
      <c r="L8" s="12"/>
      <c r="M8" s="14"/>
      <c r="N8" s="14"/>
      <c r="O8" s="14"/>
      <c r="P8" s="14"/>
      <c r="R8" s="20">
        <v>200</v>
      </c>
      <c r="S8" s="21">
        <f t="shared" si="0"/>
        <v>670.32004603563928</v>
      </c>
    </row>
    <row r="9" spans="1:24" x14ac:dyDescent="0.25">
      <c r="A9" s="5" t="s">
        <v>4</v>
      </c>
      <c r="B9" s="5"/>
      <c r="D9" s="12">
        <v>300</v>
      </c>
      <c r="E9" s="15">
        <v>1850</v>
      </c>
      <c r="G9" s="12"/>
      <c r="H9" s="14"/>
      <c r="I9" s="14"/>
      <c r="J9" s="14"/>
      <c r="L9" s="12"/>
      <c r="M9" s="14"/>
      <c r="N9" s="14"/>
      <c r="O9" s="14"/>
      <c r="P9" s="14"/>
      <c r="R9" s="20">
        <v>300</v>
      </c>
      <c r="S9" s="21">
        <f t="shared" si="0"/>
        <v>548.81163609402643</v>
      </c>
    </row>
    <row r="10" spans="1:24" x14ac:dyDescent="0.25">
      <c r="A10" t="s">
        <v>27</v>
      </c>
      <c r="B10" s="4"/>
      <c r="D10" s="12">
        <v>400</v>
      </c>
      <c r="E10" s="15">
        <v>1900</v>
      </c>
      <c r="G10" s="12"/>
      <c r="H10" s="14"/>
      <c r="I10" s="14"/>
      <c r="J10" s="14"/>
      <c r="L10" s="12"/>
      <c r="M10" s="14"/>
      <c r="N10" s="14"/>
      <c r="O10" s="14"/>
      <c r="P10" s="14"/>
      <c r="R10" s="20">
        <v>400</v>
      </c>
      <c r="S10" s="21">
        <f t="shared" si="0"/>
        <v>449.32896411722157</v>
      </c>
    </row>
    <row r="11" spans="1:24" x14ac:dyDescent="0.25">
      <c r="A11" s="6" t="s">
        <v>28</v>
      </c>
      <c r="B11" s="7"/>
      <c r="D11" s="27">
        <v>500</v>
      </c>
      <c r="E11" s="15">
        <v>2000</v>
      </c>
      <c r="G11" s="12"/>
      <c r="H11" s="14"/>
      <c r="I11" s="14"/>
      <c r="J11" s="14"/>
      <c r="L11" s="12"/>
      <c r="M11" s="14"/>
      <c r="N11" s="14"/>
      <c r="O11" s="14"/>
      <c r="P11" s="14"/>
      <c r="R11" s="20">
        <v>500</v>
      </c>
      <c r="S11" s="21">
        <f t="shared" si="0"/>
        <v>367.87944117144235</v>
      </c>
    </row>
    <row r="12" spans="1:24" x14ac:dyDescent="0.25">
      <c r="A12" s="8" t="s">
        <v>11</v>
      </c>
      <c r="B12" s="9"/>
      <c r="G12" s="12"/>
      <c r="H12" s="14"/>
      <c r="I12" s="14"/>
      <c r="J12" s="14"/>
      <c r="L12" s="12"/>
      <c r="M12" s="14"/>
      <c r="N12" s="14"/>
      <c r="O12" s="14"/>
      <c r="P12" s="14"/>
      <c r="R12" s="20">
        <v>600</v>
      </c>
      <c r="S12" s="21">
        <f t="shared" si="0"/>
        <v>301.19421191220215</v>
      </c>
    </row>
    <row r="13" spans="1:24" x14ac:dyDescent="0.25">
      <c r="D13" s="31" t="s">
        <v>15</v>
      </c>
      <c r="E13" s="31"/>
      <c r="G13" s="12"/>
      <c r="H13" s="14"/>
      <c r="I13" s="14"/>
      <c r="J13" s="14"/>
      <c r="L13" s="12"/>
      <c r="M13" s="14"/>
      <c r="N13" s="14"/>
      <c r="O13" s="14"/>
      <c r="P13" s="14"/>
      <c r="R13" s="20">
        <v>700</v>
      </c>
      <c r="S13" s="21">
        <f t="shared" si="0"/>
        <v>246.5969639416065</v>
      </c>
    </row>
    <row r="14" spans="1:24" x14ac:dyDescent="0.25">
      <c r="A14" s="5" t="s">
        <v>5</v>
      </c>
      <c r="B14" s="5"/>
      <c r="D14" s="26" t="s">
        <v>8</v>
      </c>
      <c r="E14" s="26" t="s">
        <v>16</v>
      </c>
      <c r="G14" s="12"/>
      <c r="H14" s="14"/>
      <c r="I14" s="14"/>
      <c r="J14" s="14"/>
      <c r="L14" s="12"/>
      <c r="M14" s="14"/>
      <c r="N14" s="14"/>
      <c r="O14" s="14"/>
      <c r="P14" s="14"/>
      <c r="R14" s="20">
        <v>800</v>
      </c>
      <c r="S14" s="21">
        <f t="shared" si="0"/>
        <v>201.8965179946554</v>
      </c>
    </row>
    <row r="15" spans="1:24" x14ac:dyDescent="0.25">
      <c r="A15" t="s">
        <v>32</v>
      </c>
      <c r="B15" s="4"/>
      <c r="D15" s="12">
        <v>0</v>
      </c>
      <c r="E15" s="25">
        <v>150</v>
      </c>
      <c r="G15" s="12"/>
      <c r="H15" s="14"/>
      <c r="I15" s="14"/>
      <c r="J15" s="14"/>
      <c r="L15" s="12"/>
      <c r="M15" s="14"/>
      <c r="N15" s="14"/>
      <c r="O15" s="14"/>
      <c r="P15" s="14"/>
      <c r="R15" s="20">
        <v>900</v>
      </c>
      <c r="S15" s="21">
        <f t="shared" si="0"/>
        <v>165.29888822158654</v>
      </c>
    </row>
    <row r="16" spans="1:24" x14ac:dyDescent="0.25">
      <c r="A16" t="s">
        <v>26</v>
      </c>
      <c r="B16" s="4"/>
      <c r="D16" s="12">
        <v>100</v>
      </c>
      <c r="E16" s="25">
        <v>140</v>
      </c>
      <c r="G16" s="27"/>
      <c r="H16" s="14"/>
      <c r="I16" s="14"/>
      <c r="J16" s="14"/>
      <c r="L16" s="27"/>
      <c r="M16" s="14"/>
      <c r="N16" s="14"/>
      <c r="O16" s="14"/>
      <c r="P16" s="14"/>
      <c r="R16" s="20">
        <v>1000</v>
      </c>
      <c r="S16" s="21">
        <f t="shared" si="0"/>
        <v>135.3352832366127</v>
      </c>
    </row>
    <row r="17" spans="1:19" x14ac:dyDescent="0.25">
      <c r="A17" t="s">
        <v>30</v>
      </c>
      <c r="B17" s="4"/>
      <c r="D17" s="12">
        <v>200</v>
      </c>
      <c r="E17" s="25">
        <v>130</v>
      </c>
      <c r="R17" s="20">
        <v>1100</v>
      </c>
      <c r="S17" s="21">
        <f t="shared" si="0"/>
        <v>110.80315836233387</v>
      </c>
    </row>
    <row r="18" spans="1:19" x14ac:dyDescent="0.25">
      <c r="A18" s="16" t="s">
        <v>31</v>
      </c>
      <c r="B18" s="17"/>
      <c r="D18" s="27">
        <v>300</v>
      </c>
      <c r="E18" s="15">
        <v>120</v>
      </c>
      <c r="R18" s="20">
        <v>1200</v>
      </c>
      <c r="S18" s="21">
        <f t="shared" si="0"/>
        <v>90.717953289412506</v>
      </c>
    </row>
    <row r="19" spans="1:19" x14ac:dyDescent="0.25">
      <c r="A19" s="18" t="s">
        <v>19</v>
      </c>
      <c r="B19" s="7"/>
      <c r="D19" s="27">
        <v>400</v>
      </c>
      <c r="E19" s="15">
        <v>110</v>
      </c>
      <c r="R19" s="20">
        <v>1300</v>
      </c>
      <c r="S19" s="21">
        <f t="shared" si="0"/>
        <v>74.273578214333881</v>
      </c>
    </row>
    <row r="20" spans="1:19" x14ac:dyDescent="0.25">
      <c r="A20" s="8" t="s">
        <v>10</v>
      </c>
      <c r="B20" s="9"/>
      <c r="D20" s="27">
        <v>500</v>
      </c>
      <c r="E20" s="15">
        <v>100</v>
      </c>
      <c r="R20" s="20">
        <v>1400</v>
      </c>
      <c r="S20" s="21">
        <f t="shared" si="0"/>
        <v>60.810062625217974</v>
      </c>
    </row>
    <row r="21" spans="1:19" x14ac:dyDescent="0.25">
      <c r="R21" s="20">
        <v>1500</v>
      </c>
      <c r="S21" s="21">
        <f t="shared" si="0"/>
        <v>49.787068367863945</v>
      </c>
    </row>
    <row r="22" spans="1:19" x14ac:dyDescent="0.25">
      <c r="A22" s="5" t="s">
        <v>12</v>
      </c>
      <c r="B22" s="5"/>
      <c r="D22" s="31" t="s">
        <v>29</v>
      </c>
      <c r="E22" s="31"/>
    </row>
    <row r="23" spans="1:19" x14ac:dyDescent="0.25">
      <c r="A23" t="s">
        <v>33</v>
      </c>
      <c r="B23" s="4"/>
      <c r="D23" s="26" t="s">
        <v>8</v>
      </c>
      <c r="E23" s="26" t="s">
        <v>14</v>
      </c>
    </row>
    <row r="24" spans="1:19" x14ac:dyDescent="0.25">
      <c r="A24" t="s">
        <v>34</v>
      </c>
      <c r="B24" s="4"/>
      <c r="D24" s="12">
        <v>0</v>
      </c>
      <c r="E24" s="15">
        <v>150</v>
      </c>
    </row>
    <row r="25" spans="1:19" x14ac:dyDescent="0.25">
      <c r="A25" s="6" t="s">
        <v>35</v>
      </c>
      <c r="B25" s="7"/>
      <c r="D25" s="12">
        <v>100</v>
      </c>
      <c r="E25" s="15">
        <v>200</v>
      </c>
    </row>
    <row r="26" spans="1:19" x14ac:dyDescent="0.25">
      <c r="A26" s="8" t="s">
        <v>13</v>
      </c>
      <c r="B26" s="9"/>
      <c r="D26" s="12">
        <v>200</v>
      </c>
      <c r="E26" s="15">
        <v>250</v>
      </c>
    </row>
    <row r="27" spans="1:19" x14ac:dyDescent="0.25">
      <c r="D27" s="12">
        <v>300</v>
      </c>
      <c r="E27" s="15">
        <v>300</v>
      </c>
    </row>
    <row r="28" spans="1:19" x14ac:dyDescent="0.25">
      <c r="A28" s="6" t="s">
        <v>38</v>
      </c>
      <c r="B28" s="7"/>
      <c r="D28" s="27">
        <v>400</v>
      </c>
      <c r="E28" s="15">
        <v>350</v>
      </c>
    </row>
    <row r="29" spans="1:19" ht="15.75" x14ac:dyDescent="0.25">
      <c r="A29" s="10" t="s">
        <v>6</v>
      </c>
      <c r="B29" s="11"/>
      <c r="D29" s="27">
        <v>500</v>
      </c>
      <c r="E29" s="15">
        <v>500</v>
      </c>
    </row>
    <row r="30" spans="1:19" ht="15" customHeight="1" x14ac:dyDescent="0.25">
      <c r="A30" s="28"/>
      <c r="B30" s="28"/>
    </row>
    <row r="31" spans="1:19" x14ac:dyDescent="0.25">
      <c r="A31" s="28"/>
      <c r="B31" s="28"/>
    </row>
    <row r="32" spans="1:19" x14ac:dyDescent="0.25">
      <c r="A32" s="28"/>
      <c r="B32" s="28"/>
    </row>
    <row r="33" spans="1:2" x14ac:dyDescent="0.25">
      <c r="A33" s="28"/>
      <c r="B33" s="28"/>
    </row>
    <row r="34" spans="1:2" x14ac:dyDescent="0.25">
      <c r="A34" s="28"/>
      <c r="B34" s="28"/>
    </row>
    <row r="35" spans="1:2" x14ac:dyDescent="0.25">
      <c r="A35" s="28"/>
      <c r="B35" s="28"/>
    </row>
    <row r="36" spans="1:2" x14ac:dyDescent="0.25">
      <c r="A36" s="28"/>
      <c r="B36" s="28"/>
    </row>
    <row r="37" spans="1:2" x14ac:dyDescent="0.25">
      <c r="A37" s="28"/>
      <c r="B37" s="28"/>
    </row>
    <row r="38" spans="1:2" x14ac:dyDescent="0.25">
      <c r="A38" s="28"/>
      <c r="B38" s="28"/>
    </row>
    <row r="39" spans="1:2" x14ac:dyDescent="0.25">
      <c r="A39" s="28"/>
      <c r="B39" s="28"/>
    </row>
    <row r="40" spans="1:2" x14ac:dyDescent="0.25">
      <c r="A40" s="28"/>
      <c r="B40" s="28"/>
    </row>
  </sheetData>
  <mergeCells count="7">
    <mergeCell ref="D13:E13"/>
    <mergeCell ref="D22:E22"/>
    <mergeCell ref="R4:X4"/>
    <mergeCell ref="G4:J4"/>
    <mergeCell ref="D4:E4"/>
    <mergeCell ref="L4:P4"/>
    <mergeCell ref="M5:P5"/>
  </mergeCells>
  <pageMargins left="0.7" right="0.7" top="0.75" bottom="0.75" header="0.3" footer="0.3"/>
  <pageSetup scale="48" orientation="landscape" r:id="rId1"/>
  <headerFooter>
    <oddFooter>&amp;R&amp;F &amp;A 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21</vt:i4>
      </vt:variant>
    </vt:vector>
  </HeadingPairs>
  <TitlesOfParts>
    <vt:vector size="23" baseType="lpstr">
      <vt:lpstr>Documentation</vt:lpstr>
      <vt:lpstr>Budget</vt:lpstr>
      <vt:lpstr>Attendees</vt:lpstr>
      <vt:lpstr>Balance</vt:lpstr>
      <vt:lpstr>Computing_Costs</vt:lpstr>
      <vt:lpstr>Cost_per_Person</vt:lpstr>
      <vt:lpstr>Meal_Costs</vt:lpstr>
      <vt:lpstr>Meal_Lookup</vt:lpstr>
      <vt:lpstr>Miscellaneous</vt:lpstr>
      <vt:lpstr>Registration_Fee</vt:lpstr>
      <vt:lpstr>Room_Costs</vt:lpstr>
      <vt:lpstr>Room_Lookup</vt:lpstr>
      <vt:lpstr>Seminar_Lookup</vt:lpstr>
      <vt:lpstr>Speaker_Fees</vt:lpstr>
      <vt:lpstr>Speakers_Lodging</vt:lpstr>
      <vt:lpstr>Speakers_Travel</vt:lpstr>
      <vt:lpstr>Supplemental_Materials</vt:lpstr>
      <vt:lpstr>Support_Costs</vt:lpstr>
      <vt:lpstr>Total_Fixed_Costs</vt:lpstr>
      <vt:lpstr>Total_Mixed_Costs</vt:lpstr>
      <vt:lpstr>Total_Revenue</vt:lpstr>
      <vt:lpstr>Total_Variable_Costs</vt:lpstr>
      <vt:lpstr>Training_Materials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8, Case Problem 1</dc:title>
  <dc:creator>Your Name</dc:creator>
  <cp:lastModifiedBy>Your Name</cp:lastModifiedBy>
  <cp:lastPrinted>2015-12-22T03:01:05Z</cp:lastPrinted>
  <dcterms:created xsi:type="dcterms:W3CDTF">2015-12-21T17:54:52Z</dcterms:created>
  <dcterms:modified xsi:type="dcterms:W3CDTF">2019-01-14T07:16:58Z</dcterms:modified>
</cp:coreProperties>
</file>