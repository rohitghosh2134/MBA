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8\Review\"/>
    </mc:Choice>
  </mc:AlternateContent>
  <xr:revisionPtr revIDLastSave="0" documentId="13_ncr:1_{881D3F50-A4E1-4582-BFA5-7ABC01B098F5}" xr6:coauthVersionLast="37" xr6:coauthVersionMax="37" xr10:uidLastSave="{00000000-0000-0000-0000-000000000000}"/>
  <bookViews>
    <workbookView xWindow="0" yWindow="0" windowWidth="28800" windowHeight="12165" xr2:uid="{769889F2-D9F7-4CFD-975F-EC4FAE00A2A0}"/>
  </bookViews>
  <sheets>
    <sheet name="Documentation" sheetId="1" r:id="rId1"/>
    <sheet name="Income Statement" sheetId="2" r:id="rId2"/>
    <sheet name="Product Line" sheetId="3" r:id="rId3"/>
    <sheet name="Terms and Definitions" sheetId="4" r:id="rId4"/>
  </sheets>
  <definedNames>
    <definedName name="Miscellaneous">'Income Statement'!$B$21</definedName>
    <definedName name="Net_Income">'Income Statement'!$B$27</definedName>
    <definedName name="Salaries_and_Benefits">'Income Statement'!$B$18</definedName>
    <definedName name="Sales_Price_per_Unit">'Income Statement'!$B$6</definedName>
    <definedName name="Shipping_and_Distribution">'Income Statement'!$B$19</definedName>
    <definedName name="solver_cvg" localSheetId="2" hidden="1">0.0001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0" localSheetId="2" hidden="1">'Product Line'!$J$28:$J$45</definedName>
    <definedName name="solver_lhs1" localSheetId="2" hidden="1">'Product Line'!$B$11:$E$11</definedName>
    <definedName name="solver_lhs2" localSheetId="2" hidden="1">'Product Line'!$B$11:$E$11</definedName>
    <definedName name="solver_lhs3" localSheetId="2" hidden="1">'Product Line'!$C$19</definedName>
    <definedName name="solver_lhs4" localSheetId="2" hidden="1">'Product Line'!$J$28:$J$46</definedName>
    <definedName name="solver_lhs5" localSheetId="2" hidden="1">'Product Line'!$J$28:$J$35</definedName>
    <definedName name="solver_lhs6" localSheetId="2" hidden="1">'Product Line'!$J$28:$J$35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2" hidden="1">1</definedName>
    <definedName name="solver_opt" localSheetId="0" hidden="1">Documentation!$B$3</definedName>
    <definedName name="solver_opt" localSheetId="1" hidden="1">'Income Statement'!$A$1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3</definedName>
    <definedName name="solver_rel2" localSheetId="2" hidden="1">4</definedName>
    <definedName name="solver_rel3" localSheetId="2" hidden="1">2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hs0" localSheetId="2" hidden="1">0</definedName>
    <definedName name="solver_rhs1" localSheetId="2" hidden="1">1000</definedName>
    <definedName name="solver_rhs2" localSheetId="2" hidden="1">integer</definedName>
    <definedName name="solver_rhs3" localSheetId="2" hidden="1">5000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tocking_and_Storage">'Income Statement'!$B$20</definedName>
    <definedName name="Total_Expenses">'Income Statement'!$B$26</definedName>
    <definedName name="Total_Revenue">'Income Statement'!$B$25</definedName>
    <definedName name="Units_Sold">'Income Statement'!$B$5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3" l="1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28" i="3"/>
  <c r="E15" i="3"/>
  <c r="D15" i="3"/>
  <c r="E14" i="3"/>
  <c r="D14" i="3"/>
  <c r="C15" i="3"/>
  <c r="C14" i="3"/>
  <c r="B14" i="3"/>
  <c r="B15" i="3"/>
  <c r="B7" i="2" l="1"/>
  <c r="B25" i="2" s="1"/>
  <c r="B22" i="2"/>
  <c r="B10" i="2"/>
  <c r="B14" i="2" s="1"/>
  <c r="B12" i="2" l="1"/>
  <c r="B15" i="2" s="1"/>
  <c r="B26" i="2" s="1"/>
  <c r="B27" i="2" l="1"/>
  <c r="J46" i="3" l="1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D23" i="3"/>
  <c r="E23" i="3" s="1"/>
  <c r="C22" i="3"/>
  <c r="B22" i="3"/>
  <c r="C21" i="3"/>
  <c r="B21" i="3"/>
  <c r="C19" i="3"/>
  <c r="B19" i="3"/>
  <c r="C16" i="3"/>
  <c r="B16" i="3"/>
  <c r="D12" i="3"/>
  <c r="C12" i="3"/>
  <c r="B12" i="3"/>
  <c r="E12" i="3"/>
  <c r="D21" i="3" l="1"/>
  <c r="E21" i="3" s="1"/>
  <c r="D16" i="3"/>
  <c r="D22" i="3"/>
  <c r="E22" i="3" s="1"/>
  <c r="B20" i="3"/>
  <c r="B24" i="3" s="1"/>
  <c r="E16" i="3"/>
  <c r="C20" i="3"/>
  <c r="D19" i="3"/>
  <c r="E19" i="3" s="1"/>
  <c r="D20" i="3" l="1"/>
  <c r="E20" i="3" s="1"/>
  <c r="C24" i="3"/>
  <c r="D24" i="3" l="1"/>
  <c r="E24" i="3" s="1"/>
</calcChain>
</file>

<file path=xl/sharedStrings.xml><?xml version="1.0" encoding="utf-8"?>
<sst xmlns="http://schemas.openxmlformats.org/spreadsheetml/2006/main" count="131" uniqueCount="87">
  <si>
    <t>Athena Cycles</t>
  </si>
  <si>
    <t>Author</t>
  </si>
  <si>
    <t>Date</t>
  </si>
  <si>
    <t>Purpose</t>
  </si>
  <si>
    <t>Break-Even Analysis</t>
  </si>
  <si>
    <t>Net Income Analysis</t>
  </si>
  <si>
    <t>Revenue</t>
  </si>
  <si>
    <t>Units Sold</t>
  </si>
  <si>
    <t>Expenses</t>
  </si>
  <si>
    <t>Net Income</t>
  </si>
  <si>
    <t>Units Produced and Sold</t>
  </si>
  <si>
    <t>Total Revenue</t>
  </si>
  <si>
    <t>Variable Expenses</t>
  </si>
  <si>
    <t>Units Produced</t>
  </si>
  <si>
    <t>Total Material Cost</t>
  </si>
  <si>
    <t>Total Manufacturing Cost</t>
  </si>
  <si>
    <t>Total Variable Expenses</t>
  </si>
  <si>
    <t>Fixed Expenses</t>
  </si>
  <si>
    <t>Salaries and Benefits</t>
  </si>
  <si>
    <t>Shipping and Distribution</t>
  </si>
  <si>
    <t>Stocking and Storage</t>
  </si>
  <si>
    <t>Miscellaneous</t>
  </si>
  <si>
    <t>Total Fixed Expenses</t>
  </si>
  <si>
    <t>Summary</t>
  </si>
  <si>
    <t>Total Expenses</t>
  </si>
  <si>
    <t>Product Mix Analysis</t>
  </si>
  <si>
    <t>Parts Required for Each Unit</t>
  </si>
  <si>
    <t>Part</t>
  </si>
  <si>
    <t>Sales Price per Unit</t>
  </si>
  <si>
    <t>Material Cost per Unit</t>
  </si>
  <si>
    <t>Manufacturing Cost per Unit</t>
  </si>
  <si>
    <t>Even Product Mix (Units)</t>
  </si>
  <si>
    <t>Optimal Product (Units)</t>
  </si>
  <si>
    <t>Change</t>
  </si>
  <si>
    <t>Revenue (Even Mix)</t>
  </si>
  <si>
    <t>Revenue (Optimal Mix)</t>
  </si>
  <si>
    <t>Drivetrain Kit</t>
  </si>
  <si>
    <t>Parts Available</t>
  </si>
  <si>
    <t>Available</t>
  </si>
  <si>
    <t>Used</t>
  </si>
  <si>
    <t>Remaining</t>
  </si>
  <si>
    <t>Terms and Definitions</t>
  </si>
  <si>
    <t>Term</t>
  </si>
  <si>
    <t>Definition</t>
  </si>
  <si>
    <t>Cost-Volume-Profit Analysis</t>
  </si>
  <si>
    <t>A branch of financial analysis that studies the relationship between expenses, sales volume, and profitability</t>
  </si>
  <si>
    <t>The total income generated from sales of a product or service</t>
  </si>
  <si>
    <t>Expenses that change in proportion to the volume of production</t>
  </si>
  <si>
    <t>Expenses that must be paid regardless of sales volume</t>
  </si>
  <si>
    <t>Break-Even Point</t>
  </si>
  <si>
    <t>The point where total revenue equals total expenses</t>
  </si>
  <si>
    <t>Product Mix</t>
  </si>
  <si>
    <t>The combination of different products offered by the company to the consumer</t>
  </si>
  <si>
    <t>Optimal Product Mix</t>
  </si>
  <si>
    <t>The product mix that maximizes profits subject to constraints on production and consumer choice</t>
  </si>
  <si>
    <t>Even Mix</t>
  </si>
  <si>
    <t>Optimal Mix</t>
  </si>
  <si>
    <t>Difference</t>
  </si>
  <si>
    <t>% Difference</t>
  </si>
  <si>
    <t>Sales Price</t>
  </si>
  <si>
    <t>Maximum Net Income</t>
  </si>
  <si>
    <t>Minimum Material Cost</t>
  </si>
  <si>
    <t>Trail I</t>
  </si>
  <si>
    <t>Trail II</t>
  </si>
  <si>
    <t>Trail Pro</t>
  </si>
  <si>
    <t>Trail Pro II</t>
  </si>
  <si>
    <t>Silver Au Frame</t>
  </si>
  <si>
    <t>Magna Drivetrain Kit</t>
  </si>
  <si>
    <t>HighPro Drivetrain Kit</t>
  </si>
  <si>
    <t>Mountain Carbon Frame</t>
  </si>
  <si>
    <t>Reinforced Shifters</t>
  </si>
  <si>
    <t>Standard Shifters</t>
  </si>
  <si>
    <t>Mountain Shifters</t>
  </si>
  <si>
    <t>Mountain Derailleurs</t>
  </si>
  <si>
    <t>Standard Derailleurs</t>
  </si>
  <si>
    <t>Standard Pedals</t>
  </si>
  <si>
    <t>HighPro Pedals</t>
  </si>
  <si>
    <t>Disc Brakes Std</t>
  </si>
  <si>
    <t>Disc Brakes Ext</t>
  </si>
  <si>
    <t>Disk Brakes HighPro</t>
  </si>
  <si>
    <t>Standard Seat</t>
  </si>
  <si>
    <t>HighProd Seat</t>
  </si>
  <si>
    <t>HighPro Hubs</t>
  </si>
  <si>
    <t>Alloy Hubs</t>
  </si>
  <si>
    <t>Mountain Bike Product Mix Analysis</t>
  </si>
  <si>
    <t>Income Analysis for the Trail I Mountain Bike</t>
  </si>
  <si>
    <t>To perform a break-even analysis of Trail I mountain bike sales and to determine the product mix that optimizes company profits among four Athena Cycles mountain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</si>
</sst>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_(&quot;$&quot;* #,##0_);[Red]_(&quot;$&quot;* \(#,##0\);_(&quot;$&quot;* &quot;-&quot;??_);_(@_)"/>
    <numFmt numFmtId="168" formatCode="0_);[Red]\(0\)"/>
    <numFmt numFmtId="169" formatCode="&quot;$&quot;#,##0.00"/>
    <numFmt numFmtId="170" formatCode="0.00%;[Red]\(0.00%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9" tint="-0.249977111117893"/>
      <name val="Copperplate Gothic Light"/>
      <family val="2"/>
    </font>
    <font>
      <sz val="12"/>
      <color theme="0" tint="-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opperplate Gothic Light"/>
      <family val="2"/>
    </font>
    <font>
      <sz val="12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/>
      <bottom style="double">
        <color theme="9"/>
      </bottom>
      <diagonal/>
    </border>
    <border>
      <left/>
      <right/>
      <top/>
      <bottom style="double">
        <color theme="9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</cellStyleXfs>
  <cellXfs count="89">
    <xf numFmtId="0" fontId="0" fillId="0" borderId="0" xfId="0"/>
    <xf numFmtId="0" fontId="7" fillId="0" borderId="0" xfId="4" applyFont="1" applyAlignment="1">
      <alignment horizontal="left" vertical="center"/>
    </xf>
    <xf numFmtId="0" fontId="8" fillId="6" borderId="4" xfId="8" applyFont="1" applyFill="1" applyBorder="1" applyAlignment="1">
      <alignment vertical="top"/>
    </xf>
    <xf numFmtId="0" fontId="9" fillId="0" borderId="4" xfId="0" applyFont="1" applyBorder="1" applyAlignment="1">
      <alignment vertical="top"/>
    </xf>
    <xf numFmtId="14" fontId="9" fillId="0" borderId="4" xfId="0" applyNumberFormat="1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10" fillId="0" borderId="0" xfId="4" applyFont="1" applyAlignment="1">
      <alignment horizontal="left" vertical="center"/>
    </xf>
    <xf numFmtId="0" fontId="3" fillId="0" borderId="0" xfId="5" applyBorder="1"/>
    <xf numFmtId="0" fontId="6" fillId="6" borderId="0" xfId="0" applyFont="1" applyFill="1"/>
    <xf numFmtId="164" fontId="0" fillId="0" borderId="0" xfId="1" applyNumberFormat="1" applyFont="1"/>
    <xf numFmtId="166" fontId="0" fillId="0" borderId="0" xfId="2" applyNumberFormat="1" applyFont="1"/>
    <xf numFmtId="38" fontId="0" fillId="0" borderId="0" xfId="1" applyNumberFormat="1" applyFont="1"/>
    <xf numFmtId="0" fontId="1" fillId="8" borderId="7" xfId="7" applyFont="1" applyFill="1" applyBorder="1"/>
    <xf numFmtId="165" fontId="1" fillId="8" borderId="8" xfId="2" applyNumberFormat="1" applyFont="1" applyFill="1" applyBorder="1"/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1" fillId="8" borderId="8" xfId="7" applyFont="1" applyFill="1" applyBorder="1"/>
    <xf numFmtId="165" fontId="0" fillId="0" borderId="0" xfId="2" applyNumberFormat="1" applyFont="1"/>
    <xf numFmtId="167" fontId="1" fillId="8" borderId="8" xfId="2" applyNumberFormat="1" applyFont="1" applyFill="1" applyBorder="1"/>
    <xf numFmtId="0" fontId="11" fillId="0" borderId="0" xfId="0" applyFont="1"/>
    <xf numFmtId="0" fontId="6" fillId="6" borderId="6" xfId="0" applyFont="1" applyFill="1" applyBorder="1"/>
    <xf numFmtId="0" fontId="6" fillId="6" borderId="6" xfId="0" applyFont="1" applyFill="1" applyBorder="1" applyAlignment="1">
      <alignment horizontal="center"/>
    </xf>
    <xf numFmtId="0" fontId="6" fillId="6" borderId="0" xfId="0" applyFont="1" applyFill="1" applyBorder="1"/>
    <xf numFmtId="0" fontId="6" fillId="6" borderId="0" xfId="0" applyFont="1" applyFill="1" applyBorder="1" applyAlignment="1">
      <alignment horizontal="center"/>
    </xf>
    <xf numFmtId="0" fontId="0" fillId="8" borderId="0" xfId="0" applyFill="1" applyBorder="1"/>
    <xf numFmtId="168" fontId="0" fillId="0" borderId="0" xfId="0" applyNumberFormat="1" applyBorder="1"/>
    <xf numFmtId="166" fontId="0" fillId="0" borderId="0" xfId="1" applyNumberFormat="1" applyFont="1"/>
    <xf numFmtId="0" fontId="0" fillId="8" borderId="6" xfId="0" applyFill="1" applyBorder="1"/>
    <xf numFmtId="168" fontId="0" fillId="0" borderId="6" xfId="0" applyNumberFormat="1" applyBorder="1"/>
    <xf numFmtId="0" fontId="0" fillId="7" borderId="9" xfId="0" applyFill="1" applyBorder="1"/>
    <xf numFmtId="164" fontId="0" fillId="7" borderId="10" xfId="1" applyNumberFormat="1" applyFont="1" applyFill="1" applyBorder="1"/>
    <xf numFmtId="0" fontId="0" fillId="9" borderId="11" xfId="0" applyFill="1" applyBorder="1"/>
    <xf numFmtId="164" fontId="0" fillId="9" borderId="0" xfId="1" applyNumberFormat="1" applyFont="1" applyFill="1" applyBorder="1"/>
    <xf numFmtId="0" fontId="0" fillId="0" borderId="12" xfId="0" applyFill="1" applyBorder="1"/>
    <xf numFmtId="38" fontId="0" fillId="0" borderId="13" xfId="1" applyNumberFormat="1" applyFont="1" applyFill="1" applyBorder="1"/>
    <xf numFmtId="0" fontId="0" fillId="7" borderId="3" xfId="7" applyFont="1" applyFill="1"/>
    <xf numFmtId="165" fontId="1" fillId="7" borderId="3" xfId="2" applyNumberFormat="1" applyFont="1" applyFill="1" applyBorder="1"/>
    <xf numFmtId="0" fontId="0" fillId="9" borderId="14" xfId="7" applyFont="1" applyFill="1" applyBorder="1"/>
    <xf numFmtId="164" fontId="1" fillId="9" borderId="14" xfId="1" applyNumberFormat="1" applyFont="1" applyFill="1" applyBorder="1"/>
    <xf numFmtId="0" fontId="0" fillId="8" borderId="15" xfId="0" applyFill="1" applyBorder="1"/>
    <xf numFmtId="168" fontId="0" fillId="0" borderId="15" xfId="0" applyNumberFormat="1" applyBorder="1"/>
    <xf numFmtId="38" fontId="0" fillId="0" borderId="13" xfId="2" applyNumberFormat="1" applyFont="1" applyFill="1" applyBorder="1"/>
    <xf numFmtId="0" fontId="0" fillId="0" borderId="6" xfId="0" applyFill="1" applyBorder="1"/>
    <xf numFmtId="0" fontId="0" fillId="10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64" fontId="0" fillId="7" borderId="0" xfId="1" applyNumberFormat="1" applyFont="1" applyFill="1"/>
    <xf numFmtId="164" fontId="0" fillId="9" borderId="0" xfId="1" applyNumberFormat="1" applyFont="1" applyFill="1"/>
    <xf numFmtId="168" fontId="0" fillId="0" borderId="0" xfId="0" applyNumberFormat="1" applyFill="1" applyBorder="1"/>
    <xf numFmtId="168" fontId="0" fillId="0" borderId="6" xfId="0" applyNumberFormat="1" applyFill="1" applyBorder="1"/>
    <xf numFmtId="38" fontId="0" fillId="8" borderId="0" xfId="1" applyNumberFormat="1" applyFont="1" applyFill="1"/>
    <xf numFmtId="164" fontId="0" fillId="0" borderId="0" xfId="1" applyNumberFormat="1" applyFont="1" applyBorder="1"/>
    <xf numFmtId="38" fontId="0" fillId="0" borderId="0" xfId="1" applyNumberFormat="1" applyFont="1" applyBorder="1"/>
    <xf numFmtId="164" fontId="0" fillId="0" borderId="6" xfId="1" applyNumberFormat="1" applyFont="1" applyBorder="1"/>
    <xf numFmtId="38" fontId="0" fillId="0" borderId="6" xfId="1" applyNumberFormat="1" applyFont="1" applyBorder="1"/>
    <xf numFmtId="164" fontId="0" fillId="0" borderId="6" xfId="1" applyNumberFormat="1" applyFont="1" applyFill="1" applyBorder="1"/>
    <xf numFmtId="0" fontId="6" fillId="5" borderId="4" xfId="11" applyBorder="1"/>
    <xf numFmtId="0" fontId="12" fillId="15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0" xfId="0" applyAlignment="1"/>
    <xf numFmtId="169" fontId="0" fillId="0" borderId="0" xfId="0" applyNumberFormat="1"/>
    <xf numFmtId="44" fontId="0" fillId="0" borderId="0" xfId="0" applyNumberFormat="1"/>
    <xf numFmtId="0" fontId="6" fillId="4" borderId="0" xfId="10" applyAlignment="1">
      <alignment horizontal="center"/>
    </xf>
    <xf numFmtId="164" fontId="1" fillId="3" borderId="6" xfId="9" applyNumberFormat="1" applyBorder="1" applyAlignment="1"/>
    <xf numFmtId="165" fontId="1" fillId="3" borderId="6" xfId="9" applyNumberFormat="1" applyBorder="1" applyAlignment="1"/>
    <xf numFmtId="164" fontId="0" fillId="0" borderId="0" xfId="1" applyNumberFormat="1" applyFont="1" applyAlignment="1"/>
    <xf numFmtId="6" fontId="1" fillId="3" borderId="6" xfId="9" applyNumberFormat="1" applyBorder="1" applyAlignment="1"/>
    <xf numFmtId="170" fontId="0" fillId="14" borderId="0" xfId="3" applyNumberFormat="1" applyFont="1" applyFill="1"/>
    <xf numFmtId="0" fontId="0" fillId="0" borderId="6" xfId="0" applyBorder="1"/>
    <xf numFmtId="165" fontId="0" fillId="7" borderId="6" xfId="2" applyNumberFormat="1" applyFont="1" applyFill="1" applyBorder="1"/>
    <xf numFmtId="165" fontId="0" fillId="9" borderId="6" xfId="2" applyNumberFormat="1" applyFont="1" applyFill="1" applyBorder="1"/>
    <xf numFmtId="38" fontId="0" fillId="8" borderId="6" xfId="2" applyNumberFormat="1" applyFont="1" applyFill="1" applyBorder="1"/>
    <xf numFmtId="170" fontId="0" fillId="14" borderId="6" xfId="3" applyNumberFormat="1" applyFont="1" applyFill="1" applyBorder="1"/>
    <xf numFmtId="0" fontId="0" fillId="0" borderId="16" xfId="7" applyFont="1" applyFill="1" applyBorder="1"/>
    <xf numFmtId="165" fontId="1" fillId="7" borderId="17" xfId="2" applyNumberFormat="1" applyFont="1" applyFill="1" applyBorder="1"/>
    <xf numFmtId="165" fontId="1" fillId="9" borderId="17" xfId="2" applyNumberFormat="1" applyFont="1" applyFill="1" applyBorder="1"/>
    <xf numFmtId="38" fontId="1" fillId="8" borderId="17" xfId="2" applyNumberFormat="1" applyFont="1" applyFill="1" applyBorder="1"/>
    <xf numFmtId="170" fontId="1" fillId="14" borderId="17" xfId="3" applyNumberFormat="1" applyFont="1" applyFill="1" applyBorder="1"/>
    <xf numFmtId="164" fontId="0" fillId="7" borderId="6" xfId="1" applyNumberFormat="1" applyFont="1" applyFill="1" applyBorder="1"/>
    <xf numFmtId="164" fontId="0" fillId="9" borderId="6" xfId="1" applyNumberFormat="1" applyFont="1" applyFill="1" applyBorder="1"/>
    <xf numFmtId="38" fontId="0" fillId="8" borderId="6" xfId="1" applyNumberFormat="1" applyFont="1" applyFill="1" applyBorder="1"/>
    <xf numFmtId="170" fontId="0" fillId="0" borderId="0" xfId="0" applyNumberFormat="1"/>
    <xf numFmtId="0" fontId="1" fillId="17" borderId="0" xfId="13"/>
    <xf numFmtId="0" fontId="1" fillId="16" borderId="0" xfId="12"/>
    <xf numFmtId="0" fontId="0" fillId="0" borderId="6" xfId="0" applyNumberFormat="1" applyBorder="1" applyAlignment="1"/>
    <xf numFmtId="0" fontId="6" fillId="4" borderId="5" xfId="10" applyBorder="1" applyAlignment="1">
      <alignment horizontal="center"/>
    </xf>
    <xf numFmtId="0" fontId="4" fillId="0" borderId="2" xfId="6" applyAlignment="1">
      <alignment horizontal="center"/>
    </xf>
  </cellXfs>
  <cellStyles count="14">
    <cellStyle name="40% - Accent1" xfId="9" builtinId="31"/>
    <cellStyle name="40% - Accent2" xfId="12" builtinId="35"/>
    <cellStyle name="40% - Accent4" xfId="13" builtinId="43"/>
    <cellStyle name="Accent1" xfId="8" builtinId="29"/>
    <cellStyle name="Accent2" xfId="10" builtinId="33"/>
    <cellStyle name="Accent6" xfId="11" builtinId="49"/>
    <cellStyle name="Comma" xfId="1" builtinId="3"/>
    <cellStyle name="Currency" xfId="2" builtinId="4"/>
    <cellStyle name="Heading 1" xfId="5" builtinId="16"/>
    <cellStyle name="Heading 3" xfId="6" builtinId="18"/>
    <cellStyle name="Normal" xfId="0" builtinId="0"/>
    <cellStyle name="Percent" xfId="3" builtinId="5"/>
    <cellStyle name="Title" xfId="4" builtinId="15"/>
    <cellStyle name="Total" xfId="7" builtinId="25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3CA-9063-4020-9D35-91D5EF083C88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85546875" customWidth="1"/>
    <col min="2" max="2" width="50.5703125" customWidth="1"/>
  </cols>
  <sheetData>
    <row r="1" spans="1:2" ht="37.5" customHeight="1" x14ac:dyDescent="0.25">
      <c r="A1" s="1" t="s">
        <v>0</v>
      </c>
    </row>
    <row r="3" spans="1:2" ht="15.75" x14ac:dyDescent="0.25">
      <c r="A3" s="2" t="s">
        <v>1</v>
      </c>
      <c r="B3" s="3"/>
    </row>
    <row r="4" spans="1:2" ht="15.75" x14ac:dyDescent="0.25">
      <c r="A4" s="2" t="s">
        <v>2</v>
      </c>
      <c r="B4" s="4"/>
    </row>
    <row r="5" spans="1:2" ht="60" x14ac:dyDescent="0.25">
      <c r="A5" s="2" t="s">
        <v>3</v>
      </c>
      <c r="B5" s="5" t="s">
        <v>86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272E-0E82-4B93-A55F-E40DC728C7F1}">
  <sheetPr>
    <pageSetUpPr fitToPage="1"/>
  </sheetPr>
  <dimension ref="A1:N28"/>
  <sheetViews>
    <sheetView zoomScale="120" zoomScaleNormal="120" workbookViewId="0">
      <selection activeCell="A3" sqref="A3"/>
    </sheetView>
  </sheetViews>
  <sheetFormatPr defaultRowHeight="15" x14ac:dyDescent="0.25"/>
  <cols>
    <col min="1" max="1" width="31" customWidth="1"/>
    <col min="2" max="2" width="25.7109375" customWidth="1"/>
    <col min="3" max="3" width="3.7109375" customWidth="1"/>
    <col min="4" max="4" width="14.140625" customWidth="1"/>
    <col min="5" max="7" width="16.28515625" customWidth="1"/>
    <col min="8" max="8" width="2.85546875" customWidth="1"/>
    <col min="9" max="14" width="12.7109375" customWidth="1"/>
  </cols>
  <sheetData>
    <row r="1" spans="1:14" ht="37.5" customHeight="1" x14ac:dyDescent="0.25">
      <c r="A1" s="1" t="s">
        <v>0</v>
      </c>
    </row>
    <row r="2" spans="1:14" ht="15" customHeight="1" x14ac:dyDescent="0.25">
      <c r="A2" s="6" t="s">
        <v>85</v>
      </c>
    </row>
    <row r="3" spans="1:14" ht="15" customHeight="1" thickBot="1" x14ac:dyDescent="0.35">
      <c r="A3" s="7"/>
      <c r="D3" s="88" t="s">
        <v>4</v>
      </c>
      <c r="E3" s="88"/>
      <c r="F3" s="88"/>
      <c r="G3" s="88"/>
      <c r="H3" s="61"/>
      <c r="I3" s="88" t="s">
        <v>5</v>
      </c>
      <c r="J3" s="88"/>
      <c r="K3" s="88"/>
      <c r="L3" s="88"/>
      <c r="M3" s="88"/>
      <c r="N3" s="88"/>
    </row>
    <row r="4" spans="1:14" ht="15" customHeight="1" x14ac:dyDescent="0.25">
      <c r="A4" s="8" t="s">
        <v>6</v>
      </c>
      <c r="B4" s="8"/>
      <c r="D4" s="64" t="s">
        <v>7</v>
      </c>
      <c r="E4" s="64" t="s">
        <v>6</v>
      </c>
      <c r="F4" s="64" t="s">
        <v>8</v>
      </c>
      <c r="G4" s="64" t="s">
        <v>9</v>
      </c>
      <c r="H4" s="61"/>
      <c r="I4" s="87" t="s">
        <v>59</v>
      </c>
      <c r="J4" s="87"/>
      <c r="K4" s="87"/>
      <c r="L4" s="87"/>
      <c r="M4" s="87"/>
      <c r="N4" s="87"/>
    </row>
    <row r="5" spans="1:14" x14ac:dyDescent="0.25">
      <c r="A5" t="s">
        <v>7</v>
      </c>
      <c r="B5" s="9">
        <v>1200</v>
      </c>
      <c r="D5" s="65"/>
      <c r="E5" s="66"/>
      <c r="F5" s="66"/>
      <c r="G5" s="66"/>
      <c r="H5" s="61"/>
      <c r="I5" s="86"/>
      <c r="J5" s="68"/>
      <c r="K5" s="68"/>
      <c r="L5" s="68"/>
      <c r="M5" s="68"/>
      <c r="N5" s="68"/>
    </row>
    <row r="6" spans="1:14" x14ac:dyDescent="0.25">
      <c r="A6" t="s">
        <v>28</v>
      </c>
      <c r="B6" s="10">
        <v>900</v>
      </c>
      <c r="D6" s="67"/>
      <c r="E6" s="11"/>
      <c r="F6" s="11"/>
      <c r="G6" s="11"/>
      <c r="H6" s="61"/>
      <c r="I6" s="67"/>
      <c r="J6" s="11"/>
      <c r="K6" s="11"/>
      <c r="L6" s="11"/>
      <c r="M6" s="11"/>
      <c r="N6" s="11"/>
    </row>
    <row r="7" spans="1:14" ht="15.75" thickBot="1" x14ac:dyDescent="0.3">
      <c r="A7" s="12" t="s">
        <v>11</v>
      </c>
      <c r="B7" s="13">
        <f>B5*B6</f>
        <v>1080000</v>
      </c>
      <c r="D7" s="67"/>
      <c r="E7" s="11"/>
      <c r="F7" s="11"/>
      <c r="G7" s="11"/>
      <c r="H7" s="61"/>
      <c r="I7" s="67"/>
      <c r="J7" s="11"/>
      <c r="K7" s="11"/>
      <c r="L7" s="11"/>
      <c r="M7" s="11"/>
      <c r="N7" s="11"/>
    </row>
    <row r="8" spans="1:14" ht="15.75" thickTop="1" x14ac:dyDescent="0.25">
      <c r="B8" s="14"/>
      <c r="D8" s="67"/>
      <c r="E8" s="11"/>
      <c r="F8" s="11"/>
      <c r="G8" s="11"/>
      <c r="I8" s="67"/>
      <c r="J8" s="11"/>
      <c r="K8" s="11"/>
      <c r="L8" s="11"/>
      <c r="M8" s="11"/>
      <c r="N8" s="11"/>
    </row>
    <row r="9" spans="1:14" x14ac:dyDescent="0.25">
      <c r="A9" s="8" t="s">
        <v>12</v>
      </c>
      <c r="B9" s="8"/>
      <c r="D9" s="67"/>
      <c r="E9" s="11"/>
      <c r="F9" s="11"/>
      <c r="G9" s="11"/>
      <c r="I9" s="67"/>
      <c r="J9" s="11"/>
      <c r="K9" s="11"/>
      <c r="L9" s="11"/>
      <c r="M9" s="11"/>
      <c r="N9" s="11"/>
    </row>
    <row r="10" spans="1:14" x14ac:dyDescent="0.25">
      <c r="A10" t="s">
        <v>13</v>
      </c>
      <c r="B10" s="9">
        <f>B5</f>
        <v>1200</v>
      </c>
      <c r="D10" s="67"/>
      <c r="E10" s="11"/>
      <c r="F10" s="11"/>
      <c r="G10" s="11"/>
      <c r="I10" s="67"/>
      <c r="J10" s="11"/>
      <c r="K10" s="11"/>
      <c r="L10" s="11"/>
      <c r="M10" s="11"/>
      <c r="N10" s="11"/>
    </row>
    <row r="11" spans="1:14" x14ac:dyDescent="0.25">
      <c r="A11" t="s">
        <v>29</v>
      </c>
      <c r="B11" s="10">
        <v>425</v>
      </c>
      <c r="D11" s="67"/>
      <c r="E11" s="11"/>
      <c r="F11" s="11"/>
      <c r="G11" s="11"/>
      <c r="I11" s="67"/>
      <c r="J11" s="11"/>
      <c r="K11" s="11"/>
      <c r="L11" s="11"/>
      <c r="M11" s="11"/>
      <c r="N11" s="11"/>
    </row>
    <row r="12" spans="1:14" x14ac:dyDescent="0.25">
      <c r="A12" s="15" t="s">
        <v>14</v>
      </c>
      <c r="B12" s="16">
        <f>B10*B11</f>
        <v>510000</v>
      </c>
      <c r="D12" s="67"/>
      <c r="E12" s="11"/>
      <c r="F12" s="11"/>
      <c r="G12" s="11"/>
      <c r="I12" s="67"/>
      <c r="J12" s="11"/>
      <c r="K12" s="11"/>
      <c r="L12" s="11"/>
      <c r="M12" s="11"/>
      <c r="N12" s="11"/>
    </row>
    <row r="13" spans="1:14" x14ac:dyDescent="0.25">
      <c r="A13" t="s">
        <v>30</v>
      </c>
      <c r="B13" s="10">
        <v>125</v>
      </c>
      <c r="D13" s="67"/>
      <c r="E13" s="11"/>
      <c r="F13" s="11"/>
      <c r="G13" s="11"/>
      <c r="I13" s="67"/>
      <c r="J13" s="11"/>
      <c r="K13" s="11"/>
      <c r="L13" s="11"/>
      <c r="M13" s="11"/>
      <c r="N13" s="11"/>
    </row>
    <row r="14" spans="1:14" x14ac:dyDescent="0.25">
      <c r="A14" s="15" t="s">
        <v>15</v>
      </c>
      <c r="B14" s="16">
        <f>B10*B13</f>
        <v>150000</v>
      </c>
    </row>
    <row r="15" spans="1:14" ht="15.75" thickBot="1" x14ac:dyDescent="0.3">
      <c r="A15" s="17" t="s">
        <v>16</v>
      </c>
      <c r="B15" s="13">
        <f>B12+B14</f>
        <v>660000</v>
      </c>
    </row>
    <row r="16" spans="1:14" ht="15.75" thickTop="1" x14ac:dyDescent="0.25">
      <c r="B16" s="14"/>
      <c r="E16" s="62"/>
    </row>
    <row r="17" spans="1:5" x14ac:dyDescent="0.25">
      <c r="A17" s="8" t="s">
        <v>17</v>
      </c>
      <c r="B17" s="8"/>
    </row>
    <row r="18" spans="1:5" x14ac:dyDescent="0.25">
      <c r="A18" t="s">
        <v>18</v>
      </c>
      <c r="B18" s="18">
        <v>175000</v>
      </c>
      <c r="E18" s="63"/>
    </row>
    <row r="19" spans="1:5" x14ac:dyDescent="0.25">
      <c r="A19" t="s">
        <v>19</v>
      </c>
      <c r="B19" s="14">
        <v>72000</v>
      </c>
    </row>
    <row r="20" spans="1:5" x14ac:dyDescent="0.25">
      <c r="A20" t="s">
        <v>20</v>
      </c>
      <c r="B20" s="14">
        <v>65000</v>
      </c>
    </row>
    <row r="21" spans="1:5" x14ac:dyDescent="0.25">
      <c r="A21" t="s">
        <v>21</v>
      </c>
      <c r="B21" s="14">
        <v>55000</v>
      </c>
    </row>
    <row r="22" spans="1:5" ht="15.75" thickBot="1" x14ac:dyDescent="0.3">
      <c r="A22" s="17" t="s">
        <v>22</v>
      </c>
      <c r="B22" s="13">
        <f>SUM(B18:B21)</f>
        <v>367000</v>
      </c>
    </row>
    <row r="23" spans="1:5" ht="15.75" thickTop="1" x14ac:dyDescent="0.25">
      <c r="B23" s="14"/>
    </row>
    <row r="24" spans="1:5" x14ac:dyDescent="0.25">
      <c r="A24" s="8" t="s">
        <v>23</v>
      </c>
      <c r="B24" s="8"/>
    </row>
    <row r="25" spans="1:5" x14ac:dyDescent="0.25">
      <c r="A25" t="s">
        <v>11</v>
      </c>
      <c r="B25" s="11">
        <f>B7</f>
        <v>1080000</v>
      </c>
    </row>
    <row r="26" spans="1:5" x14ac:dyDescent="0.25">
      <c r="A26" t="s">
        <v>24</v>
      </c>
      <c r="B26" s="11">
        <f>B15+B22</f>
        <v>1027000</v>
      </c>
    </row>
    <row r="27" spans="1:5" ht="15.75" thickBot="1" x14ac:dyDescent="0.3">
      <c r="A27" s="17" t="s">
        <v>9</v>
      </c>
      <c r="B27" s="19">
        <f>B25-B26</f>
        <v>53000</v>
      </c>
    </row>
    <row r="28" spans="1:5" ht="15.75" thickTop="1" x14ac:dyDescent="0.25"/>
  </sheetData>
  <mergeCells count="3">
    <mergeCell ref="I4:N4"/>
    <mergeCell ref="D3:G3"/>
    <mergeCell ref="I3:N3"/>
  </mergeCells>
  <pageMargins left="0.7" right="0.7" top="0.75" bottom="0.75" header="0.3" footer="0.3"/>
  <pageSetup scale="60" orientation="landscape" horizontalDpi="4294967295" verticalDpi="4294967295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E093-9133-48BF-A134-5F1E015BAA47}">
  <sheetPr>
    <pageSetUpPr fitToPage="1"/>
  </sheetPr>
  <dimension ref="A1:K46"/>
  <sheetViews>
    <sheetView zoomScale="120" zoomScaleNormal="120" workbookViewId="0">
      <selection activeCell="A3" sqref="A3"/>
    </sheetView>
  </sheetViews>
  <sheetFormatPr defaultRowHeight="15" x14ac:dyDescent="0.25"/>
  <cols>
    <col min="1" max="1" width="26" customWidth="1"/>
    <col min="2" max="4" width="14" customWidth="1"/>
    <col min="5" max="5" width="15" customWidth="1"/>
    <col min="6" max="6" width="2.140625" customWidth="1"/>
    <col min="7" max="7" width="22.140625" customWidth="1"/>
    <col min="8" max="10" width="11.140625" customWidth="1"/>
    <col min="11" max="11" width="12.7109375" customWidth="1"/>
  </cols>
  <sheetData>
    <row r="1" spans="1:11" ht="30" customHeight="1" x14ac:dyDescent="0.25">
      <c r="A1" s="1" t="s">
        <v>0</v>
      </c>
    </row>
    <row r="2" spans="1:11" x14ac:dyDescent="0.25">
      <c r="A2" s="6" t="s">
        <v>84</v>
      </c>
    </row>
    <row r="4" spans="1:11" ht="15.75" x14ac:dyDescent="0.25">
      <c r="G4" s="20" t="s">
        <v>26</v>
      </c>
    </row>
    <row r="5" spans="1:11" x14ac:dyDescent="0.25">
      <c r="A5" s="21" t="s">
        <v>25</v>
      </c>
      <c r="B5" s="22" t="s">
        <v>62</v>
      </c>
      <c r="C5" s="22" t="s">
        <v>63</v>
      </c>
      <c r="D5" s="22" t="s">
        <v>64</v>
      </c>
      <c r="E5" s="22" t="s">
        <v>65</v>
      </c>
      <c r="G5" s="23" t="s">
        <v>27</v>
      </c>
      <c r="H5" s="24" t="s">
        <v>62</v>
      </c>
      <c r="I5" s="24" t="s">
        <v>63</v>
      </c>
      <c r="J5" s="24" t="s">
        <v>64</v>
      </c>
      <c r="K5" s="24" t="s">
        <v>65</v>
      </c>
    </row>
    <row r="6" spans="1:11" x14ac:dyDescent="0.25">
      <c r="A6" t="s">
        <v>28</v>
      </c>
      <c r="B6" s="10">
        <v>900</v>
      </c>
      <c r="C6" s="10">
        <v>1300</v>
      </c>
      <c r="D6" s="10">
        <v>1700</v>
      </c>
      <c r="E6" s="10">
        <v>2300</v>
      </c>
      <c r="G6" s="25" t="s">
        <v>66</v>
      </c>
      <c r="H6" s="26">
        <v>1</v>
      </c>
      <c r="I6" s="26">
        <v>1</v>
      </c>
      <c r="J6" s="26">
        <v>0</v>
      </c>
      <c r="K6" s="26">
        <v>0</v>
      </c>
    </row>
    <row r="7" spans="1:11" x14ac:dyDescent="0.25">
      <c r="A7" t="s">
        <v>29</v>
      </c>
      <c r="B7" s="27">
        <v>425</v>
      </c>
      <c r="C7" s="27">
        <v>610</v>
      </c>
      <c r="D7" s="27">
        <v>775</v>
      </c>
      <c r="E7" s="27">
        <v>1125</v>
      </c>
      <c r="F7" s="18"/>
      <c r="G7" s="28" t="s">
        <v>69</v>
      </c>
      <c r="H7" s="29">
        <v>0</v>
      </c>
      <c r="I7" s="29">
        <v>0</v>
      </c>
      <c r="J7" s="29">
        <v>1</v>
      </c>
      <c r="K7" s="29">
        <v>1</v>
      </c>
    </row>
    <row r="8" spans="1:11" x14ac:dyDescent="0.25">
      <c r="A8" t="s">
        <v>30</v>
      </c>
      <c r="B8" s="27">
        <v>125</v>
      </c>
      <c r="C8" s="27">
        <v>205</v>
      </c>
      <c r="D8" s="27">
        <v>235</v>
      </c>
      <c r="E8" s="27">
        <v>425</v>
      </c>
      <c r="F8" s="18"/>
      <c r="G8" s="25" t="s">
        <v>71</v>
      </c>
      <c r="H8" s="26">
        <v>1</v>
      </c>
      <c r="I8" s="26">
        <v>0</v>
      </c>
      <c r="J8" s="26">
        <v>0</v>
      </c>
      <c r="K8" s="26">
        <v>0</v>
      </c>
    </row>
    <row r="9" spans="1:11" x14ac:dyDescent="0.25">
      <c r="G9" s="25" t="s">
        <v>70</v>
      </c>
      <c r="H9" s="26">
        <v>0</v>
      </c>
      <c r="I9" s="26">
        <v>1</v>
      </c>
      <c r="J9" s="26">
        <v>1</v>
      </c>
      <c r="K9" s="26">
        <v>0</v>
      </c>
    </row>
    <row r="10" spans="1:11" x14ac:dyDescent="0.25">
      <c r="A10" s="30" t="s">
        <v>31</v>
      </c>
      <c r="B10" s="31">
        <v>1250</v>
      </c>
      <c r="C10" s="31">
        <v>1250</v>
      </c>
      <c r="D10" s="31">
        <v>1250</v>
      </c>
      <c r="E10" s="31">
        <v>1250</v>
      </c>
      <c r="G10" s="28" t="s">
        <v>72</v>
      </c>
      <c r="H10" s="29">
        <v>0</v>
      </c>
      <c r="I10" s="29">
        <v>0</v>
      </c>
      <c r="J10" s="29">
        <v>0</v>
      </c>
      <c r="K10" s="29">
        <v>1</v>
      </c>
    </row>
    <row r="11" spans="1:11" ht="15.75" thickBot="1" x14ac:dyDescent="0.3">
      <c r="A11" s="32" t="s">
        <v>32</v>
      </c>
      <c r="B11" s="33"/>
      <c r="C11" s="33"/>
      <c r="D11" s="33"/>
      <c r="E11" s="33"/>
      <c r="G11" s="25" t="s">
        <v>74</v>
      </c>
      <c r="H11" s="26">
        <v>1</v>
      </c>
      <c r="I11" s="26">
        <v>0</v>
      </c>
      <c r="J11" s="26">
        <v>0</v>
      </c>
      <c r="K11" s="26">
        <v>0</v>
      </c>
    </row>
    <row r="12" spans="1:11" ht="16.5" thickTop="1" thickBot="1" x14ac:dyDescent="0.3">
      <c r="A12" s="34" t="s">
        <v>33</v>
      </c>
      <c r="B12" s="35">
        <f>B11-B10</f>
        <v>-1250</v>
      </c>
      <c r="C12" s="35">
        <f>C11-C10</f>
        <v>-1250</v>
      </c>
      <c r="D12" s="35">
        <f>D11-D10</f>
        <v>-1250</v>
      </c>
      <c r="E12" s="35">
        <f>E11-E10</f>
        <v>-1250</v>
      </c>
      <c r="G12" s="28" t="s">
        <v>73</v>
      </c>
      <c r="H12" s="29">
        <v>0</v>
      </c>
      <c r="I12" s="29">
        <v>1</v>
      </c>
      <c r="J12" s="29">
        <v>1</v>
      </c>
      <c r="K12" s="29">
        <v>1</v>
      </c>
    </row>
    <row r="13" spans="1:11" x14ac:dyDescent="0.25">
      <c r="G13" s="25" t="s">
        <v>75</v>
      </c>
      <c r="H13" s="26">
        <v>1</v>
      </c>
      <c r="I13" s="26">
        <v>1</v>
      </c>
      <c r="J13" s="26">
        <v>0</v>
      </c>
      <c r="K13" s="26">
        <v>0</v>
      </c>
    </row>
    <row r="14" spans="1:11" ht="15.75" thickBot="1" x14ac:dyDescent="0.3">
      <c r="A14" s="36" t="s">
        <v>34</v>
      </c>
      <c r="B14" s="37">
        <f>B10*B6</f>
        <v>1125000</v>
      </c>
      <c r="C14" s="37">
        <f>C10*C6</f>
        <v>1625000</v>
      </c>
      <c r="D14" s="37">
        <f>D10*D6</f>
        <v>2125000</v>
      </c>
      <c r="E14" s="37">
        <f>E10*E6</f>
        <v>2875000</v>
      </c>
      <c r="G14" s="28" t="s">
        <v>76</v>
      </c>
      <c r="H14" s="29">
        <v>0</v>
      </c>
      <c r="I14" s="29">
        <v>0</v>
      </c>
      <c r="J14" s="29">
        <v>1</v>
      </c>
      <c r="K14" s="29">
        <v>1</v>
      </c>
    </row>
    <row r="15" spans="1:11" ht="16.5" thickTop="1" thickBot="1" x14ac:dyDescent="0.3">
      <c r="A15" s="38" t="s">
        <v>35</v>
      </c>
      <c r="B15" s="39">
        <f>B11*B6</f>
        <v>0</v>
      </c>
      <c r="C15" s="39">
        <f>C11*C6</f>
        <v>0</v>
      </c>
      <c r="D15" s="39">
        <f>D11*D6</f>
        <v>0</v>
      </c>
      <c r="E15" s="39">
        <f>E11*E6</f>
        <v>0</v>
      </c>
      <c r="G15" s="40" t="s">
        <v>77</v>
      </c>
      <c r="H15" s="41">
        <v>1</v>
      </c>
      <c r="I15" s="41">
        <v>1</v>
      </c>
      <c r="J15" s="41">
        <v>0</v>
      </c>
      <c r="K15" s="41">
        <v>0</v>
      </c>
    </row>
    <row r="16" spans="1:11" ht="16.5" thickTop="1" thickBot="1" x14ac:dyDescent="0.3">
      <c r="A16" s="34" t="s">
        <v>33</v>
      </c>
      <c r="B16" s="42">
        <f>B15-B14</f>
        <v>-1125000</v>
      </c>
      <c r="C16" s="42">
        <f>C15-C14</f>
        <v>-1625000</v>
      </c>
      <c r="D16" s="42">
        <f>D15-D14</f>
        <v>-2125000</v>
      </c>
      <c r="E16" s="42">
        <f>E15-E14</f>
        <v>-2875000</v>
      </c>
      <c r="G16" s="25" t="s">
        <v>78</v>
      </c>
      <c r="H16" s="26">
        <v>0</v>
      </c>
      <c r="I16" s="26">
        <v>0</v>
      </c>
      <c r="J16" s="26">
        <v>1</v>
      </c>
      <c r="K16" s="26">
        <v>0</v>
      </c>
    </row>
    <row r="17" spans="1:11" x14ac:dyDescent="0.25">
      <c r="G17" s="28" t="s">
        <v>79</v>
      </c>
      <c r="H17" s="29">
        <v>0</v>
      </c>
      <c r="I17" s="29">
        <v>0</v>
      </c>
      <c r="J17" s="29">
        <v>0</v>
      </c>
      <c r="K17" s="29">
        <v>1</v>
      </c>
    </row>
    <row r="18" spans="1:11" x14ac:dyDescent="0.25">
      <c r="A18" s="43" t="s">
        <v>23</v>
      </c>
      <c r="B18" s="44" t="s">
        <v>55</v>
      </c>
      <c r="C18" s="45" t="s">
        <v>56</v>
      </c>
      <c r="D18" s="46" t="s">
        <v>57</v>
      </c>
      <c r="E18" s="47" t="s">
        <v>58</v>
      </c>
      <c r="G18" s="25" t="s">
        <v>80</v>
      </c>
      <c r="H18" s="26">
        <v>1</v>
      </c>
      <c r="I18" s="26">
        <v>1</v>
      </c>
      <c r="J18" s="26">
        <v>1</v>
      </c>
      <c r="K18" s="26">
        <v>0</v>
      </c>
    </row>
    <row r="19" spans="1:11" x14ac:dyDescent="0.25">
      <c r="A19" t="s">
        <v>10</v>
      </c>
      <c r="B19" s="48">
        <f>SUM(B10:E10)</f>
        <v>5000</v>
      </c>
      <c r="C19" s="49">
        <f>SUM(B11:E11)</f>
        <v>0</v>
      </c>
      <c r="D19" s="52">
        <f t="shared" ref="D19:D24" si="0">C19-B19</f>
        <v>-5000</v>
      </c>
      <c r="E19" s="69">
        <f t="shared" ref="E19:E24" si="1">D19/B19</f>
        <v>-1</v>
      </c>
      <c r="G19" s="28" t="s">
        <v>81</v>
      </c>
      <c r="H19" s="51">
        <v>0</v>
      </c>
      <c r="I19" s="51">
        <v>0</v>
      </c>
      <c r="J19" s="51">
        <v>0</v>
      </c>
      <c r="K19" s="51">
        <v>1</v>
      </c>
    </row>
    <row r="20" spans="1:11" x14ac:dyDescent="0.25">
      <c r="A20" s="70" t="s">
        <v>11</v>
      </c>
      <c r="B20" s="71">
        <f>SUM(B14:E14)</f>
        <v>7750000</v>
      </c>
      <c r="C20" s="72">
        <f>SUM(B15:E15)</f>
        <v>0</v>
      </c>
      <c r="D20" s="73">
        <f t="shared" si="0"/>
        <v>-7750000</v>
      </c>
      <c r="E20" s="74">
        <f t="shared" si="1"/>
        <v>-1</v>
      </c>
      <c r="G20" s="25" t="s">
        <v>83</v>
      </c>
      <c r="H20" s="50">
        <v>2</v>
      </c>
      <c r="I20" s="50">
        <v>2</v>
      </c>
      <c r="J20" s="50">
        <v>0</v>
      </c>
      <c r="K20" s="50">
        <v>0</v>
      </c>
    </row>
    <row r="21" spans="1:11" x14ac:dyDescent="0.25">
      <c r="A21" t="s">
        <v>14</v>
      </c>
      <c r="B21" s="48">
        <f>SUMPRODUCT(B10:E10,B7:E7)</f>
        <v>3668750</v>
      </c>
      <c r="C21" s="49">
        <f>SUMPRODUCT(B11:E11,B7:E7)</f>
        <v>0</v>
      </c>
      <c r="D21" s="52">
        <f t="shared" si="0"/>
        <v>-3668750</v>
      </c>
      <c r="E21" s="69">
        <f t="shared" si="1"/>
        <v>-1</v>
      </c>
      <c r="G21" s="28" t="s">
        <v>82</v>
      </c>
      <c r="H21" s="51">
        <v>0</v>
      </c>
      <c r="I21" s="51">
        <v>0</v>
      </c>
      <c r="J21" s="51">
        <v>2</v>
      </c>
      <c r="K21" s="51">
        <v>2</v>
      </c>
    </row>
    <row r="22" spans="1:11" x14ac:dyDescent="0.25">
      <c r="A22" t="s">
        <v>15</v>
      </c>
      <c r="B22" s="48">
        <f>SUMPRODUCT(B10:E10,B8:E8)</f>
        <v>1237500</v>
      </c>
      <c r="C22" s="49">
        <f>SUMPRODUCT(B11:E11,B8:E8)</f>
        <v>0</v>
      </c>
      <c r="D22" s="52">
        <f t="shared" si="0"/>
        <v>-1237500</v>
      </c>
      <c r="E22" s="69">
        <f t="shared" si="1"/>
        <v>-1</v>
      </c>
      <c r="G22" s="25" t="s">
        <v>36</v>
      </c>
      <c r="H22" s="50">
        <v>1</v>
      </c>
      <c r="I22" s="50">
        <v>1</v>
      </c>
      <c r="J22" s="50">
        <v>0</v>
      </c>
      <c r="K22" s="50">
        <v>0</v>
      </c>
    </row>
    <row r="23" spans="1:11" x14ac:dyDescent="0.25">
      <c r="A23" s="70" t="s">
        <v>22</v>
      </c>
      <c r="B23" s="80">
        <v>1600000</v>
      </c>
      <c r="C23" s="81">
        <v>1600000</v>
      </c>
      <c r="D23" s="82">
        <f t="shared" si="0"/>
        <v>0</v>
      </c>
      <c r="E23" s="74">
        <f t="shared" si="1"/>
        <v>0</v>
      </c>
      <c r="G23" s="25" t="s">
        <v>67</v>
      </c>
      <c r="H23" s="50">
        <v>0</v>
      </c>
      <c r="I23" s="50">
        <v>0</v>
      </c>
      <c r="J23" s="50">
        <v>1</v>
      </c>
      <c r="K23" s="50">
        <v>0</v>
      </c>
    </row>
    <row r="24" spans="1:11" ht="15.75" thickBot="1" x14ac:dyDescent="0.3">
      <c r="A24" s="75" t="s">
        <v>9</v>
      </c>
      <c r="B24" s="76">
        <f>B20-(B21+B22+B23)</f>
        <v>1243750</v>
      </c>
      <c r="C24" s="77">
        <f>C20-(C21+C22+C23)</f>
        <v>-1600000</v>
      </c>
      <c r="D24" s="78">
        <f t="shared" si="0"/>
        <v>-2843750</v>
      </c>
      <c r="E24" s="79">
        <f t="shared" si="1"/>
        <v>-2.2864321608040199</v>
      </c>
      <c r="G24" s="28" t="s">
        <v>68</v>
      </c>
      <c r="H24" s="51">
        <v>0</v>
      </c>
      <c r="I24" s="51">
        <v>0</v>
      </c>
      <c r="J24" s="51">
        <v>0</v>
      </c>
      <c r="K24" s="51">
        <v>1</v>
      </c>
    </row>
    <row r="25" spans="1:11" ht="15.75" thickTop="1" x14ac:dyDescent="0.25"/>
    <row r="26" spans="1:11" ht="15.75" x14ac:dyDescent="0.25">
      <c r="A26" s="84" t="s">
        <v>60</v>
      </c>
      <c r="G26" s="20" t="s">
        <v>37</v>
      </c>
    </row>
    <row r="27" spans="1:11" x14ac:dyDescent="0.25">
      <c r="A27" s="83"/>
      <c r="G27" s="23" t="s">
        <v>27</v>
      </c>
      <c r="H27" s="24" t="s">
        <v>38</v>
      </c>
      <c r="I27" s="24" t="s">
        <v>39</v>
      </c>
      <c r="J27" s="24" t="s">
        <v>40</v>
      </c>
    </row>
    <row r="28" spans="1:11" x14ac:dyDescent="0.25">
      <c r="G28" s="25" t="s">
        <v>66</v>
      </c>
      <c r="H28" s="53">
        <v>3018</v>
      </c>
      <c r="I28" s="53">
        <f>SUMPRODUCT(H6:K6,$B$11:$E$11)</f>
        <v>0</v>
      </c>
      <c r="J28" s="54">
        <f>H28-I28</f>
        <v>3018</v>
      </c>
    </row>
    <row r="29" spans="1:11" x14ac:dyDescent="0.25">
      <c r="G29" s="28" t="s">
        <v>69</v>
      </c>
      <c r="H29" s="55">
        <v>3117</v>
      </c>
      <c r="I29" s="55">
        <f t="shared" ref="I29:I46" si="2">SUMPRODUCT(H7:K7,$B$11:$E$11)</f>
        <v>0</v>
      </c>
      <c r="J29" s="56">
        <f t="shared" ref="J29:J46" si="3">H29-I29</f>
        <v>3117</v>
      </c>
    </row>
    <row r="30" spans="1:11" x14ac:dyDescent="0.25">
      <c r="G30" s="25" t="s">
        <v>71</v>
      </c>
      <c r="H30" s="53">
        <v>1148</v>
      </c>
      <c r="I30" s="53">
        <f t="shared" si="2"/>
        <v>0</v>
      </c>
      <c r="J30" s="54">
        <f t="shared" si="3"/>
        <v>1148</v>
      </c>
    </row>
    <row r="31" spans="1:11" x14ac:dyDescent="0.25">
      <c r="G31" s="25" t="s">
        <v>70</v>
      </c>
      <c r="H31" s="53">
        <v>2643</v>
      </c>
      <c r="I31" s="53">
        <f t="shared" si="2"/>
        <v>0</v>
      </c>
      <c r="J31" s="54">
        <f t="shared" si="3"/>
        <v>2643</v>
      </c>
    </row>
    <row r="32" spans="1:11" x14ac:dyDescent="0.25">
      <c r="G32" s="28" t="s">
        <v>72</v>
      </c>
      <c r="H32" s="55">
        <v>1538</v>
      </c>
      <c r="I32" s="55">
        <f t="shared" si="2"/>
        <v>0</v>
      </c>
      <c r="J32" s="56">
        <f t="shared" si="3"/>
        <v>1538</v>
      </c>
    </row>
    <row r="33" spans="1:10" x14ac:dyDescent="0.25">
      <c r="G33" s="25" t="s">
        <v>74</v>
      </c>
      <c r="H33" s="53">
        <v>1401</v>
      </c>
      <c r="I33" s="53">
        <f t="shared" si="2"/>
        <v>0</v>
      </c>
      <c r="J33" s="54">
        <f t="shared" si="3"/>
        <v>1401</v>
      </c>
    </row>
    <row r="34" spans="1:10" x14ac:dyDescent="0.25">
      <c r="G34" s="28" t="s">
        <v>73</v>
      </c>
      <c r="H34" s="55">
        <v>3988</v>
      </c>
      <c r="I34" s="55">
        <f t="shared" si="2"/>
        <v>0</v>
      </c>
      <c r="J34" s="56">
        <f t="shared" si="3"/>
        <v>3988</v>
      </c>
    </row>
    <row r="35" spans="1:10" x14ac:dyDescent="0.25">
      <c r="G35" s="25" t="s">
        <v>75</v>
      </c>
      <c r="H35" s="53">
        <v>2711</v>
      </c>
      <c r="I35" s="53">
        <f t="shared" si="2"/>
        <v>0</v>
      </c>
      <c r="J35" s="54">
        <f t="shared" si="3"/>
        <v>2711</v>
      </c>
    </row>
    <row r="36" spans="1:10" x14ac:dyDescent="0.25">
      <c r="A36" s="85" t="s">
        <v>61</v>
      </c>
      <c r="G36" s="28" t="s">
        <v>76</v>
      </c>
      <c r="H36" s="55">
        <v>2417</v>
      </c>
      <c r="I36" s="55">
        <f t="shared" si="2"/>
        <v>0</v>
      </c>
      <c r="J36" s="56">
        <f t="shared" si="3"/>
        <v>2417</v>
      </c>
    </row>
    <row r="37" spans="1:10" x14ac:dyDescent="0.25">
      <c r="A37" s="14"/>
      <c r="G37" s="25" t="s">
        <v>77</v>
      </c>
      <c r="H37" s="53">
        <v>2671</v>
      </c>
      <c r="I37" s="53">
        <f t="shared" si="2"/>
        <v>0</v>
      </c>
      <c r="J37" s="54">
        <f t="shared" si="3"/>
        <v>2671</v>
      </c>
    </row>
    <row r="38" spans="1:10" x14ac:dyDescent="0.25">
      <c r="G38" s="25" t="s">
        <v>78</v>
      </c>
      <c r="H38" s="53">
        <v>1473</v>
      </c>
      <c r="I38" s="53">
        <f t="shared" si="2"/>
        <v>0</v>
      </c>
      <c r="J38" s="54">
        <f t="shared" si="3"/>
        <v>1473</v>
      </c>
    </row>
    <row r="39" spans="1:10" x14ac:dyDescent="0.25">
      <c r="G39" s="28" t="s">
        <v>79</v>
      </c>
      <c r="H39" s="55">
        <v>1377</v>
      </c>
      <c r="I39" s="55">
        <f t="shared" si="2"/>
        <v>0</v>
      </c>
      <c r="J39" s="56">
        <f t="shared" si="3"/>
        <v>1377</v>
      </c>
    </row>
    <row r="40" spans="1:10" x14ac:dyDescent="0.25">
      <c r="G40" s="25" t="s">
        <v>80</v>
      </c>
      <c r="H40" s="53">
        <v>5208</v>
      </c>
      <c r="I40" s="53">
        <f t="shared" si="2"/>
        <v>0</v>
      </c>
      <c r="J40" s="54">
        <f t="shared" si="3"/>
        <v>5208</v>
      </c>
    </row>
    <row r="41" spans="1:10" x14ac:dyDescent="0.25">
      <c r="G41" s="28" t="s">
        <v>81</v>
      </c>
      <c r="H41" s="55">
        <v>1721</v>
      </c>
      <c r="I41" s="55">
        <f t="shared" si="2"/>
        <v>0</v>
      </c>
      <c r="J41" s="56">
        <f t="shared" si="3"/>
        <v>1721</v>
      </c>
    </row>
    <row r="42" spans="1:10" x14ac:dyDescent="0.25">
      <c r="G42" s="25" t="s">
        <v>83</v>
      </c>
      <c r="H42" s="53">
        <v>5381</v>
      </c>
      <c r="I42" s="53">
        <f t="shared" si="2"/>
        <v>0</v>
      </c>
      <c r="J42" s="54">
        <f t="shared" si="3"/>
        <v>5381</v>
      </c>
    </row>
    <row r="43" spans="1:10" x14ac:dyDescent="0.25">
      <c r="G43" s="28" t="s">
        <v>82</v>
      </c>
      <c r="H43" s="55">
        <v>5782</v>
      </c>
      <c r="I43" s="55">
        <f t="shared" si="2"/>
        <v>0</v>
      </c>
      <c r="J43" s="56">
        <f t="shared" si="3"/>
        <v>5782</v>
      </c>
    </row>
    <row r="44" spans="1:10" x14ac:dyDescent="0.25">
      <c r="G44" s="25" t="s">
        <v>36</v>
      </c>
      <c r="H44" s="53">
        <v>2987</v>
      </c>
      <c r="I44" s="53">
        <f t="shared" si="2"/>
        <v>0</v>
      </c>
      <c r="J44" s="54">
        <f t="shared" si="3"/>
        <v>2987</v>
      </c>
    </row>
    <row r="45" spans="1:10" x14ac:dyDescent="0.25">
      <c r="G45" s="25" t="s">
        <v>67</v>
      </c>
      <c r="H45" s="53">
        <v>1598</v>
      </c>
      <c r="I45" s="53">
        <f t="shared" si="2"/>
        <v>0</v>
      </c>
      <c r="J45" s="54">
        <f t="shared" si="3"/>
        <v>1598</v>
      </c>
    </row>
    <row r="46" spans="1:10" x14ac:dyDescent="0.25">
      <c r="G46" s="28" t="s">
        <v>68</v>
      </c>
      <c r="H46" s="57">
        <v>1487</v>
      </c>
      <c r="I46" s="55">
        <f t="shared" si="2"/>
        <v>0</v>
      </c>
      <c r="J46" s="56">
        <f t="shared" si="3"/>
        <v>1487</v>
      </c>
    </row>
  </sheetData>
  <conditionalFormatting sqref="J28:J46">
    <cfRule type="cellIs" dxfId="0" priority="1" operator="equal">
      <formula>0</formula>
    </cfRule>
  </conditionalFormatting>
  <pageMargins left="0.7" right="0.7" top="0.75" bottom="0.75" header="0.3" footer="0.3"/>
  <pageSetup scale="72" orientation="landscape" horizontalDpi="4294967295" verticalDpi="4294967295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0268-A011-41BC-B098-AF50711DDC5B}">
  <dimension ref="A1:B11"/>
  <sheetViews>
    <sheetView zoomScale="120" zoomScaleNormal="120" workbookViewId="0"/>
  </sheetViews>
  <sheetFormatPr defaultRowHeight="15" x14ac:dyDescent="0.25"/>
  <cols>
    <col min="1" max="1" width="29.140625" customWidth="1"/>
    <col min="2" max="2" width="47.85546875" customWidth="1"/>
  </cols>
  <sheetData>
    <row r="1" spans="1:2" ht="32.25" x14ac:dyDescent="0.25">
      <c r="A1" s="1" t="s">
        <v>0</v>
      </c>
    </row>
    <row r="2" spans="1:2" x14ac:dyDescent="0.25">
      <c r="A2" s="6" t="s">
        <v>41</v>
      </c>
    </row>
    <row r="4" spans="1:2" x14ac:dyDescent="0.25">
      <c r="A4" s="58" t="s">
        <v>42</v>
      </c>
      <c r="B4" s="58" t="s">
        <v>43</v>
      </c>
    </row>
    <row r="5" spans="1:2" ht="45" x14ac:dyDescent="0.25">
      <c r="A5" s="59" t="s">
        <v>44</v>
      </c>
      <c r="B5" s="60" t="s">
        <v>45</v>
      </c>
    </row>
    <row r="6" spans="1:2" ht="30" x14ac:dyDescent="0.25">
      <c r="A6" s="59" t="s">
        <v>6</v>
      </c>
      <c r="B6" s="60" t="s">
        <v>46</v>
      </c>
    </row>
    <row r="7" spans="1:2" ht="30" x14ac:dyDescent="0.25">
      <c r="A7" s="59" t="s">
        <v>12</v>
      </c>
      <c r="B7" s="60" t="s">
        <v>47</v>
      </c>
    </row>
    <row r="8" spans="1:2" ht="30" x14ac:dyDescent="0.25">
      <c r="A8" s="59" t="s">
        <v>17</v>
      </c>
      <c r="B8" s="60" t="s">
        <v>48</v>
      </c>
    </row>
    <row r="9" spans="1:2" ht="30" x14ac:dyDescent="0.25">
      <c r="A9" s="59" t="s">
        <v>49</v>
      </c>
      <c r="B9" s="60" t="s">
        <v>50</v>
      </c>
    </row>
    <row r="10" spans="1:2" ht="30" x14ac:dyDescent="0.25">
      <c r="A10" s="59" t="s">
        <v>51</v>
      </c>
      <c r="B10" s="60" t="s">
        <v>52</v>
      </c>
    </row>
    <row r="11" spans="1:2" ht="30" x14ac:dyDescent="0.25">
      <c r="A11" s="59" t="s">
        <v>53</v>
      </c>
      <c r="B11" s="6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Documentation</vt:lpstr>
      <vt:lpstr>Income Statement</vt:lpstr>
      <vt:lpstr>Product Line</vt:lpstr>
      <vt:lpstr>Terms and Definitions</vt:lpstr>
      <vt:lpstr>Miscellaneous</vt:lpstr>
      <vt:lpstr>Net_Income</vt:lpstr>
      <vt:lpstr>Salaries_and_Benefits</vt:lpstr>
      <vt:lpstr>Sales_Price_per_Unit</vt:lpstr>
      <vt:lpstr>Shipping_and_Distribution</vt:lpstr>
      <vt:lpstr>Stocking_and_Storage</vt:lpstr>
      <vt:lpstr>Total_Expenses</vt:lpstr>
      <vt:lpstr>Total_Revenue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Review Assignment</dc:title>
  <dc:creator>Your Name</dc:creator>
  <cp:lastModifiedBy>Your Name</cp:lastModifiedBy>
  <dcterms:created xsi:type="dcterms:W3CDTF">2018-12-16T04:11:48Z</dcterms:created>
  <dcterms:modified xsi:type="dcterms:W3CDTF">2019-01-14T05:29:03Z</dcterms:modified>
</cp:coreProperties>
</file>