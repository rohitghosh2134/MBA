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atrick Carey\Documents\Cengage\Active\Excel 2019\disk\data\Excel3\Review\"/>
    </mc:Choice>
  </mc:AlternateContent>
  <xr:revisionPtr revIDLastSave="0" documentId="13_ncr:1_{CE6C4E29-49E9-4C54-9CCB-99CE72B846B3}" xr6:coauthVersionLast="37" xr6:coauthVersionMax="37" xr10:uidLastSave="{00000000-0000-0000-0000-000000000000}"/>
  <bookViews>
    <workbookView xWindow="0" yWindow="0" windowWidth="20490" windowHeight="7530" xr2:uid="{00000000-000D-0000-FFFF-FFFF00000000}"/>
  </bookViews>
  <sheets>
    <sheet name="Documentation" sheetId="4" r:id="rId1"/>
    <sheet name="Claims Center Log" sheetId="1" r:id="rId2"/>
    <sheet name="Staffing Calculator" sheetId="3" r:id="rId3"/>
    <sheet name="Claims Conclusion" sheetId="9" r:id="rId4"/>
    <sheet name="Formulas and Key Terms" sheetId="8" r:id="rId5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15" i="3" l="1"/>
  <c r="B9" i="3"/>
  <c r="B20" i="3" s="1"/>
  <c r="B10" i="3" l="1"/>
  <c r="B24" i="3"/>
  <c r="B25" i="3" s="1"/>
  <c r="B26" i="3" s="1"/>
  <c r="E6" i="9" l="1"/>
  <c r="E7" i="9" s="1"/>
  <c r="E8" i="9" s="1"/>
  <c r="E9" i="9" s="1"/>
  <c r="E10" i="9" s="1"/>
  <c r="E11" i="9" s="1"/>
  <c r="E12" i="9" s="1"/>
  <c r="E13" i="9" s="1"/>
  <c r="E14" i="9" s="1"/>
  <c r="E15" i="9" s="1"/>
  <c r="E16" i="9" s="1"/>
  <c r="E17" i="9" s="1"/>
  <c r="E18" i="9" s="1"/>
  <c r="E19" i="9" s="1"/>
  <c r="F19" i="9" a="1"/>
  <c r="F6" i="9" l="1" a="1"/>
  <c r="F19" i="9"/>
  <c r="H19" i="9" s="1"/>
  <c r="E20" i="9"/>
  <c r="F6" i="9"/>
  <c r="F12" i="9" a="1"/>
  <c r="F17" i="9" a="1"/>
  <c r="F15" i="9" a="1"/>
  <c r="F7" i="9" a="1"/>
  <c r="F10" i="9" a="1"/>
  <c r="F8" i="9" a="1"/>
  <c r="F16" i="9" a="1"/>
  <c r="F18" i="9" a="1"/>
  <c r="F13" i="9" a="1"/>
  <c r="F14" i="9" a="1"/>
  <c r="F11" i="9" a="1"/>
  <c r="F9" i="9" a="1"/>
  <c r="F20" i="9" a="1"/>
  <c r="F8" i="9" l="1"/>
  <c r="H8" i="9" s="1"/>
  <c r="F7" i="9"/>
  <c r="H7" i="9" s="1"/>
  <c r="F15" i="9"/>
  <c r="G15" i="9" s="1"/>
  <c r="F12" i="9"/>
  <c r="H12" i="9" s="1"/>
  <c r="F11" i="9"/>
  <c r="G11" i="9" s="1"/>
  <c r="F13" i="9"/>
  <c r="H13" i="9" s="1"/>
  <c r="F18" i="9"/>
  <c r="H18" i="9" s="1"/>
  <c r="F16" i="9"/>
  <c r="G16" i="9" s="1"/>
  <c r="F17" i="9"/>
  <c r="H17" i="9" s="1"/>
  <c r="F10" i="9"/>
  <c r="H10" i="9" s="1"/>
  <c r="F9" i="9"/>
  <c r="H9" i="9" s="1"/>
  <c r="F14" i="9"/>
  <c r="H14" i="9" s="1"/>
  <c r="G6" i="9"/>
  <c r="G19" i="9"/>
  <c r="H6" i="9"/>
  <c r="G7" i="9"/>
  <c r="G8" i="9"/>
  <c r="H15" i="9"/>
  <c r="F20" i="9"/>
  <c r="G12" i="9"/>
  <c r="E21" i="9"/>
  <c r="G13" i="9"/>
  <c r="F21" i="9" a="1"/>
  <c r="G18" i="9" l="1"/>
  <c r="H11" i="9"/>
  <c r="G17" i="9"/>
  <c r="G10" i="9"/>
  <c r="G14" i="9"/>
  <c r="H16" i="9"/>
  <c r="G9" i="9"/>
  <c r="F21" i="9"/>
  <c r="E22" i="9"/>
  <c r="G20" i="9"/>
  <c r="H20" i="9"/>
  <c r="F22" i="9" a="1"/>
  <c r="F22" i="9" l="1"/>
  <c r="G21" i="9"/>
  <c r="H21" i="9"/>
  <c r="E23" i="9"/>
  <c r="F23" i="9" a="1"/>
  <c r="F23" i="9" l="1"/>
  <c r="E24" i="9"/>
  <c r="G22" i="9"/>
  <c r="H22" i="9"/>
  <c r="F24" i="9" a="1"/>
  <c r="F24" i="9" l="1"/>
  <c r="E25" i="9"/>
  <c r="H23" i="9"/>
  <c r="G23" i="9"/>
  <c r="F25" i="9" a="1"/>
  <c r="F25" i="9" l="1"/>
  <c r="E26" i="9"/>
  <c r="H24" i="9"/>
  <c r="G24" i="9"/>
  <c r="F26" i="9" a="1"/>
  <c r="F26" i="9" l="1"/>
  <c r="H25" i="9"/>
  <c r="G25" i="9"/>
  <c r="E27" i="9"/>
  <c r="F27" i="9" a="1"/>
  <c r="F27" i="9" l="1"/>
  <c r="H26" i="9"/>
  <c r="G26" i="9"/>
  <c r="E28" i="9"/>
  <c r="F28" i="9" a="1"/>
  <c r="F28" i="9" l="1"/>
  <c r="E29" i="9"/>
  <c r="G27" i="9"/>
  <c r="H27" i="9"/>
  <c r="F29" i="9" a="1"/>
  <c r="F29" i="9" l="1"/>
  <c r="E30" i="9"/>
  <c r="H28" i="9"/>
  <c r="G28" i="9"/>
  <c r="F30" i="9" a="1"/>
  <c r="F30" i="9" l="1"/>
  <c r="E31" i="9"/>
  <c r="H29" i="9"/>
  <c r="G29" i="9"/>
  <c r="F31" i="9" a="1"/>
  <c r="F31" i="9" l="1"/>
  <c r="H30" i="9"/>
  <c r="G30" i="9"/>
  <c r="E32" i="9"/>
  <c r="F32" i="9" a="1"/>
  <c r="F32" i="9" l="1"/>
  <c r="H31" i="9"/>
  <c r="G31" i="9"/>
  <c r="H32" i="9" l="1"/>
  <c r="G32" i="9"/>
</calcChain>
</file>

<file path=xl/sharedStrings.xml><?xml version="1.0" encoding="utf-8"?>
<sst xmlns="http://schemas.openxmlformats.org/spreadsheetml/2006/main" count="186" uniqueCount="147">
  <si>
    <t>Hold Times</t>
  </si>
  <si>
    <t>Call Duration</t>
  </si>
  <si>
    <t>seconds</t>
  </si>
  <si>
    <t>minutes</t>
  </si>
  <si>
    <t>hours</t>
  </si>
  <si>
    <t>Working Weeks</t>
  </si>
  <si>
    <t>Sick Days</t>
  </si>
  <si>
    <t>Hours per Day</t>
  </si>
  <si>
    <t>Breaks</t>
  </si>
  <si>
    <t>Shrinkage Factor</t>
  </si>
  <si>
    <t>Evergreen Fidelity Insurance</t>
  </si>
  <si>
    <t>Author</t>
  </si>
  <si>
    <t>Date</t>
  </si>
  <si>
    <t>Purpose</t>
  </si>
  <si>
    <t>Total Calls</t>
  </si>
  <si>
    <t>Calls per Hour</t>
  </si>
  <si>
    <t>Average Hold Time</t>
  </si>
  <si>
    <t>Median Hold Time</t>
  </si>
  <si>
    <t>Shortest Hold Time</t>
  </si>
  <si>
    <t>Longest Hold Time</t>
  </si>
  <si>
    <t>Common Hold Time</t>
  </si>
  <si>
    <t>Desired Hold Time</t>
  </si>
  <si>
    <t>Key Performance Indicator</t>
  </si>
  <si>
    <t>Case</t>
  </si>
  <si>
    <t>per Hour</t>
  </si>
  <si>
    <t>Customer Calls</t>
  </si>
  <si>
    <t>Workload</t>
  </si>
  <si>
    <t>Workload per Hour</t>
  </si>
  <si>
    <t>operators</t>
  </si>
  <si>
    <t>Support Parameters</t>
  </si>
  <si>
    <t>Support Projections</t>
  </si>
  <si>
    <t>Failure Rate</t>
  </si>
  <si>
    <t>Hold Time Failure Rate</t>
  </si>
  <si>
    <t>Traffic Calculations</t>
  </si>
  <si>
    <t>Hold Probability</t>
  </si>
  <si>
    <t>Expected Hold Time</t>
  </si>
  <si>
    <t>Expected Hold (sec.)</t>
  </si>
  <si>
    <t>Hold Time
(seconds)</t>
  </si>
  <si>
    <t>Duration
(minutes)</t>
  </si>
  <si>
    <t>Cumulative
(minutes)</t>
  </si>
  <si>
    <t>Staffing Calculator</t>
  </si>
  <si>
    <t>Days per Week</t>
  </si>
  <si>
    <t>Total Call Hours per Year</t>
  </si>
  <si>
    <t>Annual Absences</t>
  </si>
  <si>
    <t>days</t>
  </si>
  <si>
    <t>Vacation</t>
  </si>
  <si>
    <t>weeks</t>
  </si>
  <si>
    <t>Working Hours per Year</t>
  </si>
  <si>
    <t>Daily Absences</t>
  </si>
  <si>
    <t>Staff Meetings / Training</t>
  </si>
  <si>
    <t>Holidays per Year</t>
  </si>
  <si>
    <t>Staff Shrinkage</t>
  </si>
  <si>
    <t>Total Hours Lost per Year</t>
  </si>
  <si>
    <t>employees</t>
  </si>
  <si>
    <t>Daily Hours not on Call per Year</t>
  </si>
  <si>
    <t>Hold Time Goal</t>
  </si>
  <si>
    <t>Probability of Waiting on Hold</t>
  </si>
  <si>
    <t>Formulas and Key Terms</t>
  </si>
  <si>
    <t>Time Conversions</t>
  </si>
  <si>
    <t>Days to hour</t>
  </si>
  <si>
    <t>Days to minutes</t>
  </si>
  <si>
    <t>Days to seconds</t>
  </si>
  <si>
    <t>To a convert a duration value (in days) to minutes, use the formula:</t>
  </si>
  <si>
    <t>To a convert a duration value (in days) to seconds use the formula:</t>
  </si>
  <si>
    <t>Minutes to seconds</t>
  </si>
  <si>
    <t>To convert a minutes value to seconds, use the formula:</t>
  </si>
  <si>
    <t>Minutes to hours</t>
  </si>
  <si>
    <t>To convert a minutes value to hours, use the formula:</t>
  </si>
  <si>
    <t>Hours to minutes</t>
  </si>
  <si>
    <t>To convert a hours value to minutes, use the formula:</t>
  </si>
  <si>
    <t>Hours to seconds</t>
  </si>
  <si>
    <t>To convert a hours value to seconds, use the formula:</t>
  </si>
  <si>
    <t>Seconds to hours</t>
  </si>
  <si>
    <t>To a convert a seconds value to minutes, use the formula:</t>
  </si>
  <si>
    <t>Seconds to minutes</t>
  </si>
  <si>
    <t>To convert a seconds value to hours, use the formula:</t>
  </si>
  <si>
    <t>Key Terms</t>
  </si>
  <si>
    <t>Average or Mean</t>
  </si>
  <si>
    <t>Median</t>
  </si>
  <si>
    <t>Mode</t>
  </si>
  <si>
    <t>Occupied Operators</t>
  </si>
  <si>
    <t>Free Operators</t>
  </si>
  <si>
    <t>The probability of waiting on hold (Pw) is equal to:</t>
  </si>
  <si>
    <r>
      <rPr>
        <i/>
        <sz val="11"/>
        <color theme="1"/>
        <rFont val="Calibri"/>
        <family val="2"/>
        <scheme val="minor"/>
      </rPr>
      <t>hours</t>
    </r>
    <r>
      <rPr>
        <sz val="11"/>
        <color theme="1"/>
        <rFont val="Calibri"/>
        <family val="2"/>
        <scheme val="minor"/>
      </rPr>
      <t xml:space="preserve"> = </t>
    </r>
    <r>
      <rPr>
        <i/>
        <sz val="11"/>
        <color theme="1"/>
        <rFont val="Calibri"/>
        <family val="2"/>
        <scheme val="minor"/>
      </rPr>
      <t>duration</t>
    </r>
    <r>
      <rPr>
        <sz val="11"/>
        <color theme="1"/>
        <rFont val="Calibri"/>
        <family val="2"/>
        <scheme val="minor"/>
      </rPr>
      <t xml:space="preserve"> * 24</t>
    </r>
  </si>
  <si>
    <r>
      <rPr>
        <i/>
        <sz val="11"/>
        <color theme="1"/>
        <rFont val="Calibri"/>
        <family val="2"/>
        <scheme val="minor"/>
      </rPr>
      <t>minutes</t>
    </r>
    <r>
      <rPr>
        <sz val="11"/>
        <color theme="1"/>
        <rFont val="Calibri"/>
        <family val="2"/>
        <scheme val="minor"/>
      </rPr>
      <t xml:space="preserve"> = </t>
    </r>
    <r>
      <rPr>
        <i/>
        <sz val="11"/>
        <color theme="1"/>
        <rFont val="Calibri"/>
        <family val="2"/>
        <scheme val="minor"/>
      </rPr>
      <t>duration</t>
    </r>
    <r>
      <rPr>
        <sz val="11"/>
        <color theme="1"/>
        <rFont val="Calibri"/>
        <family val="2"/>
        <scheme val="minor"/>
      </rPr>
      <t xml:space="preserve"> * 24 * 60</t>
    </r>
  </si>
  <si>
    <r>
      <rPr>
        <i/>
        <sz val="11"/>
        <color theme="1"/>
        <rFont val="Calibri"/>
        <family val="2"/>
        <scheme val="minor"/>
      </rPr>
      <t>seconds</t>
    </r>
    <r>
      <rPr>
        <sz val="11"/>
        <color theme="1"/>
        <rFont val="Calibri"/>
        <family val="2"/>
        <scheme val="minor"/>
      </rPr>
      <t xml:space="preserve"> = </t>
    </r>
    <r>
      <rPr>
        <i/>
        <sz val="11"/>
        <color theme="1"/>
        <rFont val="Calibri"/>
        <family val="2"/>
        <scheme val="minor"/>
      </rPr>
      <t>duration</t>
    </r>
    <r>
      <rPr>
        <sz val="11"/>
        <color theme="1"/>
        <rFont val="Calibri"/>
        <family val="2"/>
        <scheme val="minor"/>
      </rPr>
      <t xml:space="preserve"> * 24 * 60 * 60</t>
    </r>
  </si>
  <si>
    <r>
      <rPr>
        <i/>
        <sz val="11"/>
        <color theme="1"/>
        <rFont val="Calibri"/>
        <family val="2"/>
        <scheme val="minor"/>
      </rPr>
      <t>minutes</t>
    </r>
    <r>
      <rPr>
        <sz val="11"/>
        <color theme="1"/>
        <rFont val="Calibri"/>
        <family val="2"/>
        <scheme val="minor"/>
      </rPr>
      <t xml:space="preserve"> = </t>
    </r>
    <r>
      <rPr>
        <i/>
        <sz val="11"/>
        <color theme="1"/>
        <rFont val="Calibri"/>
        <family val="2"/>
        <scheme val="minor"/>
      </rPr>
      <t>hours</t>
    </r>
    <r>
      <rPr>
        <sz val="11"/>
        <color theme="1"/>
        <rFont val="Calibri"/>
        <family val="2"/>
        <scheme val="minor"/>
      </rPr>
      <t xml:space="preserve"> * 60</t>
    </r>
  </si>
  <si>
    <r>
      <rPr>
        <i/>
        <sz val="11"/>
        <color theme="1"/>
        <rFont val="Calibri"/>
        <family val="2"/>
        <scheme val="minor"/>
      </rPr>
      <t>seconds</t>
    </r>
    <r>
      <rPr>
        <sz val="11"/>
        <color theme="1"/>
        <rFont val="Calibri"/>
        <family val="2"/>
        <scheme val="minor"/>
      </rPr>
      <t xml:space="preserve"> = </t>
    </r>
    <r>
      <rPr>
        <i/>
        <sz val="11"/>
        <color theme="1"/>
        <rFont val="Calibri"/>
        <family val="2"/>
        <scheme val="minor"/>
      </rPr>
      <t>minutes</t>
    </r>
    <r>
      <rPr>
        <sz val="11"/>
        <color theme="1"/>
        <rFont val="Calibri"/>
        <family val="2"/>
        <scheme val="minor"/>
      </rPr>
      <t xml:space="preserve"> * 60</t>
    </r>
  </si>
  <si>
    <r>
      <rPr>
        <i/>
        <sz val="11"/>
        <color theme="1"/>
        <rFont val="Calibri"/>
        <family val="2"/>
        <scheme val="minor"/>
      </rPr>
      <t>hours</t>
    </r>
    <r>
      <rPr>
        <sz val="11"/>
        <color theme="1"/>
        <rFont val="Calibri"/>
        <family val="2"/>
        <scheme val="minor"/>
      </rPr>
      <t xml:space="preserve"> = </t>
    </r>
    <r>
      <rPr>
        <i/>
        <sz val="11"/>
        <color theme="1"/>
        <rFont val="Calibri"/>
        <family val="2"/>
        <scheme val="minor"/>
      </rPr>
      <t>minutes</t>
    </r>
    <r>
      <rPr>
        <sz val="11"/>
        <color theme="1"/>
        <rFont val="Calibri"/>
        <family val="2"/>
        <scheme val="minor"/>
      </rPr>
      <t xml:space="preserve"> / 60</t>
    </r>
  </si>
  <si>
    <r>
      <rPr>
        <i/>
        <sz val="11"/>
        <color theme="1"/>
        <rFont val="Calibri"/>
        <family val="2"/>
        <scheme val="minor"/>
      </rPr>
      <t>minutes</t>
    </r>
    <r>
      <rPr>
        <sz val="11"/>
        <color theme="1"/>
        <rFont val="Calibri"/>
        <family val="2"/>
        <scheme val="minor"/>
      </rPr>
      <t xml:space="preserve"> = </t>
    </r>
    <r>
      <rPr>
        <i/>
        <sz val="11"/>
        <color theme="1"/>
        <rFont val="Calibri"/>
        <family val="2"/>
        <scheme val="minor"/>
      </rPr>
      <t>seconds</t>
    </r>
    <r>
      <rPr>
        <sz val="11"/>
        <color theme="1"/>
        <rFont val="Calibri"/>
        <family val="2"/>
        <scheme val="minor"/>
      </rPr>
      <t xml:space="preserve"> / 60</t>
    </r>
  </si>
  <si>
    <r>
      <rPr>
        <i/>
        <sz val="11"/>
        <color theme="1"/>
        <rFont val="Calibri"/>
        <family val="2"/>
        <scheme val="minor"/>
      </rPr>
      <t>hours</t>
    </r>
    <r>
      <rPr>
        <sz val="11"/>
        <color theme="1"/>
        <rFont val="Calibri"/>
        <family val="2"/>
        <scheme val="minor"/>
      </rPr>
      <t xml:space="preserve"> = </t>
    </r>
    <r>
      <rPr>
        <i/>
        <sz val="11"/>
        <color theme="1"/>
        <rFont val="Calibri"/>
        <family val="2"/>
        <scheme val="minor"/>
      </rPr>
      <t>seconds</t>
    </r>
    <r>
      <rPr>
        <sz val="11"/>
        <color theme="1"/>
        <rFont val="Calibri"/>
        <family val="2"/>
        <scheme val="minor"/>
      </rPr>
      <t xml:space="preserve"> / (60 * 60)</t>
    </r>
  </si>
  <si>
    <t>The time on hold before an operator answers</t>
  </si>
  <si>
    <t>The amount of traffic coming into the call center in terms of operator hours needed to respond to the calls, where:</t>
  </si>
  <si>
    <t>The percentage of operators that will be on-call with a customer, where:</t>
  </si>
  <si>
    <t>The percentage of operators that will not be on-call with a customer, where:</t>
  </si>
  <si>
    <t>Probability of Waiting</t>
  </si>
  <si>
    <t>Probability of an Immediate Answer</t>
  </si>
  <si>
    <r>
      <t xml:space="preserve">where </t>
    </r>
    <r>
      <rPr>
        <i/>
        <sz val="11"/>
        <color theme="1"/>
        <rFont val="Calibri"/>
        <family val="2"/>
        <scheme val="minor"/>
      </rPr>
      <t>Pw</t>
    </r>
    <r>
      <rPr>
        <sz val="11"/>
        <color theme="1"/>
        <rFont val="Calibri"/>
        <family val="2"/>
        <scheme val="minor"/>
      </rPr>
      <t xml:space="preserve"> is the wait probability,</t>
    </r>
    <r>
      <rPr>
        <i/>
        <sz val="11"/>
        <color theme="1"/>
        <rFont val="Calibri"/>
        <family val="2"/>
        <scheme val="minor"/>
      </rPr>
      <t xml:space="preserve"> call duration</t>
    </r>
    <r>
      <rPr>
        <sz val="11"/>
        <color theme="1"/>
        <rFont val="Calibri"/>
        <family val="2"/>
        <scheme val="minor"/>
      </rPr>
      <t xml:space="preserve"> is the average duration of the calls, </t>
    </r>
    <r>
      <rPr>
        <i/>
        <sz val="11"/>
        <color theme="1"/>
        <rFont val="Calibri"/>
        <family val="2"/>
        <scheme val="minor"/>
      </rPr>
      <t>operators</t>
    </r>
    <r>
      <rPr>
        <sz val="11"/>
        <color theme="1"/>
        <rFont val="Calibri"/>
        <family val="2"/>
        <scheme val="minor"/>
      </rPr>
      <t xml:space="preserve"> is the number of operators and </t>
    </r>
    <r>
      <rPr>
        <i/>
        <sz val="11"/>
        <color theme="1"/>
        <rFont val="Calibri"/>
        <family val="2"/>
        <scheme val="minor"/>
      </rPr>
      <t>workload</t>
    </r>
    <r>
      <rPr>
        <sz val="11"/>
        <color theme="1"/>
        <rFont val="Calibri"/>
        <family val="2"/>
        <scheme val="minor"/>
      </rPr>
      <t xml:space="preserve"> is the amount of traffic coming into the call center</t>
    </r>
  </si>
  <si>
    <r>
      <t xml:space="preserve">where Pw is the wait probability, </t>
    </r>
    <r>
      <rPr>
        <i/>
        <sz val="11"/>
        <color theme="1"/>
        <rFont val="Calibri"/>
        <family val="2"/>
        <scheme val="minor"/>
      </rPr>
      <t>operators</t>
    </r>
    <r>
      <rPr>
        <sz val="11"/>
        <color theme="1"/>
        <rFont val="Calibri"/>
        <family val="2"/>
        <scheme val="minor"/>
      </rPr>
      <t xml:space="preserve"> is the number of operators, </t>
    </r>
    <r>
      <rPr>
        <i/>
        <sz val="11"/>
        <color theme="1"/>
        <rFont val="Calibri"/>
        <family val="2"/>
        <scheme val="minor"/>
      </rPr>
      <t>workload</t>
    </r>
    <r>
      <rPr>
        <sz val="11"/>
        <color theme="1"/>
        <rFont val="Calibri"/>
        <family val="2"/>
        <scheme val="minor"/>
      </rPr>
      <t xml:space="preserve"> is the amount of traffic, </t>
    </r>
    <r>
      <rPr>
        <i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 is the specified hold time, and </t>
    </r>
    <r>
      <rPr>
        <i/>
        <sz val="11"/>
        <color theme="1"/>
        <rFont val="Calibri"/>
        <family val="2"/>
        <scheme val="minor"/>
      </rPr>
      <t>call duration</t>
    </r>
    <r>
      <rPr>
        <sz val="11"/>
        <color theme="1"/>
        <rFont val="Calibri"/>
        <family val="2"/>
        <scheme val="minor"/>
      </rPr>
      <t xml:space="preserve"> is the average duration of the calls.</t>
    </r>
  </si>
  <si>
    <t>Service Level</t>
  </si>
  <si>
    <t>Work Shrinkage</t>
  </si>
  <si>
    <t>The size of the staff required to overcome losses due to shrinkage:</t>
  </si>
  <si>
    <t>Required Staff</t>
  </si>
  <si>
    <r>
      <t xml:space="preserve">where </t>
    </r>
    <r>
      <rPr>
        <i/>
        <sz val="11"/>
        <color theme="1"/>
        <rFont val="Calibri"/>
        <family val="2"/>
        <scheme val="minor"/>
      </rPr>
      <t>operators</t>
    </r>
    <r>
      <rPr>
        <sz val="11"/>
        <color theme="1"/>
        <rFont val="Calibri"/>
        <family val="2"/>
        <scheme val="minor"/>
      </rPr>
      <t xml:space="preserve"> is the number of operators receiving calls and </t>
    </r>
    <r>
      <rPr>
        <i/>
        <sz val="11"/>
        <color theme="1"/>
        <rFont val="Calibri"/>
        <family val="2"/>
        <scheme val="minor"/>
      </rPr>
      <t>shrinkage factor</t>
    </r>
    <r>
      <rPr>
        <sz val="11"/>
        <color theme="1"/>
        <rFont val="Calibri"/>
        <family val="2"/>
        <scheme val="minor"/>
      </rPr>
      <t xml:space="preserve"> is the percentage of worktime lost due to shrinkage</t>
    </r>
  </si>
  <si>
    <t>A central tendency equal to the sum of the values divided by the count of the values</t>
  </si>
  <si>
    <t>A central tendency in which the median value divides the data values into two groups of which 50% are less than the median and 50% are greater than the median</t>
  </si>
  <si>
    <t>A central tendency in which the mode is the most-repeated data value</t>
  </si>
  <si>
    <t>Measures of Call Traffic*</t>
  </si>
  <si>
    <t>* All duration and workload measures must use the same time units</t>
  </si>
  <si>
    <t>Excel stores duration values in days where a value 0.5 equals half of a day or 12 hours. To convert a duration value (in days)  to hours, use the formula:</t>
  </si>
  <si>
    <r>
      <rPr>
        <i/>
        <sz val="11"/>
        <color theme="1"/>
        <rFont val="Calibri"/>
        <family val="2"/>
        <scheme val="minor"/>
      </rPr>
      <t>seconds</t>
    </r>
    <r>
      <rPr>
        <sz val="11"/>
        <color theme="1"/>
        <rFont val="Calibri"/>
        <family val="2"/>
        <scheme val="minor"/>
      </rPr>
      <t xml:space="preserve"> = </t>
    </r>
    <r>
      <rPr>
        <i/>
        <sz val="11"/>
        <color theme="1"/>
        <rFont val="Calibri"/>
        <family val="2"/>
        <scheme val="minor"/>
      </rPr>
      <t>hours</t>
    </r>
    <r>
      <rPr>
        <sz val="11"/>
        <color theme="1"/>
        <rFont val="Calibri"/>
        <family val="2"/>
        <scheme val="minor"/>
      </rPr>
      <t xml:space="preserve"> * 60 * 60</t>
    </r>
  </si>
  <si>
    <r>
      <rPr>
        <i/>
        <sz val="11"/>
        <color theme="1"/>
        <rFont val="Calibri"/>
        <family val="2"/>
        <scheme val="minor"/>
      </rPr>
      <t>workload</t>
    </r>
    <r>
      <rPr>
        <sz val="11"/>
        <color theme="1"/>
        <rFont val="Calibri"/>
        <family val="2"/>
        <scheme val="minor"/>
      </rPr>
      <t xml:space="preserve"> = (</t>
    </r>
    <r>
      <rPr>
        <i/>
        <sz val="11"/>
        <color theme="1"/>
        <rFont val="Calibri"/>
        <family val="2"/>
        <scheme val="minor"/>
      </rPr>
      <t>calls per hour</t>
    </r>
    <r>
      <rPr>
        <sz val="11"/>
        <color theme="1"/>
        <rFont val="Calibri"/>
        <family val="2"/>
        <scheme val="minor"/>
      </rPr>
      <t>) * (</t>
    </r>
    <r>
      <rPr>
        <i/>
        <sz val="11"/>
        <color theme="1"/>
        <rFont val="Calibri"/>
        <family val="2"/>
        <scheme val="minor"/>
      </rPr>
      <t>average duration of the calls</t>
    </r>
    <r>
      <rPr>
        <sz val="11"/>
        <color theme="1"/>
        <rFont val="Calibri"/>
        <family val="2"/>
        <scheme val="minor"/>
      </rPr>
      <t>)</t>
    </r>
  </si>
  <si>
    <r>
      <rPr>
        <i/>
        <sz val="11"/>
        <color theme="1"/>
        <rFont val="Calibri"/>
        <family val="2"/>
        <scheme val="minor"/>
      </rPr>
      <t xml:space="preserve">free operators </t>
    </r>
    <r>
      <rPr>
        <sz val="11"/>
        <color theme="1"/>
        <rFont val="Calibri"/>
        <family val="2"/>
        <scheme val="minor"/>
      </rPr>
      <t>= 1 - (</t>
    </r>
    <r>
      <rPr>
        <i/>
        <sz val="11"/>
        <color theme="1"/>
        <rFont val="Calibri"/>
        <family val="2"/>
        <scheme val="minor"/>
      </rPr>
      <t>occupied operators</t>
    </r>
    <r>
      <rPr>
        <sz val="11"/>
        <color theme="1"/>
        <rFont val="Calibri"/>
        <family val="2"/>
        <scheme val="minor"/>
      </rPr>
      <t>)</t>
    </r>
  </si>
  <si>
    <r>
      <rPr>
        <i/>
        <sz val="11"/>
        <color theme="1"/>
        <rFont val="Calibri"/>
        <family val="2"/>
        <scheme val="minor"/>
      </rPr>
      <t>occupied operators</t>
    </r>
    <r>
      <rPr>
        <sz val="11"/>
        <color theme="1"/>
        <rFont val="Calibri"/>
        <family val="2"/>
        <scheme val="minor"/>
      </rPr>
      <t xml:space="preserve"> = (</t>
    </r>
    <r>
      <rPr>
        <i/>
        <sz val="11"/>
        <color theme="1"/>
        <rFont val="Calibri"/>
        <family val="2"/>
        <scheme val="minor"/>
      </rPr>
      <t>operators</t>
    </r>
    <r>
      <rPr>
        <sz val="11"/>
        <color theme="1"/>
        <rFont val="Calibri"/>
        <family val="2"/>
        <scheme val="minor"/>
      </rPr>
      <t>) / (</t>
    </r>
    <r>
      <rPr>
        <i/>
        <sz val="11"/>
        <color theme="1"/>
        <rFont val="Calibri"/>
        <family val="2"/>
        <scheme val="minor"/>
      </rPr>
      <t>workload</t>
    </r>
    <r>
      <rPr>
        <sz val="11"/>
        <color theme="1"/>
        <rFont val="Calibri"/>
        <family val="2"/>
        <scheme val="minor"/>
      </rPr>
      <t>)</t>
    </r>
  </si>
  <si>
    <r>
      <t xml:space="preserve">where </t>
    </r>
    <r>
      <rPr>
        <i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is the workload and </t>
    </r>
    <r>
      <rPr>
        <i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 is the number of operators</t>
    </r>
  </si>
  <si>
    <t xml:space="preserve"> The probability of an immediate answer without holding:</t>
  </si>
  <si>
    <t>The percentage of worktime lost to absences, breaks, or administrative tasks not involved in answering calls</t>
  </si>
  <si>
    <t>Call 
Placed</t>
  </si>
  <si>
    <t>Call 
Answered</t>
  </si>
  <si>
    <t>Call 
Completed</t>
  </si>
  <si>
    <t>Call Center Open</t>
  </si>
  <si>
    <t>A measurement of the achievement of a specific goal</t>
  </si>
  <si>
    <t>The probability that customers that will wait longer than a specified hold time:</t>
  </si>
  <si>
    <t>The probability that customers that will receive service within a specified hold time:</t>
  </si>
  <si>
    <t>Performance Metrics</t>
  </si>
  <si>
    <t>agent hours</t>
  </si>
  <si>
    <t>agents</t>
  </si>
  <si>
    <t>Agents Occupied with Calls</t>
  </si>
  <si>
    <t>Claim Center Calculator</t>
  </si>
  <si>
    <t>Calls to Claim Center</t>
  </si>
  <si>
    <t>Total Agent Time</t>
  </si>
  <si>
    <t>Conclusion</t>
  </si>
  <si>
    <t>Average Call</t>
  </si>
  <si>
    <t>Median Call</t>
  </si>
  <si>
    <t>Common Call</t>
  </si>
  <si>
    <t>Shortest Call</t>
  </si>
  <si>
    <t>Longest Call</t>
  </si>
  <si>
    <t>Claim Center Calls</t>
  </si>
  <si>
    <t>To analyze staffing needs for the claim center</t>
  </si>
  <si>
    <t>Misses Hold Time Goal</t>
  </si>
  <si>
    <t>Available Agents</t>
  </si>
  <si>
    <t>Agents on Call</t>
  </si>
  <si>
    <t>Agents on the Call Center Staff</t>
  </si>
  <si>
    <t>Working Days Less Holidays</t>
  </si>
  <si>
    <t>Annual Hours Not on Call</t>
  </si>
  <si>
    <t>Agents</t>
  </si>
  <si>
    <t>Claim Center Lookup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</si>
</sst>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9" tint="-0.249977111117893"/>
      <name val="Century Schoolbook"/>
      <family val="1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9" tint="-0.249977111117893"/>
      <name val="Century Schoolbook"/>
      <family val="1"/>
    </font>
    <font>
      <i/>
      <sz val="11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B2B2B2"/>
      </right>
      <top style="thick">
        <color theme="4" tint="0.499984740745262"/>
      </top>
      <bottom/>
      <diagonal/>
    </border>
    <border>
      <left/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ck">
        <color theme="4" tint="0.499984740745262"/>
      </top>
      <bottom style="thin">
        <color rgb="FFB2B2B2"/>
      </bottom>
      <diagonal/>
    </border>
    <border>
      <left/>
      <right style="thin">
        <color rgb="FFB2B2B2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indexed="64"/>
      </bottom>
      <diagonal/>
    </border>
    <border>
      <left/>
      <right/>
      <top style="thick">
        <color theme="4" tint="0.499984740745262"/>
      </top>
      <bottom style="thin">
        <color theme="1"/>
      </bottom>
      <diagonal/>
    </border>
    <border>
      <left/>
      <right style="thin">
        <color rgb="FFB2B2B2"/>
      </right>
      <top style="thick">
        <color theme="4" tint="0.499984740745262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rgb="FFB2B2B2"/>
      </right>
      <top style="thin">
        <color theme="1"/>
      </top>
      <bottom style="thin">
        <color theme="1"/>
      </bottom>
      <diagonal/>
    </border>
    <border>
      <left/>
      <right style="thin">
        <color rgb="FFB2B2B2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indexed="64"/>
      </top>
      <bottom style="thin">
        <color rgb="FFB2B2B2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theme="4" tint="0.499984740745262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ck">
        <color theme="4" tint="0.49998474074526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2" applyNumberFormat="0" applyAlignment="0" applyProtection="0"/>
    <xf numFmtId="0" fontId="6" fillId="3" borderId="3" applyNumberFormat="0" applyAlignment="0" applyProtection="0"/>
    <xf numFmtId="0" fontId="7" fillId="3" borderId="2" applyNumberFormat="0" applyAlignment="0" applyProtection="0"/>
    <xf numFmtId="0" fontId="1" fillId="4" borderId="4" applyNumberFormat="0" applyFont="0" applyAlignment="0" applyProtection="0"/>
    <xf numFmtId="0" fontId="8" fillId="5" borderId="0" applyNumberFormat="0" applyBorder="0" applyAlignment="0" applyProtection="0"/>
    <xf numFmtId="0" fontId="1" fillId="6" borderId="0" applyNumberFormat="0" applyBorder="0" applyAlignment="0" applyProtection="0"/>
    <xf numFmtId="0" fontId="8" fillId="7" borderId="0" applyNumberFormat="0" applyBorder="0" applyAlignment="0" applyProtection="0"/>
    <xf numFmtId="0" fontId="15" fillId="0" borderId="0" applyNumberFormat="0" applyFill="0" applyBorder="0" applyAlignment="0" applyProtection="0"/>
    <xf numFmtId="0" fontId="16" fillId="0" borderId="27" applyNumberFormat="0" applyFill="0" applyAlignment="0" applyProtection="0"/>
    <xf numFmtId="0" fontId="1" fillId="9" borderId="0" applyNumberFormat="0" applyBorder="0" applyAlignment="0" applyProtection="0"/>
  </cellStyleXfs>
  <cellXfs count="89">
    <xf numFmtId="0" fontId="0" fillId="0" borderId="0" xfId="0"/>
    <xf numFmtId="0" fontId="9" fillId="0" borderId="0" xfId="0" applyFont="1"/>
    <xf numFmtId="0" fontId="10" fillId="8" borderId="5" xfId="0" applyFont="1" applyFill="1" applyBorder="1" applyAlignment="1">
      <alignment vertical="top" wrapText="1"/>
    </xf>
    <xf numFmtId="0" fontId="11" fillId="0" borderId="5" xfId="0" applyFont="1" applyBorder="1" applyAlignment="1">
      <alignment vertical="top" wrapText="1"/>
    </xf>
    <xf numFmtId="0" fontId="5" fillId="2" borderId="2" xfId="4"/>
    <xf numFmtId="14" fontId="11" fillId="0" borderId="5" xfId="0" applyNumberFormat="1" applyFont="1" applyBorder="1" applyAlignment="1">
      <alignment vertical="top" wrapText="1"/>
    </xf>
    <xf numFmtId="0" fontId="12" fillId="0" borderId="0" xfId="0" applyFont="1"/>
    <xf numFmtId="0" fontId="8" fillId="7" borderId="0" xfId="10" applyAlignment="1">
      <alignment horizontal="center" vertical="center" wrapText="1"/>
    </xf>
    <xf numFmtId="0" fontId="7" fillId="3" borderId="2" xfId="6"/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0" fillId="0" borderId="0" xfId="0" applyFill="1" applyBorder="1" applyAlignment="1">
      <alignment horizontal="left" indent="1"/>
    </xf>
    <xf numFmtId="164" fontId="7" fillId="3" borderId="2" xfId="6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12" fillId="0" borderId="0" xfId="0" applyFont="1" applyAlignment="1">
      <alignment horizontal="left" vertical="top"/>
    </xf>
    <xf numFmtId="0" fontId="0" fillId="4" borderId="13" xfId="7" applyFont="1" applyBorder="1" applyAlignment="1">
      <alignment horizontal="left" vertical="top" wrapText="1"/>
    </xf>
    <xf numFmtId="0" fontId="0" fillId="4" borderId="14" xfId="7" applyFont="1" applyBorder="1" applyAlignment="1">
      <alignment horizontal="left" vertical="top" wrapText="1"/>
    </xf>
    <xf numFmtId="0" fontId="0" fillId="4" borderId="16" xfId="7" applyFont="1" applyBorder="1" applyAlignment="1">
      <alignment horizontal="left" vertical="top" wrapText="1"/>
    </xf>
    <xf numFmtId="0" fontId="0" fillId="4" borderId="18" xfId="7" applyFont="1" applyBorder="1" applyAlignment="1">
      <alignment horizontal="left" vertical="top" wrapText="1"/>
    </xf>
    <xf numFmtId="0" fontId="0" fillId="4" borderId="20" xfId="7" applyFont="1" applyBorder="1" applyAlignment="1">
      <alignment horizontal="left" vertical="top" wrapText="1"/>
    </xf>
    <xf numFmtId="0" fontId="0" fillId="4" borderId="22" xfId="7" applyFont="1" applyBorder="1" applyAlignment="1">
      <alignment horizontal="left" vertical="top" wrapText="1"/>
    </xf>
    <xf numFmtId="0" fontId="0" fillId="4" borderId="16" xfId="7" applyFont="1" applyBorder="1" applyAlignment="1">
      <alignment horizontal="left" wrapText="1"/>
    </xf>
    <xf numFmtId="0" fontId="0" fillId="4" borderId="16" xfId="7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4" borderId="25" xfId="7" applyFont="1" applyBorder="1" applyAlignment="1">
      <alignment horizontal="left" vertical="top" wrapText="1"/>
    </xf>
    <xf numFmtId="0" fontId="14" fillId="0" borderId="17" xfId="3" applyFont="1" applyBorder="1" applyAlignment="1">
      <alignment horizontal="left" vertical="top" wrapText="1" indent="1"/>
    </xf>
    <xf numFmtId="0" fontId="14" fillId="0" borderId="19" xfId="3" applyFont="1" applyBorder="1" applyAlignment="1">
      <alignment horizontal="left" vertical="top" wrapText="1" indent="1"/>
    </xf>
    <xf numFmtId="0" fontId="14" fillId="0" borderId="24" xfId="0" applyFont="1" applyBorder="1" applyAlignment="1">
      <alignment horizontal="left" vertical="top" wrapText="1" indent="1"/>
    </xf>
    <xf numFmtId="2" fontId="0" fillId="0" borderId="0" xfId="0" applyNumberFormat="1"/>
    <xf numFmtId="0" fontId="14" fillId="0" borderId="28" xfId="3" applyFont="1" applyBorder="1" applyAlignment="1">
      <alignment horizontal="left" vertical="top" wrapText="1" indent="1"/>
    </xf>
    <xf numFmtId="0" fontId="0" fillId="4" borderId="28" xfId="7" applyFont="1" applyBorder="1" applyAlignment="1">
      <alignment horizontal="left" vertical="top" wrapText="1"/>
    </xf>
    <xf numFmtId="0" fontId="9" fillId="0" borderId="0" xfId="0" applyFont="1" applyProtection="1">
      <protection locked="0"/>
    </xf>
    <xf numFmtId="0" fontId="0" fillId="0" borderId="0" xfId="0" applyProtection="1">
      <protection locked="0"/>
    </xf>
    <xf numFmtId="0" fontId="12" fillId="0" borderId="0" xfId="0" applyFont="1" applyProtection="1">
      <protection locked="0"/>
    </xf>
    <xf numFmtId="0" fontId="5" fillId="2" borderId="2" xfId="4" applyProtection="1">
      <protection locked="0"/>
    </xf>
    <xf numFmtId="0" fontId="0" fillId="0" borderId="0" xfId="0" applyAlignment="1" applyProtection="1">
      <alignment horizontal="left" indent="1"/>
      <protection locked="0"/>
    </xf>
    <xf numFmtId="2" fontId="7" fillId="3" borderId="2" xfId="6" applyNumberFormat="1" applyProtection="1">
      <protection locked="0"/>
    </xf>
    <xf numFmtId="10" fontId="7" fillId="3" borderId="2" xfId="6" applyNumberFormat="1" applyProtection="1">
      <protection locked="0"/>
    </xf>
    <xf numFmtId="10" fontId="6" fillId="3" borderId="3" xfId="5" applyNumberFormat="1" applyProtection="1">
      <protection locked="0"/>
    </xf>
    <xf numFmtId="2" fontId="6" fillId="3" borderId="3" xfId="5" applyNumberFormat="1" applyProtection="1">
      <protection locked="0"/>
    </xf>
    <xf numFmtId="10" fontId="0" fillId="0" borderId="0" xfId="1" applyNumberFormat="1" applyFont="1" applyProtection="1">
      <protection locked="0"/>
    </xf>
    <xf numFmtId="10" fontId="1" fillId="9" borderId="5" xfId="13" applyNumberFormat="1" applyBorder="1" applyProtection="1"/>
    <xf numFmtId="2" fontId="1" fillId="9" borderId="5" xfId="13" applyNumberFormat="1" applyBorder="1" applyProtection="1"/>
    <xf numFmtId="10" fontId="1" fillId="9" borderId="7" xfId="13" applyNumberFormat="1" applyBorder="1" applyProtection="1"/>
    <xf numFmtId="10" fontId="1" fillId="9" borderId="9" xfId="13" applyNumberFormat="1" applyBorder="1" applyProtection="1"/>
    <xf numFmtId="2" fontId="1" fillId="9" borderId="9" xfId="13" applyNumberFormat="1" applyBorder="1" applyProtection="1"/>
    <xf numFmtId="10" fontId="1" fillId="9" borderId="10" xfId="13" applyNumberFormat="1" applyBorder="1" applyProtection="1"/>
    <xf numFmtId="0" fontId="8" fillId="5" borderId="29" xfId="8" applyBorder="1" applyAlignment="1" applyProtection="1">
      <alignment horizontal="center"/>
      <protection locked="0"/>
    </xf>
    <xf numFmtId="0" fontId="8" fillId="5" borderId="30" xfId="8" applyBorder="1" applyAlignment="1" applyProtection="1">
      <alignment horizontal="center"/>
      <protection locked="0"/>
    </xf>
    <xf numFmtId="0" fontId="8" fillId="5" borderId="31" xfId="8" applyBorder="1" applyAlignment="1" applyProtection="1">
      <alignment horizontal="center"/>
      <protection locked="0"/>
    </xf>
    <xf numFmtId="1" fontId="1" fillId="10" borderId="6" xfId="13" applyNumberFormat="1" applyFill="1" applyBorder="1" applyProtection="1"/>
    <xf numFmtId="1" fontId="1" fillId="10" borderId="8" xfId="13" applyNumberFormat="1" applyFill="1" applyBorder="1" applyProtection="1"/>
    <xf numFmtId="0" fontId="0" fillId="11" borderId="0" xfId="9" applyNumberFormat="1" applyFont="1" applyFill="1"/>
    <xf numFmtId="19" fontId="2" fillId="11" borderId="0" xfId="0" applyNumberFormat="1" applyFont="1" applyFill="1" applyAlignment="1">
      <alignment horizontal="right" vertical="center"/>
    </xf>
    <xf numFmtId="0" fontId="1" fillId="11" borderId="0" xfId="9" applyNumberFormat="1" applyFill="1"/>
    <xf numFmtId="0" fontId="0" fillId="11" borderId="0" xfId="0" applyNumberFormat="1" applyFill="1"/>
    <xf numFmtId="0" fontId="0" fillId="11" borderId="0" xfId="0" applyNumberFormat="1" applyFont="1" applyFill="1"/>
    <xf numFmtId="0" fontId="0" fillId="12" borderId="0" xfId="9" applyNumberFormat="1" applyFont="1" applyFill="1"/>
    <xf numFmtId="19" fontId="1" fillId="12" borderId="0" xfId="9" applyNumberFormat="1" applyFill="1" applyAlignment="1">
      <alignment horizontal="right" vertical="center"/>
    </xf>
    <xf numFmtId="19" fontId="2" fillId="12" borderId="0" xfId="0" applyNumberFormat="1" applyFont="1" applyFill="1" applyAlignment="1">
      <alignment horizontal="right" vertical="center"/>
    </xf>
    <xf numFmtId="0" fontId="1" fillId="12" borderId="0" xfId="9" applyNumberFormat="1" applyFill="1"/>
    <xf numFmtId="0" fontId="1" fillId="12" borderId="0" xfId="9" applyNumberFormat="1" applyFont="1" applyFill="1"/>
    <xf numFmtId="165" fontId="0" fillId="0" borderId="0" xfId="0" applyNumberFormat="1"/>
    <xf numFmtId="1" fontId="5" fillId="2" borderId="2" xfId="4" applyNumberFormat="1"/>
    <xf numFmtId="1" fontId="6" fillId="3" borderId="3" xfId="5" applyNumberFormat="1"/>
    <xf numFmtId="0" fontId="4" fillId="0" borderId="0" xfId="3" applyAlignment="1" applyProtection="1">
      <alignment horizontal="left"/>
      <protection locked="0"/>
    </xf>
    <xf numFmtId="10" fontId="0" fillId="0" borderId="0" xfId="0" applyNumberFormat="1"/>
    <xf numFmtId="0" fontId="3" fillId="0" borderId="1" xfId="2" applyAlignment="1">
      <alignment horizontal="left"/>
    </xf>
    <xf numFmtId="0" fontId="0" fillId="0" borderId="0" xfId="0"/>
    <xf numFmtId="0" fontId="3" fillId="0" borderId="1" xfId="2" applyAlignment="1" applyProtection="1">
      <alignment horizontal="left" vertical="center"/>
      <protection locked="0"/>
    </xf>
    <xf numFmtId="0" fontId="17" fillId="0" borderId="32" xfId="0" applyFont="1" applyBorder="1" applyAlignment="1" applyProtection="1">
      <alignment horizontal="left" vertical="top" wrapText="1"/>
      <protection locked="0"/>
    </xf>
    <xf numFmtId="0" fontId="17" fillId="0" borderId="33" xfId="0" applyFont="1" applyBorder="1" applyAlignment="1" applyProtection="1">
      <alignment horizontal="left" vertical="top" wrapText="1"/>
      <protection locked="0"/>
    </xf>
    <xf numFmtId="0" fontId="17" fillId="0" borderId="34" xfId="0" applyFont="1" applyBorder="1" applyAlignment="1" applyProtection="1">
      <alignment horizontal="left" vertical="top" wrapText="1"/>
      <protection locked="0"/>
    </xf>
    <xf numFmtId="0" fontId="17" fillId="0" borderId="35" xfId="0" applyFont="1" applyBorder="1" applyAlignment="1" applyProtection="1">
      <alignment horizontal="left" vertical="top" wrapText="1"/>
      <protection locked="0"/>
    </xf>
    <xf numFmtId="0" fontId="17" fillId="0" borderId="0" xfId="0" applyFont="1" applyBorder="1" applyAlignment="1" applyProtection="1">
      <alignment horizontal="left" vertical="top" wrapText="1"/>
      <protection locked="0"/>
    </xf>
    <xf numFmtId="0" fontId="17" fillId="0" borderId="36" xfId="0" applyFont="1" applyBorder="1" applyAlignment="1" applyProtection="1">
      <alignment horizontal="left" vertical="top" wrapText="1"/>
      <protection locked="0"/>
    </xf>
    <xf numFmtId="0" fontId="17" fillId="0" borderId="37" xfId="0" applyFont="1" applyBorder="1" applyAlignment="1" applyProtection="1">
      <alignment horizontal="left" vertical="top" wrapText="1"/>
      <protection locked="0"/>
    </xf>
    <xf numFmtId="0" fontId="17" fillId="0" borderId="38" xfId="0" applyFont="1" applyBorder="1" applyAlignment="1" applyProtection="1">
      <alignment horizontal="left" vertical="top" wrapText="1"/>
      <protection locked="0"/>
    </xf>
    <xf numFmtId="0" fontId="17" fillId="0" borderId="39" xfId="0" applyFont="1" applyBorder="1" applyAlignment="1" applyProtection="1">
      <alignment horizontal="left" vertical="top" wrapText="1"/>
      <protection locked="0"/>
    </xf>
    <xf numFmtId="0" fontId="16" fillId="0" borderId="0" xfId="12" applyFill="1" applyBorder="1" applyAlignment="1" applyProtection="1">
      <alignment horizontal="center"/>
      <protection locked="0"/>
    </xf>
    <xf numFmtId="0" fontId="14" fillId="0" borderId="21" xfId="3" applyFont="1" applyBorder="1" applyAlignment="1">
      <alignment horizontal="left" vertical="top" wrapText="1" indent="1"/>
    </xf>
    <xf numFmtId="0" fontId="14" fillId="0" borderId="15" xfId="3" applyFont="1" applyBorder="1" applyAlignment="1">
      <alignment horizontal="left" vertical="top" wrapText="1" indent="1"/>
    </xf>
    <xf numFmtId="0" fontId="3" fillId="0" borderId="1" xfId="2" applyAlignment="1">
      <alignment horizontal="left" vertical="top" wrapText="1"/>
    </xf>
    <xf numFmtId="0" fontId="14" fillId="0" borderId="11" xfId="3" applyFont="1" applyBorder="1" applyAlignment="1">
      <alignment horizontal="left" vertical="top" wrapText="1" indent="1"/>
    </xf>
    <xf numFmtId="0" fontId="14" fillId="0" borderId="12" xfId="3" applyFont="1" applyBorder="1" applyAlignment="1">
      <alignment horizontal="left" vertical="top" wrapText="1" indent="1"/>
    </xf>
    <xf numFmtId="0" fontId="15" fillId="0" borderId="23" xfId="11" applyBorder="1" applyAlignment="1">
      <alignment horizontal="left" vertical="top" wrapText="1" indent="1"/>
    </xf>
    <xf numFmtId="0" fontId="14" fillId="0" borderId="23" xfId="0" applyFont="1" applyBorder="1" applyAlignment="1">
      <alignment horizontal="left" vertical="top" wrapText="1" indent="1"/>
    </xf>
    <xf numFmtId="0" fontId="14" fillId="0" borderId="26" xfId="0" applyFont="1" applyBorder="1" applyAlignment="1">
      <alignment horizontal="left" vertical="top" wrapText="1" indent="1"/>
    </xf>
  </cellXfs>
  <cellStyles count="14">
    <cellStyle name="20% - Accent6" xfId="13" builtinId="50"/>
    <cellStyle name="40% - Accent4" xfId="9" builtinId="43"/>
    <cellStyle name="Accent1" xfId="8" builtinId="29"/>
    <cellStyle name="Accent6" xfId="10" builtinId="49"/>
    <cellStyle name="Calculation" xfId="6" builtinId="22"/>
    <cellStyle name="Explanatory Text" xfId="11" builtinId="53"/>
    <cellStyle name="Heading 1" xfId="12" builtinId="16"/>
    <cellStyle name="Heading 2" xfId="2" builtinId="17"/>
    <cellStyle name="Heading 4" xfId="3" builtinId="19"/>
    <cellStyle name="Input" xfId="4" builtinId="20"/>
    <cellStyle name="Normal" xfId="0" builtinId="0"/>
    <cellStyle name="Note" xfId="7" builtinId="10"/>
    <cellStyle name="Output" xfId="5" builtinId="21"/>
    <cellStyle name="Percent" xfId="1" builtinId="5"/>
  </cellStyles>
  <dxfs count="0"/>
  <tableStyles count="0" defaultTableStyle="TableStyleMedium2" defaultPivotStyle="PivotStyleLight16"/>
  <colors>
    <mruColors>
      <color rgb="FFFFA893"/>
      <color rgb="FFFFB19F"/>
      <color rgb="FFFF9981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1055690</xdr:colOff>
      <xdr:row>36</xdr:row>
      <xdr:rowOff>222250</xdr:rowOff>
    </xdr:from>
    <xdr:to>
      <xdr:col>1</xdr:col>
      <xdr:colOff>2738594</xdr:colOff>
      <xdr:row>36</xdr:row>
      <xdr:rowOff>817563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92B43C-B740-4E7F-B521-238F30402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7415" y="8804275"/>
          <a:ext cx="1682904" cy="595313"/>
        </a:xfrm>
        <a:prstGeom prst="rect">
          <a:avLst/>
        </a:prstGeom>
      </xdr:spPr>
    </xdr:pic>
    <xdr:clientData/>
  </xdr:twoCellAnchor>
  <xdr:twoCellAnchor editAs="oneCell">
    <xdr:from>
      <xdr:col>1</xdr:col>
      <xdr:colOff>1317625</xdr:colOff>
      <xdr:row>39</xdr:row>
      <xdr:rowOff>63500</xdr:rowOff>
    </xdr:from>
    <xdr:to>
      <xdr:col>1</xdr:col>
      <xdr:colOff>3122197</xdr:colOff>
      <xdr:row>39</xdr:row>
      <xdr:rowOff>240299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9DA609-56B8-4AD6-ADAF-9D02609F9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9350" y="10150475"/>
          <a:ext cx="1804572" cy="176799"/>
        </a:xfrm>
        <a:prstGeom prst="rect">
          <a:avLst/>
        </a:prstGeom>
      </xdr:spPr>
    </xdr:pic>
    <xdr:clientData/>
  </xdr:twoCellAnchor>
  <xdr:oneCellAnchor>
    <xdr:from>
      <xdr:col>4</xdr:col>
      <xdr:colOff>66675</xdr:colOff>
      <xdr:row>39</xdr:row>
      <xdr:rowOff>106362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E58EEA0-DDB9-4187-8B10-A60C1A472D8D}"/>
            </a:ext>
          </a:extLst>
        </xdr:cNvPr>
        <xdr:cNvSpPr txBox="1"/>
      </xdr:nvSpPr>
      <xdr:spPr>
        <a:xfrm>
          <a:off x="8753475" y="101933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i="1"/>
        </a:p>
      </xdr:txBody>
    </xdr:sp>
    <xdr:clientData/>
  </xdr:oneCellAnchor>
  <xdr:twoCellAnchor editAs="oneCell">
    <xdr:from>
      <xdr:col>1</xdr:col>
      <xdr:colOff>508001</xdr:colOff>
      <xdr:row>40</xdr:row>
      <xdr:rowOff>396876</xdr:rowOff>
    </xdr:from>
    <xdr:to>
      <xdr:col>1</xdr:col>
      <xdr:colOff>3379466</xdr:colOff>
      <xdr:row>40</xdr:row>
      <xdr:rowOff>756571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D0C7EA8-1952-4EEC-BFBD-765CE422D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79726" y="10826751"/>
          <a:ext cx="2871465" cy="359695"/>
        </a:xfrm>
        <a:prstGeom prst="rect">
          <a:avLst/>
        </a:prstGeom>
      </xdr:spPr>
    </xdr:pic>
    <xdr:clientData/>
  </xdr:twoCellAnchor>
  <xdr:twoCellAnchor editAs="oneCell">
    <xdr:from>
      <xdr:col>1</xdr:col>
      <xdr:colOff>555625</xdr:colOff>
      <xdr:row>42</xdr:row>
      <xdr:rowOff>315914</xdr:rowOff>
    </xdr:from>
    <xdr:to>
      <xdr:col>1</xdr:col>
      <xdr:colOff>3835557</xdr:colOff>
      <xdr:row>42</xdr:row>
      <xdr:rowOff>571968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1F16634-3718-46F8-BEA6-A02B6A448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27350" y="12241214"/>
          <a:ext cx="3279932" cy="256054"/>
        </a:xfrm>
        <a:prstGeom prst="rect">
          <a:avLst/>
        </a:prstGeom>
      </xdr:spPr>
    </xdr:pic>
    <xdr:clientData/>
  </xdr:twoCellAnchor>
  <xdr:twoCellAnchor editAs="oneCell">
    <xdr:from>
      <xdr:col>1</xdr:col>
      <xdr:colOff>1135063</xdr:colOff>
      <xdr:row>45</xdr:row>
      <xdr:rowOff>142875</xdr:rowOff>
    </xdr:from>
    <xdr:to>
      <xdr:col>1</xdr:col>
      <xdr:colOff>3177400</xdr:colOff>
      <xdr:row>45</xdr:row>
      <xdr:rowOff>319674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8206959-9644-49AF-9B71-8BD27FFA6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06788" y="13887450"/>
          <a:ext cx="2042337" cy="176799"/>
        </a:xfrm>
        <a:prstGeom prst="rect">
          <a:avLst/>
        </a:prstGeom>
      </xdr:spPr>
    </xdr:pic>
    <xdr:clientData/>
  </xdr:twoCellAnchor>
  <xdr:twoCellAnchor editAs="oneCell">
    <xdr:from>
      <xdr:col>1</xdr:col>
      <xdr:colOff>873125</xdr:colOff>
      <xdr:row>50</xdr:row>
      <xdr:rowOff>309562</xdr:rowOff>
    </xdr:from>
    <xdr:to>
      <xdr:col>1</xdr:col>
      <xdr:colOff>3427570</xdr:colOff>
      <xdr:row>50</xdr:row>
      <xdr:rowOff>650968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35BBCAD-FCB9-4918-9B3F-4171043DD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44850" y="15501937"/>
          <a:ext cx="2554445" cy="341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zoomScale="120" zoomScaleNormal="120" workbookViewId="0">
      <selection activeCell="B3" sqref="B3"/>
    </sheetView>
  </sheetViews>
  <sheetFormatPr defaultRowHeight="15" x14ac:dyDescent="0.25"/>
  <cols>
    <col min="2" max="2" width="39.5703125" customWidth="1"/>
  </cols>
  <sheetData>
    <row r="1" spans="1:2" ht="25.5" x14ac:dyDescent="0.35">
      <c r="A1" s="1" t="s">
        <v>10</v>
      </c>
    </row>
    <row r="3" spans="1:2" ht="15.75" x14ac:dyDescent="0.25">
      <c r="A3" s="2" t="s">
        <v>11</v>
      </c>
      <c r="B3" s="3"/>
    </row>
    <row r="4" spans="1:2" ht="15.75" x14ac:dyDescent="0.25">
      <c r="A4" s="2" t="s">
        <v>12</v>
      </c>
      <c r="B4" s="5"/>
    </row>
    <row r="5" spans="1:2" ht="31.5" x14ac:dyDescent="0.25">
      <c r="A5" s="2" t="s">
        <v>13</v>
      </c>
      <c r="B5" s="3" t="s">
        <v>138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87"/>
  <sheetViews>
    <sheetView zoomScale="120" zoomScaleNormal="120" workbookViewId="0">
      <selection activeCell="A3" sqref="A3"/>
    </sheetView>
  </sheetViews>
  <sheetFormatPr defaultRowHeight="15" x14ac:dyDescent="0.25"/>
  <cols>
    <col min="1" max="1" width="21.140625" customWidth="1"/>
    <col min="2" max="2" width="11.140625" customWidth="1"/>
    <col min="3" max="3" width="9.42578125" customWidth="1"/>
    <col min="4" max="4" width="2.5703125" customWidth="1"/>
    <col min="5" max="5" width="14.5703125" customWidth="1"/>
    <col min="6" max="6" width="13.140625" customWidth="1"/>
    <col min="7" max="7" width="12.5703125" customWidth="1"/>
    <col min="8" max="9" width="12.42578125" customWidth="1"/>
    <col min="10" max="10" width="13" customWidth="1"/>
    <col min="11" max="11" width="11.85546875" customWidth="1"/>
    <col min="12" max="12" width="12.5703125" customWidth="1"/>
  </cols>
  <sheetData>
    <row r="1" spans="1:12" ht="25.5" x14ac:dyDescent="0.35">
      <c r="A1" s="1" t="s">
        <v>10</v>
      </c>
    </row>
    <row r="2" spans="1:12" ht="15.75" x14ac:dyDescent="0.25">
      <c r="A2" s="6" t="s">
        <v>137</v>
      </c>
    </row>
    <row r="4" spans="1:12" ht="33.75" customHeight="1" thickBot="1" x14ac:dyDescent="0.35">
      <c r="A4" s="68" t="s">
        <v>129</v>
      </c>
      <c r="B4" s="68"/>
      <c r="C4" s="68"/>
      <c r="E4" s="7" t="s">
        <v>23</v>
      </c>
      <c r="F4" s="7" t="s">
        <v>117</v>
      </c>
      <c r="G4" s="7" t="s">
        <v>118</v>
      </c>
      <c r="H4" s="7" t="s">
        <v>37</v>
      </c>
      <c r="I4" s="7" t="s">
        <v>139</v>
      </c>
      <c r="J4" s="7" t="s">
        <v>119</v>
      </c>
      <c r="K4" s="7" t="s">
        <v>38</v>
      </c>
      <c r="L4" s="7" t="s">
        <v>39</v>
      </c>
    </row>
    <row r="5" spans="1:12" ht="15.75" thickTop="1" x14ac:dyDescent="0.25">
      <c r="A5" t="s">
        <v>120</v>
      </c>
      <c r="B5">
        <v>10</v>
      </c>
      <c r="C5" s="9" t="s">
        <v>4</v>
      </c>
      <c r="E5" s="58"/>
      <c r="F5" s="59">
        <v>0.33333333333333331</v>
      </c>
      <c r="G5" s="60">
        <v>0.3336689814814815</v>
      </c>
      <c r="H5" s="61"/>
      <c r="I5" s="61"/>
      <c r="J5" s="59">
        <v>0.34770833333333334</v>
      </c>
      <c r="K5" s="61"/>
      <c r="L5" s="62"/>
    </row>
    <row r="6" spans="1:12" x14ac:dyDescent="0.25">
      <c r="A6" t="s">
        <v>14</v>
      </c>
      <c r="C6" s="9"/>
      <c r="E6" s="53"/>
      <c r="F6" s="54">
        <v>0.33363425925925921</v>
      </c>
      <c r="G6" s="54">
        <v>0.33415509259259263</v>
      </c>
      <c r="H6" s="55"/>
      <c r="I6" s="55"/>
      <c r="J6" s="54">
        <v>0.34538194444444442</v>
      </c>
      <c r="K6" s="56"/>
      <c r="L6" s="57"/>
    </row>
    <row r="7" spans="1:12" x14ac:dyDescent="0.25">
      <c r="A7" t="s">
        <v>15</v>
      </c>
      <c r="B7" s="63"/>
      <c r="C7" s="9"/>
      <c r="E7" s="58"/>
      <c r="F7" s="59">
        <v>0.33406249999999998</v>
      </c>
      <c r="G7" s="60">
        <v>0.33459490740740744</v>
      </c>
      <c r="H7" s="61"/>
      <c r="I7" s="61"/>
      <c r="J7" s="59">
        <v>0.35635416666666669</v>
      </c>
      <c r="K7" s="61"/>
      <c r="L7" s="62"/>
    </row>
    <row r="8" spans="1:12" x14ac:dyDescent="0.25">
      <c r="C8" s="9"/>
      <c r="E8" s="53"/>
      <c r="F8" s="54">
        <v>0.33449074074074076</v>
      </c>
      <c r="G8" s="54">
        <v>0.33473379629629635</v>
      </c>
      <c r="H8" s="55"/>
      <c r="I8" s="55"/>
      <c r="J8" s="54">
        <v>0.36018518518518516</v>
      </c>
      <c r="K8" s="56"/>
      <c r="L8" s="57"/>
    </row>
    <row r="9" spans="1:12" ht="18" thickBot="1" x14ac:dyDescent="0.35">
      <c r="A9" s="68" t="s">
        <v>0</v>
      </c>
      <c r="B9" s="68"/>
      <c r="C9" s="68"/>
      <c r="E9" s="58"/>
      <c r="F9" s="59">
        <v>0.3347222222222222</v>
      </c>
      <c r="G9" s="60">
        <v>0.3348842592592593</v>
      </c>
      <c r="H9" s="61"/>
      <c r="I9" s="61"/>
      <c r="J9" s="59">
        <v>0.35473379629629626</v>
      </c>
      <c r="K9" s="61"/>
      <c r="L9" s="62"/>
    </row>
    <row r="10" spans="1:12" ht="15.75" thickTop="1" x14ac:dyDescent="0.25">
      <c r="A10" t="s">
        <v>55</v>
      </c>
      <c r="B10">
        <v>20</v>
      </c>
      <c r="C10" s="9" t="s">
        <v>2</v>
      </c>
      <c r="E10" s="53"/>
      <c r="F10" s="54">
        <v>0.33504629629629629</v>
      </c>
      <c r="G10" s="54">
        <v>0.33543981481481483</v>
      </c>
      <c r="H10" s="55"/>
      <c r="I10" s="55"/>
      <c r="J10" s="54">
        <v>0.34924768518518517</v>
      </c>
      <c r="K10" s="56"/>
      <c r="L10" s="57"/>
    </row>
    <row r="11" spans="1:12" ht="15.75" customHeight="1" x14ac:dyDescent="0.25">
      <c r="A11" t="s">
        <v>16</v>
      </c>
      <c r="B11" s="29"/>
      <c r="C11" s="9" t="s">
        <v>2</v>
      </c>
      <c r="E11" s="58"/>
      <c r="F11" s="59">
        <v>0.33542824074074074</v>
      </c>
      <c r="G11" s="60">
        <v>0.33585648148148151</v>
      </c>
      <c r="H11" s="61"/>
      <c r="I11" s="61"/>
      <c r="J11" s="59">
        <v>0.35129629629629627</v>
      </c>
      <c r="K11" s="61"/>
      <c r="L11" s="62"/>
    </row>
    <row r="12" spans="1:12" x14ac:dyDescent="0.25">
      <c r="A12" t="s">
        <v>17</v>
      </c>
      <c r="C12" s="9" t="s">
        <v>2</v>
      </c>
      <c r="E12" s="53"/>
      <c r="F12" s="54">
        <v>0.33569444444444446</v>
      </c>
      <c r="G12" s="54">
        <v>0.33627314814814818</v>
      </c>
      <c r="H12" s="55"/>
      <c r="I12" s="55"/>
      <c r="J12" s="54">
        <v>0.3580787037037037</v>
      </c>
      <c r="K12" s="56"/>
      <c r="L12" s="57"/>
    </row>
    <row r="13" spans="1:12" x14ac:dyDescent="0.25">
      <c r="A13" t="s">
        <v>20</v>
      </c>
      <c r="C13" s="9" t="s">
        <v>2</v>
      </c>
      <c r="E13" s="58"/>
      <c r="F13" s="59">
        <v>0.33577546296296296</v>
      </c>
      <c r="G13" s="60">
        <v>0.33600694444444446</v>
      </c>
      <c r="H13" s="61"/>
      <c r="I13" s="61"/>
      <c r="J13" s="59">
        <v>0.35096064814814815</v>
      </c>
      <c r="K13" s="61"/>
      <c r="L13" s="62"/>
    </row>
    <row r="14" spans="1:12" x14ac:dyDescent="0.25">
      <c r="A14" t="s">
        <v>18</v>
      </c>
      <c r="C14" s="9" t="s">
        <v>2</v>
      </c>
      <c r="E14" s="53"/>
      <c r="F14" s="54">
        <v>0.33620370370370373</v>
      </c>
      <c r="G14" s="54">
        <v>0.33660879629629631</v>
      </c>
      <c r="H14" s="55"/>
      <c r="I14" s="55"/>
      <c r="J14" s="54">
        <v>0.35232638888888884</v>
      </c>
      <c r="K14" s="56"/>
      <c r="L14" s="57"/>
    </row>
    <row r="15" spans="1:12" x14ac:dyDescent="0.25">
      <c r="A15" t="s">
        <v>19</v>
      </c>
      <c r="C15" s="9" t="s">
        <v>2</v>
      </c>
      <c r="E15" s="58"/>
      <c r="F15" s="59">
        <v>0.33649305555555559</v>
      </c>
      <c r="G15" s="60">
        <v>0.3367708333333333</v>
      </c>
      <c r="H15" s="61"/>
      <c r="I15" s="61"/>
      <c r="J15" s="59">
        <v>0.36685185185185182</v>
      </c>
      <c r="K15" s="61"/>
      <c r="L15" s="62"/>
    </row>
    <row r="16" spans="1:12" x14ac:dyDescent="0.25">
      <c r="E16" s="53"/>
      <c r="F16" s="54">
        <v>0.33678240740740745</v>
      </c>
      <c r="G16" s="54">
        <v>0.33711805555555557</v>
      </c>
      <c r="H16" s="55"/>
      <c r="I16" s="55"/>
      <c r="J16" s="54">
        <v>0.35542824074074075</v>
      </c>
      <c r="K16" s="56"/>
      <c r="L16" s="57"/>
    </row>
    <row r="17" spans="1:12" ht="18" thickBot="1" x14ac:dyDescent="0.35">
      <c r="A17" s="68" t="s">
        <v>1</v>
      </c>
      <c r="B17" s="68"/>
      <c r="C17" s="68"/>
      <c r="E17" s="58"/>
      <c r="F17" s="59">
        <v>0.33709490740740744</v>
      </c>
      <c r="G17" s="60">
        <v>0.33728009259259256</v>
      </c>
      <c r="H17" s="61"/>
      <c r="I17" s="61"/>
      <c r="J17" s="59">
        <v>0.36446759259259259</v>
      </c>
      <c r="K17" s="61"/>
      <c r="L17" s="62"/>
    </row>
    <row r="18" spans="1:12" ht="15.75" thickTop="1" x14ac:dyDescent="0.25">
      <c r="A18" t="s">
        <v>132</v>
      </c>
      <c r="B18" s="29"/>
      <c r="C18" s="9" t="s">
        <v>3</v>
      </c>
      <c r="E18" s="53"/>
      <c r="F18" s="54">
        <v>0.3374537037037037</v>
      </c>
      <c r="G18" s="54">
        <v>0.33776620370370369</v>
      </c>
      <c r="H18" s="55"/>
      <c r="I18" s="55"/>
      <c r="J18" s="54">
        <v>0.35717592592592595</v>
      </c>
      <c r="K18" s="56"/>
      <c r="L18" s="57"/>
    </row>
    <row r="19" spans="1:12" x14ac:dyDescent="0.25">
      <c r="A19" t="s">
        <v>133</v>
      </c>
      <c r="C19" s="9" t="s">
        <v>3</v>
      </c>
      <c r="E19" s="58"/>
      <c r="F19" s="59">
        <v>0.33753472222222225</v>
      </c>
      <c r="G19" s="60">
        <v>0.33778935185185183</v>
      </c>
      <c r="H19" s="61"/>
      <c r="I19" s="61"/>
      <c r="J19" s="59">
        <v>0.34365740740740741</v>
      </c>
      <c r="K19" s="61"/>
      <c r="L19" s="62"/>
    </row>
    <row r="20" spans="1:12" x14ac:dyDescent="0.25">
      <c r="A20" t="s">
        <v>134</v>
      </c>
      <c r="C20" s="9" t="s">
        <v>3</v>
      </c>
      <c r="E20" s="53"/>
      <c r="F20" s="54">
        <v>0.33807870370370369</v>
      </c>
      <c r="G20" s="54">
        <v>0.33850694444444446</v>
      </c>
      <c r="H20" s="55"/>
      <c r="I20" s="55"/>
      <c r="J20" s="54">
        <v>0.35561342592592587</v>
      </c>
      <c r="K20" s="56"/>
      <c r="L20" s="57"/>
    </row>
    <row r="21" spans="1:12" x14ac:dyDescent="0.25">
      <c r="A21" t="s">
        <v>135</v>
      </c>
      <c r="C21" s="9" t="s">
        <v>3</v>
      </c>
      <c r="E21" s="58"/>
      <c r="F21" s="59">
        <v>0.33841435185185187</v>
      </c>
      <c r="G21" s="60">
        <v>0.3387384259259259</v>
      </c>
      <c r="H21" s="61"/>
      <c r="I21" s="61"/>
      <c r="J21" s="59">
        <v>0.34406249999999999</v>
      </c>
      <c r="K21" s="61"/>
      <c r="L21" s="62"/>
    </row>
    <row r="22" spans="1:12" x14ac:dyDescent="0.25">
      <c r="A22" t="s">
        <v>136</v>
      </c>
      <c r="C22" s="9" t="s">
        <v>3</v>
      </c>
      <c r="E22" s="53"/>
      <c r="F22" s="54">
        <v>0.33871527777777777</v>
      </c>
      <c r="G22" s="54">
        <v>0.33909722222222222</v>
      </c>
      <c r="H22" s="55"/>
      <c r="I22" s="55"/>
      <c r="J22" s="54">
        <v>0.35820601851851852</v>
      </c>
      <c r="K22" s="56"/>
      <c r="L22" s="57"/>
    </row>
    <row r="23" spans="1:12" x14ac:dyDescent="0.25">
      <c r="E23" s="58"/>
      <c r="F23" s="59">
        <v>0.33913194444444444</v>
      </c>
      <c r="G23" s="60">
        <v>0.33953703703703703</v>
      </c>
      <c r="H23" s="61"/>
      <c r="I23" s="61"/>
      <c r="J23" s="59">
        <v>0.35519675925925925</v>
      </c>
      <c r="K23" s="61"/>
      <c r="L23" s="62"/>
    </row>
    <row r="24" spans="1:12" ht="18" thickBot="1" x14ac:dyDescent="0.35">
      <c r="A24" s="68" t="s">
        <v>124</v>
      </c>
      <c r="B24" s="68"/>
      <c r="C24" s="68"/>
      <c r="E24" s="53"/>
      <c r="F24" s="54">
        <v>0.33939814814814812</v>
      </c>
      <c r="G24" s="54">
        <v>0.33997685185185184</v>
      </c>
      <c r="H24" s="55"/>
      <c r="I24" s="55"/>
      <c r="J24" s="54">
        <v>0.35601851851851851</v>
      </c>
      <c r="K24" s="56"/>
      <c r="L24" s="57"/>
    </row>
    <row r="25" spans="1:12" ht="15.75" thickTop="1" x14ac:dyDescent="0.25">
      <c r="A25" t="s">
        <v>130</v>
      </c>
      <c r="C25" s="9" t="s">
        <v>4</v>
      </c>
      <c r="E25" s="58"/>
      <c r="F25" s="59">
        <v>0.33956018518518521</v>
      </c>
      <c r="G25" s="60">
        <v>0.33983796296296293</v>
      </c>
      <c r="H25" s="61"/>
      <c r="I25" s="61"/>
      <c r="J25" s="59">
        <v>0.35458333333333331</v>
      </c>
      <c r="K25" s="61"/>
      <c r="L25" s="62"/>
    </row>
    <row r="26" spans="1:12" x14ac:dyDescent="0.25">
      <c r="A26" t="s">
        <v>27</v>
      </c>
      <c r="C26" s="9" t="s">
        <v>4</v>
      </c>
      <c r="E26" s="53"/>
      <c r="F26" s="54">
        <v>0.33979166666666666</v>
      </c>
      <c r="G26" s="54">
        <v>0.34002314814814816</v>
      </c>
      <c r="H26" s="55"/>
      <c r="I26" s="55"/>
      <c r="J26" s="54">
        <v>0.35380787037037037</v>
      </c>
      <c r="K26" s="56"/>
      <c r="L26" s="57"/>
    </row>
    <row r="27" spans="1:12" x14ac:dyDescent="0.25">
      <c r="A27" t="s">
        <v>32</v>
      </c>
      <c r="B27" s="67"/>
      <c r="E27" s="58"/>
      <c r="F27" s="59">
        <v>0.34017361111111111</v>
      </c>
      <c r="G27" s="60">
        <v>0.3404861111111111</v>
      </c>
      <c r="H27" s="61"/>
      <c r="I27" s="61"/>
      <c r="J27" s="59">
        <v>0.35200231481481481</v>
      </c>
      <c r="K27" s="61"/>
      <c r="L27" s="62"/>
    </row>
    <row r="28" spans="1:12" x14ac:dyDescent="0.25">
      <c r="E28" s="53"/>
      <c r="F28" s="54">
        <v>0.34054398148148146</v>
      </c>
      <c r="G28" s="54">
        <v>0.34097222222222223</v>
      </c>
      <c r="H28" s="55"/>
      <c r="I28" s="55"/>
      <c r="J28" s="54">
        <v>0.35677083333333331</v>
      </c>
      <c r="K28" s="56"/>
      <c r="L28" s="57"/>
    </row>
    <row r="29" spans="1:12" x14ac:dyDescent="0.25">
      <c r="E29" s="58"/>
      <c r="F29" s="59">
        <v>0.34089120370370374</v>
      </c>
      <c r="G29" s="60">
        <v>0.34128472222222223</v>
      </c>
      <c r="H29" s="61"/>
      <c r="I29" s="61"/>
      <c r="J29" s="59">
        <v>0.3613425925925926</v>
      </c>
      <c r="K29" s="61"/>
      <c r="L29" s="62"/>
    </row>
    <row r="30" spans="1:12" x14ac:dyDescent="0.25">
      <c r="E30" s="53"/>
      <c r="F30" s="54">
        <v>0.34137731481481487</v>
      </c>
      <c r="G30" s="54">
        <v>0.34167824074074077</v>
      </c>
      <c r="H30" s="55"/>
      <c r="I30" s="55"/>
      <c r="J30" s="54">
        <v>0.36156250000000001</v>
      </c>
      <c r="K30" s="56"/>
      <c r="L30" s="57"/>
    </row>
    <row r="31" spans="1:12" x14ac:dyDescent="0.25">
      <c r="E31" s="58"/>
      <c r="F31" s="59">
        <v>0.34177083333333336</v>
      </c>
      <c r="G31" s="60">
        <v>0.34189814814814817</v>
      </c>
      <c r="H31" s="61"/>
      <c r="I31" s="61"/>
      <c r="J31" s="59">
        <v>0.36702546296296296</v>
      </c>
      <c r="K31" s="61"/>
      <c r="L31" s="62"/>
    </row>
    <row r="32" spans="1:12" x14ac:dyDescent="0.25">
      <c r="E32" s="53"/>
      <c r="F32" s="54">
        <v>0.34202546296296293</v>
      </c>
      <c r="G32" s="54">
        <v>0.34252314814814816</v>
      </c>
      <c r="H32" s="55"/>
      <c r="I32" s="55"/>
      <c r="J32" s="54">
        <v>0.35658564814814814</v>
      </c>
      <c r="K32" s="56"/>
      <c r="L32" s="57"/>
    </row>
    <row r="33" spans="1:12" x14ac:dyDescent="0.25">
      <c r="A33" s="69"/>
      <c r="B33" s="69"/>
      <c r="C33" s="69"/>
      <c r="E33" s="58"/>
      <c r="F33" s="59">
        <v>0.34244212962962961</v>
      </c>
      <c r="G33" s="60">
        <v>0.34274305555555556</v>
      </c>
      <c r="H33" s="61"/>
      <c r="I33" s="61"/>
      <c r="J33" s="59">
        <v>0.35334490740740737</v>
      </c>
      <c r="K33" s="61"/>
      <c r="L33" s="62"/>
    </row>
    <row r="34" spans="1:12" x14ac:dyDescent="0.25">
      <c r="E34" s="53"/>
      <c r="F34" s="54">
        <v>0.34271990740740743</v>
      </c>
      <c r="G34" s="54">
        <v>0.34288194444444442</v>
      </c>
      <c r="H34" s="55"/>
      <c r="I34" s="55"/>
      <c r="J34" s="54">
        <v>0.35616898148148146</v>
      </c>
      <c r="K34" s="56"/>
      <c r="L34" s="57"/>
    </row>
    <row r="35" spans="1:12" x14ac:dyDescent="0.25">
      <c r="E35" s="58"/>
      <c r="F35" s="59">
        <v>0.34281249999999996</v>
      </c>
      <c r="G35" s="60">
        <v>0.34328703703703706</v>
      </c>
      <c r="H35" s="61"/>
      <c r="I35" s="61"/>
      <c r="J35" s="59">
        <v>0.36503472222222227</v>
      </c>
      <c r="K35" s="61"/>
      <c r="L35" s="62"/>
    </row>
    <row r="36" spans="1:12" x14ac:dyDescent="0.25">
      <c r="E36" s="53"/>
      <c r="F36" s="54">
        <v>0.34318287037037037</v>
      </c>
      <c r="G36" s="54">
        <v>0.34347222222222223</v>
      </c>
      <c r="H36" s="55"/>
      <c r="I36" s="55"/>
      <c r="J36" s="54">
        <v>0.35609953703703701</v>
      </c>
      <c r="K36" s="56"/>
      <c r="L36" s="57"/>
    </row>
    <row r="37" spans="1:12" x14ac:dyDescent="0.25">
      <c r="E37" s="58"/>
      <c r="F37" s="59">
        <v>0.3434490740740741</v>
      </c>
      <c r="G37" s="60">
        <v>0.34381944444444446</v>
      </c>
      <c r="H37" s="61"/>
      <c r="I37" s="61"/>
      <c r="J37" s="59">
        <v>0.36138888888888893</v>
      </c>
      <c r="K37" s="61"/>
      <c r="L37" s="62"/>
    </row>
    <row r="38" spans="1:12" x14ac:dyDescent="0.25">
      <c r="E38" s="53"/>
      <c r="F38" s="54">
        <v>0.34364583333333337</v>
      </c>
      <c r="G38" s="54">
        <v>0.34399305555555554</v>
      </c>
      <c r="H38" s="55"/>
      <c r="I38" s="55"/>
      <c r="J38" s="54">
        <v>0.35508101851851853</v>
      </c>
      <c r="K38" s="56"/>
      <c r="L38" s="57"/>
    </row>
    <row r="39" spans="1:12" x14ac:dyDescent="0.25">
      <c r="E39" s="58"/>
      <c r="F39" s="59">
        <v>0.34394675925925927</v>
      </c>
      <c r="G39" s="60">
        <v>0.34415509259259264</v>
      </c>
      <c r="H39" s="61"/>
      <c r="I39" s="61"/>
      <c r="J39" s="59">
        <v>0.36384259259259261</v>
      </c>
      <c r="K39" s="61"/>
      <c r="L39" s="62"/>
    </row>
    <row r="40" spans="1:12" x14ac:dyDescent="0.25">
      <c r="E40" s="53"/>
      <c r="F40" s="54">
        <v>0.34423611111111113</v>
      </c>
      <c r="G40" s="54">
        <v>0.34471064814814811</v>
      </c>
      <c r="H40" s="55"/>
      <c r="I40" s="55"/>
      <c r="J40" s="54">
        <v>0.35939814814814813</v>
      </c>
      <c r="K40" s="56"/>
      <c r="L40" s="57"/>
    </row>
    <row r="41" spans="1:12" x14ac:dyDescent="0.25">
      <c r="E41" s="58"/>
      <c r="F41" s="59">
        <v>0.3445833333333333</v>
      </c>
      <c r="G41" s="60">
        <v>0.34517361111111117</v>
      </c>
      <c r="H41" s="61"/>
      <c r="I41" s="61"/>
      <c r="J41" s="59">
        <v>0.35248842592592594</v>
      </c>
      <c r="K41" s="61"/>
      <c r="L41" s="62"/>
    </row>
    <row r="42" spans="1:12" x14ac:dyDescent="0.25">
      <c r="E42" s="53"/>
      <c r="F42" s="54">
        <v>0.34489583333333335</v>
      </c>
      <c r="G42" s="54">
        <v>0.34506944444444443</v>
      </c>
      <c r="H42" s="55"/>
      <c r="I42" s="55"/>
      <c r="J42" s="54">
        <v>0.36239583333333331</v>
      </c>
      <c r="K42" s="56"/>
      <c r="L42" s="57"/>
    </row>
    <row r="43" spans="1:12" x14ac:dyDescent="0.25">
      <c r="E43" s="58"/>
      <c r="F43" s="59">
        <v>0.34534722222222225</v>
      </c>
      <c r="G43" s="60">
        <v>0.34564814814814815</v>
      </c>
      <c r="H43" s="61"/>
      <c r="I43" s="61"/>
      <c r="J43" s="59">
        <v>0.37208333333333332</v>
      </c>
      <c r="K43" s="61"/>
      <c r="L43" s="62"/>
    </row>
    <row r="44" spans="1:12" x14ac:dyDescent="0.25">
      <c r="E44" s="53"/>
      <c r="F44" s="54">
        <v>0.34559027777777779</v>
      </c>
      <c r="G44" s="54">
        <v>0.34592592592592591</v>
      </c>
      <c r="H44" s="55"/>
      <c r="I44" s="55"/>
      <c r="J44" s="54">
        <v>0.36903935185185183</v>
      </c>
      <c r="K44" s="56"/>
      <c r="L44" s="57"/>
    </row>
    <row r="45" spans="1:12" x14ac:dyDescent="0.25">
      <c r="E45" s="58"/>
      <c r="F45" s="59">
        <v>0.34582175925925923</v>
      </c>
      <c r="G45" s="60">
        <v>0.34615740740740741</v>
      </c>
      <c r="H45" s="61"/>
      <c r="I45" s="61"/>
      <c r="J45" s="59">
        <v>0.36185185185185187</v>
      </c>
      <c r="K45" s="61"/>
      <c r="L45" s="62"/>
    </row>
    <row r="46" spans="1:12" x14ac:dyDescent="0.25">
      <c r="E46" s="53"/>
      <c r="F46" s="54">
        <v>0.34604166666666664</v>
      </c>
      <c r="G46" s="54">
        <v>0.34651620370370373</v>
      </c>
      <c r="H46" s="55"/>
      <c r="I46" s="55"/>
      <c r="J46" s="54">
        <v>0.36017361111111112</v>
      </c>
      <c r="K46" s="56"/>
      <c r="L46" s="57"/>
    </row>
    <row r="47" spans="1:12" x14ac:dyDescent="0.25">
      <c r="E47" s="58"/>
      <c r="F47" s="59">
        <v>0.34626157407407404</v>
      </c>
      <c r="G47" s="60">
        <v>0.34659722222222222</v>
      </c>
      <c r="H47" s="61"/>
      <c r="I47" s="61"/>
      <c r="J47" s="59">
        <v>0.36266203703703703</v>
      </c>
      <c r="K47" s="61"/>
      <c r="L47" s="62"/>
    </row>
    <row r="48" spans="1:12" x14ac:dyDescent="0.25">
      <c r="E48" s="53"/>
      <c r="F48" s="54">
        <v>0.3468518518518518</v>
      </c>
      <c r="G48" s="54">
        <v>0.34716435185185185</v>
      </c>
      <c r="H48" s="55"/>
      <c r="I48" s="55"/>
      <c r="J48" s="54">
        <v>0.36373842592592592</v>
      </c>
      <c r="K48" s="56"/>
      <c r="L48" s="57"/>
    </row>
    <row r="49" spans="5:12" x14ac:dyDescent="0.25">
      <c r="E49" s="58"/>
      <c r="F49" s="59">
        <v>0.34712962962962962</v>
      </c>
      <c r="G49" s="60">
        <v>0.34741898148148148</v>
      </c>
      <c r="H49" s="61"/>
      <c r="I49" s="61"/>
      <c r="J49" s="59">
        <v>0.36474537037037041</v>
      </c>
      <c r="K49" s="61"/>
      <c r="L49" s="62"/>
    </row>
    <row r="50" spans="5:12" x14ac:dyDescent="0.25">
      <c r="E50" s="53"/>
      <c r="F50" s="54">
        <v>0.34740740740740739</v>
      </c>
      <c r="G50" s="54">
        <v>0.34775462962962966</v>
      </c>
      <c r="H50" s="55"/>
      <c r="I50" s="55"/>
      <c r="J50" s="54">
        <v>0.36405092592592592</v>
      </c>
      <c r="K50" s="56"/>
      <c r="L50" s="57"/>
    </row>
    <row r="51" spans="5:12" x14ac:dyDescent="0.25">
      <c r="E51" s="58"/>
      <c r="F51" s="59">
        <v>0.34785879629629629</v>
      </c>
      <c r="G51" s="60">
        <v>0.34814814814814815</v>
      </c>
      <c r="H51" s="61"/>
      <c r="I51" s="61"/>
      <c r="J51" s="59">
        <v>0.37956018518518514</v>
      </c>
      <c r="K51" s="61"/>
      <c r="L51" s="62"/>
    </row>
    <row r="52" spans="5:12" x14ac:dyDescent="0.25">
      <c r="E52" s="53"/>
      <c r="F52" s="54">
        <v>0.34814814814814815</v>
      </c>
      <c r="G52" s="54">
        <v>0.34865740740740742</v>
      </c>
      <c r="H52" s="55"/>
      <c r="I52" s="55"/>
      <c r="J52" s="54">
        <v>0.3640856481481482</v>
      </c>
      <c r="K52" s="56"/>
      <c r="L52" s="57"/>
    </row>
    <row r="53" spans="5:12" x14ac:dyDescent="0.25">
      <c r="E53" s="58"/>
      <c r="F53" s="59">
        <v>0.34836805555555556</v>
      </c>
      <c r="G53" s="60">
        <v>0.34870370370370374</v>
      </c>
      <c r="H53" s="61"/>
      <c r="I53" s="61"/>
      <c r="J53" s="59">
        <v>0.36131944444444447</v>
      </c>
      <c r="K53" s="61"/>
      <c r="L53" s="62"/>
    </row>
    <row r="54" spans="5:12" x14ac:dyDescent="0.25">
      <c r="E54" s="53"/>
      <c r="F54" s="54">
        <v>0.34851851851851851</v>
      </c>
      <c r="G54" s="54">
        <v>0.34871527777777778</v>
      </c>
      <c r="H54" s="55"/>
      <c r="I54" s="55"/>
      <c r="J54" s="54">
        <v>0.36611111111111111</v>
      </c>
      <c r="K54" s="56"/>
      <c r="L54" s="57"/>
    </row>
    <row r="55" spans="5:12" x14ac:dyDescent="0.25">
      <c r="E55" s="58"/>
      <c r="F55" s="59">
        <v>0.34887731481481482</v>
      </c>
      <c r="G55" s="60">
        <v>0.34938657407407409</v>
      </c>
      <c r="H55" s="61"/>
      <c r="I55" s="61"/>
      <c r="J55" s="59">
        <v>0.36075231481481485</v>
      </c>
      <c r="K55" s="61"/>
      <c r="L55" s="62"/>
    </row>
    <row r="56" spans="5:12" x14ac:dyDescent="0.25">
      <c r="E56" s="53"/>
      <c r="F56" s="54">
        <v>0.34907407407407409</v>
      </c>
      <c r="G56" s="54">
        <v>0.3495138888888889</v>
      </c>
      <c r="H56" s="55"/>
      <c r="I56" s="55"/>
      <c r="J56" s="54">
        <v>0.37565972222222221</v>
      </c>
      <c r="K56" s="56"/>
      <c r="L56" s="57"/>
    </row>
    <row r="57" spans="5:12" x14ac:dyDescent="0.25">
      <c r="E57" s="58"/>
      <c r="F57" s="59">
        <v>0.34936342592592595</v>
      </c>
      <c r="G57" s="60">
        <v>0.34995370370370371</v>
      </c>
      <c r="H57" s="61"/>
      <c r="I57" s="61"/>
      <c r="J57" s="59">
        <v>0.36409722222222224</v>
      </c>
      <c r="K57" s="61"/>
      <c r="L57" s="62"/>
    </row>
    <row r="58" spans="5:12" x14ac:dyDescent="0.25">
      <c r="E58" s="53"/>
      <c r="F58" s="54">
        <v>0.34950231481481481</v>
      </c>
      <c r="G58" s="54">
        <v>0.34976851851851848</v>
      </c>
      <c r="H58" s="55"/>
      <c r="I58" s="55"/>
      <c r="J58" s="54">
        <v>0.3674189814814815</v>
      </c>
      <c r="K58" s="56"/>
      <c r="L58" s="57"/>
    </row>
    <row r="59" spans="5:12" x14ac:dyDescent="0.25">
      <c r="E59" s="58"/>
      <c r="F59" s="59">
        <v>0.34983796296296293</v>
      </c>
      <c r="G59" s="60">
        <v>0.3502662037037037</v>
      </c>
      <c r="H59" s="61"/>
      <c r="I59" s="61"/>
      <c r="J59" s="59">
        <v>0.37229166666666669</v>
      </c>
      <c r="K59" s="61"/>
      <c r="L59" s="62"/>
    </row>
    <row r="60" spans="5:12" x14ac:dyDescent="0.25">
      <c r="E60" s="53"/>
      <c r="F60" s="54">
        <v>0.35030092592592593</v>
      </c>
      <c r="G60" s="54">
        <v>0.35049768518518515</v>
      </c>
      <c r="H60" s="55"/>
      <c r="I60" s="55"/>
      <c r="J60" s="54">
        <v>0.3656712962962963</v>
      </c>
      <c r="K60" s="56"/>
      <c r="L60" s="57"/>
    </row>
    <row r="61" spans="5:12" x14ac:dyDescent="0.25">
      <c r="E61" s="58"/>
      <c r="F61" s="59">
        <v>0.35061342592592593</v>
      </c>
      <c r="G61" s="60">
        <v>0.35114583333333332</v>
      </c>
      <c r="H61" s="61"/>
      <c r="I61" s="61"/>
      <c r="J61" s="59">
        <v>0.36756944444444445</v>
      </c>
      <c r="K61" s="61"/>
      <c r="L61" s="62"/>
    </row>
    <row r="62" spans="5:12" x14ac:dyDescent="0.25">
      <c r="E62" s="53"/>
      <c r="F62" s="54">
        <v>0.35101851851851856</v>
      </c>
      <c r="G62" s="54">
        <v>0.35125000000000001</v>
      </c>
      <c r="H62" s="55"/>
      <c r="I62" s="55"/>
      <c r="J62" s="54">
        <v>0.37096064814814816</v>
      </c>
      <c r="K62" s="56"/>
      <c r="L62" s="57"/>
    </row>
    <row r="63" spans="5:12" x14ac:dyDescent="0.25">
      <c r="E63" s="58"/>
      <c r="F63" s="59">
        <v>0.35149305555555554</v>
      </c>
      <c r="G63" s="60">
        <v>0.35190972222222222</v>
      </c>
      <c r="H63" s="61"/>
      <c r="I63" s="61"/>
      <c r="J63" s="59">
        <v>0.37048611111111113</v>
      </c>
      <c r="K63" s="61"/>
      <c r="L63" s="62"/>
    </row>
    <row r="64" spans="5:12" x14ac:dyDescent="0.25">
      <c r="E64" s="53"/>
      <c r="F64" s="54">
        <v>0.35164351851851849</v>
      </c>
      <c r="G64" s="54">
        <v>0.35188657407407403</v>
      </c>
      <c r="H64" s="55"/>
      <c r="I64" s="55"/>
      <c r="J64" s="54">
        <v>0.36644675925925929</v>
      </c>
      <c r="K64" s="56"/>
      <c r="L64" s="57"/>
    </row>
    <row r="65" spans="5:12" x14ac:dyDescent="0.25">
      <c r="E65" s="58"/>
      <c r="F65" s="59">
        <v>0.35194444444444445</v>
      </c>
      <c r="G65" s="60">
        <v>0.35236111111111112</v>
      </c>
      <c r="H65" s="61"/>
      <c r="I65" s="61"/>
      <c r="J65" s="59">
        <v>0.36684027777777778</v>
      </c>
      <c r="K65" s="61"/>
      <c r="L65" s="62"/>
    </row>
    <row r="66" spans="5:12" x14ac:dyDescent="0.25">
      <c r="E66" s="53"/>
      <c r="F66" s="54">
        <v>0.35236111111111112</v>
      </c>
      <c r="G66" s="54">
        <v>0.35262731481481485</v>
      </c>
      <c r="H66" s="55"/>
      <c r="I66" s="55"/>
      <c r="J66" s="54">
        <v>0.37435185185185182</v>
      </c>
      <c r="K66" s="56"/>
      <c r="L66" s="57"/>
    </row>
    <row r="67" spans="5:12" x14ac:dyDescent="0.25">
      <c r="E67" s="58"/>
      <c r="F67" s="59">
        <v>0.35274305555555552</v>
      </c>
      <c r="G67" s="60">
        <v>0.35304398148148147</v>
      </c>
      <c r="H67" s="61"/>
      <c r="I67" s="61"/>
      <c r="J67" s="59">
        <v>0.36909722222222219</v>
      </c>
      <c r="K67" s="61"/>
      <c r="L67" s="62"/>
    </row>
    <row r="68" spans="5:12" x14ac:dyDescent="0.25">
      <c r="E68" s="53"/>
      <c r="F68" s="54">
        <v>0.35290509259259256</v>
      </c>
      <c r="G68" s="54">
        <v>0.3532986111111111</v>
      </c>
      <c r="H68" s="55"/>
      <c r="I68" s="55"/>
      <c r="J68" s="54">
        <v>0.36944444444444446</v>
      </c>
      <c r="K68" s="56"/>
      <c r="L68" s="57"/>
    </row>
    <row r="69" spans="5:12" x14ac:dyDescent="0.25">
      <c r="E69" s="58"/>
      <c r="F69" s="59">
        <v>0.35339120370370369</v>
      </c>
      <c r="G69" s="60">
        <v>0.35365740740740742</v>
      </c>
      <c r="H69" s="61"/>
      <c r="I69" s="61"/>
      <c r="J69" s="59">
        <v>0.37564814814814818</v>
      </c>
      <c r="K69" s="61"/>
      <c r="L69" s="62"/>
    </row>
    <row r="70" spans="5:12" x14ac:dyDescent="0.25">
      <c r="E70" s="53"/>
      <c r="F70" s="54">
        <v>0.35371527777777773</v>
      </c>
      <c r="G70" s="54">
        <v>0.35408564814814819</v>
      </c>
      <c r="H70" s="55"/>
      <c r="I70" s="55"/>
      <c r="J70" s="54">
        <v>0.37229166666666669</v>
      </c>
      <c r="K70" s="56"/>
      <c r="L70" s="57"/>
    </row>
    <row r="71" spans="5:12" x14ac:dyDescent="0.25">
      <c r="E71" s="58"/>
      <c r="F71" s="59">
        <v>0.35418981481481482</v>
      </c>
      <c r="G71" s="60">
        <v>0.35459490740740746</v>
      </c>
      <c r="H71" s="61"/>
      <c r="I71" s="61"/>
      <c r="J71" s="59">
        <v>0.3741666666666667</v>
      </c>
      <c r="K71" s="61"/>
      <c r="L71" s="62"/>
    </row>
    <row r="72" spans="5:12" x14ac:dyDescent="0.25">
      <c r="E72" s="53"/>
      <c r="F72" s="54">
        <v>0.35438657407407409</v>
      </c>
      <c r="G72" s="54">
        <v>0.35473379629629626</v>
      </c>
      <c r="H72" s="55"/>
      <c r="I72" s="55"/>
      <c r="J72" s="54">
        <v>0.37435185185185182</v>
      </c>
      <c r="K72" s="56"/>
      <c r="L72" s="57"/>
    </row>
    <row r="73" spans="5:12" x14ac:dyDescent="0.25">
      <c r="E73" s="58"/>
      <c r="F73" s="59">
        <v>0.35488425925925932</v>
      </c>
      <c r="G73" s="60">
        <v>0.35519675925925925</v>
      </c>
      <c r="H73" s="61"/>
      <c r="I73" s="61"/>
      <c r="J73" s="59">
        <v>0.37648148148148147</v>
      </c>
      <c r="K73" s="61"/>
      <c r="L73" s="62"/>
    </row>
    <row r="74" spans="5:12" x14ac:dyDescent="0.25">
      <c r="E74" s="53"/>
      <c r="F74" s="54">
        <v>0.35533564814814816</v>
      </c>
      <c r="G74" s="54">
        <v>0.35559027777777774</v>
      </c>
      <c r="H74" s="55"/>
      <c r="I74" s="55"/>
      <c r="J74" s="54">
        <v>0.37449074074074074</v>
      </c>
      <c r="K74" s="56"/>
      <c r="L74" s="57"/>
    </row>
    <row r="75" spans="5:12" x14ac:dyDescent="0.25">
      <c r="E75" s="58"/>
      <c r="F75" s="59">
        <v>0.35570601851851852</v>
      </c>
      <c r="G75" s="60">
        <v>0.35616898148148146</v>
      </c>
      <c r="H75" s="61"/>
      <c r="I75" s="61"/>
      <c r="J75" s="59">
        <v>0.37862268518518521</v>
      </c>
      <c r="K75" s="61"/>
      <c r="L75" s="62"/>
    </row>
    <row r="76" spans="5:12" x14ac:dyDescent="0.25">
      <c r="E76" s="53"/>
      <c r="F76" s="54">
        <v>0.35606481481481483</v>
      </c>
      <c r="G76" s="54">
        <v>0.35635416666666669</v>
      </c>
      <c r="H76" s="55"/>
      <c r="I76" s="55"/>
      <c r="J76" s="54">
        <v>0.37532407407407403</v>
      </c>
      <c r="K76" s="56"/>
      <c r="L76" s="57"/>
    </row>
    <row r="77" spans="5:12" x14ac:dyDescent="0.25">
      <c r="E77" s="58"/>
      <c r="F77" s="59">
        <v>0.35625000000000001</v>
      </c>
      <c r="G77" s="60">
        <v>0.3566319444444444</v>
      </c>
      <c r="H77" s="61"/>
      <c r="I77" s="61"/>
      <c r="J77" s="59">
        <v>0.37407407407407406</v>
      </c>
      <c r="K77" s="61"/>
      <c r="L77" s="62"/>
    </row>
    <row r="78" spans="5:12" x14ac:dyDescent="0.25">
      <c r="E78" s="53"/>
      <c r="F78" s="54">
        <v>0.3566319444444444</v>
      </c>
      <c r="G78" s="54">
        <v>0.35690972222222223</v>
      </c>
      <c r="H78" s="55"/>
      <c r="I78" s="55"/>
      <c r="J78" s="54">
        <v>0.37686342592592598</v>
      </c>
      <c r="K78" s="56"/>
      <c r="L78" s="57"/>
    </row>
    <row r="79" spans="5:12" x14ac:dyDescent="0.25">
      <c r="E79" s="58"/>
      <c r="F79" s="59">
        <v>0.3571064814814815</v>
      </c>
      <c r="G79" s="60">
        <v>0.35760416666666667</v>
      </c>
      <c r="H79" s="61"/>
      <c r="I79" s="61"/>
      <c r="J79" s="59">
        <v>0.36432870370370374</v>
      </c>
      <c r="K79" s="61"/>
      <c r="L79" s="62"/>
    </row>
    <row r="80" spans="5:12" x14ac:dyDescent="0.25">
      <c r="E80" s="53"/>
      <c r="F80" s="54">
        <v>0.35738425925925926</v>
      </c>
      <c r="G80" s="54">
        <v>0.35769675925925926</v>
      </c>
      <c r="H80" s="55"/>
      <c r="I80" s="55"/>
      <c r="J80" s="54">
        <v>0.37702546296296297</v>
      </c>
      <c r="K80" s="56"/>
      <c r="L80" s="57"/>
    </row>
    <row r="81" spans="5:12" x14ac:dyDescent="0.25">
      <c r="E81" s="58"/>
      <c r="F81" s="59">
        <v>0.35765046296296293</v>
      </c>
      <c r="G81" s="60">
        <v>0.35809027777777774</v>
      </c>
      <c r="H81" s="61"/>
      <c r="I81" s="61"/>
      <c r="J81" s="59">
        <v>0.36958333333333332</v>
      </c>
      <c r="K81" s="61"/>
      <c r="L81" s="62"/>
    </row>
    <row r="82" spans="5:12" x14ac:dyDescent="0.25">
      <c r="E82" s="53"/>
      <c r="F82" s="54">
        <v>0.35818287037037039</v>
      </c>
      <c r="G82" s="54">
        <v>0.35835648148148147</v>
      </c>
      <c r="H82" s="55"/>
      <c r="I82" s="55"/>
      <c r="J82" s="54">
        <v>0.38586805555555559</v>
      </c>
      <c r="K82" s="56"/>
      <c r="L82" s="57"/>
    </row>
    <row r="83" spans="5:12" x14ac:dyDescent="0.25">
      <c r="E83" s="58"/>
      <c r="F83" s="59">
        <v>0.35853009259259255</v>
      </c>
      <c r="G83" s="60">
        <v>0.35891203703703706</v>
      </c>
      <c r="H83" s="61"/>
      <c r="I83" s="61"/>
      <c r="J83" s="59">
        <v>0.3777430555555556</v>
      </c>
      <c r="K83" s="61"/>
      <c r="L83" s="62"/>
    </row>
    <row r="84" spans="5:12" x14ac:dyDescent="0.25">
      <c r="E84" s="53"/>
      <c r="F84" s="54">
        <v>0.35874999999999996</v>
      </c>
      <c r="G84" s="54">
        <v>0.35912037037037042</v>
      </c>
      <c r="H84" s="55"/>
      <c r="I84" s="55"/>
      <c r="J84" s="54">
        <v>0.38616898148148149</v>
      </c>
      <c r="K84" s="56"/>
      <c r="L84" s="57"/>
    </row>
    <row r="85" spans="5:12" x14ac:dyDescent="0.25">
      <c r="E85" s="58"/>
      <c r="F85" s="59">
        <v>0.35918981481481477</v>
      </c>
      <c r="G85" s="60">
        <v>0.35976851851851849</v>
      </c>
      <c r="H85" s="61"/>
      <c r="I85" s="61"/>
      <c r="J85" s="59">
        <v>0.37281249999999999</v>
      </c>
      <c r="K85" s="61"/>
      <c r="L85" s="62"/>
    </row>
    <row r="86" spans="5:12" x14ac:dyDescent="0.25">
      <c r="E86" s="53"/>
      <c r="F86" s="54">
        <v>0.3595949074074074</v>
      </c>
      <c r="G86" s="54">
        <v>0.35986111111111113</v>
      </c>
      <c r="H86" s="55"/>
      <c r="I86" s="55"/>
      <c r="J86" s="54">
        <v>0.37644675925925924</v>
      </c>
      <c r="K86" s="56"/>
      <c r="L86" s="57"/>
    </row>
    <row r="87" spans="5:12" x14ac:dyDescent="0.25">
      <c r="E87" s="58"/>
      <c r="F87" s="59">
        <v>0.35995370370370372</v>
      </c>
      <c r="G87" s="60">
        <v>0.3602893518518519</v>
      </c>
      <c r="H87" s="61"/>
      <c r="I87" s="61"/>
      <c r="J87" s="59">
        <v>0.38248842592592597</v>
      </c>
      <c r="K87" s="61"/>
      <c r="L87" s="62"/>
    </row>
    <row r="88" spans="5:12" x14ac:dyDescent="0.25">
      <c r="E88" s="53"/>
      <c r="F88" s="54">
        <v>0.36018518518518516</v>
      </c>
      <c r="G88" s="54">
        <v>0.36056712962962961</v>
      </c>
      <c r="H88" s="55"/>
      <c r="I88" s="55"/>
      <c r="J88" s="54">
        <v>0.37403935185185189</v>
      </c>
      <c r="K88" s="56"/>
      <c r="L88" s="57"/>
    </row>
    <row r="89" spans="5:12" x14ac:dyDescent="0.25">
      <c r="E89" s="58"/>
      <c r="F89" s="59">
        <v>0.36043981481481485</v>
      </c>
      <c r="G89" s="60">
        <v>0.36085648148148147</v>
      </c>
      <c r="H89" s="61"/>
      <c r="I89" s="61"/>
      <c r="J89" s="59">
        <v>0.37099537037037034</v>
      </c>
      <c r="K89" s="61"/>
      <c r="L89" s="62"/>
    </row>
    <row r="90" spans="5:12" x14ac:dyDescent="0.25">
      <c r="E90" s="53"/>
      <c r="F90" s="54">
        <v>0.36101851851851857</v>
      </c>
      <c r="G90" s="54">
        <v>0.36121527777777779</v>
      </c>
      <c r="H90" s="55"/>
      <c r="I90" s="55"/>
      <c r="J90" s="54">
        <v>0.37459490740740736</v>
      </c>
      <c r="K90" s="56"/>
      <c r="L90" s="57"/>
    </row>
    <row r="91" spans="5:12" x14ac:dyDescent="0.25">
      <c r="E91" s="58"/>
      <c r="F91" s="59">
        <v>0.36125000000000002</v>
      </c>
      <c r="G91" s="60">
        <v>0.36160879629629633</v>
      </c>
      <c r="H91" s="61"/>
      <c r="I91" s="61"/>
      <c r="J91" s="59">
        <v>0.38417824074074075</v>
      </c>
      <c r="K91" s="61"/>
      <c r="L91" s="62"/>
    </row>
    <row r="92" spans="5:12" x14ac:dyDescent="0.25">
      <c r="E92" s="53"/>
      <c r="F92" s="54">
        <v>0.36167824074074079</v>
      </c>
      <c r="G92" s="54">
        <v>0.36206018518518518</v>
      </c>
      <c r="H92" s="55"/>
      <c r="I92" s="55"/>
      <c r="J92" s="54">
        <v>0.38606481481481486</v>
      </c>
      <c r="K92" s="56"/>
      <c r="L92" s="57"/>
    </row>
    <row r="93" spans="5:12" x14ac:dyDescent="0.25">
      <c r="E93" s="58"/>
      <c r="F93" s="59">
        <v>0.36181712962962959</v>
      </c>
      <c r="G93" s="60">
        <v>0.36223379629629626</v>
      </c>
      <c r="H93" s="61"/>
      <c r="I93" s="61"/>
      <c r="J93" s="59">
        <v>0.38125000000000003</v>
      </c>
      <c r="K93" s="61"/>
      <c r="L93" s="62"/>
    </row>
    <row r="94" spans="5:12" x14ac:dyDescent="0.25">
      <c r="E94" s="53"/>
      <c r="F94" s="54">
        <v>0.36232638888888885</v>
      </c>
      <c r="G94" s="54">
        <v>0.36271990740740739</v>
      </c>
      <c r="H94" s="55"/>
      <c r="I94" s="55"/>
      <c r="J94" s="54">
        <v>0.38016203703703705</v>
      </c>
      <c r="K94" s="56"/>
      <c r="L94" s="57"/>
    </row>
    <row r="95" spans="5:12" x14ac:dyDescent="0.25">
      <c r="E95" s="58"/>
      <c r="F95" s="59">
        <v>0.3626967592592592</v>
      </c>
      <c r="G95" s="60">
        <v>0.36306712962962967</v>
      </c>
      <c r="H95" s="61"/>
      <c r="I95" s="61"/>
      <c r="J95" s="59">
        <v>0.38270833333333337</v>
      </c>
      <c r="K95" s="61"/>
      <c r="L95" s="62"/>
    </row>
    <row r="96" spans="5:12" x14ac:dyDescent="0.25">
      <c r="E96" s="53"/>
      <c r="F96" s="54">
        <v>0.36306712962962967</v>
      </c>
      <c r="G96" s="54">
        <v>0.36350694444444448</v>
      </c>
      <c r="H96" s="55"/>
      <c r="I96" s="55"/>
      <c r="J96" s="54">
        <v>0.38056712962962963</v>
      </c>
      <c r="K96" s="56"/>
      <c r="L96" s="57"/>
    </row>
    <row r="97" spans="5:12" x14ac:dyDescent="0.25">
      <c r="E97" s="58"/>
      <c r="F97" s="59">
        <v>0.3633912037037037</v>
      </c>
      <c r="G97" s="60">
        <v>0.36376157407407406</v>
      </c>
      <c r="H97" s="61"/>
      <c r="I97" s="61"/>
      <c r="J97" s="59">
        <v>0.37474537037037042</v>
      </c>
      <c r="K97" s="61"/>
      <c r="L97" s="62"/>
    </row>
    <row r="98" spans="5:12" x14ac:dyDescent="0.25">
      <c r="E98" s="53"/>
      <c r="F98" s="54">
        <v>0.36383101851851851</v>
      </c>
      <c r="G98" s="54">
        <v>0.36429398148148145</v>
      </c>
      <c r="H98" s="55"/>
      <c r="I98" s="55"/>
      <c r="J98" s="54">
        <v>0.38744212962962959</v>
      </c>
      <c r="K98" s="56"/>
      <c r="L98" s="57"/>
    </row>
    <row r="99" spans="5:12" x14ac:dyDescent="0.25">
      <c r="E99" s="58"/>
      <c r="F99" s="59">
        <v>0.36424768518518519</v>
      </c>
      <c r="G99" s="60">
        <v>0.3643055555555556</v>
      </c>
      <c r="H99" s="61"/>
      <c r="I99" s="61"/>
      <c r="J99" s="59">
        <v>0.37811342592592595</v>
      </c>
      <c r="K99" s="61"/>
      <c r="L99" s="62"/>
    </row>
    <row r="100" spans="5:12" x14ac:dyDescent="0.25">
      <c r="E100" s="53"/>
      <c r="F100" s="54">
        <v>0.36461805555555554</v>
      </c>
      <c r="G100" s="54">
        <v>0.36489583333333336</v>
      </c>
      <c r="H100" s="55"/>
      <c r="I100" s="55"/>
      <c r="J100" s="54">
        <v>0.38046296296296295</v>
      </c>
      <c r="K100" s="56"/>
      <c r="L100" s="57"/>
    </row>
    <row r="101" spans="5:12" x14ac:dyDescent="0.25">
      <c r="E101" s="58"/>
      <c r="F101" s="59">
        <v>0.36483796296296295</v>
      </c>
      <c r="G101" s="60">
        <v>0.36535879629629631</v>
      </c>
      <c r="H101" s="61"/>
      <c r="I101" s="61"/>
      <c r="J101" s="59">
        <v>0.38302083333333337</v>
      </c>
      <c r="K101" s="61"/>
      <c r="L101" s="62"/>
    </row>
    <row r="102" spans="5:12" x14ac:dyDescent="0.25">
      <c r="E102" s="53"/>
      <c r="F102" s="54">
        <v>0.36497685185185186</v>
      </c>
      <c r="G102" s="54">
        <v>0.36541666666666667</v>
      </c>
      <c r="H102" s="55"/>
      <c r="I102" s="55"/>
      <c r="J102" s="54">
        <v>0.37174768518518514</v>
      </c>
      <c r="K102" s="56"/>
      <c r="L102" s="57"/>
    </row>
    <row r="103" spans="5:12" x14ac:dyDescent="0.25">
      <c r="E103" s="58"/>
      <c r="F103" s="59">
        <v>0.36530092592592589</v>
      </c>
      <c r="G103" s="60">
        <v>0.36579861111111112</v>
      </c>
      <c r="H103" s="61"/>
      <c r="I103" s="61"/>
      <c r="J103" s="59">
        <v>0.38075231481481481</v>
      </c>
      <c r="K103" s="61"/>
      <c r="L103" s="62"/>
    </row>
    <row r="104" spans="5:12" x14ac:dyDescent="0.25">
      <c r="E104" s="53"/>
      <c r="F104" s="54">
        <v>0.36549768518518522</v>
      </c>
      <c r="G104" s="54">
        <v>0.36564814814814817</v>
      </c>
      <c r="H104" s="55"/>
      <c r="I104" s="55"/>
      <c r="J104" s="54">
        <v>0.38988425925925929</v>
      </c>
      <c r="K104" s="56"/>
      <c r="L104" s="57"/>
    </row>
    <row r="105" spans="5:12" x14ac:dyDescent="0.25">
      <c r="E105" s="58"/>
      <c r="F105" s="59">
        <v>0.36559027777777775</v>
      </c>
      <c r="G105" s="60">
        <v>0.36600694444444443</v>
      </c>
      <c r="H105" s="61"/>
      <c r="I105" s="61"/>
      <c r="J105" s="59">
        <v>0.38627314814814812</v>
      </c>
      <c r="K105" s="61"/>
      <c r="L105" s="62"/>
    </row>
    <row r="106" spans="5:12" x14ac:dyDescent="0.25">
      <c r="E106" s="53"/>
      <c r="F106" s="54">
        <v>0.36607638888888888</v>
      </c>
      <c r="G106" s="54">
        <v>0.3661921296296296</v>
      </c>
      <c r="H106" s="55"/>
      <c r="I106" s="55"/>
      <c r="J106" s="54">
        <v>0.38406249999999997</v>
      </c>
      <c r="K106" s="56"/>
      <c r="L106" s="57"/>
    </row>
    <row r="107" spans="5:12" x14ac:dyDescent="0.25">
      <c r="E107" s="58"/>
      <c r="F107" s="59">
        <v>0.36648148148148146</v>
      </c>
      <c r="G107" s="60">
        <v>0.3667361111111111</v>
      </c>
      <c r="H107" s="61"/>
      <c r="I107" s="61"/>
      <c r="J107" s="59">
        <v>0.38096064814814817</v>
      </c>
      <c r="K107" s="61"/>
      <c r="L107" s="62"/>
    </row>
    <row r="108" spans="5:12" x14ac:dyDescent="0.25">
      <c r="E108" s="53"/>
      <c r="F108" s="54">
        <v>0.36672453703703706</v>
      </c>
      <c r="G108" s="54">
        <v>0.36711805555555554</v>
      </c>
      <c r="H108" s="55"/>
      <c r="I108" s="55"/>
      <c r="J108" s="54">
        <v>0.38450231481481478</v>
      </c>
      <c r="K108" s="56"/>
      <c r="L108" s="57"/>
    </row>
    <row r="109" spans="5:12" x14ac:dyDescent="0.25">
      <c r="E109" s="58"/>
      <c r="F109" s="59">
        <v>0.36717592592592596</v>
      </c>
      <c r="G109" s="60">
        <v>0.36739583333333337</v>
      </c>
      <c r="H109" s="61"/>
      <c r="I109" s="61"/>
      <c r="J109" s="59">
        <v>0.39416666666666672</v>
      </c>
      <c r="K109" s="61"/>
      <c r="L109" s="62"/>
    </row>
    <row r="110" spans="5:12" x14ac:dyDescent="0.25">
      <c r="E110" s="53"/>
      <c r="F110" s="54">
        <v>0.3677199074074074</v>
      </c>
      <c r="G110" s="54">
        <v>0.36807870370370371</v>
      </c>
      <c r="H110" s="55"/>
      <c r="I110" s="55"/>
      <c r="J110" s="54">
        <v>0.3868402777777778</v>
      </c>
      <c r="K110" s="56"/>
      <c r="L110" s="57"/>
    </row>
    <row r="111" spans="5:12" x14ac:dyDescent="0.25">
      <c r="E111" s="58"/>
      <c r="F111" s="59">
        <v>0.36805555555555558</v>
      </c>
      <c r="G111" s="60">
        <v>0.36849537037037039</v>
      </c>
      <c r="H111" s="61"/>
      <c r="I111" s="61"/>
      <c r="J111" s="59">
        <v>0.3856944444444444</v>
      </c>
      <c r="K111" s="61"/>
      <c r="L111" s="62"/>
    </row>
    <row r="112" spans="5:12" x14ac:dyDescent="0.25">
      <c r="E112" s="53"/>
      <c r="F112" s="54">
        <v>0.36833333333333335</v>
      </c>
      <c r="G112" s="54">
        <v>0.36856481481481485</v>
      </c>
      <c r="H112" s="55"/>
      <c r="I112" s="55"/>
      <c r="J112" s="54">
        <v>0.3914583333333333</v>
      </c>
      <c r="K112" s="56"/>
      <c r="L112" s="57"/>
    </row>
    <row r="113" spans="5:12" x14ac:dyDescent="0.25">
      <c r="E113" s="58"/>
      <c r="F113" s="59">
        <v>0.36866898148148147</v>
      </c>
      <c r="G113" s="60">
        <v>0.36928240740740742</v>
      </c>
      <c r="H113" s="61"/>
      <c r="I113" s="61"/>
      <c r="J113" s="59">
        <v>0.38501157407407405</v>
      </c>
      <c r="K113" s="61"/>
      <c r="L113" s="62"/>
    </row>
    <row r="114" spans="5:12" x14ac:dyDescent="0.25">
      <c r="E114" s="53"/>
      <c r="F114" s="54">
        <v>0.36888888888888888</v>
      </c>
      <c r="G114" s="54">
        <v>0.36930555555555555</v>
      </c>
      <c r="H114" s="55"/>
      <c r="I114" s="55"/>
      <c r="J114" s="54">
        <v>0.38351851851851854</v>
      </c>
      <c r="K114" s="56"/>
      <c r="L114" s="57"/>
    </row>
    <row r="115" spans="5:12" x14ac:dyDescent="0.25">
      <c r="E115" s="58"/>
      <c r="F115" s="59">
        <v>0.36921296296296297</v>
      </c>
      <c r="G115" s="60">
        <v>0.36936342592592591</v>
      </c>
      <c r="H115" s="61"/>
      <c r="I115" s="61"/>
      <c r="J115" s="59">
        <v>0.3941898148148148</v>
      </c>
      <c r="K115" s="61"/>
      <c r="L115" s="62"/>
    </row>
    <row r="116" spans="5:12" x14ac:dyDescent="0.25">
      <c r="E116" s="53"/>
      <c r="F116" s="54">
        <v>0.36957175925925928</v>
      </c>
      <c r="G116" s="54">
        <v>0.36994212962962963</v>
      </c>
      <c r="H116" s="55"/>
      <c r="I116" s="55"/>
      <c r="J116" s="54">
        <v>0.38535879629629632</v>
      </c>
      <c r="K116" s="56"/>
      <c r="L116" s="57"/>
    </row>
    <row r="117" spans="5:12" x14ac:dyDescent="0.25">
      <c r="E117" s="58"/>
      <c r="F117" s="59">
        <v>0.37000000000000005</v>
      </c>
      <c r="G117" s="60">
        <v>0.37026620370370367</v>
      </c>
      <c r="H117" s="61"/>
      <c r="I117" s="61"/>
      <c r="J117" s="59">
        <v>0.39695601851851853</v>
      </c>
      <c r="K117" s="61"/>
      <c r="L117" s="62"/>
    </row>
    <row r="118" spans="5:12" x14ac:dyDescent="0.25">
      <c r="E118" s="53"/>
      <c r="F118" s="54">
        <v>0.37031249999999999</v>
      </c>
      <c r="G118" s="54">
        <v>0.3706828703703704</v>
      </c>
      <c r="H118" s="55"/>
      <c r="I118" s="55"/>
      <c r="J118" s="54">
        <v>0.38796296296296301</v>
      </c>
      <c r="K118" s="56"/>
      <c r="L118" s="57"/>
    </row>
    <row r="119" spans="5:12" x14ac:dyDescent="0.25">
      <c r="E119" s="58"/>
      <c r="F119" s="59">
        <v>0.3705092592592592</v>
      </c>
      <c r="G119" s="60">
        <v>0.37076388888888889</v>
      </c>
      <c r="H119" s="61"/>
      <c r="I119" s="61"/>
      <c r="J119" s="59">
        <v>0.38989583333333333</v>
      </c>
      <c r="K119" s="61"/>
      <c r="L119" s="62"/>
    </row>
    <row r="120" spans="5:12" x14ac:dyDescent="0.25">
      <c r="E120" s="53"/>
      <c r="F120" s="54">
        <v>0.37097222222222226</v>
      </c>
      <c r="G120" s="54">
        <v>0.37118055555555557</v>
      </c>
      <c r="H120" s="55"/>
      <c r="I120" s="55"/>
      <c r="J120" s="54">
        <v>0.38949074074074069</v>
      </c>
      <c r="K120" s="56"/>
      <c r="L120" s="57"/>
    </row>
    <row r="121" spans="5:12" x14ac:dyDescent="0.25">
      <c r="E121" s="58"/>
      <c r="F121" s="59">
        <v>0.37136574074074075</v>
      </c>
      <c r="G121" s="60">
        <v>0.37153935185185188</v>
      </c>
      <c r="H121" s="61"/>
      <c r="I121" s="61"/>
      <c r="J121" s="59">
        <v>0.39393518518518517</v>
      </c>
      <c r="K121" s="61"/>
      <c r="L121" s="62"/>
    </row>
    <row r="122" spans="5:12" x14ac:dyDescent="0.25">
      <c r="E122" s="53"/>
      <c r="F122" s="54">
        <v>0.37146990740740743</v>
      </c>
      <c r="G122" s="54">
        <v>0.37172453703703701</v>
      </c>
      <c r="H122" s="55"/>
      <c r="I122" s="55"/>
      <c r="J122" s="54">
        <v>0.38523148148148145</v>
      </c>
      <c r="K122" s="56"/>
      <c r="L122" s="57"/>
    </row>
    <row r="123" spans="5:12" x14ac:dyDescent="0.25">
      <c r="E123" s="58"/>
      <c r="F123" s="59">
        <v>0.37179398148148146</v>
      </c>
      <c r="G123" s="60">
        <v>0.3721180555555556</v>
      </c>
      <c r="H123" s="61"/>
      <c r="I123" s="61"/>
      <c r="J123" s="59">
        <v>0.38890046296296293</v>
      </c>
      <c r="K123" s="61"/>
      <c r="L123" s="62"/>
    </row>
    <row r="124" spans="5:12" x14ac:dyDescent="0.25">
      <c r="E124" s="53"/>
      <c r="F124" s="54">
        <v>0.37208333333333332</v>
      </c>
      <c r="G124" s="54">
        <v>0.37253472222222223</v>
      </c>
      <c r="H124" s="55"/>
      <c r="I124" s="55"/>
      <c r="J124" s="54">
        <v>0.38855324074074077</v>
      </c>
      <c r="K124" s="56"/>
      <c r="L124" s="57"/>
    </row>
    <row r="125" spans="5:12" x14ac:dyDescent="0.25">
      <c r="E125" s="58"/>
      <c r="F125" s="59">
        <v>0.37243055555555554</v>
      </c>
      <c r="G125" s="60">
        <v>0.3727314814814815</v>
      </c>
      <c r="H125" s="61"/>
      <c r="I125" s="61"/>
      <c r="J125" s="59">
        <v>0.39293981481481483</v>
      </c>
      <c r="K125" s="61"/>
      <c r="L125" s="62"/>
    </row>
    <row r="126" spans="5:12" x14ac:dyDescent="0.25">
      <c r="E126" s="53"/>
      <c r="F126" s="54">
        <v>0.37268518518518517</v>
      </c>
      <c r="G126" s="54">
        <v>0.37310185185185185</v>
      </c>
      <c r="H126" s="55"/>
      <c r="I126" s="55"/>
      <c r="J126" s="54">
        <v>0.3832638888888889</v>
      </c>
      <c r="K126" s="56"/>
      <c r="L126" s="57"/>
    </row>
    <row r="127" spans="5:12" x14ac:dyDescent="0.25">
      <c r="E127" s="58"/>
      <c r="F127" s="59">
        <v>0.3730324074074074</v>
      </c>
      <c r="G127" s="60">
        <v>0.37335648148148143</v>
      </c>
      <c r="H127" s="61"/>
      <c r="I127" s="61"/>
      <c r="J127" s="59">
        <v>0.3883449074074074</v>
      </c>
      <c r="K127" s="61"/>
      <c r="L127" s="62"/>
    </row>
    <row r="128" spans="5:12" x14ac:dyDescent="0.25">
      <c r="E128" s="53"/>
      <c r="F128" s="54">
        <v>0.37334490740740739</v>
      </c>
      <c r="G128" s="54">
        <v>0.37356481481481479</v>
      </c>
      <c r="H128" s="55"/>
      <c r="I128" s="55"/>
      <c r="J128" s="54">
        <v>0.39690972222222221</v>
      </c>
      <c r="K128" s="56"/>
      <c r="L128" s="57"/>
    </row>
    <row r="129" spans="5:12" x14ac:dyDescent="0.25">
      <c r="E129" s="58"/>
      <c r="F129" s="59">
        <v>0.37359953703703702</v>
      </c>
      <c r="G129" s="60">
        <v>0.37388888888888888</v>
      </c>
      <c r="H129" s="61"/>
      <c r="I129" s="61"/>
      <c r="J129" s="59">
        <v>0.39749999999999996</v>
      </c>
      <c r="K129" s="61"/>
      <c r="L129" s="62"/>
    </row>
    <row r="130" spans="5:12" x14ac:dyDescent="0.25">
      <c r="E130" s="53"/>
      <c r="F130" s="54">
        <v>0.37387731481481484</v>
      </c>
      <c r="G130" s="54">
        <v>0.37427083333333333</v>
      </c>
      <c r="H130" s="55"/>
      <c r="I130" s="55"/>
      <c r="J130" s="54">
        <v>0.39431712962962967</v>
      </c>
      <c r="K130" s="56"/>
      <c r="L130" s="57"/>
    </row>
    <row r="131" spans="5:12" x14ac:dyDescent="0.25">
      <c r="E131" s="58"/>
      <c r="F131" s="59">
        <v>0.37405092592592593</v>
      </c>
      <c r="G131" s="60">
        <v>0.37434027777777779</v>
      </c>
      <c r="H131" s="61"/>
      <c r="I131" s="61"/>
      <c r="J131" s="59">
        <v>0.38787037037037037</v>
      </c>
      <c r="K131" s="61"/>
      <c r="L131" s="62"/>
    </row>
    <row r="132" spans="5:12" x14ac:dyDescent="0.25">
      <c r="E132" s="53"/>
      <c r="F132" s="54">
        <v>0.37452546296296302</v>
      </c>
      <c r="G132" s="54">
        <v>0.37493055555555554</v>
      </c>
      <c r="H132" s="55"/>
      <c r="I132" s="55"/>
      <c r="J132" s="54">
        <v>0.38818287037037041</v>
      </c>
      <c r="K132" s="56"/>
      <c r="L132" s="57"/>
    </row>
    <row r="133" spans="5:12" x14ac:dyDescent="0.25">
      <c r="E133" s="58"/>
      <c r="F133" s="59">
        <v>0.37483796296296296</v>
      </c>
      <c r="G133" s="60">
        <v>0.37524305555555554</v>
      </c>
      <c r="H133" s="61"/>
      <c r="I133" s="61"/>
      <c r="J133" s="59">
        <v>0.393125</v>
      </c>
      <c r="K133" s="61"/>
      <c r="L133" s="62"/>
    </row>
    <row r="134" spans="5:12" x14ac:dyDescent="0.25">
      <c r="E134" s="53"/>
      <c r="F134" s="54">
        <v>0.37518518518518523</v>
      </c>
      <c r="G134" s="54">
        <v>0.37549768518518517</v>
      </c>
      <c r="H134" s="55"/>
      <c r="I134" s="55"/>
      <c r="J134" s="54">
        <v>0.39155092592592594</v>
      </c>
      <c r="K134" s="56"/>
      <c r="L134" s="57"/>
    </row>
    <row r="135" spans="5:12" x14ac:dyDescent="0.25">
      <c r="E135" s="58"/>
      <c r="F135" s="59">
        <v>0.3753009259259259</v>
      </c>
      <c r="G135" s="60">
        <v>0.37581018518518516</v>
      </c>
      <c r="H135" s="61"/>
      <c r="I135" s="61"/>
      <c r="J135" s="59">
        <v>0.40636574074074078</v>
      </c>
      <c r="K135" s="61"/>
      <c r="L135" s="62"/>
    </row>
    <row r="136" spans="5:12" x14ac:dyDescent="0.25">
      <c r="E136" s="53"/>
      <c r="F136" s="54">
        <v>0.37582175925925926</v>
      </c>
      <c r="G136" s="54">
        <v>0.37612268518518516</v>
      </c>
      <c r="H136" s="55"/>
      <c r="I136" s="55"/>
      <c r="J136" s="54">
        <v>0.39568287037037037</v>
      </c>
      <c r="K136" s="56"/>
      <c r="L136" s="57"/>
    </row>
    <row r="137" spans="5:12" x14ac:dyDescent="0.25">
      <c r="E137" s="58"/>
      <c r="F137" s="59">
        <v>0.37624999999999997</v>
      </c>
      <c r="G137" s="60">
        <v>0.37666666666666665</v>
      </c>
      <c r="H137" s="61"/>
      <c r="I137" s="61"/>
      <c r="J137" s="59">
        <v>0.39783564814814815</v>
      </c>
      <c r="K137" s="61"/>
      <c r="L137" s="62"/>
    </row>
    <row r="138" spans="5:12" x14ac:dyDescent="0.25">
      <c r="E138" s="53"/>
      <c r="F138" s="54">
        <v>0.37675925925925924</v>
      </c>
      <c r="G138" s="54">
        <v>0.37715277777777773</v>
      </c>
      <c r="H138" s="55"/>
      <c r="I138" s="55"/>
      <c r="J138" s="54">
        <v>0.39932870370370371</v>
      </c>
      <c r="K138" s="56"/>
      <c r="L138" s="57"/>
    </row>
    <row r="139" spans="5:12" x14ac:dyDescent="0.25">
      <c r="E139" s="58"/>
      <c r="F139" s="59">
        <v>0.37709490740740742</v>
      </c>
      <c r="G139" s="60">
        <v>0.37744212962962959</v>
      </c>
      <c r="H139" s="61"/>
      <c r="I139" s="61"/>
      <c r="J139" s="59">
        <v>0.39314814814814819</v>
      </c>
      <c r="K139" s="61"/>
      <c r="L139" s="62"/>
    </row>
    <row r="140" spans="5:12" x14ac:dyDescent="0.25">
      <c r="E140" s="53"/>
      <c r="F140" s="54">
        <v>0.37736111111111109</v>
      </c>
      <c r="G140" s="54">
        <v>0.37770833333333331</v>
      </c>
      <c r="H140" s="55"/>
      <c r="I140" s="55"/>
      <c r="J140" s="54">
        <v>0.39093749999999999</v>
      </c>
      <c r="K140" s="56"/>
      <c r="L140" s="57"/>
    </row>
    <row r="141" spans="5:12" x14ac:dyDescent="0.25">
      <c r="E141" s="58"/>
      <c r="F141" s="59">
        <v>0.37743055555555555</v>
      </c>
      <c r="G141" s="60">
        <v>0.37775462962962963</v>
      </c>
      <c r="H141" s="61"/>
      <c r="I141" s="61"/>
      <c r="J141" s="59">
        <v>0.39775462962962965</v>
      </c>
      <c r="K141" s="61"/>
      <c r="L141" s="62"/>
    </row>
    <row r="142" spans="5:12" x14ac:dyDescent="0.25">
      <c r="E142" s="53"/>
      <c r="F142" s="54">
        <v>0.37760416666666669</v>
      </c>
      <c r="G142" s="54">
        <v>0.37815972222222222</v>
      </c>
      <c r="H142" s="55"/>
      <c r="I142" s="55"/>
      <c r="J142" s="54">
        <v>0.40049768518518519</v>
      </c>
      <c r="K142" s="56"/>
      <c r="L142" s="57"/>
    </row>
    <row r="143" spans="5:12" x14ac:dyDescent="0.25">
      <c r="E143" s="58"/>
      <c r="F143" s="59">
        <v>0.37778935185185186</v>
      </c>
      <c r="G143" s="60">
        <v>0.37819444444444444</v>
      </c>
      <c r="H143" s="61"/>
      <c r="I143" s="61"/>
      <c r="J143" s="59">
        <v>0.40111111111111114</v>
      </c>
      <c r="K143" s="61"/>
      <c r="L143" s="62"/>
    </row>
    <row r="144" spans="5:12" x14ac:dyDescent="0.25">
      <c r="E144" s="53"/>
      <c r="F144" s="54">
        <v>0.37812499999999999</v>
      </c>
      <c r="G144" s="54">
        <v>0.37837962962962962</v>
      </c>
      <c r="H144" s="55"/>
      <c r="I144" s="55"/>
      <c r="J144" s="54">
        <v>0.39761574074074074</v>
      </c>
      <c r="K144" s="56"/>
      <c r="L144" s="57"/>
    </row>
    <row r="145" spans="5:12" x14ac:dyDescent="0.25">
      <c r="E145" s="58"/>
      <c r="F145" s="59">
        <v>0.37861111111111106</v>
      </c>
      <c r="G145" s="60">
        <v>0.37900462962962966</v>
      </c>
      <c r="H145" s="61"/>
      <c r="I145" s="61"/>
      <c r="J145" s="59">
        <v>0.39699074074074076</v>
      </c>
      <c r="K145" s="61"/>
      <c r="L145" s="62"/>
    </row>
    <row r="146" spans="5:12" x14ac:dyDescent="0.25">
      <c r="E146" s="53"/>
      <c r="F146" s="54">
        <v>0.37900462962962966</v>
      </c>
      <c r="G146" s="54">
        <v>0.37927083333333328</v>
      </c>
      <c r="H146" s="55"/>
      <c r="I146" s="55"/>
      <c r="J146" s="54">
        <v>0.39276620370370369</v>
      </c>
      <c r="K146" s="56"/>
      <c r="L146" s="57"/>
    </row>
    <row r="147" spans="5:12" x14ac:dyDescent="0.25">
      <c r="E147" s="58"/>
      <c r="F147" s="59">
        <v>0.37922453703703707</v>
      </c>
      <c r="G147" s="60">
        <v>0.37938657407407406</v>
      </c>
      <c r="H147" s="61"/>
      <c r="I147" s="61"/>
      <c r="J147" s="59">
        <v>0.41047453703703707</v>
      </c>
      <c r="K147" s="61"/>
      <c r="L147" s="62"/>
    </row>
    <row r="148" spans="5:12" x14ac:dyDescent="0.25">
      <c r="E148" s="53"/>
      <c r="F148" s="54">
        <v>0.37956018518518514</v>
      </c>
      <c r="G148" s="54">
        <v>0.37976851851851851</v>
      </c>
      <c r="H148" s="55"/>
      <c r="I148" s="55"/>
      <c r="J148" s="54">
        <v>0.40001157407407412</v>
      </c>
      <c r="K148" s="56"/>
      <c r="L148" s="57"/>
    </row>
    <row r="149" spans="5:12" x14ac:dyDescent="0.25">
      <c r="E149" s="58"/>
      <c r="F149" s="59">
        <v>0.37980324074074073</v>
      </c>
      <c r="G149" s="60">
        <v>0.38003472222222223</v>
      </c>
      <c r="H149" s="61"/>
      <c r="I149" s="61"/>
      <c r="J149" s="59">
        <v>0.39556712962962964</v>
      </c>
      <c r="K149" s="61"/>
      <c r="L149" s="62"/>
    </row>
    <row r="150" spans="5:12" x14ac:dyDescent="0.25">
      <c r="E150" s="53"/>
      <c r="F150" s="54">
        <v>0.38011574074074073</v>
      </c>
      <c r="G150" s="54">
        <v>0.3803125</v>
      </c>
      <c r="H150" s="55"/>
      <c r="I150" s="55"/>
      <c r="J150" s="54">
        <v>0.39971064814814811</v>
      </c>
      <c r="K150" s="56"/>
      <c r="L150" s="57"/>
    </row>
    <row r="151" spans="5:12" x14ac:dyDescent="0.25">
      <c r="E151" s="58"/>
      <c r="F151" s="59">
        <v>0.38034722222222223</v>
      </c>
      <c r="G151" s="60">
        <v>0.38070601851851849</v>
      </c>
      <c r="H151" s="61"/>
      <c r="I151" s="61"/>
      <c r="J151" s="59">
        <v>0.40312500000000001</v>
      </c>
      <c r="K151" s="61"/>
      <c r="L151" s="62"/>
    </row>
    <row r="152" spans="5:12" x14ac:dyDescent="0.25">
      <c r="E152" s="53"/>
      <c r="F152" s="54">
        <v>0.38075231481481481</v>
      </c>
      <c r="G152" s="54">
        <v>0.38109953703703708</v>
      </c>
      <c r="H152" s="55"/>
      <c r="I152" s="55"/>
      <c r="J152" s="54">
        <v>0.39116898148148144</v>
      </c>
      <c r="K152" s="56"/>
      <c r="L152" s="57"/>
    </row>
    <row r="153" spans="5:12" x14ac:dyDescent="0.25">
      <c r="E153" s="58"/>
      <c r="F153" s="59">
        <v>0.38113425925925926</v>
      </c>
      <c r="G153" s="60">
        <v>0.38138888888888883</v>
      </c>
      <c r="H153" s="61"/>
      <c r="I153" s="61"/>
      <c r="J153" s="59">
        <v>0.4100462962962963</v>
      </c>
      <c r="K153" s="61"/>
      <c r="L153" s="62"/>
    </row>
    <row r="154" spans="5:12" x14ac:dyDescent="0.25">
      <c r="E154" s="53"/>
      <c r="F154" s="54">
        <v>0.38150462962962961</v>
      </c>
      <c r="G154" s="54">
        <v>0.38177083333333334</v>
      </c>
      <c r="H154" s="55"/>
      <c r="I154" s="55"/>
      <c r="J154" s="54">
        <v>0.40592592592592597</v>
      </c>
      <c r="K154" s="56"/>
      <c r="L154" s="57"/>
    </row>
    <row r="155" spans="5:12" x14ac:dyDescent="0.25">
      <c r="E155" s="58"/>
      <c r="F155" s="59">
        <v>0.38217592592592592</v>
      </c>
      <c r="G155" s="60">
        <v>0.38266203703703705</v>
      </c>
      <c r="H155" s="61"/>
      <c r="I155" s="61"/>
      <c r="J155" s="59">
        <v>0.39885416666666668</v>
      </c>
      <c r="K155" s="61"/>
      <c r="L155" s="62"/>
    </row>
    <row r="156" spans="5:12" x14ac:dyDescent="0.25">
      <c r="E156" s="53"/>
      <c r="F156" s="54">
        <v>0.38254629629629627</v>
      </c>
      <c r="G156" s="54">
        <v>0.38280092592592596</v>
      </c>
      <c r="H156" s="55"/>
      <c r="I156" s="55"/>
      <c r="J156" s="54">
        <v>0.39003472222222224</v>
      </c>
      <c r="K156" s="56"/>
      <c r="L156" s="57"/>
    </row>
    <row r="157" spans="5:12" x14ac:dyDescent="0.25">
      <c r="E157" s="58"/>
      <c r="F157" s="59">
        <v>0.38282407407407404</v>
      </c>
      <c r="G157" s="60">
        <v>0.38306712962962958</v>
      </c>
      <c r="H157" s="61"/>
      <c r="I157" s="61"/>
      <c r="J157" s="59">
        <v>0.40439814814814817</v>
      </c>
      <c r="K157" s="61"/>
      <c r="L157" s="62"/>
    </row>
    <row r="158" spans="5:12" x14ac:dyDescent="0.25">
      <c r="E158" s="53"/>
      <c r="F158" s="54">
        <v>0.38337962962962963</v>
      </c>
      <c r="G158" s="54">
        <v>0.3837268518518519</v>
      </c>
      <c r="H158" s="55"/>
      <c r="I158" s="55"/>
      <c r="J158" s="54">
        <v>0.40468750000000003</v>
      </c>
      <c r="K158" s="56"/>
      <c r="L158" s="57"/>
    </row>
    <row r="159" spans="5:12" x14ac:dyDescent="0.25">
      <c r="E159" s="58"/>
      <c r="F159" s="59">
        <v>0.38373842592592594</v>
      </c>
      <c r="G159" s="60">
        <v>0.38420138888888888</v>
      </c>
      <c r="H159" s="61"/>
      <c r="I159" s="61"/>
      <c r="J159" s="59">
        <v>0.39872685185185186</v>
      </c>
      <c r="K159" s="61"/>
      <c r="L159" s="62"/>
    </row>
    <row r="160" spans="5:12" x14ac:dyDescent="0.25">
      <c r="E160" s="53"/>
      <c r="F160" s="54">
        <v>0.38396990740740744</v>
      </c>
      <c r="G160" s="54">
        <v>0.38418981481481485</v>
      </c>
      <c r="H160" s="55"/>
      <c r="I160" s="55"/>
      <c r="J160" s="54">
        <v>0.40049768518518519</v>
      </c>
      <c r="K160" s="56"/>
      <c r="L160" s="57"/>
    </row>
    <row r="161" spans="5:12" x14ac:dyDescent="0.25">
      <c r="E161" s="58"/>
      <c r="F161" s="59">
        <v>0.38428240740740738</v>
      </c>
      <c r="G161" s="60">
        <v>0.38460648148148152</v>
      </c>
      <c r="H161" s="61"/>
      <c r="I161" s="61"/>
      <c r="J161" s="59">
        <v>0.39802083333333332</v>
      </c>
      <c r="K161" s="61"/>
      <c r="L161" s="62"/>
    </row>
    <row r="162" spans="5:12" x14ac:dyDescent="0.25">
      <c r="E162" s="53"/>
      <c r="F162" s="54">
        <v>0.38471064814814815</v>
      </c>
      <c r="G162" s="54">
        <v>0.38497685185185188</v>
      </c>
      <c r="H162" s="55"/>
      <c r="I162" s="55"/>
      <c r="J162" s="54">
        <v>0.40734953703703702</v>
      </c>
      <c r="K162" s="56"/>
      <c r="L162" s="57"/>
    </row>
    <row r="163" spans="5:12" x14ac:dyDescent="0.25">
      <c r="E163" s="58"/>
      <c r="F163" s="59">
        <v>0.38512731481481483</v>
      </c>
      <c r="G163" s="60">
        <v>0.38562500000000005</v>
      </c>
      <c r="H163" s="61"/>
      <c r="I163" s="61"/>
      <c r="J163" s="59">
        <v>0.39879629629629632</v>
      </c>
      <c r="K163" s="61"/>
      <c r="L163" s="62"/>
    </row>
    <row r="164" spans="5:12" x14ac:dyDescent="0.25">
      <c r="E164" s="53"/>
      <c r="F164" s="54">
        <v>0.38534722222222223</v>
      </c>
      <c r="G164" s="54">
        <v>0.38564814814814818</v>
      </c>
      <c r="H164" s="55"/>
      <c r="I164" s="55"/>
      <c r="J164" s="54">
        <v>0.39765046296296297</v>
      </c>
      <c r="K164" s="56"/>
      <c r="L164" s="57"/>
    </row>
    <row r="165" spans="5:12" x14ac:dyDescent="0.25">
      <c r="E165" s="58"/>
      <c r="F165" s="59">
        <v>0.38567129629629626</v>
      </c>
      <c r="G165" s="60">
        <v>0.38593749999999999</v>
      </c>
      <c r="H165" s="61"/>
      <c r="I165" s="61"/>
      <c r="J165" s="59">
        <v>0.40869212962962959</v>
      </c>
      <c r="K165" s="61"/>
      <c r="L165" s="62"/>
    </row>
    <row r="166" spans="5:12" x14ac:dyDescent="0.25">
      <c r="E166" s="53"/>
      <c r="F166" s="54">
        <v>0.38620370370370366</v>
      </c>
      <c r="G166" s="54">
        <v>0.38653935185185184</v>
      </c>
      <c r="H166" s="55"/>
      <c r="I166" s="55"/>
      <c r="J166" s="54">
        <v>0.40993055555555552</v>
      </c>
      <c r="K166" s="56"/>
      <c r="L166" s="57"/>
    </row>
    <row r="167" spans="5:12" x14ac:dyDescent="0.25">
      <c r="E167" s="58"/>
      <c r="F167" s="59">
        <v>0.38649305555555552</v>
      </c>
      <c r="G167" s="60">
        <v>0.38663194444444443</v>
      </c>
      <c r="H167" s="61"/>
      <c r="I167" s="61"/>
      <c r="J167" s="59">
        <v>0.39771990740740742</v>
      </c>
      <c r="K167" s="61"/>
      <c r="L167" s="62"/>
    </row>
    <row r="168" spans="5:12" x14ac:dyDescent="0.25">
      <c r="E168" s="53"/>
      <c r="F168" s="54">
        <v>0.38702546296296297</v>
      </c>
      <c r="G168" s="54">
        <v>0.38753472222222224</v>
      </c>
      <c r="H168" s="55"/>
      <c r="I168" s="55"/>
      <c r="J168" s="54">
        <v>0.41600694444444447</v>
      </c>
      <c r="K168" s="56"/>
      <c r="L168" s="57"/>
    </row>
    <row r="169" spans="5:12" x14ac:dyDescent="0.25">
      <c r="E169" s="58"/>
      <c r="F169" s="59">
        <v>0.38729166666666665</v>
      </c>
      <c r="G169" s="60">
        <v>0.38730324074074068</v>
      </c>
      <c r="H169" s="61"/>
      <c r="I169" s="61"/>
      <c r="J169" s="59">
        <v>0.39346064814814818</v>
      </c>
      <c r="K169" s="61"/>
      <c r="L169" s="62"/>
    </row>
    <row r="170" spans="5:12" x14ac:dyDescent="0.25">
      <c r="E170" s="53"/>
      <c r="F170" s="54">
        <v>0.3875231481481482</v>
      </c>
      <c r="G170" s="54">
        <v>0.38789351851851855</v>
      </c>
      <c r="H170" s="55"/>
      <c r="I170" s="55"/>
      <c r="J170" s="54">
        <v>0.39883101851851849</v>
      </c>
      <c r="K170" s="56"/>
      <c r="L170" s="57"/>
    </row>
    <row r="171" spans="5:12" x14ac:dyDescent="0.25">
      <c r="E171" s="58"/>
      <c r="F171" s="59">
        <v>0.38793981481481482</v>
      </c>
      <c r="G171" s="60">
        <v>0.3883564814814815</v>
      </c>
      <c r="H171" s="61"/>
      <c r="I171" s="61"/>
      <c r="J171" s="59">
        <v>0.41460648148148144</v>
      </c>
      <c r="K171" s="61"/>
      <c r="L171" s="62"/>
    </row>
    <row r="172" spans="5:12" x14ac:dyDescent="0.25">
      <c r="E172" s="53"/>
      <c r="F172" s="54">
        <v>0.38828703703703704</v>
      </c>
      <c r="G172" s="54">
        <v>0.38849537037037035</v>
      </c>
      <c r="H172" s="55"/>
      <c r="I172" s="55"/>
      <c r="J172" s="54">
        <v>0.39940972222222221</v>
      </c>
      <c r="K172" s="56"/>
      <c r="L172" s="57"/>
    </row>
    <row r="173" spans="5:12" x14ac:dyDescent="0.25">
      <c r="E173" s="58"/>
      <c r="F173" s="59">
        <v>0.38856481481481481</v>
      </c>
      <c r="G173" s="60">
        <v>0.38890046296296293</v>
      </c>
      <c r="H173" s="61"/>
      <c r="I173" s="61"/>
      <c r="J173" s="59">
        <v>0.40368055555555554</v>
      </c>
      <c r="K173" s="61"/>
      <c r="L173" s="62"/>
    </row>
    <row r="174" spans="5:12" x14ac:dyDescent="0.25">
      <c r="E174" s="53"/>
      <c r="F174" s="54">
        <v>0.38903935185185184</v>
      </c>
      <c r="G174" s="54">
        <v>0.38936342592592593</v>
      </c>
      <c r="H174" s="55"/>
      <c r="I174" s="55"/>
      <c r="J174" s="54">
        <v>0.40950231481481486</v>
      </c>
      <c r="K174" s="56"/>
      <c r="L174" s="57"/>
    </row>
    <row r="175" spans="5:12" x14ac:dyDescent="0.25">
      <c r="E175" s="58"/>
      <c r="F175" s="59">
        <v>0.38949074074074069</v>
      </c>
      <c r="G175" s="60">
        <v>0.38983796296296297</v>
      </c>
      <c r="H175" s="61"/>
      <c r="I175" s="61"/>
      <c r="J175" s="59">
        <v>0.39590277777777777</v>
      </c>
      <c r="K175" s="61"/>
      <c r="L175" s="62"/>
    </row>
    <row r="176" spans="5:12" x14ac:dyDescent="0.25">
      <c r="E176" s="53"/>
      <c r="F176" s="54">
        <v>0.38965277777777779</v>
      </c>
      <c r="G176" s="54">
        <v>0.39013888888888887</v>
      </c>
      <c r="H176" s="55"/>
      <c r="I176" s="55"/>
      <c r="J176" s="54">
        <v>0.40388888888888891</v>
      </c>
      <c r="K176" s="56"/>
      <c r="L176" s="57"/>
    </row>
    <row r="177" spans="5:12" x14ac:dyDescent="0.25">
      <c r="E177" s="58"/>
      <c r="F177" s="59">
        <v>0.38984953703703701</v>
      </c>
      <c r="G177" s="60">
        <v>0.39011574074074074</v>
      </c>
      <c r="H177" s="61"/>
      <c r="I177" s="61"/>
      <c r="J177" s="59">
        <v>0.40850694444444446</v>
      </c>
      <c r="K177" s="61"/>
      <c r="L177" s="62"/>
    </row>
    <row r="178" spans="5:12" x14ac:dyDescent="0.25">
      <c r="E178" s="53"/>
      <c r="F178" s="54">
        <v>0.38996527777777779</v>
      </c>
      <c r="G178" s="54">
        <v>0.39021990740740736</v>
      </c>
      <c r="H178" s="55"/>
      <c r="I178" s="55"/>
      <c r="J178" s="54">
        <v>0.41193287037037035</v>
      </c>
      <c r="K178" s="56"/>
      <c r="L178" s="57"/>
    </row>
    <row r="179" spans="5:12" x14ac:dyDescent="0.25">
      <c r="E179" s="58"/>
      <c r="F179" s="59">
        <v>0.39024305555555555</v>
      </c>
      <c r="G179" s="60">
        <v>0.39079861111111108</v>
      </c>
      <c r="H179" s="61"/>
      <c r="I179" s="61"/>
      <c r="J179" s="59">
        <v>0.417025462962963</v>
      </c>
      <c r="K179" s="61"/>
      <c r="L179" s="62"/>
    </row>
    <row r="180" spans="5:12" x14ac:dyDescent="0.25">
      <c r="E180" s="53"/>
      <c r="F180" s="54">
        <v>0.39043981481481477</v>
      </c>
      <c r="G180" s="54">
        <v>0.39075231481481482</v>
      </c>
      <c r="H180" s="55"/>
      <c r="I180" s="55"/>
      <c r="J180" s="54">
        <v>0.4088310185185185</v>
      </c>
      <c r="K180" s="56"/>
      <c r="L180" s="57"/>
    </row>
    <row r="181" spans="5:12" x14ac:dyDescent="0.25">
      <c r="E181" s="58"/>
      <c r="F181" s="59">
        <v>0.39065972222222217</v>
      </c>
      <c r="G181" s="60">
        <v>0.39100694444444445</v>
      </c>
      <c r="H181" s="61"/>
      <c r="I181" s="61"/>
      <c r="J181" s="59">
        <v>0.39975694444444443</v>
      </c>
      <c r="K181" s="61"/>
      <c r="L181" s="62"/>
    </row>
    <row r="182" spans="5:12" x14ac:dyDescent="0.25">
      <c r="E182" s="53"/>
      <c r="F182" s="54">
        <v>0.39091435185185186</v>
      </c>
      <c r="G182" s="54">
        <v>0.3913194444444445</v>
      </c>
      <c r="H182" s="55"/>
      <c r="I182" s="55"/>
      <c r="J182" s="54">
        <v>0.39430555555555552</v>
      </c>
      <c r="K182" s="56"/>
      <c r="L182" s="57"/>
    </row>
    <row r="183" spans="5:12" x14ac:dyDescent="0.25">
      <c r="E183" s="58"/>
      <c r="F183" s="59">
        <v>0.39129629629629631</v>
      </c>
      <c r="G183" s="60">
        <v>0.39165509259259257</v>
      </c>
      <c r="H183" s="61"/>
      <c r="I183" s="61"/>
      <c r="J183" s="59">
        <v>0.41170138888888891</v>
      </c>
      <c r="K183" s="61"/>
      <c r="L183" s="62"/>
    </row>
    <row r="184" spans="5:12" x14ac:dyDescent="0.25">
      <c r="E184" s="53"/>
      <c r="F184" s="54">
        <v>0.39188657407407407</v>
      </c>
      <c r="G184" s="54">
        <v>0.39226851851851857</v>
      </c>
      <c r="H184" s="55"/>
      <c r="I184" s="55"/>
      <c r="J184" s="54">
        <v>0.40353009259259259</v>
      </c>
      <c r="K184" s="56"/>
      <c r="L184" s="57"/>
    </row>
    <row r="185" spans="5:12" x14ac:dyDescent="0.25">
      <c r="E185" s="58"/>
      <c r="F185" s="59">
        <v>0.39231481481481478</v>
      </c>
      <c r="G185" s="60">
        <v>0.39268518518518519</v>
      </c>
      <c r="H185" s="61"/>
      <c r="I185" s="61"/>
      <c r="J185" s="59">
        <v>0.41064814814814815</v>
      </c>
      <c r="K185" s="61"/>
      <c r="L185" s="62"/>
    </row>
    <row r="186" spans="5:12" x14ac:dyDescent="0.25">
      <c r="E186" s="53"/>
      <c r="F186" s="54">
        <v>0.39281250000000001</v>
      </c>
      <c r="G186" s="54">
        <v>0.39317129629629632</v>
      </c>
      <c r="H186" s="55"/>
      <c r="I186" s="55"/>
      <c r="J186" s="54">
        <v>0.41422453703703704</v>
      </c>
      <c r="K186" s="56"/>
      <c r="L186" s="57"/>
    </row>
    <row r="187" spans="5:12" x14ac:dyDescent="0.25">
      <c r="E187" s="58"/>
      <c r="F187" s="59">
        <v>0.39302083333333332</v>
      </c>
      <c r="G187" s="60">
        <v>0.39347222222222222</v>
      </c>
      <c r="H187" s="61"/>
      <c r="I187" s="61"/>
      <c r="J187" s="59">
        <v>0.40834490740740742</v>
      </c>
      <c r="K187" s="61"/>
      <c r="L187" s="62"/>
    </row>
    <row r="188" spans="5:12" x14ac:dyDescent="0.25">
      <c r="E188" s="53"/>
      <c r="F188" s="54">
        <v>0.39333333333333331</v>
      </c>
      <c r="G188" s="54">
        <v>0.39339120370370373</v>
      </c>
      <c r="H188" s="55"/>
      <c r="I188" s="55"/>
      <c r="J188" s="54">
        <v>0.39594907407407409</v>
      </c>
      <c r="K188" s="56"/>
      <c r="L188" s="57"/>
    </row>
    <row r="189" spans="5:12" x14ac:dyDescent="0.25">
      <c r="E189" s="58"/>
      <c r="F189" s="59">
        <v>0.39383101851851854</v>
      </c>
      <c r="G189" s="60">
        <v>0.39417824074074076</v>
      </c>
      <c r="H189" s="61"/>
      <c r="I189" s="61"/>
      <c r="J189" s="59">
        <v>0.40704861111111112</v>
      </c>
      <c r="K189" s="61"/>
      <c r="L189" s="62"/>
    </row>
    <row r="190" spans="5:12" x14ac:dyDescent="0.25">
      <c r="E190" s="53"/>
      <c r="F190" s="54">
        <v>0.39407407407407408</v>
      </c>
      <c r="G190" s="54">
        <v>0.39451388888888889</v>
      </c>
      <c r="H190" s="55"/>
      <c r="I190" s="55"/>
      <c r="J190" s="54">
        <v>0.41287037037037039</v>
      </c>
      <c r="K190" s="56"/>
      <c r="L190" s="57"/>
    </row>
    <row r="191" spans="5:12" x14ac:dyDescent="0.25">
      <c r="E191" s="58"/>
      <c r="F191" s="59">
        <v>0.39450231481481479</v>
      </c>
      <c r="G191" s="60">
        <v>0.39496527777777773</v>
      </c>
      <c r="H191" s="61"/>
      <c r="I191" s="61"/>
      <c r="J191" s="59">
        <v>0.41409722222222217</v>
      </c>
      <c r="K191" s="61"/>
      <c r="L191" s="62"/>
    </row>
    <row r="192" spans="5:12" x14ac:dyDescent="0.25">
      <c r="E192" s="53"/>
      <c r="F192" s="54">
        <v>0.39490740740740743</v>
      </c>
      <c r="G192" s="54">
        <v>0.39520833333333333</v>
      </c>
      <c r="H192" s="55"/>
      <c r="I192" s="55"/>
      <c r="J192" s="54">
        <v>0.4107407407407408</v>
      </c>
      <c r="K192" s="56"/>
      <c r="L192" s="57"/>
    </row>
    <row r="193" spans="5:12" x14ac:dyDescent="0.25">
      <c r="E193" s="58"/>
      <c r="F193" s="59">
        <v>0.3953356481481482</v>
      </c>
      <c r="G193" s="60">
        <v>0.39571759259259259</v>
      </c>
      <c r="H193" s="61"/>
      <c r="I193" s="61"/>
      <c r="J193" s="59">
        <v>0.40712962962962962</v>
      </c>
      <c r="K193" s="61"/>
      <c r="L193" s="62"/>
    </row>
    <row r="194" spans="5:12" x14ac:dyDescent="0.25">
      <c r="E194" s="53"/>
      <c r="F194" s="54">
        <v>0.39562499999999995</v>
      </c>
      <c r="G194" s="54">
        <v>0.39611111111111108</v>
      </c>
      <c r="H194" s="55"/>
      <c r="I194" s="55"/>
      <c r="J194" s="54">
        <v>0.41643518518518513</v>
      </c>
      <c r="K194" s="56"/>
      <c r="L194" s="57"/>
    </row>
    <row r="195" spans="5:12" x14ac:dyDescent="0.25">
      <c r="E195" s="58"/>
      <c r="F195" s="59">
        <v>0.39605324074074072</v>
      </c>
      <c r="G195" s="60">
        <v>0.39643518518518522</v>
      </c>
      <c r="H195" s="61"/>
      <c r="I195" s="61"/>
      <c r="J195" s="59">
        <v>0.41356481481481483</v>
      </c>
      <c r="K195" s="61"/>
      <c r="L195" s="62"/>
    </row>
    <row r="196" spans="5:12" x14ac:dyDescent="0.25">
      <c r="E196" s="53"/>
      <c r="F196" s="54">
        <v>0.39644675925925926</v>
      </c>
      <c r="G196" s="54">
        <v>0.39682870370370371</v>
      </c>
      <c r="H196" s="55"/>
      <c r="I196" s="55"/>
      <c r="J196" s="54">
        <v>0.41524305555555557</v>
      </c>
      <c r="K196" s="56"/>
      <c r="L196" s="57"/>
    </row>
    <row r="197" spans="5:12" x14ac:dyDescent="0.25">
      <c r="E197" s="58"/>
      <c r="F197" s="59">
        <v>0.3969212962962963</v>
      </c>
      <c r="G197" s="60">
        <v>0.39719907407407407</v>
      </c>
      <c r="H197" s="61"/>
      <c r="I197" s="61"/>
      <c r="J197" s="59">
        <v>0.41111111111111115</v>
      </c>
      <c r="K197" s="61"/>
      <c r="L197" s="62"/>
    </row>
    <row r="198" spans="5:12" x14ac:dyDescent="0.25">
      <c r="E198" s="53"/>
      <c r="F198" s="54">
        <v>0.39730324074074069</v>
      </c>
      <c r="G198" s="54">
        <v>0.39737268518518515</v>
      </c>
      <c r="H198" s="55"/>
      <c r="I198" s="55"/>
      <c r="J198" s="54">
        <v>0.41873842592592592</v>
      </c>
      <c r="K198" s="56"/>
      <c r="L198" s="57"/>
    </row>
    <row r="199" spans="5:12" x14ac:dyDescent="0.25">
      <c r="E199" s="58"/>
      <c r="F199" s="59">
        <v>0.3976851851851852</v>
      </c>
      <c r="G199" s="60">
        <v>0.39805555555555555</v>
      </c>
      <c r="H199" s="61"/>
      <c r="I199" s="61"/>
      <c r="J199" s="59">
        <v>0.4120949074074074</v>
      </c>
      <c r="K199" s="61"/>
      <c r="L199" s="62"/>
    </row>
    <row r="200" spans="5:12" x14ac:dyDescent="0.25">
      <c r="E200" s="53"/>
      <c r="F200" s="54">
        <v>0.39833333333333337</v>
      </c>
      <c r="G200" s="54">
        <v>0.39871527777777777</v>
      </c>
      <c r="H200" s="55"/>
      <c r="I200" s="55"/>
      <c r="J200" s="54">
        <v>0.41826388888888894</v>
      </c>
      <c r="K200" s="56"/>
      <c r="L200" s="57"/>
    </row>
    <row r="201" spans="5:12" x14ac:dyDescent="0.25">
      <c r="E201" s="58"/>
      <c r="F201" s="59">
        <v>0.39861111111111108</v>
      </c>
      <c r="G201" s="60">
        <v>0.3987384259259259</v>
      </c>
      <c r="H201" s="61"/>
      <c r="I201" s="61"/>
      <c r="J201" s="59">
        <v>0.41572916666666665</v>
      </c>
      <c r="K201" s="61"/>
      <c r="L201" s="62"/>
    </row>
    <row r="202" spans="5:12" x14ac:dyDescent="0.25">
      <c r="E202" s="53"/>
      <c r="F202" s="54">
        <v>0.39899305555555559</v>
      </c>
      <c r="G202" s="54">
        <v>0.39931712962962962</v>
      </c>
      <c r="H202" s="55"/>
      <c r="I202" s="55"/>
      <c r="J202" s="54">
        <v>0.40961805555555553</v>
      </c>
      <c r="K202" s="56"/>
      <c r="L202" s="57"/>
    </row>
    <row r="203" spans="5:12" x14ac:dyDescent="0.25">
      <c r="E203" s="58"/>
      <c r="F203" s="59">
        <v>0.39908564814814818</v>
      </c>
      <c r="G203" s="60">
        <v>0.3994328703703704</v>
      </c>
      <c r="H203" s="61"/>
      <c r="I203" s="61"/>
      <c r="J203" s="59">
        <v>0.42179398148148151</v>
      </c>
      <c r="K203" s="61"/>
      <c r="L203" s="62"/>
    </row>
    <row r="204" spans="5:12" x14ac:dyDescent="0.25">
      <c r="E204" s="53"/>
      <c r="F204" s="54">
        <v>0.39924768518518516</v>
      </c>
      <c r="G204" s="54">
        <v>0.39946759259259257</v>
      </c>
      <c r="H204" s="55"/>
      <c r="I204" s="55"/>
      <c r="J204" s="54">
        <v>0.42922453703703706</v>
      </c>
      <c r="K204" s="56"/>
      <c r="L204" s="57"/>
    </row>
    <row r="205" spans="5:12" x14ac:dyDescent="0.25">
      <c r="E205" s="58"/>
      <c r="F205" s="59">
        <v>0.39921296296296299</v>
      </c>
      <c r="G205" s="60">
        <v>0.39956018518518516</v>
      </c>
      <c r="H205" s="61"/>
      <c r="I205" s="61"/>
      <c r="J205" s="59">
        <v>0.41925925925925928</v>
      </c>
      <c r="K205" s="61"/>
      <c r="L205" s="62"/>
    </row>
    <row r="206" spans="5:12" x14ac:dyDescent="0.25">
      <c r="E206" s="53"/>
      <c r="F206" s="54">
        <v>0.39960648148148148</v>
      </c>
      <c r="G206" s="54">
        <v>0.39980324074074075</v>
      </c>
      <c r="H206" s="55"/>
      <c r="I206" s="55"/>
      <c r="J206" s="54">
        <v>0.42121527777777779</v>
      </c>
      <c r="K206" s="56"/>
      <c r="L206" s="57"/>
    </row>
    <row r="207" spans="5:12" x14ac:dyDescent="0.25">
      <c r="E207" s="58"/>
      <c r="F207" s="59">
        <v>0.39999999999999997</v>
      </c>
      <c r="G207" s="60">
        <v>0.40037037037037032</v>
      </c>
      <c r="H207" s="61"/>
      <c r="I207" s="61"/>
      <c r="J207" s="59">
        <v>0.41357638888888887</v>
      </c>
      <c r="K207" s="61"/>
      <c r="L207" s="62"/>
    </row>
    <row r="208" spans="5:12" x14ac:dyDescent="0.25">
      <c r="E208" s="53"/>
      <c r="F208" s="54">
        <v>0.40034722222222219</v>
      </c>
      <c r="G208" s="54">
        <v>0.40075231481481483</v>
      </c>
      <c r="H208" s="55"/>
      <c r="I208" s="55"/>
      <c r="J208" s="54">
        <v>0.41763888888888889</v>
      </c>
      <c r="K208" s="56"/>
      <c r="L208" s="57"/>
    </row>
    <row r="209" spans="5:12" x14ac:dyDescent="0.25">
      <c r="E209" s="58"/>
      <c r="F209" s="59">
        <v>0.40052083333333338</v>
      </c>
      <c r="G209" s="60">
        <v>0.40067129629629633</v>
      </c>
      <c r="H209" s="61"/>
      <c r="I209" s="61"/>
      <c r="J209" s="59">
        <v>0.41980324074074077</v>
      </c>
      <c r="K209" s="61"/>
      <c r="L209" s="62"/>
    </row>
    <row r="210" spans="5:12" x14ac:dyDescent="0.25">
      <c r="E210" s="53"/>
      <c r="F210" s="54">
        <v>0.40081018518518513</v>
      </c>
      <c r="G210" s="54">
        <v>0.40099537037037036</v>
      </c>
      <c r="H210" s="55"/>
      <c r="I210" s="55"/>
      <c r="J210" s="54">
        <v>0.41710648148148149</v>
      </c>
      <c r="K210" s="56"/>
      <c r="L210" s="57"/>
    </row>
    <row r="211" spans="5:12" x14ac:dyDescent="0.25">
      <c r="E211" s="58"/>
      <c r="F211" s="59">
        <v>0.40109953703703699</v>
      </c>
      <c r="G211" s="60">
        <v>0.40133101851851855</v>
      </c>
      <c r="H211" s="61"/>
      <c r="I211" s="61"/>
      <c r="J211" s="59">
        <v>0.41910879629629627</v>
      </c>
      <c r="K211" s="61"/>
      <c r="L211" s="62"/>
    </row>
    <row r="212" spans="5:12" x14ac:dyDescent="0.25">
      <c r="E212" s="53"/>
      <c r="F212" s="54">
        <v>0.40129629629629626</v>
      </c>
      <c r="G212" s="54">
        <v>0.40171296296296299</v>
      </c>
      <c r="H212" s="55"/>
      <c r="I212" s="55"/>
      <c r="J212" s="54">
        <v>0.42996527777777777</v>
      </c>
      <c r="K212" s="56"/>
      <c r="L212" s="57"/>
    </row>
    <row r="213" spans="5:12" x14ac:dyDescent="0.25">
      <c r="E213" s="58"/>
      <c r="F213" s="59">
        <v>0.401400462962963</v>
      </c>
      <c r="G213" s="60">
        <v>0.40177083333333335</v>
      </c>
      <c r="H213" s="61"/>
      <c r="I213" s="61"/>
      <c r="J213" s="59">
        <v>0.42166666666666663</v>
      </c>
      <c r="K213" s="61"/>
      <c r="L213" s="62"/>
    </row>
    <row r="214" spans="5:12" x14ac:dyDescent="0.25">
      <c r="E214" s="53"/>
      <c r="F214" s="54">
        <v>0.40166666666666667</v>
      </c>
      <c r="G214" s="54">
        <v>0.40185185185185185</v>
      </c>
      <c r="H214" s="55"/>
      <c r="I214" s="55"/>
      <c r="J214" s="54">
        <v>0.41524305555555557</v>
      </c>
      <c r="K214" s="56"/>
      <c r="L214" s="57"/>
    </row>
    <row r="215" spans="5:12" x14ac:dyDescent="0.25">
      <c r="E215" s="58"/>
      <c r="F215" s="59">
        <v>0.4019328703703704</v>
      </c>
      <c r="G215" s="60">
        <v>0.40231481481481479</v>
      </c>
      <c r="H215" s="61"/>
      <c r="I215" s="61"/>
      <c r="J215" s="59">
        <v>0.42310185185185184</v>
      </c>
      <c r="K215" s="61"/>
      <c r="L215" s="62"/>
    </row>
    <row r="216" spans="5:12" x14ac:dyDescent="0.25">
      <c r="E216" s="53"/>
      <c r="F216" s="54">
        <v>0.40214120370370371</v>
      </c>
      <c r="G216" s="54">
        <v>0.40263888888888894</v>
      </c>
      <c r="H216" s="55"/>
      <c r="I216" s="55"/>
      <c r="J216" s="54">
        <v>0.42299768518518516</v>
      </c>
      <c r="K216" s="56"/>
      <c r="L216" s="57"/>
    </row>
    <row r="217" spans="5:12" x14ac:dyDescent="0.25">
      <c r="E217" s="58"/>
      <c r="F217" s="59">
        <v>0.40273148148148147</v>
      </c>
      <c r="G217" s="60">
        <v>0.40303240740740742</v>
      </c>
      <c r="H217" s="61"/>
      <c r="I217" s="61"/>
      <c r="J217" s="59">
        <v>0.41893518518518519</v>
      </c>
      <c r="K217" s="61"/>
      <c r="L217" s="62"/>
    </row>
    <row r="218" spans="5:12" x14ac:dyDescent="0.25">
      <c r="E218" s="53"/>
      <c r="F218" s="54">
        <v>0.40291666666666665</v>
      </c>
      <c r="G218" s="54">
        <v>0.40317129629629633</v>
      </c>
      <c r="H218" s="55"/>
      <c r="I218" s="55"/>
      <c r="J218" s="54">
        <v>0.41267361111111112</v>
      </c>
      <c r="K218" s="56"/>
      <c r="L218" s="57"/>
    </row>
    <row r="219" spans="5:12" x14ac:dyDescent="0.25">
      <c r="E219" s="58"/>
      <c r="F219" s="59">
        <v>0.40325231481481483</v>
      </c>
      <c r="G219" s="60">
        <v>0.40357638888888886</v>
      </c>
      <c r="H219" s="61"/>
      <c r="I219" s="61"/>
      <c r="J219" s="59">
        <v>0.41859953703703701</v>
      </c>
      <c r="K219" s="61"/>
      <c r="L219" s="62"/>
    </row>
    <row r="220" spans="5:12" x14ac:dyDescent="0.25">
      <c r="E220" s="53"/>
      <c r="F220" s="54">
        <v>0.40348379629629627</v>
      </c>
      <c r="G220" s="54">
        <v>0.40388888888888891</v>
      </c>
      <c r="H220" s="55"/>
      <c r="I220" s="55"/>
      <c r="J220" s="54">
        <v>0.42166666666666663</v>
      </c>
      <c r="K220" s="56"/>
      <c r="L220" s="57"/>
    </row>
    <row r="221" spans="5:12" x14ac:dyDescent="0.25">
      <c r="E221" s="58"/>
      <c r="F221" s="59">
        <v>0.40362268518518518</v>
      </c>
      <c r="G221" s="60">
        <v>0.40392361111111108</v>
      </c>
      <c r="H221" s="61"/>
      <c r="I221" s="61"/>
      <c r="J221" s="59">
        <v>0.4221759259259259</v>
      </c>
      <c r="K221" s="61"/>
      <c r="L221" s="62"/>
    </row>
    <row r="222" spans="5:12" x14ac:dyDescent="0.25">
      <c r="E222" s="53"/>
      <c r="F222" s="54">
        <v>0.40378472222222223</v>
      </c>
      <c r="G222" s="54">
        <v>0.4042824074074074</v>
      </c>
      <c r="H222" s="55"/>
      <c r="I222" s="55"/>
      <c r="J222" s="54">
        <v>0.42137731481481483</v>
      </c>
      <c r="K222" s="56"/>
      <c r="L222" s="57"/>
    </row>
    <row r="223" spans="5:12" x14ac:dyDescent="0.25">
      <c r="E223" s="58"/>
      <c r="F223" s="59">
        <v>0.40405092592592595</v>
      </c>
      <c r="G223" s="60">
        <v>0.40449074074074076</v>
      </c>
      <c r="H223" s="61"/>
      <c r="I223" s="61"/>
      <c r="J223" s="59">
        <v>0.42900462962962965</v>
      </c>
      <c r="K223" s="61"/>
      <c r="L223" s="62"/>
    </row>
    <row r="224" spans="5:12" x14ac:dyDescent="0.25">
      <c r="E224" s="53"/>
      <c r="F224" s="54">
        <v>0.40429398148148149</v>
      </c>
      <c r="G224" s="54">
        <v>0.40475694444444449</v>
      </c>
      <c r="H224" s="55"/>
      <c r="I224" s="55"/>
      <c r="J224" s="54">
        <v>0.42585648148148153</v>
      </c>
      <c r="K224" s="56"/>
      <c r="L224" s="57"/>
    </row>
    <row r="225" spans="5:12" x14ac:dyDescent="0.25">
      <c r="E225" s="58"/>
      <c r="F225" s="59">
        <v>0.40465277777777775</v>
      </c>
      <c r="G225" s="60">
        <v>0.40502314814814816</v>
      </c>
      <c r="H225" s="61"/>
      <c r="I225" s="61"/>
      <c r="J225" s="59">
        <v>0.42678240740740742</v>
      </c>
      <c r="K225" s="61"/>
      <c r="L225" s="62"/>
    </row>
    <row r="226" spans="5:12" x14ac:dyDescent="0.25">
      <c r="E226" s="53"/>
      <c r="F226" s="54">
        <v>0.40500000000000003</v>
      </c>
      <c r="G226" s="54">
        <v>0.40543981481481484</v>
      </c>
      <c r="H226" s="55"/>
      <c r="I226" s="55"/>
      <c r="J226" s="54">
        <v>0.42591435185185184</v>
      </c>
      <c r="K226" s="56"/>
      <c r="L226" s="57"/>
    </row>
    <row r="227" spans="5:12" x14ac:dyDescent="0.25">
      <c r="E227" s="58"/>
      <c r="F227" s="59">
        <v>0.40538194444444442</v>
      </c>
      <c r="G227" s="60">
        <v>0.40576388888888887</v>
      </c>
      <c r="H227" s="61"/>
      <c r="I227" s="61"/>
      <c r="J227" s="59">
        <v>0.42427083333333332</v>
      </c>
      <c r="K227" s="61"/>
      <c r="L227" s="62"/>
    </row>
    <row r="228" spans="5:12" x14ac:dyDescent="0.25">
      <c r="E228" s="53"/>
      <c r="F228" s="54">
        <v>0.40583333333333332</v>
      </c>
      <c r="G228" s="54">
        <v>0.40592592592592597</v>
      </c>
      <c r="H228" s="55"/>
      <c r="I228" s="55"/>
      <c r="J228" s="54">
        <v>0.42701388888888886</v>
      </c>
      <c r="K228" s="56"/>
      <c r="L228" s="57"/>
    </row>
    <row r="229" spans="5:12" x14ac:dyDescent="0.25">
      <c r="E229" s="58"/>
      <c r="F229" s="59">
        <v>0.40606481481481477</v>
      </c>
      <c r="G229" s="60">
        <v>0.40643518518518523</v>
      </c>
      <c r="H229" s="61"/>
      <c r="I229" s="61"/>
      <c r="J229" s="59">
        <v>0.41800925925925925</v>
      </c>
      <c r="K229" s="61"/>
      <c r="L229" s="62"/>
    </row>
    <row r="230" spans="5:12" x14ac:dyDescent="0.25">
      <c r="E230" s="53"/>
      <c r="F230" s="54">
        <v>0.40660879629629632</v>
      </c>
      <c r="G230" s="54">
        <v>0.40712962962962962</v>
      </c>
      <c r="H230" s="55"/>
      <c r="I230" s="55"/>
      <c r="J230" s="54">
        <v>0.42712962962962964</v>
      </c>
      <c r="K230" s="56"/>
      <c r="L230" s="57"/>
    </row>
    <row r="231" spans="5:12" x14ac:dyDescent="0.25">
      <c r="E231" s="58"/>
      <c r="F231" s="59">
        <v>0.40690972222222221</v>
      </c>
      <c r="G231" s="60">
        <v>0.40707175925925926</v>
      </c>
      <c r="H231" s="61"/>
      <c r="I231" s="61"/>
      <c r="J231" s="59">
        <v>0.41502314814814811</v>
      </c>
      <c r="K231" s="61"/>
      <c r="L231" s="62"/>
    </row>
    <row r="232" spans="5:12" x14ac:dyDescent="0.25">
      <c r="E232" s="53"/>
      <c r="F232" s="54">
        <v>0.40719907407407407</v>
      </c>
      <c r="G232" s="54">
        <v>0.40756944444444443</v>
      </c>
      <c r="H232" s="55"/>
      <c r="I232" s="55"/>
      <c r="J232" s="54">
        <v>0.42846064814814816</v>
      </c>
      <c r="K232" s="56"/>
      <c r="L232" s="57"/>
    </row>
    <row r="233" spans="5:12" x14ac:dyDescent="0.25">
      <c r="E233" s="58"/>
      <c r="F233" s="59">
        <v>0.40766203703703702</v>
      </c>
      <c r="G233" s="60">
        <v>0.40777777777777779</v>
      </c>
      <c r="H233" s="61"/>
      <c r="I233" s="61"/>
      <c r="J233" s="59">
        <v>0.42730324074074072</v>
      </c>
      <c r="K233" s="61"/>
      <c r="L233" s="62"/>
    </row>
    <row r="234" spans="5:12" x14ac:dyDescent="0.25">
      <c r="E234" s="53"/>
      <c r="F234" s="54">
        <v>0.40788194444444442</v>
      </c>
      <c r="G234" s="54">
        <v>0.40827546296296297</v>
      </c>
      <c r="H234" s="55"/>
      <c r="I234" s="55"/>
      <c r="J234" s="54">
        <v>0.42725694444444445</v>
      </c>
      <c r="K234" s="56"/>
      <c r="L234" s="57"/>
    </row>
    <row r="235" spans="5:12" x14ac:dyDescent="0.25">
      <c r="E235" s="58"/>
      <c r="F235" s="59">
        <v>0.40818287037037032</v>
      </c>
      <c r="G235" s="60">
        <v>0.40875</v>
      </c>
      <c r="H235" s="61"/>
      <c r="I235" s="61"/>
      <c r="J235" s="59">
        <v>0.42806712962962962</v>
      </c>
      <c r="K235" s="61"/>
      <c r="L235" s="62"/>
    </row>
    <row r="236" spans="5:12" x14ac:dyDescent="0.25">
      <c r="E236" s="53"/>
      <c r="F236" s="54">
        <v>0.40862268518518513</v>
      </c>
      <c r="G236" s="54">
        <v>0.40931712962962963</v>
      </c>
      <c r="H236" s="55"/>
      <c r="I236" s="55"/>
      <c r="J236" s="54">
        <v>0.43289351851851854</v>
      </c>
      <c r="K236" s="56"/>
      <c r="L236" s="57"/>
    </row>
    <row r="237" spans="5:12" x14ac:dyDescent="0.25">
      <c r="E237" s="58"/>
      <c r="F237" s="59">
        <v>0.40892361111111114</v>
      </c>
      <c r="G237" s="60">
        <v>0.40907407407407409</v>
      </c>
      <c r="H237" s="61"/>
      <c r="I237" s="61"/>
      <c r="J237" s="59">
        <v>0.42109953703703701</v>
      </c>
      <c r="K237" s="61"/>
      <c r="L237" s="62"/>
    </row>
    <row r="238" spans="5:12" x14ac:dyDescent="0.25">
      <c r="E238" s="53"/>
      <c r="F238" s="54">
        <v>0.40924768518518517</v>
      </c>
      <c r="G238" s="54">
        <v>0.40967592592592594</v>
      </c>
      <c r="H238" s="55"/>
      <c r="I238" s="55"/>
      <c r="J238" s="54">
        <v>0.41968749999999999</v>
      </c>
      <c r="K238" s="56"/>
      <c r="L238" s="57"/>
    </row>
    <row r="239" spans="5:12" x14ac:dyDescent="0.25">
      <c r="E239" s="58"/>
      <c r="F239" s="59">
        <v>0.40949074074074071</v>
      </c>
      <c r="G239" s="60">
        <v>0.40993055555555552</v>
      </c>
      <c r="H239" s="61"/>
      <c r="I239" s="61"/>
      <c r="J239" s="59">
        <v>0.42645833333333333</v>
      </c>
      <c r="K239" s="61"/>
      <c r="L239" s="62"/>
    </row>
    <row r="240" spans="5:12" x14ac:dyDescent="0.25">
      <c r="E240" s="53"/>
      <c r="F240" s="54">
        <v>0.40998842592592594</v>
      </c>
      <c r="G240" s="54">
        <v>0.41027777777777774</v>
      </c>
      <c r="H240" s="55"/>
      <c r="I240" s="55"/>
      <c r="J240" s="54">
        <v>0.43239583333333331</v>
      </c>
      <c r="K240" s="56"/>
      <c r="L240" s="57"/>
    </row>
    <row r="241" spans="5:12" x14ac:dyDescent="0.25">
      <c r="E241" s="58"/>
      <c r="F241" s="59">
        <v>0.4103472222222222</v>
      </c>
      <c r="G241" s="60">
        <v>0.41089120370370374</v>
      </c>
      <c r="H241" s="61"/>
      <c r="I241" s="61"/>
      <c r="J241" s="59">
        <v>0.43075231481481485</v>
      </c>
      <c r="K241" s="61"/>
      <c r="L241" s="62"/>
    </row>
    <row r="242" spans="5:12" x14ac:dyDescent="0.25">
      <c r="E242" s="53"/>
      <c r="F242" s="54">
        <v>0.41053240740740743</v>
      </c>
      <c r="G242" s="54">
        <v>0.41076388888888887</v>
      </c>
      <c r="H242" s="55"/>
      <c r="I242" s="55"/>
      <c r="J242" s="54">
        <v>0.4238425925925926</v>
      </c>
      <c r="K242" s="56"/>
      <c r="L242" s="57"/>
    </row>
    <row r="243" spans="5:12" x14ac:dyDescent="0.25">
      <c r="E243" s="58"/>
      <c r="F243" s="59">
        <v>0.41085648148148146</v>
      </c>
      <c r="G243" s="60">
        <v>0.41121527777777778</v>
      </c>
      <c r="H243" s="61"/>
      <c r="I243" s="61"/>
      <c r="J243" s="59">
        <v>0.41510416666666666</v>
      </c>
      <c r="K243" s="61"/>
      <c r="L243" s="62"/>
    </row>
    <row r="244" spans="5:12" x14ac:dyDescent="0.25">
      <c r="E244" s="53"/>
      <c r="F244" s="54">
        <v>0.41115740740740742</v>
      </c>
      <c r="G244" s="54">
        <v>0.41143518518518518</v>
      </c>
      <c r="H244" s="55"/>
      <c r="I244" s="55"/>
      <c r="J244" s="54">
        <v>0.43136574074074074</v>
      </c>
      <c r="K244" s="56"/>
      <c r="L244" s="57"/>
    </row>
    <row r="245" spans="5:12" x14ac:dyDescent="0.25">
      <c r="E245" s="58"/>
      <c r="F245" s="59">
        <v>0.41153935185185181</v>
      </c>
      <c r="G245" s="60">
        <v>0.41158564814814813</v>
      </c>
      <c r="H245" s="61"/>
      <c r="I245" s="61"/>
      <c r="J245" s="59">
        <v>0.42668981481481483</v>
      </c>
      <c r="K245" s="61"/>
      <c r="L245" s="62"/>
    </row>
    <row r="246" spans="5:12" x14ac:dyDescent="0.25">
      <c r="E246" s="53"/>
      <c r="F246" s="54">
        <v>0.41203703703703703</v>
      </c>
      <c r="G246" s="54">
        <v>0.41240740740740739</v>
      </c>
      <c r="H246" s="55"/>
      <c r="I246" s="55"/>
      <c r="J246" s="54">
        <v>0.43587962962962962</v>
      </c>
      <c r="K246" s="56"/>
      <c r="L246" s="57"/>
    </row>
    <row r="247" spans="5:12" x14ac:dyDescent="0.25">
      <c r="E247" s="58"/>
      <c r="F247" s="59">
        <v>0.41233796296296293</v>
      </c>
      <c r="G247" s="60">
        <v>0.41282407407407407</v>
      </c>
      <c r="H247" s="61"/>
      <c r="I247" s="61"/>
      <c r="J247" s="59">
        <v>0.4253587962962963</v>
      </c>
      <c r="K247" s="61"/>
      <c r="L247" s="62"/>
    </row>
    <row r="248" spans="5:12" x14ac:dyDescent="0.25">
      <c r="E248" s="53"/>
      <c r="F248" s="54">
        <v>0.41285879629629635</v>
      </c>
      <c r="G248" s="54">
        <v>0.41325231481481484</v>
      </c>
      <c r="H248" s="55"/>
      <c r="I248" s="55"/>
      <c r="J248" s="54">
        <v>0.42553240740740739</v>
      </c>
      <c r="K248" s="56"/>
      <c r="L248" s="57"/>
    </row>
    <row r="249" spans="5:12" x14ac:dyDescent="0.25">
      <c r="E249" s="58"/>
      <c r="F249" s="59">
        <v>0.41326388888888888</v>
      </c>
      <c r="G249" s="60">
        <v>0.41368055555555555</v>
      </c>
      <c r="H249" s="61"/>
      <c r="I249" s="61"/>
      <c r="J249" s="59">
        <v>0.43177083333333338</v>
      </c>
      <c r="K249" s="61"/>
      <c r="L249" s="62"/>
    </row>
    <row r="250" spans="5:12" x14ac:dyDescent="0.25">
      <c r="E250" s="53"/>
      <c r="F250" s="54">
        <v>0.41370370370370368</v>
      </c>
      <c r="G250" s="54">
        <v>0.41407407407407404</v>
      </c>
      <c r="H250" s="55"/>
      <c r="I250" s="55"/>
      <c r="J250" s="54">
        <v>0.43578703703703708</v>
      </c>
      <c r="K250" s="56"/>
      <c r="L250" s="57"/>
    </row>
    <row r="251" spans="5:12" x14ac:dyDescent="0.25">
      <c r="E251" s="58"/>
      <c r="F251" s="59">
        <v>0.41390046296296296</v>
      </c>
      <c r="G251" s="60">
        <v>0.41417824074074078</v>
      </c>
      <c r="H251" s="61"/>
      <c r="I251" s="61"/>
      <c r="J251" s="59">
        <v>0.43474537037037037</v>
      </c>
      <c r="K251" s="61"/>
      <c r="L251" s="62"/>
    </row>
    <row r="252" spans="5:12" x14ac:dyDescent="0.25">
      <c r="E252" s="53"/>
      <c r="F252" s="54">
        <v>0.41425925925925927</v>
      </c>
      <c r="G252" s="54">
        <v>0.4145833333333333</v>
      </c>
      <c r="H252" s="55"/>
      <c r="I252" s="55"/>
      <c r="J252" s="54">
        <v>0.43408564814814815</v>
      </c>
      <c r="K252" s="56"/>
      <c r="L252" s="57"/>
    </row>
    <row r="253" spans="5:12" x14ac:dyDescent="0.25">
      <c r="E253" s="58"/>
      <c r="F253" s="59">
        <v>0.4145833333333333</v>
      </c>
      <c r="G253" s="60">
        <v>0.41488425925925926</v>
      </c>
      <c r="H253" s="61"/>
      <c r="I253" s="61"/>
      <c r="J253" s="59">
        <v>0.43153935185185183</v>
      </c>
      <c r="K253" s="61"/>
      <c r="L253" s="62"/>
    </row>
    <row r="254" spans="5:12" x14ac:dyDescent="0.25">
      <c r="E254" s="53"/>
      <c r="F254" s="54">
        <v>0.41519675925925931</v>
      </c>
      <c r="G254" s="54">
        <v>0.41552083333333334</v>
      </c>
      <c r="H254" s="55"/>
      <c r="I254" s="55"/>
      <c r="J254" s="54">
        <v>0.43993055555555555</v>
      </c>
      <c r="K254" s="56"/>
      <c r="L254" s="57"/>
    </row>
    <row r="255" spans="5:12" x14ac:dyDescent="0.25">
      <c r="E255" s="58"/>
      <c r="F255" s="59">
        <v>0.41550925925925924</v>
      </c>
      <c r="G255" s="60">
        <v>0.41589120370370369</v>
      </c>
      <c r="H255" s="61"/>
      <c r="I255" s="61"/>
      <c r="J255" s="59">
        <v>0.42846064814814816</v>
      </c>
      <c r="K255" s="61"/>
      <c r="L255" s="62"/>
    </row>
    <row r="256" spans="5:12" x14ac:dyDescent="0.25">
      <c r="E256" s="53"/>
      <c r="F256" s="54">
        <v>0.41574074074074074</v>
      </c>
      <c r="G256" s="54">
        <v>0.41599537037037032</v>
      </c>
      <c r="H256" s="55"/>
      <c r="I256" s="55"/>
      <c r="J256" s="54">
        <v>0.4357523148148148</v>
      </c>
      <c r="K256" s="56"/>
      <c r="L256" s="57"/>
    </row>
    <row r="257" spans="5:12" x14ac:dyDescent="0.25">
      <c r="E257" s="58"/>
      <c r="F257" s="59">
        <v>0.41623842592592591</v>
      </c>
      <c r="G257" s="60">
        <v>0.41651620370370374</v>
      </c>
      <c r="H257" s="61"/>
      <c r="I257" s="61"/>
      <c r="J257" s="59">
        <v>0.4251967592592592</v>
      </c>
      <c r="K257" s="61"/>
      <c r="L257" s="62"/>
    </row>
    <row r="258" spans="5:12" x14ac:dyDescent="0.25">
      <c r="E258" s="53"/>
      <c r="F258" s="54">
        <v>0.41658564814814819</v>
      </c>
      <c r="G258" s="54">
        <v>0.41690972222222222</v>
      </c>
      <c r="H258" s="55"/>
      <c r="I258" s="55"/>
      <c r="J258" s="54">
        <v>0.43538194444444445</v>
      </c>
      <c r="K258" s="56"/>
      <c r="L258" s="57"/>
    </row>
    <row r="259" spans="5:12" x14ac:dyDescent="0.25">
      <c r="E259" s="58"/>
      <c r="F259" s="59">
        <v>0.41668981481481482</v>
      </c>
      <c r="G259" s="60">
        <v>0.41717592592592595</v>
      </c>
      <c r="H259" s="61"/>
      <c r="I259" s="61"/>
      <c r="J259" s="59">
        <v>0.44130787037037034</v>
      </c>
      <c r="K259" s="61"/>
      <c r="L259" s="62"/>
    </row>
    <row r="260" spans="5:12" x14ac:dyDescent="0.25">
      <c r="E260" s="53"/>
      <c r="F260" s="54">
        <v>0.41690972222222222</v>
      </c>
      <c r="G260" s="54">
        <v>0.41719907407407408</v>
      </c>
      <c r="H260" s="55"/>
      <c r="I260" s="55"/>
      <c r="J260" s="54">
        <v>0.43298611111111113</v>
      </c>
      <c r="K260" s="56"/>
      <c r="L260" s="57"/>
    </row>
    <row r="261" spans="5:12" x14ac:dyDescent="0.25">
      <c r="E261" s="58"/>
      <c r="F261" s="59">
        <v>0.41724537037037041</v>
      </c>
      <c r="G261" s="60">
        <v>0.4175578703703704</v>
      </c>
      <c r="H261" s="61"/>
      <c r="I261" s="61"/>
      <c r="J261" s="59">
        <v>0.4346990740740741</v>
      </c>
      <c r="K261" s="61"/>
      <c r="L261" s="62"/>
    </row>
    <row r="262" spans="5:12" x14ac:dyDescent="0.25">
      <c r="E262" s="53"/>
      <c r="F262" s="54">
        <v>0.41752314814814812</v>
      </c>
      <c r="G262" s="54">
        <v>0.41795138888888889</v>
      </c>
      <c r="H262" s="55"/>
      <c r="I262" s="55"/>
      <c r="J262" s="54">
        <v>0.43856481481481485</v>
      </c>
      <c r="K262" s="56"/>
      <c r="L262" s="57"/>
    </row>
    <row r="263" spans="5:12" x14ac:dyDescent="0.25">
      <c r="E263" s="58"/>
      <c r="F263" s="59">
        <v>0.41770833333333335</v>
      </c>
      <c r="G263" s="60">
        <v>0.41826388888888894</v>
      </c>
      <c r="H263" s="61"/>
      <c r="I263" s="61"/>
      <c r="J263" s="59">
        <v>0.43380787037037033</v>
      </c>
      <c r="K263" s="61"/>
      <c r="L263" s="62"/>
    </row>
    <row r="264" spans="5:12" x14ac:dyDescent="0.25">
      <c r="E264" s="53"/>
      <c r="F264" s="54">
        <v>0.41795138888888889</v>
      </c>
      <c r="G264" s="54">
        <v>0.41832175925925924</v>
      </c>
      <c r="H264" s="55"/>
      <c r="I264" s="55"/>
      <c r="J264" s="54">
        <v>0.43511574074074072</v>
      </c>
      <c r="K264" s="56"/>
      <c r="L264" s="57"/>
    </row>
    <row r="265" spans="5:12" x14ac:dyDescent="0.25">
      <c r="E265" s="58"/>
      <c r="F265" s="59">
        <v>0.41833333333333328</v>
      </c>
      <c r="G265" s="60">
        <v>0.4186111111111111</v>
      </c>
      <c r="H265" s="61"/>
      <c r="I265" s="61"/>
      <c r="J265" s="59">
        <v>0.42282407407407407</v>
      </c>
      <c r="K265" s="61"/>
      <c r="L265" s="62"/>
    </row>
    <row r="266" spans="5:12" x14ac:dyDescent="0.25">
      <c r="E266" s="53"/>
      <c r="F266" s="54">
        <v>0.41863425925925929</v>
      </c>
      <c r="G266" s="54">
        <v>0.4187731481481482</v>
      </c>
      <c r="H266" s="55"/>
      <c r="I266" s="55"/>
      <c r="J266" s="54">
        <v>0.42509259259259258</v>
      </c>
      <c r="K266" s="56"/>
      <c r="L266" s="57"/>
    </row>
    <row r="267" spans="5:12" x14ac:dyDescent="0.25">
      <c r="E267" s="58"/>
      <c r="F267" s="59">
        <v>0.41893518518518519</v>
      </c>
      <c r="G267" s="60">
        <v>0.41909722222222223</v>
      </c>
      <c r="H267" s="61"/>
      <c r="I267" s="61"/>
      <c r="J267" s="59">
        <v>0.43527777777777782</v>
      </c>
      <c r="K267" s="61"/>
      <c r="L267" s="62"/>
    </row>
    <row r="268" spans="5:12" x14ac:dyDescent="0.25">
      <c r="E268" s="53"/>
      <c r="F268" s="54">
        <v>0.41912037037037037</v>
      </c>
      <c r="G268" s="54">
        <v>0.41944444444444445</v>
      </c>
      <c r="H268" s="55"/>
      <c r="I268" s="55"/>
      <c r="J268" s="54">
        <v>0.44274305555555554</v>
      </c>
      <c r="K268" s="56"/>
      <c r="L268" s="57"/>
    </row>
    <row r="269" spans="5:12" x14ac:dyDescent="0.25">
      <c r="E269" s="58"/>
      <c r="F269" s="59">
        <v>0.41942129629629626</v>
      </c>
      <c r="G269" s="60">
        <v>0.41972222222222227</v>
      </c>
      <c r="H269" s="61"/>
      <c r="I269" s="61"/>
      <c r="J269" s="59">
        <v>0.42678240740740742</v>
      </c>
      <c r="K269" s="61"/>
      <c r="L269" s="62"/>
    </row>
    <row r="270" spans="5:12" x14ac:dyDescent="0.25">
      <c r="E270" s="53"/>
      <c r="F270" s="54">
        <v>0.41979166666666662</v>
      </c>
      <c r="G270" s="54">
        <v>0.42019675925925926</v>
      </c>
      <c r="H270" s="55"/>
      <c r="I270" s="55"/>
      <c r="J270" s="54">
        <v>0.44503472222222223</v>
      </c>
      <c r="K270" s="56"/>
      <c r="L270" s="57"/>
    </row>
    <row r="271" spans="5:12" x14ac:dyDescent="0.25">
      <c r="E271" s="58"/>
      <c r="F271" s="59">
        <v>0.4201388888888889</v>
      </c>
      <c r="G271" s="60">
        <v>0.42053240740740744</v>
      </c>
      <c r="H271" s="61"/>
      <c r="I271" s="61"/>
      <c r="J271" s="59">
        <v>0.43166666666666664</v>
      </c>
      <c r="K271" s="61"/>
      <c r="L271" s="62"/>
    </row>
    <row r="272" spans="5:12" x14ac:dyDescent="0.25">
      <c r="E272" s="53"/>
      <c r="F272" s="54">
        <v>0.42063657407407407</v>
      </c>
      <c r="G272" s="54">
        <v>0.42109953703703701</v>
      </c>
      <c r="H272" s="55"/>
      <c r="I272" s="55"/>
      <c r="J272" s="54">
        <v>0.44217592592592592</v>
      </c>
      <c r="K272" s="56"/>
      <c r="L272" s="57"/>
    </row>
    <row r="273" spans="5:12" x14ac:dyDescent="0.25">
      <c r="E273" s="58"/>
      <c r="F273" s="59">
        <v>0.42098379629629629</v>
      </c>
      <c r="G273" s="60">
        <v>0.42136574074074074</v>
      </c>
      <c r="H273" s="61"/>
      <c r="I273" s="61"/>
      <c r="J273" s="59">
        <v>0.45114583333333336</v>
      </c>
      <c r="K273" s="61"/>
      <c r="L273" s="62"/>
    </row>
    <row r="274" spans="5:12" x14ac:dyDescent="0.25">
      <c r="E274" s="53"/>
      <c r="F274" s="54">
        <v>0.4213541666666667</v>
      </c>
      <c r="G274" s="54">
        <v>0.42184027777777783</v>
      </c>
      <c r="H274" s="55"/>
      <c r="I274" s="55"/>
      <c r="J274" s="54">
        <v>0.43182870370370369</v>
      </c>
      <c r="K274" s="56"/>
      <c r="L274" s="57"/>
    </row>
    <row r="275" spans="5:12" x14ac:dyDescent="0.25">
      <c r="E275" s="58"/>
      <c r="F275" s="59">
        <v>0.42171296296296296</v>
      </c>
      <c r="G275" s="60">
        <v>0.421875</v>
      </c>
      <c r="H275" s="61"/>
      <c r="I275" s="61"/>
      <c r="J275" s="59">
        <v>0.43288194444444444</v>
      </c>
      <c r="K275" s="61"/>
      <c r="L275" s="62"/>
    </row>
    <row r="276" spans="5:12" x14ac:dyDescent="0.25">
      <c r="E276" s="53"/>
      <c r="F276" s="54">
        <v>0.42214120370370373</v>
      </c>
      <c r="G276" s="54">
        <v>0.42237268518518517</v>
      </c>
      <c r="H276" s="55"/>
      <c r="I276" s="55"/>
      <c r="J276" s="54">
        <v>0.44086805555555553</v>
      </c>
      <c r="K276" s="56"/>
      <c r="L276" s="57"/>
    </row>
    <row r="277" spans="5:12" x14ac:dyDescent="0.25">
      <c r="E277" s="58"/>
      <c r="F277" s="59">
        <v>0.42255787037037035</v>
      </c>
      <c r="G277" s="60">
        <v>0.42296296296296299</v>
      </c>
      <c r="H277" s="61"/>
      <c r="I277" s="61"/>
      <c r="J277" s="59">
        <v>0.44365740740740739</v>
      </c>
      <c r="K277" s="61"/>
      <c r="L277" s="62"/>
    </row>
    <row r="278" spans="5:12" x14ac:dyDescent="0.25">
      <c r="E278" s="53"/>
      <c r="F278" s="54">
        <v>0.42284722222222221</v>
      </c>
      <c r="G278" s="54">
        <v>0.42320601851851852</v>
      </c>
      <c r="H278" s="55"/>
      <c r="I278" s="55"/>
      <c r="J278" s="54">
        <v>0.44062499999999999</v>
      </c>
      <c r="K278" s="56"/>
      <c r="L278" s="57"/>
    </row>
    <row r="279" spans="5:12" x14ac:dyDescent="0.25">
      <c r="E279" s="58"/>
      <c r="F279" s="59">
        <v>0.4231712962962963</v>
      </c>
      <c r="G279" s="60">
        <v>0.42353009259259261</v>
      </c>
      <c r="H279" s="61"/>
      <c r="I279" s="61"/>
      <c r="J279" s="59">
        <v>0.43458333333333332</v>
      </c>
      <c r="K279" s="61"/>
      <c r="L279" s="62"/>
    </row>
    <row r="280" spans="5:12" x14ac:dyDescent="0.25">
      <c r="E280" s="53"/>
      <c r="F280" s="54">
        <v>0.42329861111111117</v>
      </c>
      <c r="G280" s="54">
        <v>0.4236111111111111</v>
      </c>
      <c r="H280" s="55"/>
      <c r="I280" s="55"/>
      <c r="J280" s="54">
        <v>0.44650462962962961</v>
      </c>
      <c r="K280" s="56"/>
      <c r="L280" s="57"/>
    </row>
    <row r="281" spans="5:12" x14ac:dyDescent="0.25">
      <c r="E281" s="58"/>
      <c r="F281" s="59">
        <v>0.42359953703703707</v>
      </c>
      <c r="G281" s="60">
        <v>0.42378472222222219</v>
      </c>
      <c r="H281" s="61"/>
      <c r="I281" s="61"/>
      <c r="J281" s="59">
        <v>0.44321759259259258</v>
      </c>
      <c r="K281" s="61"/>
      <c r="L281" s="62"/>
    </row>
    <row r="282" spans="5:12" x14ac:dyDescent="0.25">
      <c r="E282" s="53"/>
      <c r="F282" s="54">
        <v>0.42400462962962965</v>
      </c>
      <c r="G282" s="54">
        <v>0.42451388888888886</v>
      </c>
      <c r="H282" s="55"/>
      <c r="I282" s="55"/>
      <c r="J282" s="54">
        <v>0.42796296296296293</v>
      </c>
      <c r="K282" s="56"/>
      <c r="L282" s="57"/>
    </row>
    <row r="283" spans="5:12" x14ac:dyDescent="0.25">
      <c r="E283" s="58"/>
      <c r="F283" s="59">
        <v>0.42449074074074072</v>
      </c>
      <c r="G283" s="60">
        <v>0.42490740740740746</v>
      </c>
      <c r="H283" s="61"/>
      <c r="I283" s="61"/>
      <c r="J283" s="59">
        <v>0.44239583333333332</v>
      </c>
      <c r="K283" s="61"/>
      <c r="L283" s="62"/>
    </row>
    <row r="284" spans="5:12" x14ac:dyDescent="0.25">
      <c r="E284" s="53"/>
      <c r="F284" s="54">
        <v>0.4246759259259259</v>
      </c>
      <c r="G284" s="54">
        <v>0.42493055555555559</v>
      </c>
      <c r="H284" s="55"/>
      <c r="I284" s="55"/>
      <c r="J284" s="54">
        <v>0.4470601851851852</v>
      </c>
      <c r="K284" s="56"/>
      <c r="L284" s="57"/>
    </row>
    <row r="285" spans="5:12" x14ac:dyDescent="0.25">
      <c r="E285" s="58"/>
      <c r="F285" s="59">
        <v>0.42487268518518517</v>
      </c>
      <c r="G285" s="60">
        <v>0.42518518518518517</v>
      </c>
      <c r="H285" s="61"/>
      <c r="I285" s="61"/>
      <c r="J285" s="59">
        <v>0.44679398148148147</v>
      </c>
      <c r="K285" s="61"/>
      <c r="L285" s="62"/>
    </row>
    <row r="286" spans="5:12" x14ac:dyDescent="0.25">
      <c r="E286" s="53"/>
      <c r="F286" s="54">
        <v>0.42505787037037041</v>
      </c>
      <c r="G286" s="54">
        <v>0.42525462962962962</v>
      </c>
      <c r="H286" s="55"/>
      <c r="I286" s="55"/>
      <c r="J286" s="54">
        <v>0.44643518518518516</v>
      </c>
      <c r="K286" s="56"/>
      <c r="L286" s="57"/>
    </row>
    <row r="287" spans="5:12" x14ac:dyDescent="0.25">
      <c r="E287" s="58"/>
      <c r="F287" s="59">
        <v>0.42531249999999998</v>
      </c>
      <c r="G287" s="60">
        <v>0.42557870370370371</v>
      </c>
      <c r="H287" s="61"/>
      <c r="I287" s="61"/>
      <c r="J287" s="59">
        <v>0.44842592592592595</v>
      </c>
      <c r="K287" s="61"/>
      <c r="L287" s="62"/>
    </row>
    <row r="288" spans="5:12" x14ac:dyDescent="0.25">
      <c r="E288" s="53"/>
      <c r="F288" s="54">
        <v>0.42556712962962967</v>
      </c>
      <c r="G288" s="54">
        <v>0.42587962962962966</v>
      </c>
      <c r="H288" s="55"/>
      <c r="I288" s="55"/>
      <c r="J288" s="54">
        <v>0.44613425925925926</v>
      </c>
      <c r="K288" s="56"/>
      <c r="L288" s="57"/>
    </row>
    <row r="289" spans="5:12" x14ac:dyDescent="0.25">
      <c r="E289" s="58"/>
      <c r="F289" s="59">
        <v>0.42581018518518521</v>
      </c>
      <c r="G289" s="60">
        <v>0.42600694444444448</v>
      </c>
      <c r="H289" s="61"/>
      <c r="I289" s="61"/>
      <c r="J289" s="59">
        <v>0.4418171296296296</v>
      </c>
      <c r="K289" s="61"/>
      <c r="L289" s="62"/>
    </row>
    <row r="290" spans="5:12" x14ac:dyDescent="0.25">
      <c r="E290" s="53"/>
      <c r="F290" s="54">
        <v>0.42591435185185184</v>
      </c>
      <c r="G290" s="54">
        <v>0.42631944444444447</v>
      </c>
      <c r="H290" s="55"/>
      <c r="I290" s="55"/>
      <c r="J290" s="54">
        <v>0.43260416666666668</v>
      </c>
      <c r="K290" s="56"/>
      <c r="L290" s="57"/>
    </row>
    <row r="291" spans="5:12" x14ac:dyDescent="0.25">
      <c r="E291" s="58"/>
      <c r="F291" s="59">
        <v>0.42621527777777773</v>
      </c>
      <c r="G291" s="60">
        <v>0.42626157407407406</v>
      </c>
      <c r="H291" s="61"/>
      <c r="I291" s="61"/>
      <c r="J291" s="59">
        <v>0.442349537037037</v>
      </c>
      <c r="K291" s="61"/>
      <c r="L291" s="62"/>
    </row>
    <row r="292" spans="5:12" x14ac:dyDescent="0.25">
      <c r="E292" s="53"/>
      <c r="F292" s="54">
        <v>0.42662037037037037</v>
      </c>
      <c r="G292" s="54">
        <v>0.4268055555555556</v>
      </c>
      <c r="H292" s="55"/>
      <c r="I292" s="55"/>
      <c r="J292" s="54">
        <v>0.45053240740740735</v>
      </c>
      <c r="K292" s="56"/>
      <c r="L292" s="57"/>
    </row>
    <row r="293" spans="5:12" x14ac:dyDescent="0.25">
      <c r="E293" s="58"/>
      <c r="F293" s="59">
        <v>0.42693287037037037</v>
      </c>
      <c r="G293" s="60">
        <v>0.42724537037037041</v>
      </c>
      <c r="H293" s="61"/>
      <c r="I293" s="61"/>
      <c r="J293" s="59">
        <v>0.44893518518518521</v>
      </c>
      <c r="K293" s="61"/>
      <c r="L293" s="62"/>
    </row>
    <row r="294" spans="5:12" x14ac:dyDescent="0.25">
      <c r="E294" s="53"/>
      <c r="F294" s="54">
        <v>0.42696759259259259</v>
      </c>
      <c r="G294" s="54">
        <v>0.42719907407407409</v>
      </c>
      <c r="H294" s="55"/>
      <c r="I294" s="55"/>
      <c r="J294" s="54">
        <v>0.45232638888888888</v>
      </c>
      <c r="K294" s="56"/>
      <c r="L294" s="57"/>
    </row>
    <row r="295" spans="5:12" x14ac:dyDescent="0.25">
      <c r="E295" s="58"/>
      <c r="F295" s="59">
        <v>0.42722222222222223</v>
      </c>
      <c r="G295" s="60">
        <v>0.42756944444444445</v>
      </c>
      <c r="H295" s="61"/>
      <c r="I295" s="61"/>
      <c r="J295" s="59">
        <v>0.44568287037037035</v>
      </c>
      <c r="K295" s="61"/>
      <c r="L295" s="62"/>
    </row>
    <row r="296" spans="5:12" x14ac:dyDescent="0.25">
      <c r="E296" s="53"/>
      <c r="F296" s="54">
        <v>0.42734953703703704</v>
      </c>
      <c r="G296" s="54">
        <v>0.42770833333333336</v>
      </c>
      <c r="H296" s="55"/>
      <c r="I296" s="55"/>
      <c r="J296" s="54">
        <v>0.44370370370370371</v>
      </c>
      <c r="K296" s="56"/>
      <c r="L296" s="57"/>
    </row>
    <row r="297" spans="5:12" x14ac:dyDescent="0.25">
      <c r="E297" s="58"/>
      <c r="F297" s="59">
        <v>0.4274074074074074</v>
      </c>
      <c r="G297" s="60">
        <v>0.42773148148148149</v>
      </c>
      <c r="H297" s="61"/>
      <c r="I297" s="61"/>
      <c r="J297" s="59">
        <v>0.44905092592592594</v>
      </c>
      <c r="K297" s="61"/>
      <c r="L297" s="62"/>
    </row>
    <row r="298" spans="5:12" x14ac:dyDescent="0.25">
      <c r="E298" s="53"/>
      <c r="F298" s="54">
        <v>0.42758101851851849</v>
      </c>
      <c r="G298" s="54">
        <v>0.42787037037037035</v>
      </c>
      <c r="H298" s="55"/>
      <c r="I298" s="55"/>
      <c r="J298" s="54">
        <v>0.44351851851851848</v>
      </c>
      <c r="K298" s="56"/>
      <c r="L298" s="57"/>
    </row>
    <row r="299" spans="5:12" x14ac:dyDescent="0.25">
      <c r="E299" s="58"/>
      <c r="F299" s="59">
        <v>0.42807870370370371</v>
      </c>
      <c r="G299" s="60">
        <v>0.42827546296296298</v>
      </c>
      <c r="H299" s="61"/>
      <c r="I299" s="61"/>
      <c r="J299" s="59">
        <v>0.44065972222222222</v>
      </c>
      <c r="K299" s="61"/>
      <c r="L299" s="62"/>
    </row>
    <row r="300" spans="5:12" x14ac:dyDescent="0.25">
      <c r="E300" s="53"/>
      <c r="F300" s="54">
        <v>0.42843750000000003</v>
      </c>
      <c r="G300" s="54">
        <v>0.42901620370370369</v>
      </c>
      <c r="H300" s="55"/>
      <c r="I300" s="55"/>
      <c r="J300" s="54">
        <v>0.44853009259259258</v>
      </c>
      <c r="K300" s="56"/>
      <c r="L300" s="57"/>
    </row>
    <row r="301" spans="5:12" x14ac:dyDescent="0.25">
      <c r="E301" s="58"/>
      <c r="F301" s="59">
        <v>0.42895833333333333</v>
      </c>
      <c r="G301" s="60">
        <v>0.42942129629629627</v>
      </c>
      <c r="H301" s="61"/>
      <c r="I301" s="61"/>
      <c r="J301" s="59">
        <v>0.45196759259259256</v>
      </c>
      <c r="K301" s="61"/>
      <c r="L301" s="62"/>
    </row>
    <row r="302" spans="5:12" x14ac:dyDescent="0.25">
      <c r="E302" s="53"/>
      <c r="F302" s="54">
        <v>0.42927083333333332</v>
      </c>
      <c r="G302" s="54">
        <v>0.42974537037037036</v>
      </c>
      <c r="H302" s="55"/>
      <c r="I302" s="55"/>
      <c r="J302" s="54">
        <v>0.44527777777777783</v>
      </c>
      <c r="K302" s="56"/>
      <c r="L302" s="57"/>
    </row>
    <row r="303" spans="5:12" x14ac:dyDescent="0.25">
      <c r="E303" s="58"/>
      <c r="F303" s="59">
        <v>0.42956018518518518</v>
      </c>
      <c r="G303" s="60">
        <v>0.42961805555555554</v>
      </c>
      <c r="H303" s="61"/>
      <c r="I303" s="61"/>
      <c r="J303" s="59">
        <v>0.45438657407407407</v>
      </c>
      <c r="K303" s="61"/>
      <c r="L303" s="62"/>
    </row>
    <row r="304" spans="5:12" x14ac:dyDescent="0.25">
      <c r="E304" s="53"/>
      <c r="F304" s="54">
        <v>0.42995370370370373</v>
      </c>
      <c r="G304" s="54">
        <v>0.43033564814814818</v>
      </c>
      <c r="H304" s="55"/>
      <c r="I304" s="55"/>
      <c r="J304" s="54">
        <v>0.44969907407407406</v>
      </c>
      <c r="K304" s="56"/>
      <c r="L304" s="57"/>
    </row>
    <row r="305" spans="5:12" x14ac:dyDescent="0.25">
      <c r="E305" s="58"/>
      <c r="F305" s="59">
        <v>0.43023148148148144</v>
      </c>
      <c r="G305" s="60">
        <v>0.43047453703703703</v>
      </c>
      <c r="H305" s="61"/>
      <c r="I305" s="61"/>
      <c r="J305" s="59">
        <v>0.45087962962962963</v>
      </c>
      <c r="K305" s="61"/>
      <c r="L305" s="62"/>
    </row>
    <row r="306" spans="5:12" x14ac:dyDescent="0.25">
      <c r="E306" s="53"/>
      <c r="F306" s="54">
        <v>0.43042824074074071</v>
      </c>
      <c r="G306" s="54">
        <v>0.43091435185185184</v>
      </c>
      <c r="H306" s="55"/>
      <c r="I306" s="55"/>
      <c r="J306" s="54">
        <v>0.44224537037037037</v>
      </c>
      <c r="K306" s="56"/>
      <c r="L306" s="57"/>
    </row>
    <row r="307" spans="5:12" x14ac:dyDescent="0.25">
      <c r="E307" s="58"/>
      <c r="F307" s="59">
        <v>0.43063657407407407</v>
      </c>
      <c r="G307" s="60">
        <v>0.43094907407407407</v>
      </c>
      <c r="H307" s="61"/>
      <c r="I307" s="61"/>
      <c r="J307" s="59">
        <v>0.44388888888888894</v>
      </c>
      <c r="K307" s="61"/>
      <c r="L307" s="62"/>
    </row>
    <row r="308" spans="5:12" x14ac:dyDescent="0.25">
      <c r="E308" s="53"/>
      <c r="F308" s="54">
        <v>0.43091435185185184</v>
      </c>
      <c r="G308" s="54">
        <v>0.43129629629629629</v>
      </c>
      <c r="H308" s="55"/>
      <c r="I308" s="55"/>
      <c r="J308" s="54">
        <v>0.4533564814814815</v>
      </c>
      <c r="K308" s="56"/>
      <c r="L308" s="57"/>
    </row>
    <row r="309" spans="5:12" x14ac:dyDescent="0.25">
      <c r="E309" s="58"/>
      <c r="F309" s="59">
        <v>0.43114583333333334</v>
      </c>
      <c r="G309" s="60">
        <v>0.43160879629629628</v>
      </c>
      <c r="H309" s="61"/>
      <c r="I309" s="61"/>
      <c r="J309" s="59">
        <v>0.44612268518518516</v>
      </c>
      <c r="K309" s="61"/>
      <c r="L309" s="62"/>
    </row>
    <row r="310" spans="5:12" x14ac:dyDescent="0.25">
      <c r="E310" s="53"/>
      <c r="F310" s="54">
        <v>0.43159722222222219</v>
      </c>
      <c r="G310" s="54">
        <v>0.4321875</v>
      </c>
      <c r="H310" s="55"/>
      <c r="I310" s="55"/>
      <c r="J310" s="54">
        <v>0.44690972222222225</v>
      </c>
      <c r="K310" s="56"/>
      <c r="L310" s="57"/>
    </row>
    <row r="311" spans="5:12" x14ac:dyDescent="0.25">
      <c r="E311" s="58"/>
      <c r="F311" s="59">
        <v>0.43181712962962965</v>
      </c>
      <c r="G311" s="60">
        <v>0.43210648148148145</v>
      </c>
      <c r="H311" s="61"/>
      <c r="I311" s="61"/>
      <c r="J311" s="59">
        <v>0.45099537037037035</v>
      </c>
      <c r="K311" s="61"/>
      <c r="L311" s="62"/>
    </row>
    <row r="312" spans="5:12" x14ac:dyDescent="0.25">
      <c r="E312" s="53"/>
      <c r="F312" s="54">
        <v>0.43216435185185187</v>
      </c>
      <c r="G312" s="54">
        <v>0.43239583333333331</v>
      </c>
      <c r="H312" s="55"/>
      <c r="I312" s="55"/>
      <c r="J312" s="54">
        <v>0.44322916666666662</v>
      </c>
      <c r="K312" s="56"/>
      <c r="L312" s="57"/>
    </row>
    <row r="313" spans="5:12" x14ac:dyDescent="0.25">
      <c r="E313" s="58"/>
      <c r="F313" s="59">
        <v>0.43233796296296295</v>
      </c>
      <c r="G313" s="60">
        <v>0.43277777777777776</v>
      </c>
      <c r="H313" s="61"/>
      <c r="I313" s="61"/>
      <c r="J313" s="59">
        <v>0.43651620370370375</v>
      </c>
      <c r="K313" s="61"/>
      <c r="L313" s="62"/>
    </row>
    <row r="314" spans="5:12" x14ac:dyDescent="0.25">
      <c r="E314" s="53"/>
      <c r="F314" s="54">
        <v>0.43260416666666668</v>
      </c>
      <c r="G314" s="54">
        <v>0.43307870370370366</v>
      </c>
      <c r="H314" s="55"/>
      <c r="I314" s="55"/>
      <c r="J314" s="54">
        <v>0.45577546296296295</v>
      </c>
      <c r="K314" s="56"/>
      <c r="L314" s="57"/>
    </row>
    <row r="315" spans="5:12" x14ac:dyDescent="0.25">
      <c r="E315" s="58"/>
      <c r="F315" s="59">
        <v>0.43293981481481486</v>
      </c>
      <c r="G315" s="60">
        <v>0.43313657407407408</v>
      </c>
      <c r="H315" s="61"/>
      <c r="I315" s="61"/>
      <c r="J315" s="59">
        <v>0.44398148148148148</v>
      </c>
      <c r="K315" s="61"/>
      <c r="L315" s="62"/>
    </row>
    <row r="316" spans="5:12" x14ac:dyDescent="0.25">
      <c r="E316" s="53"/>
      <c r="F316" s="54">
        <v>0.43331018518518521</v>
      </c>
      <c r="G316" s="54">
        <v>0.43355324074074075</v>
      </c>
      <c r="H316" s="55"/>
      <c r="I316" s="55"/>
      <c r="J316" s="54">
        <v>0.45398148148148149</v>
      </c>
      <c r="K316" s="56"/>
      <c r="L316" s="57"/>
    </row>
    <row r="317" spans="5:12" x14ac:dyDescent="0.25">
      <c r="E317" s="58"/>
      <c r="F317" s="59">
        <v>0.43375000000000002</v>
      </c>
      <c r="G317" s="60">
        <v>0.43412037037037038</v>
      </c>
      <c r="H317" s="61"/>
      <c r="I317" s="61"/>
      <c r="J317" s="59">
        <v>0.44376157407407407</v>
      </c>
      <c r="K317" s="61"/>
      <c r="L317" s="62"/>
    </row>
    <row r="318" spans="5:12" x14ac:dyDescent="0.25">
      <c r="E318" s="53"/>
      <c r="F318" s="54">
        <v>0.43405092592592592</v>
      </c>
      <c r="G318" s="54">
        <v>0.43451388888888887</v>
      </c>
      <c r="H318" s="55"/>
      <c r="I318" s="55"/>
      <c r="J318" s="54">
        <v>0.45568287037037036</v>
      </c>
      <c r="K318" s="56"/>
      <c r="L318" s="57"/>
    </row>
    <row r="319" spans="5:12" x14ac:dyDescent="0.25">
      <c r="E319" s="58"/>
      <c r="F319" s="59">
        <v>0.43421296296296297</v>
      </c>
      <c r="G319" s="60">
        <v>0.43446759259259254</v>
      </c>
      <c r="H319" s="61"/>
      <c r="I319" s="61"/>
      <c r="J319" s="59">
        <v>0.45718750000000002</v>
      </c>
      <c r="K319" s="61"/>
      <c r="L319" s="62"/>
    </row>
    <row r="320" spans="5:12" x14ac:dyDescent="0.25">
      <c r="E320" s="53"/>
      <c r="F320" s="54">
        <v>0.43449074074074073</v>
      </c>
      <c r="G320" s="54">
        <v>0.43488425925925928</v>
      </c>
      <c r="H320" s="55"/>
      <c r="I320" s="55"/>
      <c r="J320" s="54">
        <v>0.46025462962962965</v>
      </c>
      <c r="K320" s="56"/>
      <c r="L320" s="57"/>
    </row>
    <row r="321" spans="5:12" x14ac:dyDescent="0.25">
      <c r="E321" s="58"/>
      <c r="F321" s="59">
        <v>0.43471064814814814</v>
      </c>
      <c r="G321" s="60">
        <v>0.43496527777777777</v>
      </c>
      <c r="H321" s="61"/>
      <c r="I321" s="61"/>
      <c r="J321" s="59">
        <v>0.44246527777777778</v>
      </c>
      <c r="K321" s="61"/>
      <c r="L321" s="62"/>
    </row>
    <row r="322" spans="5:12" x14ac:dyDescent="0.25">
      <c r="E322" s="53"/>
      <c r="F322" s="54">
        <v>0.43496527777777777</v>
      </c>
      <c r="G322" s="54">
        <v>0.43531249999999999</v>
      </c>
      <c r="H322" s="55"/>
      <c r="I322" s="55"/>
      <c r="J322" s="54">
        <v>0.45064814814814813</v>
      </c>
      <c r="K322" s="56"/>
      <c r="L322" s="57"/>
    </row>
    <row r="323" spans="5:12" x14ac:dyDescent="0.25">
      <c r="E323" s="58"/>
      <c r="F323" s="59">
        <v>0.43537037037037035</v>
      </c>
      <c r="G323" s="60">
        <v>0.43560185185185185</v>
      </c>
      <c r="H323" s="61"/>
      <c r="I323" s="61"/>
      <c r="J323" s="59">
        <v>0.45276620370370368</v>
      </c>
      <c r="K323" s="61"/>
      <c r="L323" s="62"/>
    </row>
    <row r="324" spans="5:12" x14ac:dyDescent="0.25">
      <c r="E324" s="53"/>
      <c r="F324" s="54">
        <v>0.4357523148148148</v>
      </c>
      <c r="G324" s="54">
        <v>0.43611111111111112</v>
      </c>
      <c r="H324" s="55"/>
      <c r="I324" s="55"/>
      <c r="J324" s="54">
        <v>0.44271990740740735</v>
      </c>
      <c r="K324" s="56"/>
      <c r="L324" s="57"/>
    </row>
    <row r="325" spans="5:12" x14ac:dyDescent="0.25">
      <c r="E325" s="58"/>
      <c r="F325" s="59">
        <v>0.43592592592592588</v>
      </c>
      <c r="G325" s="60">
        <v>0.43627314814814816</v>
      </c>
      <c r="H325" s="61"/>
      <c r="I325" s="61"/>
      <c r="J325" s="59">
        <v>0.45276620370370368</v>
      </c>
      <c r="K325" s="61"/>
      <c r="L325" s="62"/>
    </row>
    <row r="326" spans="5:12" x14ac:dyDescent="0.25">
      <c r="E326" s="53"/>
      <c r="F326" s="54">
        <v>0.43623842592592593</v>
      </c>
      <c r="G326" s="54">
        <v>0.43643518518518515</v>
      </c>
      <c r="H326" s="55"/>
      <c r="I326" s="55"/>
      <c r="J326" s="54">
        <v>0.46047453703703706</v>
      </c>
      <c r="K326" s="56"/>
      <c r="L326" s="57"/>
    </row>
    <row r="327" spans="5:12" x14ac:dyDescent="0.25">
      <c r="E327" s="58"/>
      <c r="F327" s="59">
        <v>0.43670138888888888</v>
      </c>
      <c r="G327" s="60">
        <v>0.43700231481481483</v>
      </c>
      <c r="H327" s="61"/>
      <c r="I327" s="61"/>
      <c r="J327" s="59">
        <v>0.45908564814814817</v>
      </c>
      <c r="K327" s="61"/>
      <c r="L327" s="62"/>
    </row>
    <row r="328" spans="5:12" x14ac:dyDescent="0.25">
      <c r="E328" s="53"/>
      <c r="F328" s="54">
        <v>0.43687499999999996</v>
      </c>
      <c r="G328" s="54">
        <v>0.43714120370370368</v>
      </c>
      <c r="H328" s="55"/>
      <c r="I328" s="55"/>
      <c r="J328" s="54">
        <v>0.45716435185185184</v>
      </c>
      <c r="K328" s="56"/>
      <c r="L328" s="57"/>
    </row>
    <row r="329" spans="5:12" x14ac:dyDescent="0.25">
      <c r="E329" s="58"/>
      <c r="F329" s="59">
        <v>0.43718750000000001</v>
      </c>
      <c r="G329" s="60">
        <v>0.4377199074074074</v>
      </c>
      <c r="H329" s="61"/>
      <c r="I329" s="61"/>
      <c r="J329" s="59">
        <v>0.45630787037037041</v>
      </c>
      <c r="K329" s="61"/>
      <c r="L329" s="62"/>
    </row>
    <row r="330" spans="5:12" x14ac:dyDescent="0.25">
      <c r="E330" s="53"/>
      <c r="F330" s="54">
        <v>0.43740740740740741</v>
      </c>
      <c r="G330" s="54">
        <v>0.43776620370370373</v>
      </c>
      <c r="H330" s="55"/>
      <c r="I330" s="55"/>
      <c r="J330" s="54">
        <v>0.44761574074074079</v>
      </c>
      <c r="K330" s="56"/>
      <c r="L330" s="57"/>
    </row>
    <row r="331" spans="5:12" x14ac:dyDescent="0.25">
      <c r="E331" s="58"/>
      <c r="F331" s="59">
        <v>0.43783564814814818</v>
      </c>
      <c r="G331" s="60">
        <v>0.4379513888888889</v>
      </c>
      <c r="H331" s="61"/>
      <c r="I331" s="61"/>
      <c r="J331" s="59">
        <v>0.45475694444444442</v>
      </c>
      <c r="K331" s="61"/>
      <c r="L331" s="62"/>
    </row>
    <row r="332" spans="5:12" x14ac:dyDescent="0.25">
      <c r="E332" s="53"/>
      <c r="F332" s="54">
        <v>0.43800925925925926</v>
      </c>
      <c r="G332" s="54">
        <v>0.43858796296296299</v>
      </c>
      <c r="H332" s="55"/>
      <c r="I332" s="55"/>
      <c r="J332" s="54">
        <v>0.45731481481481479</v>
      </c>
      <c r="K332" s="56"/>
      <c r="L332" s="57"/>
    </row>
    <row r="333" spans="5:12" x14ac:dyDescent="0.25">
      <c r="E333" s="58"/>
      <c r="F333" s="59">
        <v>0.4382523148148148</v>
      </c>
      <c r="G333" s="60">
        <v>0.43846064814814811</v>
      </c>
      <c r="H333" s="61"/>
      <c r="I333" s="61"/>
      <c r="J333" s="59">
        <v>0.44891203703703703</v>
      </c>
      <c r="K333" s="61"/>
      <c r="L333" s="62"/>
    </row>
    <row r="334" spans="5:12" x14ac:dyDescent="0.25">
      <c r="E334" s="53"/>
      <c r="F334" s="54">
        <v>0.43834490740740745</v>
      </c>
      <c r="G334" s="54">
        <v>0.43854166666666666</v>
      </c>
      <c r="H334" s="55"/>
      <c r="I334" s="55"/>
      <c r="J334" s="54">
        <v>0.45791666666666669</v>
      </c>
      <c r="K334" s="56"/>
      <c r="L334" s="57"/>
    </row>
    <row r="335" spans="5:12" x14ac:dyDescent="0.25">
      <c r="E335" s="58"/>
      <c r="F335" s="59">
        <v>0.43861111111111112</v>
      </c>
      <c r="G335" s="60">
        <v>0.43902777777777779</v>
      </c>
      <c r="H335" s="61"/>
      <c r="I335" s="61"/>
      <c r="J335" s="59">
        <v>0.45946759259259262</v>
      </c>
      <c r="K335" s="61"/>
      <c r="L335" s="62"/>
    </row>
    <row r="336" spans="5:12" x14ac:dyDescent="0.25">
      <c r="E336" s="53"/>
      <c r="F336" s="54">
        <v>0.43880787037037039</v>
      </c>
      <c r="G336" s="54">
        <v>0.43918981481481478</v>
      </c>
      <c r="H336" s="55"/>
      <c r="I336" s="55"/>
      <c r="J336" s="54">
        <v>0.45413194444444444</v>
      </c>
      <c r="K336" s="56"/>
      <c r="L336" s="57"/>
    </row>
    <row r="337" spans="5:12" x14ac:dyDescent="0.25">
      <c r="E337" s="58"/>
      <c r="F337" s="59">
        <v>0.43906249999999997</v>
      </c>
      <c r="G337" s="60">
        <v>0.43929398148148152</v>
      </c>
      <c r="H337" s="61"/>
      <c r="I337" s="61"/>
      <c r="J337" s="59">
        <v>0.457974537037037</v>
      </c>
      <c r="K337" s="61"/>
      <c r="L337" s="62"/>
    </row>
    <row r="338" spans="5:12" x14ac:dyDescent="0.25">
      <c r="E338" s="53"/>
      <c r="F338" s="54">
        <v>0.43940972222222219</v>
      </c>
      <c r="G338" s="54">
        <v>0.43984953703703705</v>
      </c>
      <c r="H338" s="55"/>
      <c r="I338" s="55"/>
      <c r="J338" s="54">
        <v>0.46406249999999999</v>
      </c>
      <c r="K338" s="56"/>
      <c r="L338" s="57"/>
    </row>
    <row r="339" spans="5:12" x14ac:dyDescent="0.25">
      <c r="E339" s="58"/>
      <c r="F339" s="59">
        <v>0.43953703703703706</v>
      </c>
      <c r="G339" s="60">
        <v>0.43991898148148145</v>
      </c>
      <c r="H339" s="61"/>
      <c r="I339" s="61"/>
      <c r="J339" s="59">
        <v>0.45440972222222226</v>
      </c>
      <c r="K339" s="61"/>
      <c r="L339" s="62"/>
    </row>
    <row r="340" spans="5:12" x14ac:dyDescent="0.25">
      <c r="E340" s="53"/>
      <c r="F340" s="54">
        <v>0.43984953703703705</v>
      </c>
      <c r="G340" s="54">
        <v>0.43988425925925928</v>
      </c>
      <c r="H340" s="55"/>
      <c r="I340" s="55"/>
      <c r="J340" s="54">
        <v>0.45459490740740738</v>
      </c>
      <c r="K340" s="56"/>
      <c r="L340" s="57"/>
    </row>
    <row r="341" spans="5:12" x14ac:dyDescent="0.25">
      <c r="E341" s="58"/>
      <c r="F341" s="59">
        <v>0.44027777777777777</v>
      </c>
      <c r="G341" s="60">
        <v>0.44053240740740746</v>
      </c>
      <c r="H341" s="61"/>
      <c r="I341" s="61"/>
      <c r="J341" s="59">
        <v>0.45873842592592595</v>
      </c>
      <c r="K341" s="61"/>
      <c r="L341" s="62"/>
    </row>
    <row r="342" spans="5:12" x14ac:dyDescent="0.25">
      <c r="E342" s="53"/>
      <c r="F342" s="54">
        <v>0.44071759259259258</v>
      </c>
      <c r="G342" s="54">
        <v>0.44092592592592594</v>
      </c>
      <c r="H342" s="55"/>
      <c r="I342" s="55"/>
      <c r="J342" s="54">
        <v>0.45590277777777777</v>
      </c>
      <c r="K342" s="56"/>
      <c r="L342" s="57"/>
    </row>
    <row r="343" spans="5:12" x14ac:dyDescent="0.25">
      <c r="E343" s="58"/>
      <c r="F343" s="59">
        <v>0.44104166666666672</v>
      </c>
      <c r="G343" s="60">
        <v>0.44112268518518521</v>
      </c>
      <c r="H343" s="61"/>
      <c r="I343" s="61"/>
      <c r="J343" s="59">
        <v>0.45949074074074076</v>
      </c>
      <c r="K343" s="61"/>
      <c r="L343" s="62"/>
    </row>
    <row r="344" spans="5:12" x14ac:dyDescent="0.25">
      <c r="E344" s="53"/>
      <c r="F344" s="54">
        <v>0.44135416666666666</v>
      </c>
      <c r="G344" s="54">
        <v>0.44157407407407406</v>
      </c>
      <c r="H344" s="55"/>
      <c r="I344" s="55"/>
      <c r="J344" s="54">
        <v>0.46334490740740741</v>
      </c>
      <c r="K344" s="56"/>
      <c r="L344" s="57"/>
    </row>
    <row r="345" spans="5:12" x14ac:dyDescent="0.25">
      <c r="E345" s="58"/>
      <c r="F345" s="59">
        <v>0.44155092592592587</v>
      </c>
      <c r="G345" s="60">
        <v>0.44189814814814815</v>
      </c>
      <c r="H345" s="61"/>
      <c r="I345" s="61"/>
      <c r="J345" s="59">
        <v>0.44965277777777773</v>
      </c>
      <c r="K345" s="61"/>
      <c r="L345" s="62"/>
    </row>
    <row r="346" spans="5:12" x14ac:dyDescent="0.25">
      <c r="E346" s="53"/>
      <c r="F346" s="54">
        <v>0.4417476851851852</v>
      </c>
      <c r="G346" s="54">
        <v>0.44209490740740742</v>
      </c>
      <c r="H346" s="55"/>
      <c r="I346" s="55"/>
      <c r="J346" s="54">
        <v>0.46563657407407405</v>
      </c>
      <c r="K346" s="56"/>
      <c r="L346" s="57"/>
    </row>
    <row r="347" spans="5:12" x14ac:dyDescent="0.25">
      <c r="E347" s="58"/>
      <c r="F347" s="59">
        <v>0.44214120370370374</v>
      </c>
      <c r="G347" s="60">
        <v>0.44245370370370374</v>
      </c>
      <c r="H347" s="61"/>
      <c r="I347" s="61"/>
      <c r="J347" s="59">
        <v>0.4652546296296296</v>
      </c>
      <c r="K347" s="61"/>
      <c r="L347" s="62"/>
    </row>
    <row r="348" spans="5:12" x14ac:dyDescent="0.25">
      <c r="E348" s="53"/>
      <c r="F348" s="54">
        <v>0.44238425925925928</v>
      </c>
      <c r="G348" s="54">
        <v>0.44278935185185181</v>
      </c>
      <c r="H348" s="55"/>
      <c r="I348" s="55"/>
      <c r="J348" s="54">
        <v>0.45675925925925925</v>
      </c>
      <c r="K348" s="56"/>
      <c r="L348" s="57"/>
    </row>
    <row r="349" spans="5:12" x14ac:dyDescent="0.25">
      <c r="E349" s="58"/>
      <c r="F349" s="59">
        <v>0.44265046296296301</v>
      </c>
      <c r="G349" s="60">
        <v>0.44309027777777782</v>
      </c>
      <c r="H349" s="61"/>
      <c r="I349" s="61"/>
      <c r="J349" s="59">
        <v>0.4596412037037037</v>
      </c>
      <c r="K349" s="61"/>
      <c r="L349" s="62"/>
    </row>
    <row r="350" spans="5:12" x14ac:dyDescent="0.25">
      <c r="E350" s="53"/>
      <c r="F350" s="54">
        <v>0.44299768518518517</v>
      </c>
      <c r="G350" s="54">
        <v>0.44333333333333336</v>
      </c>
      <c r="H350" s="55"/>
      <c r="I350" s="55"/>
      <c r="J350" s="54">
        <v>0.45892361111111107</v>
      </c>
      <c r="K350" s="56"/>
      <c r="L350" s="57"/>
    </row>
    <row r="351" spans="5:12" x14ac:dyDescent="0.25">
      <c r="E351" s="58"/>
      <c r="F351" s="59">
        <v>0.44321759259259258</v>
      </c>
      <c r="G351" s="60">
        <v>0.44351851851851848</v>
      </c>
      <c r="H351" s="61"/>
      <c r="I351" s="61"/>
      <c r="J351" s="59">
        <v>0.46635416666666668</v>
      </c>
      <c r="K351" s="61"/>
      <c r="L351" s="62"/>
    </row>
    <row r="352" spans="5:12" x14ac:dyDescent="0.25">
      <c r="E352" s="53"/>
      <c r="F352" s="54">
        <v>0.44353009259259263</v>
      </c>
      <c r="G352" s="54">
        <v>0.44377314814814817</v>
      </c>
      <c r="H352" s="55"/>
      <c r="I352" s="55"/>
      <c r="J352" s="54">
        <v>0.4576157407407408</v>
      </c>
      <c r="K352" s="56"/>
      <c r="L352" s="57"/>
    </row>
    <row r="353" spans="5:12" x14ac:dyDescent="0.25">
      <c r="E353" s="58"/>
      <c r="F353" s="59">
        <v>0.44365740740740739</v>
      </c>
      <c r="G353" s="60">
        <v>0.44405092592592593</v>
      </c>
      <c r="H353" s="61"/>
      <c r="I353" s="61"/>
      <c r="J353" s="59">
        <v>0.46446759259259257</v>
      </c>
      <c r="K353" s="61"/>
      <c r="L353" s="62"/>
    </row>
    <row r="354" spans="5:12" x14ac:dyDescent="0.25">
      <c r="E354" s="53"/>
      <c r="F354" s="54">
        <v>0.44405092592592593</v>
      </c>
      <c r="G354" s="54">
        <v>0.44424768518518515</v>
      </c>
      <c r="H354" s="55"/>
      <c r="I354" s="55"/>
      <c r="J354" s="54">
        <v>0.45493055555555556</v>
      </c>
      <c r="K354" s="56"/>
      <c r="L354" s="57"/>
    </row>
    <row r="355" spans="5:12" x14ac:dyDescent="0.25">
      <c r="E355" s="58"/>
      <c r="F355" s="59">
        <v>0.44446759259259255</v>
      </c>
      <c r="G355" s="60">
        <v>0.44452546296296297</v>
      </c>
      <c r="H355" s="61"/>
      <c r="I355" s="61"/>
      <c r="J355" s="59">
        <v>0.47178240740740746</v>
      </c>
      <c r="K355" s="61"/>
      <c r="L355" s="62"/>
    </row>
    <row r="356" spans="5:12" x14ac:dyDescent="0.25">
      <c r="E356" s="53"/>
      <c r="F356" s="54">
        <v>0.44494212962962965</v>
      </c>
      <c r="G356" s="54">
        <v>0.44535879629629632</v>
      </c>
      <c r="H356" s="55"/>
      <c r="I356" s="55"/>
      <c r="J356" s="54">
        <v>0.46657407407407409</v>
      </c>
      <c r="K356" s="56"/>
      <c r="L356" s="57"/>
    </row>
    <row r="357" spans="5:12" x14ac:dyDescent="0.25">
      <c r="E357" s="58"/>
      <c r="F357" s="59">
        <v>0.44518518518518518</v>
      </c>
      <c r="G357" s="60">
        <v>0.44545138888888891</v>
      </c>
      <c r="H357" s="61"/>
      <c r="I357" s="61"/>
      <c r="J357" s="59">
        <v>0.4602430555555555</v>
      </c>
      <c r="K357" s="61"/>
      <c r="L357" s="62"/>
    </row>
    <row r="358" spans="5:12" x14ac:dyDescent="0.25">
      <c r="E358" s="53"/>
      <c r="F358" s="54">
        <v>0.4455324074074074</v>
      </c>
      <c r="G358" s="54">
        <v>0.44598379629629631</v>
      </c>
      <c r="H358" s="55"/>
      <c r="I358" s="55"/>
      <c r="J358" s="54">
        <v>0.46170138888888884</v>
      </c>
      <c r="K358" s="56"/>
      <c r="L358" s="57"/>
    </row>
    <row r="359" spans="5:12" x14ac:dyDescent="0.25">
      <c r="E359" s="58"/>
      <c r="F359" s="59">
        <v>0.44591435185185185</v>
      </c>
      <c r="G359" s="60">
        <v>0.44613425925925926</v>
      </c>
      <c r="H359" s="61"/>
      <c r="I359" s="61"/>
      <c r="J359" s="59">
        <v>0.4629050925925926</v>
      </c>
      <c r="K359" s="61"/>
      <c r="L359" s="62"/>
    </row>
    <row r="360" spans="5:12" x14ac:dyDescent="0.25">
      <c r="E360" s="53"/>
      <c r="F360" s="54">
        <v>0.44613425925925926</v>
      </c>
      <c r="G360" s="54">
        <v>0.44642361111111112</v>
      </c>
      <c r="H360" s="55"/>
      <c r="I360" s="55"/>
      <c r="J360" s="54">
        <v>0.46754629629629635</v>
      </c>
      <c r="K360" s="56"/>
      <c r="L360" s="57"/>
    </row>
    <row r="361" spans="5:12" x14ac:dyDescent="0.25">
      <c r="E361" s="58"/>
      <c r="F361" s="59">
        <v>0.44628472222222221</v>
      </c>
      <c r="G361" s="60">
        <v>0.44665509259259256</v>
      </c>
      <c r="H361" s="61"/>
      <c r="I361" s="61"/>
      <c r="J361" s="59">
        <v>0.47120370370370374</v>
      </c>
      <c r="K361" s="61"/>
      <c r="L361" s="62"/>
    </row>
    <row r="362" spans="5:12" x14ac:dyDescent="0.25">
      <c r="E362" s="53"/>
      <c r="F362" s="54">
        <v>0.44667824074074075</v>
      </c>
      <c r="G362" s="54">
        <v>0.44697916666666665</v>
      </c>
      <c r="H362" s="55"/>
      <c r="I362" s="55"/>
      <c r="J362" s="54">
        <v>0.46609953703703705</v>
      </c>
      <c r="K362" s="56"/>
      <c r="L362" s="57"/>
    </row>
    <row r="363" spans="5:12" x14ac:dyDescent="0.25">
      <c r="E363" s="58"/>
      <c r="F363" s="59">
        <v>0.44703703703703707</v>
      </c>
      <c r="G363" s="60">
        <v>0.44740740740740742</v>
      </c>
      <c r="H363" s="61"/>
      <c r="I363" s="61"/>
      <c r="J363" s="59">
        <v>0.46784722222222225</v>
      </c>
      <c r="K363" s="61"/>
      <c r="L363" s="62"/>
    </row>
    <row r="364" spans="5:12" x14ac:dyDescent="0.25">
      <c r="E364" s="53"/>
      <c r="F364" s="54">
        <v>0.4472800925925926</v>
      </c>
      <c r="G364" s="54">
        <v>0.4478125</v>
      </c>
      <c r="H364" s="55"/>
      <c r="I364" s="55"/>
      <c r="J364" s="54">
        <v>0.46984953703703702</v>
      </c>
      <c r="K364" s="56"/>
      <c r="L364" s="57"/>
    </row>
    <row r="365" spans="5:12" x14ac:dyDescent="0.25">
      <c r="E365" s="58"/>
      <c r="F365" s="59">
        <v>0.44773148148148145</v>
      </c>
      <c r="G365" s="60">
        <v>0.44783564814814819</v>
      </c>
      <c r="H365" s="61"/>
      <c r="I365" s="61"/>
      <c r="J365" s="59">
        <v>0.46832175925925923</v>
      </c>
      <c r="K365" s="61"/>
      <c r="L365" s="62"/>
    </row>
    <row r="366" spans="5:12" x14ac:dyDescent="0.25">
      <c r="E366" s="53"/>
      <c r="F366" s="54">
        <v>0.44799768518518518</v>
      </c>
      <c r="G366" s="54">
        <v>0.44839120370370367</v>
      </c>
      <c r="H366" s="55"/>
      <c r="I366" s="55"/>
      <c r="J366" s="54">
        <v>0.46266203703703707</v>
      </c>
      <c r="K366" s="56"/>
      <c r="L366" s="57"/>
    </row>
    <row r="367" spans="5:12" x14ac:dyDescent="0.25">
      <c r="E367" s="58"/>
      <c r="F367" s="59">
        <v>0.4484143518518518</v>
      </c>
      <c r="G367" s="60">
        <v>0.44884259259259257</v>
      </c>
      <c r="H367" s="61"/>
      <c r="I367" s="61"/>
      <c r="J367" s="59">
        <v>0.46388888888888885</v>
      </c>
      <c r="K367" s="61"/>
      <c r="L367" s="62"/>
    </row>
    <row r="368" spans="5:12" x14ac:dyDescent="0.25">
      <c r="E368" s="53"/>
      <c r="F368" s="54">
        <v>0.4488773148148148</v>
      </c>
      <c r="G368" s="54">
        <v>0.44930555555555557</v>
      </c>
      <c r="H368" s="55"/>
      <c r="I368" s="55"/>
      <c r="J368" s="54">
        <v>0.47315972222222219</v>
      </c>
      <c r="K368" s="56"/>
      <c r="L368" s="57"/>
    </row>
    <row r="369" spans="5:12" x14ac:dyDescent="0.25">
      <c r="E369" s="58"/>
      <c r="F369" s="59">
        <v>0.44905092592592594</v>
      </c>
      <c r="G369" s="60">
        <v>0.44959490740740743</v>
      </c>
      <c r="H369" s="61"/>
      <c r="I369" s="61"/>
      <c r="J369" s="59">
        <v>0.46087962962962964</v>
      </c>
      <c r="K369" s="61"/>
      <c r="L369" s="62"/>
    </row>
    <row r="370" spans="5:12" x14ac:dyDescent="0.25">
      <c r="E370" s="53"/>
      <c r="F370" s="54">
        <v>0.4495601851851852</v>
      </c>
      <c r="G370" s="54">
        <v>0.44995370370370374</v>
      </c>
      <c r="H370" s="55"/>
      <c r="I370" s="55"/>
      <c r="J370" s="54">
        <v>0.47348379629629633</v>
      </c>
      <c r="K370" s="56"/>
      <c r="L370" s="57"/>
    </row>
    <row r="371" spans="5:12" x14ac:dyDescent="0.25">
      <c r="E371" s="58"/>
      <c r="F371" s="59">
        <v>0.44971064814814815</v>
      </c>
      <c r="G371" s="60">
        <v>0.44998842592592592</v>
      </c>
      <c r="H371" s="61"/>
      <c r="I371" s="61"/>
      <c r="J371" s="59">
        <v>0.4732986111111111</v>
      </c>
      <c r="K371" s="61"/>
      <c r="L371" s="62"/>
    </row>
    <row r="372" spans="5:12" x14ac:dyDescent="0.25">
      <c r="E372" s="53"/>
      <c r="F372" s="54">
        <v>0.44996527777777778</v>
      </c>
      <c r="G372" s="54">
        <v>0.4503819444444444</v>
      </c>
      <c r="H372" s="55"/>
      <c r="I372" s="55"/>
      <c r="J372" s="54">
        <v>0.46533564814814815</v>
      </c>
      <c r="K372" s="56"/>
      <c r="L372" s="57"/>
    </row>
    <row r="373" spans="5:12" x14ac:dyDescent="0.25">
      <c r="E373" s="58"/>
      <c r="F373" s="59">
        <v>0.45050925925925928</v>
      </c>
      <c r="G373" s="60">
        <v>0.45090277777777782</v>
      </c>
      <c r="H373" s="61"/>
      <c r="I373" s="61"/>
      <c r="J373" s="59">
        <v>0.46771990740740743</v>
      </c>
      <c r="K373" s="61"/>
      <c r="L373" s="62"/>
    </row>
    <row r="374" spans="5:12" x14ac:dyDescent="0.25">
      <c r="E374" s="53"/>
      <c r="F374" s="54">
        <v>0.45089120370370367</v>
      </c>
      <c r="G374" s="54">
        <v>0.45133101851851848</v>
      </c>
      <c r="H374" s="55"/>
      <c r="I374" s="55"/>
      <c r="J374" s="54">
        <v>0.4760300925925926</v>
      </c>
      <c r="K374" s="56"/>
      <c r="L374" s="57"/>
    </row>
    <row r="375" spans="5:12" x14ac:dyDescent="0.25">
      <c r="E375" s="58"/>
      <c r="F375" s="59">
        <v>0.45130787037037035</v>
      </c>
      <c r="G375" s="60">
        <v>0.45185185185185189</v>
      </c>
      <c r="H375" s="61"/>
      <c r="I375" s="61"/>
      <c r="J375" s="59">
        <v>0.46253472222222225</v>
      </c>
      <c r="K375" s="61"/>
      <c r="L375" s="62"/>
    </row>
    <row r="376" spans="5:12" x14ac:dyDescent="0.25">
      <c r="E376" s="53"/>
      <c r="F376" s="54">
        <v>0.45158564814814817</v>
      </c>
      <c r="G376" s="54">
        <v>0.45184027777777774</v>
      </c>
      <c r="H376" s="55"/>
      <c r="I376" s="55"/>
      <c r="J376" s="54">
        <v>0.46228009259259256</v>
      </c>
      <c r="K376" s="56"/>
      <c r="L376" s="57"/>
    </row>
    <row r="377" spans="5:12" x14ac:dyDescent="0.25">
      <c r="E377" s="58"/>
      <c r="F377" s="59">
        <v>0.45195601851851852</v>
      </c>
      <c r="G377" s="60">
        <v>0.45200231481481484</v>
      </c>
      <c r="H377" s="61"/>
      <c r="I377" s="61"/>
      <c r="J377" s="59">
        <v>0.47372685185185182</v>
      </c>
      <c r="K377" s="61"/>
      <c r="L377" s="62"/>
    </row>
    <row r="378" spans="5:12" x14ac:dyDescent="0.25">
      <c r="E378" s="53"/>
      <c r="F378" s="54">
        <v>0.4523726851851852</v>
      </c>
      <c r="G378" s="54">
        <v>0.45296296296296296</v>
      </c>
      <c r="H378" s="55"/>
      <c r="I378" s="55"/>
      <c r="J378" s="54">
        <v>0.45881944444444445</v>
      </c>
      <c r="K378" s="56"/>
      <c r="L378" s="57"/>
    </row>
    <row r="379" spans="5:12" x14ac:dyDescent="0.25">
      <c r="E379" s="58"/>
      <c r="F379" s="59">
        <v>0.45263888888888887</v>
      </c>
      <c r="G379" s="60">
        <v>0.45317129629629632</v>
      </c>
      <c r="H379" s="61"/>
      <c r="I379" s="61"/>
      <c r="J379" s="59">
        <v>0.47609953703703706</v>
      </c>
      <c r="K379" s="61"/>
      <c r="L379" s="62"/>
    </row>
    <row r="380" spans="5:12" x14ac:dyDescent="0.25">
      <c r="E380" s="53"/>
      <c r="F380" s="54">
        <v>0.45297453703703705</v>
      </c>
      <c r="G380" s="54">
        <v>0.45332175925925927</v>
      </c>
      <c r="H380" s="55"/>
      <c r="I380" s="55"/>
      <c r="J380" s="54">
        <v>0.47333333333333333</v>
      </c>
      <c r="K380" s="56"/>
      <c r="L380" s="57"/>
    </row>
    <row r="381" spans="5:12" x14ac:dyDescent="0.25">
      <c r="E381" s="58"/>
      <c r="F381" s="59">
        <v>0.45325231481481482</v>
      </c>
      <c r="G381" s="60">
        <v>0.45376157407407408</v>
      </c>
      <c r="H381" s="61"/>
      <c r="I381" s="61"/>
      <c r="J381" s="59">
        <v>0.47244212962962967</v>
      </c>
      <c r="K381" s="61"/>
      <c r="L381" s="62"/>
    </row>
    <row r="382" spans="5:12" x14ac:dyDescent="0.25">
      <c r="E382" s="53"/>
      <c r="F382" s="54">
        <v>0.45366898148148144</v>
      </c>
      <c r="G382" s="54">
        <v>0.4540393518518519</v>
      </c>
      <c r="H382" s="55"/>
      <c r="I382" s="55"/>
      <c r="J382" s="54">
        <v>0.47188657407407408</v>
      </c>
      <c r="K382" s="56"/>
      <c r="L382" s="57"/>
    </row>
    <row r="383" spans="5:12" x14ac:dyDescent="0.25">
      <c r="E383" s="58"/>
      <c r="F383" s="59">
        <v>0.45396990740740745</v>
      </c>
      <c r="G383" s="60">
        <v>0.4541782407407407</v>
      </c>
      <c r="H383" s="61"/>
      <c r="I383" s="61"/>
      <c r="J383" s="59">
        <v>0.47420138888888891</v>
      </c>
      <c r="K383" s="61"/>
      <c r="L383" s="62"/>
    </row>
    <row r="384" spans="5:12" x14ac:dyDescent="0.25">
      <c r="E384" s="53"/>
      <c r="F384" s="54">
        <v>0.45427083333333335</v>
      </c>
      <c r="G384" s="54">
        <v>0.45471064814814816</v>
      </c>
      <c r="H384" s="55"/>
      <c r="I384" s="55"/>
      <c r="J384" s="54">
        <v>0.46728009259259262</v>
      </c>
      <c r="K384" s="56"/>
      <c r="L384" s="57"/>
    </row>
    <row r="385" spans="5:12" x14ac:dyDescent="0.25">
      <c r="E385" s="58"/>
      <c r="F385" s="59">
        <v>0.45478009259259261</v>
      </c>
      <c r="G385" s="60">
        <v>0.45502314814814815</v>
      </c>
      <c r="H385" s="61"/>
      <c r="I385" s="61"/>
      <c r="J385" s="59">
        <v>0.46422453703703703</v>
      </c>
      <c r="K385" s="61"/>
      <c r="L385" s="62"/>
    </row>
    <row r="386" spans="5:12" x14ac:dyDescent="0.25">
      <c r="E386" s="53"/>
      <c r="F386" s="54">
        <v>0.45494212962962965</v>
      </c>
      <c r="G386" s="54">
        <v>0.45508101851851851</v>
      </c>
      <c r="H386" s="55"/>
      <c r="I386" s="55"/>
      <c r="J386" s="54">
        <v>0.46909722222222222</v>
      </c>
      <c r="K386" s="56"/>
      <c r="L386" s="57"/>
    </row>
    <row r="387" spans="5:12" x14ac:dyDescent="0.25">
      <c r="E387" s="58"/>
      <c r="F387" s="59">
        <v>0.45520833333333338</v>
      </c>
      <c r="G387" s="60">
        <v>0.45557870370370374</v>
      </c>
      <c r="H387" s="61"/>
      <c r="I387" s="61"/>
      <c r="J387" s="59">
        <v>0.46248842592592593</v>
      </c>
      <c r="K387" s="61"/>
      <c r="L387" s="62"/>
    </row>
    <row r="388" spans="5:12" x14ac:dyDescent="0.25">
      <c r="E388" s="53"/>
      <c r="F388" s="54">
        <v>0.45537037037037037</v>
      </c>
      <c r="G388" s="54">
        <v>0.45559027777777777</v>
      </c>
      <c r="H388" s="55"/>
      <c r="I388" s="55"/>
      <c r="J388" s="54">
        <v>0.46760416666666665</v>
      </c>
      <c r="K388" s="56"/>
      <c r="L388" s="57"/>
    </row>
    <row r="389" spans="5:12" x14ac:dyDescent="0.25">
      <c r="E389" s="58"/>
      <c r="F389" s="59">
        <v>0.45590277777777777</v>
      </c>
      <c r="G389" s="60">
        <v>0.45648148148148149</v>
      </c>
      <c r="H389" s="61"/>
      <c r="I389" s="61"/>
      <c r="J389" s="59">
        <v>0.46263888888888888</v>
      </c>
      <c r="K389" s="61"/>
      <c r="L389" s="62"/>
    </row>
    <row r="390" spans="5:12" x14ac:dyDescent="0.25">
      <c r="E390" s="53"/>
      <c r="F390" s="54">
        <v>0.45619212962962963</v>
      </c>
      <c r="G390" s="54">
        <v>0.45656249999999998</v>
      </c>
      <c r="H390" s="55"/>
      <c r="I390" s="55"/>
      <c r="J390" s="54">
        <v>0.4692824074074074</v>
      </c>
      <c r="K390" s="56"/>
      <c r="L390" s="57"/>
    </row>
    <row r="391" spans="5:12" x14ac:dyDescent="0.25">
      <c r="E391" s="58"/>
      <c r="F391" s="59">
        <v>0.45635416666666667</v>
      </c>
      <c r="G391" s="60">
        <v>0.45679398148148148</v>
      </c>
      <c r="H391" s="61"/>
      <c r="I391" s="61"/>
      <c r="J391" s="59">
        <v>0.47908564814814819</v>
      </c>
      <c r="K391" s="61"/>
      <c r="L391" s="62"/>
    </row>
    <row r="392" spans="5:12" x14ac:dyDescent="0.25">
      <c r="E392" s="53"/>
      <c r="F392" s="54">
        <v>0.45687499999999998</v>
      </c>
      <c r="G392" s="54">
        <v>0.45715277777777774</v>
      </c>
      <c r="H392" s="55"/>
      <c r="I392" s="55"/>
      <c r="J392" s="54">
        <v>0.47565972222222225</v>
      </c>
      <c r="K392" s="56"/>
      <c r="L392" s="57"/>
    </row>
    <row r="393" spans="5:12" x14ac:dyDescent="0.25">
      <c r="E393" s="58"/>
      <c r="F393" s="59">
        <v>0.4571412037037037</v>
      </c>
      <c r="G393" s="60">
        <v>0.45739583333333328</v>
      </c>
      <c r="H393" s="61"/>
      <c r="I393" s="61"/>
      <c r="J393" s="59">
        <v>0.47179398148148149</v>
      </c>
      <c r="K393" s="61"/>
      <c r="L393" s="62"/>
    </row>
    <row r="394" spans="5:12" x14ac:dyDescent="0.25">
      <c r="E394" s="53"/>
      <c r="F394" s="54">
        <v>0.4576157407407408</v>
      </c>
      <c r="G394" s="54">
        <v>0.45800925925925928</v>
      </c>
      <c r="H394" s="55"/>
      <c r="I394" s="55"/>
      <c r="J394" s="54">
        <v>0.46733796296296298</v>
      </c>
      <c r="K394" s="56"/>
      <c r="L394" s="57"/>
    </row>
    <row r="395" spans="5:12" x14ac:dyDescent="0.25">
      <c r="E395" s="58"/>
      <c r="F395" s="59">
        <v>0.45789351851851851</v>
      </c>
      <c r="G395" s="60">
        <v>0.45840277777777777</v>
      </c>
      <c r="H395" s="61"/>
      <c r="I395" s="61"/>
      <c r="J395" s="59">
        <v>0.47543981481481484</v>
      </c>
      <c r="K395" s="61"/>
      <c r="L395" s="62"/>
    </row>
    <row r="396" spans="5:12" x14ac:dyDescent="0.25">
      <c r="E396" s="53"/>
      <c r="F396" s="54">
        <v>0.45818287037037037</v>
      </c>
      <c r="G396" s="54">
        <v>0.45859953703703704</v>
      </c>
      <c r="H396" s="55"/>
      <c r="I396" s="55"/>
      <c r="J396" s="54">
        <v>0.47430555555555554</v>
      </c>
      <c r="K396" s="56"/>
      <c r="L396" s="57"/>
    </row>
    <row r="397" spans="5:12" x14ac:dyDescent="0.25">
      <c r="E397" s="58"/>
      <c r="F397" s="59">
        <v>0.45855324074074072</v>
      </c>
      <c r="G397" s="60">
        <v>0.45885416666666662</v>
      </c>
      <c r="H397" s="61"/>
      <c r="I397" s="61"/>
      <c r="J397" s="59">
        <v>0.47819444444444442</v>
      </c>
      <c r="K397" s="61"/>
      <c r="L397" s="62"/>
    </row>
    <row r="398" spans="5:12" x14ac:dyDescent="0.25">
      <c r="E398" s="53"/>
      <c r="F398" s="54">
        <v>0.45870370370370367</v>
      </c>
      <c r="G398" s="54">
        <v>0.45915509259259263</v>
      </c>
      <c r="H398" s="55"/>
      <c r="I398" s="55"/>
      <c r="J398" s="54">
        <v>0.48126157407407405</v>
      </c>
      <c r="K398" s="56"/>
      <c r="L398" s="57"/>
    </row>
    <row r="399" spans="5:12" x14ac:dyDescent="0.25">
      <c r="E399" s="58"/>
      <c r="F399" s="59">
        <v>0.45907407407407402</v>
      </c>
      <c r="G399" s="60">
        <v>0.45932870370370371</v>
      </c>
      <c r="H399" s="61"/>
      <c r="I399" s="61"/>
      <c r="J399" s="59">
        <v>0.47028935185185183</v>
      </c>
      <c r="K399" s="61"/>
      <c r="L399" s="62"/>
    </row>
    <row r="400" spans="5:12" x14ac:dyDescent="0.25">
      <c r="E400" s="53"/>
      <c r="F400" s="54">
        <v>0.45965277777777774</v>
      </c>
      <c r="G400" s="54">
        <v>0.45995370370370375</v>
      </c>
      <c r="H400" s="55"/>
      <c r="I400" s="55"/>
      <c r="J400" s="54">
        <v>0.47445601851851849</v>
      </c>
      <c r="K400" s="56"/>
      <c r="L400" s="57"/>
    </row>
    <row r="401" spans="5:12" x14ac:dyDescent="0.25">
      <c r="E401" s="58"/>
      <c r="F401" s="59">
        <v>0.46009259259259255</v>
      </c>
      <c r="G401" s="60">
        <v>0.46035879629629628</v>
      </c>
      <c r="H401" s="61"/>
      <c r="I401" s="61"/>
      <c r="J401" s="59">
        <v>0.49339120370370365</v>
      </c>
      <c r="K401" s="61"/>
      <c r="L401" s="62"/>
    </row>
    <row r="402" spans="5:12" x14ac:dyDescent="0.25">
      <c r="E402" s="53"/>
      <c r="F402" s="54">
        <v>0.46037037037037037</v>
      </c>
      <c r="G402" s="54">
        <v>0.46069444444444446</v>
      </c>
      <c r="H402" s="55"/>
      <c r="I402" s="55"/>
      <c r="J402" s="54">
        <v>0.48532407407407407</v>
      </c>
      <c r="K402" s="56"/>
      <c r="L402" s="57"/>
    </row>
    <row r="403" spans="5:12" x14ac:dyDescent="0.25">
      <c r="E403" s="58"/>
      <c r="F403" s="59">
        <v>0.46064814814814814</v>
      </c>
      <c r="G403" s="60">
        <v>0.46108796296296295</v>
      </c>
      <c r="H403" s="61"/>
      <c r="I403" s="61"/>
      <c r="J403" s="59">
        <v>0.47508101851851853</v>
      </c>
      <c r="K403" s="61"/>
      <c r="L403" s="62"/>
    </row>
    <row r="404" spans="5:12" x14ac:dyDescent="0.25">
      <c r="E404" s="53"/>
      <c r="F404" s="54">
        <v>0.46104166666666663</v>
      </c>
      <c r="G404" s="54">
        <v>0.46131944444444445</v>
      </c>
      <c r="H404" s="55"/>
      <c r="I404" s="55"/>
      <c r="J404" s="54">
        <v>0.46714120370370371</v>
      </c>
      <c r="K404" s="56"/>
      <c r="L404" s="57"/>
    </row>
    <row r="405" spans="5:12" x14ac:dyDescent="0.25">
      <c r="E405" s="58"/>
      <c r="F405" s="59">
        <v>0.46142361111111113</v>
      </c>
      <c r="G405" s="60">
        <v>0.46187500000000004</v>
      </c>
      <c r="H405" s="61"/>
      <c r="I405" s="61"/>
      <c r="J405" s="59">
        <v>0.47452546296296294</v>
      </c>
      <c r="K405" s="61"/>
      <c r="L405" s="62"/>
    </row>
    <row r="406" spans="5:12" x14ac:dyDescent="0.25">
      <c r="E406" s="53"/>
      <c r="F406" s="54">
        <v>0.46162037037037035</v>
      </c>
      <c r="G406" s="54">
        <v>0.46174768518518516</v>
      </c>
      <c r="H406" s="55"/>
      <c r="I406" s="55"/>
      <c r="J406" s="54">
        <v>0.48964120370370368</v>
      </c>
      <c r="K406" s="56"/>
      <c r="L406" s="57"/>
    </row>
    <row r="407" spans="5:12" x14ac:dyDescent="0.25">
      <c r="E407" s="58"/>
      <c r="F407" s="59">
        <v>0.46194444444444444</v>
      </c>
      <c r="G407" s="60">
        <v>0.46228009259259256</v>
      </c>
      <c r="H407" s="61"/>
      <c r="I407" s="61"/>
      <c r="J407" s="59">
        <v>0.46864583333333337</v>
      </c>
      <c r="K407" s="61"/>
      <c r="L407" s="62"/>
    </row>
    <row r="408" spans="5:12" x14ac:dyDescent="0.25">
      <c r="E408" s="53"/>
      <c r="F408" s="54">
        <v>0.46233796296296298</v>
      </c>
      <c r="G408" s="54">
        <v>0.46246527777777779</v>
      </c>
      <c r="H408" s="55"/>
      <c r="I408" s="55"/>
      <c r="J408" s="54">
        <v>0.4778587962962963</v>
      </c>
      <c r="K408" s="56"/>
      <c r="L408" s="57"/>
    </row>
    <row r="409" spans="5:12" x14ac:dyDescent="0.25">
      <c r="E409" s="58"/>
      <c r="F409" s="59">
        <v>0.46273148148148152</v>
      </c>
      <c r="G409" s="60">
        <v>0.46302083333333338</v>
      </c>
      <c r="H409" s="61"/>
      <c r="I409" s="61"/>
      <c r="J409" s="59">
        <v>0.47871527777777773</v>
      </c>
      <c r="K409" s="61"/>
      <c r="L409" s="62"/>
    </row>
    <row r="410" spans="5:12" x14ac:dyDescent="0.25">
      <c r="E410" s="53"/>
      <c r="F410" s="54">
        <v>0.46303240740740742</v>
      </c>
      <c r="G410" s="54">
        <v>0.46329861111111109</v>
      </c>
      <c r="H410" s="55"/>
      <c r="I410" s="55"/>
      <c r="J410" s="54">
        <v>0.48207175925925921</v>
      </c>
      <c r="K410" s="56"/>
      <c r="L410" s="57"/>
    </row>
    <row r="411" spans="5:12" x14ac:dyDescent="0.25">
      <c r="E411" s="58"/>
      <c r="F411" s="59">
        <v>0.46318287037037037</v>
      </c>
      <c r="G411" s="60">
        <v>0.46340277777777777</v>
      </c>
      <c r="H411" s="61"/>
      <c r="I411" s="61"/>
      <c r="J411" s="59">
        <v>0.4846064814814815</v>
      </c>
      <c r="K411" s="61"/>
      <c r="L411" s="62"/>
    </row>
    <row r="412" spans="5:12" x14ac:dyDescent="0.25">
      <c r="E412" s="53"/>
      <c r="F412" s="54">
        <v>0.46370370370370373</v>
      </c>
      <c r="G412" s="54">
        <v>0.46410879629629626</v>
      </c>
      <c r="H412" s="55"/>
      <c r="I412" s="55"/>
      <c r="J412" s="54">
        <v>0.48363425925925929</v>
      </c>
      <c r="K412" s="56"/>
      <c r="L412" s="57"/>
    </row>
    <row r="413" spans="5:12" x14ac:dyDescent="0.25">
      <c r="E413" s="58"/>
      <c r="F413" s="59">
        <v>0.46393518518518517</v>
      </c>
      <c r="G413" s="60">
        <v>0.4642013888888889</v>
      </c>
      <c r="H413" s="61"/>
      <c r="I413" s="61"/>
      <c r="J413" s="59">
        <v>0.47972222222222222</v>
      </c>
      <c r="K413" s="61"/>
      <c r="L413" s="62"/>
    </row>
    <row r="414" spans="5:12" x14ac:dyDescent="0.25">
      <c r="E414" s="53"/>
      <c r="F414" s="54">
        <v>0.4644212962962963</v>
      </c>
      <c r="G414" s="54">
        <v>0.46468749999999998</v>
      </c>
      <c r="H414" s="55"/>
      <c r="I414" s="55"/>
      <c r="J414" s="54">
        <v>0.48396990740740736</v>
      </c>
      <c r="K414" s="56"/>
      <c r="L414" s="57"/>
    </row>
    <row r="415" spans="5:12" x14ac:dyDescent="0.25">
      <c r="E415" s="58"/>
      <c r="F415" s="59">
        <v>0.46480324074074075</v>
      </c>
      <c r="G415" s="60">
        <v>0.46520833333333328</v>
      </c>
      <c r="H415" s="61"/>
      <c r="I415" s="61"/>
      <c r="J415" s="59">
        <v>0.48659722222222218</v>
      </c>
      <c r="K415" s="61"/>
      <c r="L415" s="62"/>
    </row>
    <row r="416" spans="5:12" x14ac:dyDescent="0.25">
      <c r="E416" s="53"/>
      <c r="F416" s="54">
        <v>0.46498842592592587</v>
      </c>
      <c r="G416" s="54">
        <v>0.46543981481481483</v>
      </c>
      <c r="H416" s="55"/>
      <c r="I416" s="55"/>
      <c r="J416" s="54">
        <v>0.48679398148148145</v>
      </c>
      <c r="K416" s="56"/>
      <c r="L416" s="57"/>
    </row>
    <row r="417" spans="5:12" x14ac:dyDescent="0.25">
      <c r="E417" s="58"/>
      <c r="F417" s="59">
        <v>0.46516203703703707</v>
      </c>
      <c r="G417" s="60">
        <v>0.46565972222222224</v>
      </c>
      <c r="H417" s="61"/>
      <c r="I417" s="61"/>
      <c r="J417" s="59">
        <v>0.48516203703703703</v>
      </c>
      <c r="K417" s="61"/>
      <c r="L417" s="62"/>
    </row>
    <row r="418" spans="5:12" x14ac:dyDescent="0.25">
      <c r="E418" s="53"/>
      <c r="F418" s="54">
        <v>0.46553240740740742</v>
      </c>
      <c r="G418" s="54">
        <v>0.46577546296296296</v>
      </c>
      <c r="H418" s="55"/>
      <c r="I418" s="55"/>
      <c r="J418" s="54">
        <v>0.47310185185185188</v>
      </c>
      <c r="K418" s="56"/>
      <c r="L418" s="57"/>
    </row>
    <row r="419" spans="5:12" x14ac:dyDescent="0.25">
      <c r="E419" s="58"/>
      <c r="F419" s="59">
        <v>0.46587962962962964</v>
      </c>
      <c r="G419" s="60">
        <v>0.46629629629629626</v>
      </c>
      <c r="H419" s="61"/>
      <c r="I419" s="61"/>
      <c r="J419" s="59">
        <v>0.48465277777777777</v>
      </c>
      <c r="K419" s="61"/>
      <c r="L419" s="62"/>
    </row>
    <row r="420" spans="5:12" x14ac:dyDescent="0.25">
      <c r="E420" s="53"/>
      <c r="F420" s="54">
        <v>0.46643518518518517</v>
      </c>
      <c r="G420" s="54">
        <v>0.46655092592592595</v>
      </c>
      <c r="H420" s="55"/>
      <c r="I420" s="55"/>
      <c r="J420" s="54">
        <v>0.48172453703703705</v>
      </c>
      <c r="K420" s="56"/>
      <c r="L420" s="57"/>
    </row>
    <row r="421" spans="5:12" x14ac:dyDescent="0.25">
      <c r="E421" s="58"/>
      <c r="F421" s="59">
        <v>0.46656249999999999</v>
      </c>
      <c r="G421" s="60">
        <v>0.46690972222222221</v>
      </c>
      <c r="H421" s="61"/>
      <c r="I421" s="61"/>
      <c r="J421" s="59">
        <v>0.48576388888888888</v>
      </c>
      <c r="K421" s="61"/>
      <c r="L421" s="62"/>
    </row>
    <row r="422" spans="5:12" x14ac:dyDescent="0.25">
      <c r="E422" s="53"/>
      <c r="F422" s="54">
        <v>0.46703703703703708</v>
      </c>
      <c r="G422" s="54">
        <v>0.46730324074074076</v>
      </c>
      <c r="H422" s="55"/>
      <c r="I422" s="55"/>
      <c r="J422" s="54">
        <v>0.4811111111111111</v>
      </c>
      <c r="K422" s="56"/>
      <c r="L422" s="57"/>
    </row>
    <row r="423" spans="5:12" x14ac:dyDescent="0.25">
      <c r="E423" s="58"/>
      <c r="F423" s="59">
        <v>0.46731481481481479</v>
      </c>
      <c r="G423" s="60">
        <v>0.46759259259259256</v>
      </c>
      <c r="H423" s="61"/>
      <c r="I423" s="61"/>
      <c r="J423" s="59">
        <v>0.4848263888888889</v>
      </c>
      <c r="K423" s="61"/>
      <c r="L423" s="62"/>
    </row>
    <row r="424" spans="5:12" x14ac:dyDescent="0.25">
      <c r="E424" s="53"/>
      <c r="F424" s="54">
        <v>0.46746527777777774</v>
      </c>
      <c r="G424" s="54">
        <v>0.46768518518518515</v>
      </c>
      <c r="H424" s="55"/>
      <c r="I424" s="55"/>
      <c r="J424" s="54">
        <v>0.48849537037037033</v>
      </c>
      <c r="K424" s="56"/>
      <c r="L424" s="57"/>
    </row>
    <row r="425" spans="5:12" x14ac:dyDescent="0.25">
      <c r="E425" s="58"/>
      <c r="F425" s="59">
        <v>0.46798611111111116</v>
      </c>
      <c r="G425" s="60">
        <v>0.46859953703703705</v>
      </c>
      <c r="H425" s="61"/>
      <c r="I425" s="61"/>
      <c r="J425" s="59">
        <v>0.47274305555555557</v>
      </c>
      <c r="K425" s="61"/>
      <c r="L425" s="62"/>
    </row>
    <row r="426" spans="5:12" x14ac:dyDescent="0.25">
      <c r="E426" s="53"/>
      <c r="F426" s="54">
        <v>0.46849537037037042</v>
      </c>
      <c r="G426" s="54">
        <v>0.46888888888888891</v>
      </c>
      <c r="H426" s="55"/>
      <c r="I426" s="55"/>
      <c r="J426" s="54">
        <v>0.47973379629629626</v>
      </c>
      <c r="K426" s="56"/>
      <c r="L426" s="57"/>
    </row>
    <row r="427" spans="5:12" x14ac:dyDescent="0.25">
      <c r="E427" s="58"/>
      <c r="F427" s="59">
        <v>0.46875</v>
      </c>
      <c r="G427" s="60">
        <v>0.46930555555555559</v>
      </c>
      <c r="H427" s="61"/>
      <c r="I427" s="61"/>
      <c r="J427" s="59">
        <v>0.49252314814814818</v>
      </c>
      <c r="K427" s="61"/>
      <c r="L427" s="62"/>
    </row>
    <row r="428" spans="5:12" x14ac:dyDescent="0.25">
      <c r="E428" s="53"/>
      <c r="F428" s="54">
        <v>0.46900462962962958</v>
      </c>
      <c r="G428" s="54">
        <v>0.46912037037037035</v>
      </c>
      <c r="H428" s="55"/>
      <c r="I428" s="55"/>
      <c r="J428" s="54">
        <v>0.48697916666666669</v>
      </c>
      <c r="K428" s="56"/>
      <c r="L428" s="57"/>
    </row>
    <row r="429" spans="5:12" x14ac:dyDescent="0.25">
      <c r="E429" s="58"/>
      <c r="F429" s="59">
        <v>0.46923611111111113</v>
      </c>
      <c r="G429" s="60">
        <v>0.46975694444444444</v>
      </c>
      <c r="H429" s="61"/>
      <c r="I429" s="61"/>
      <c r="J429" s="59">
        <v>0.47341435185185188</v>
      </c>
      <c r="K429" s="61"/>
      <c r="L429" s="62"/>
    </row>
    <row r="430" spans="5:12" x14ac:dyDescent="0.25">
      <c r="E430" s="53"/>
      <c r="F430" s="54">
        <v>0.46934027777777776</v>
      </c>
      <c r="G430" s="54">
        <v>0.46979166666666666</v>
      </c>
      <c r="H430" s="55"/>
      <c r="I430" s="55"/>
      <c r="J430" s="54">
        <v>0.48800925925925925</v>
      </c>
      <c r="K430" s="56"/>
      <c r="L430" s="57"/>
    </row>
    <row r="431" spans="5:12" x14ac:dyDescent="0.25">
      <c r="E431" s="58"/>
      <c r="F431" s="59">
        <v>0.46978009259259257</v>
      </c>
      <c r="G431" s="60">
        <v>0.47001157407407407</v>
      </c>
      <c r="H431" s="61"/>
      <c r="I431" s="61"/>
      <c r="J431" s="59">
        <v>0.48476851851851849</v>
      </c>
      <c r="K431" s="61"/>
      <c r="L431" s="62"/>
    </row>
    <row r="432" spans="5:12" x14ac:dyDescent="0.25">
      <c r="E432" s="53"/>
      <c r="F432" s="54">
        <v>0.47002314814814811</v>
      </c>
      <c r="G432" s="54">
        <v>0.47056712962962965</v>
      </c>
      <c r="H432" s="55"/>
      <c r="I432" s="55"/>
      <c r="J432" s="54">
        <v>0.48707175925925927</v>
      </c>
      <c r="K432" s="56"/>
      <c r="L432" s="57"/>
    </row>
    <row r="433" spans="5:12" x14ac:dyDescent="0.25">
      <c r="E433" s="58"/>
      <c r="F433" s="59">
        <v>0.47017361111111117</v>
      </c>
      <c r="G433" s="60">
        <v>0.47027777777777779</v>
      </c>
      <c r="H433" s="61"/>
      <c r="I433" s="61"/>
      <c r="J433" s="59">
        <v>0.48975694444444445</v>
      </c>
      <c r="K433" s="61"/>
      <c r="L433" s="62"/>
    </row>
    <row r="434" spans="5:12" x14ac:dyDescent="0.25">
      <c r="E434" s="53"/>
      <c r="F434" s="54">
        <v>0.4704976851851852</v>
      </c>
      <c r="G434" s="54">
        <v>0.47075231481481478</v>
      </c>
      <c r="H434" s="55"/>
      <c r="I434" s="55"/>
      <c r="J434" s="54">
        <v>0.48597222222222225</v>
      </c>
      <c r="K434" s="56"/>
      <c r="L434" s="57"/>
    </row>
    <row r="435" spans="5:12" x14ac:dyDescent="0.25">
      <c r="E435" s="58"/>
      <c r="F435" s="59">
        <v>0.47085648148148151</v>
      </c>
      <c r="G435" s="60">
        <v>0.47136574074074072</v>
      </c>
      <c r="H435" s="61"/>
      <c r="I435" s="61"/>
      <c r="J435" s="59">
        <v>0.48762731481481486</v>
      </c>
      <c r="K435" s="61"/>
      <c r="L435" s="62"/>
    </row>
    <row r="436" spans="5:12" x14ac:dyDescent="0.25">
      <c r="E436" s="53"/>
      <c r="F436" s="54">
        <v>0.4715509259259259</v>
      </c>
      <c r="G436" s="54">
        <v>0.47178240740740746</v>
      </c>
      <c r="H436" s="55"/>
      <c r="I436" s="55"/>
      <c r="J436" s="54">
        <v>0.48737268518518517</v>
      </c>
      <c r="K436" s="56"/>
      <c r="L436" s="57"/>
    </row>
    <row r="437" spans="5:12" x14ac:dyDescent="0.25">
      <c r="E437" s="58"/>
      <c r="F437" s="59">
        <v>0.47186342592592595</v>
      </c>
      <c r="G437" s="60">
        <v>0.47222222222222227</v>
      </c>
      <c r="H437" s="61"/>
      <c r="I437" s="61"/>
      <c r="J437" s="59">
        <v>0.49868055555555557</v>
      </c>
      <c r="K437" s="61"/>
      <c r="L437" s="62"/>
    </row>
    <row r="438" spans="5:12" x14ac:dyDescent="0.25">
      <c r="E438" s="53"/>
      <c r="F438" s="54">
        <v>0.47228009259259257</v>
      </c>
      <c r="G438" s="54">
        <v>0.47275462962962966</v>
      </c>
      <c r="H438" s="55"/>
      <c r="I438" s="55"/>
      <c r="J438" s="54">
        <v>0.49971064814814814</v>
      </c>
      <c r="K438" s="56"/>
      <c r="L438" s="57"/>
    </row>
    <row r="439" spans="5:12" x14ac:dyDescent="0.25">
      <c r="E439" s="58"/>
      <c r="F439" s="59">
        <v>0.47258101851851847</v>
      </c>
      <c r="G439" s="60">
        <v>0.47292824074074075</v>
      </c>
      <c r="H439" s="61"/>
      <c r="I439" s="61"/>
      <c r="J439" s="59">
        <v>0.49740740740740735</v>
      </c>
      <c r="K439" s="61"/>
      <c r="L439" s="62"/>
    </row>
    <row r="440" spans="5:12" x14ac:dyDescent="0.25">
      <c r="E440" s="53"/>
      <c r="F440" s="54">
        <v>0.47287037037037033</v>
      </c>
      <c r="G440" s="54">
        <v>0.47318287037037038</v>
      </c>
      <c r="H440" s="55"/>
      <c r="I440" s="55"/>
      <c r="J440" s="54">
        <v>0.4906712962962963</v>
      </c>
      <c r="K440" s="56"/>
      <c r="L440" s="57"/>
    </row>
    <row r="441" spans="5:12" x14ac:dyDescent="0.25">
      <c r="E441" s="58"/>
      <c r="F441" s="59">
        <v>0.47313657407407406</v>
      </c>
      <c r="G441" s="60">
        <v>0.47350694444444441</v>
      </c>
      <c r="H441" s="61"/>
      <c r="I441" s="61"/>
      <c r="J441" s="59">
        <v>0.49180555555555555</v>
      </c>
      <c r="K441" s="61"/>
      <c r="L441" s="62"/>
    </row>
    <row r="442" spans="5:12" x14ac:dyDescent="0.25">
      <c r="E442" s="53"/>
      <c r="F442" s="54">
        <v>0.47343750000000001</v>
      </c>
      <c r="G442" s="54">
        <v>0.47366898148148145</v>
      </c>
      <c r="H442" s="55"/>
      <c r="I442" s="55"/>
      <c r="J442" s="54">
        <v>0.49438657407407405</v>
      </c>
      <c r="K442" s="56"/>
      <c r="L442" s="57"/>
    </row>
    <row r="443" spans="5:12" x14ac:dyDescent="0.25">
      <c r="E443" s="58"/>
      <c r="F443" s="59">
        <v>0.47388888888888886</v>
      </c>
      <c r="G443" s="60">
        <v>0.47422453703703704</v>
      </c>
      <c r="H443" s="61"/>
      <c r="I443" s="61"/>
      <c r="J443" s="59">
        <v>0.49516203703703704</v>
      </c>
      <c r="K443" s="61"/>
      <c r="L443" s="62"/>
    </row>
    <row r="444" spans="5:12" x14ac:dyDescent="0.25">
      <c r="E444" s="53"/>
      <c r="F444" s="54">
        <v>0.47424768518518517</v>
      </c>
      <c r="G444" s="54">
        <v>0.47450231481481481</v>
      </c>
      <c r="H444" s="55"/>
      <c r="I444" s="55"/>
      <c r="J444" s="54">
        <v>0.49315972222222221</v>
      </c>
      <c r="K444" s="56"/>
      <c r="L444" s="57"/>
    </row>
    <row r="445" spans="5:12" x14ac:dyDescent="0.25">
      <c r="E445" s="58"/>
      <c r="F445" s="59">
        <v>0.47457175925925926</v>
      </c>
      <c r="G445" s="60">
        <v>0.47475694444444444</v>
      </c>
      <c r="H445" s="61"/>
      <c r="I445" s="61"/>
      <c r="J445" s="59">
        <v>0.4889236111111111</v>
      </c>
      <c r="K445" s="61"/>
      <c r="L445" s="62"/>
    </row>
    <row r="446" spans="5:12" x14ac:dyDescent="0.25">
      <c r="E446" s="53"/>
      <c r="F446" s="54">
        <v>0.47491898148148143</v>
      </c>
      <c r="G446" s="54">
        <v>0.47548611111111111</v>
      </c>
      <c r="H446" s="55"/>
      <c r="I446" s="55"/>
      <c r="J446" s="54">
        <v>0.48777777777777781</v>
      </c>
      <c r="K446" s="56"/>
      <c r="L446" s="57"/>
    </row>
    <row r="447" spans="5:12" x14ac:dyDescent="0.25">
      <c r="E447" s="58"/>
      <c r="F447" s="59">
        <v>0.47495370370370371</v>
      </c>
      <c r="G447" s="60">
        <v>0.47539351851851852</v>
      </c>
      <c r="H447" s="61"/>
      <c r="I447" s="61"/>
      <c r="J447" s="59">
        <v>0.49077546296296298</v>
      </c>
      <c r="K447" s="61"/>
      <c r="L447" s="62"/>
    </row>
    <row r="448" spans="5:12" x14ac:dyDescent="0.25">
      <c r="E448" s="53"/>
      <c r="F448" s="54">
        <v>0.47516203703703702</v>
      </c>
      <c r="G448" s="54">
        <v>0.47559027777777779</v>
      </c>
      <c r="H448" s="55"/>
      <c r="I448" s="55"/>
      <c r="J448" s="54">
        <v>0.49458333333333332</v>
      </c>
      <c r="K448" s="56"/>
      <c r="L448" s="57"/>
    </row>
    <row r="449" spans="5:12" x14ac:dyDescent="0.25">
      <c r="E449" s="58"/>
      <c r="F449" s="59">
        <v>0.47537037037037039</v>
      </c>
      <c r="G449" s="60">
        <v>0.4756481481481481</v>
      </c>
      <c r="H449" s="61"/>
      <c r="I449" s="61"/>
      <c r="J449" s="59">
        <v>0.49450231481481483</v>
      </c>
      <c r="K449" s="61"/>
      <c r="L449" s="62"/>
    </row>
    <row r="450" spans="5:12" x14ac:dyDescent="0.25">
      <c r="E450" s="53"/>
      <c r="F450" s="54">
        <v>0.4758680555555555</v>
      </c>
      <c r="G450" s="54">
        <v>0.47641203703703705</v>
      </c>
      <c r="H450" s="55"/>
      <c r="I450" s="55"/>
      <c r="J450" s="54">
        <v>0.49646990740740743</v>
      </c>
      <c r="K450" s="56"/>
      <c r="L450" s="57"/>
    </row>
    <row r="451" spans="5:12" x14ac:dyDescent="0.25">
      <c r="E451" s="58"/>
      <c r="F451" s="59">
        <v>0.47631944444444446</v>
      </c>
      <c r="G451" s="60">
        <v>0.47657407407407404</v>
      </c>
      <c r="H451" s="61"/>
      <c r="I451" s="61"/>
      <c r="J451" s="59">
        <v>0.49012731481481481</v>
      </c>
      <c r="K451" s="61"/>
      <c r="L451" s="62"/>
    </row>
    <row r="452" spans="5:12" x14ac:dyDescent="0.25">
      <c r="E452" s="53"/>
      <c r="F452" s="54">
        <v>0.4765625</v>
      </c>
      <c r="G452" s="54">
        <v>0.47692129629629632</v>
      </c>
      <c r="H452" s="55"/>
      <c r="I452" s="55"/>
      <c r="J452" s="54">
        <v>0.500462962962963</v>
      </c>
      <c r="K452" s="56"/>
      <c r="L452" s="57"/>
    </row>
    <row r="453" spans="5:12" x14ac:dyDescent="0.25">
      <c r="E453" s="58"/>
      <c r="F453" s="59">
        <v>0.47663194444444446</v>
      </c>
      <c r="G453" s="60">
        <v>0.47700231481481481</v>
      </c>
      <c r="H453" s="61"/>
      <c r="I453" s="61"/>
      <c r="J453" s="59">
        <v>0.49715277777777778</v>
      </c>
      <c r="K453" s="61"/>
      <c r="L453" s="62"/>
    </row>
    <row r="454" spans="5:12" x14ac:dyDescent="0.25">
      <c r="E454" s="53"/>
      <c r="F454" s="54">
        <v>0.47684027777777777</v>
      </c>
      <c r="G454" s="54">
        <v>0.47716435185185185</v>
      </c>
      <c r="H454" s="55"/>
      <c r="I454" s="55"/>
      <c r="J454" s="54">
        <v>0.48696759259259265</v>
      </c>
      <c r="K454" s="56"/>
      <c r="L454" s="57"/>
    </row>
    <row r="455" spans="5:12" x14ac:dyDescent="0.25">
      <c r="E455" s="58"/>
      <c r="F455" s="59">
        <v>0.4770833333333333</v>
      </c>
      <c r="G455" s="60">
        <v>0.47716435185185185</v>
      </c>
      <c r="H455" s="61"/>
      <c r="I455" s="61"/>
      <c r="J455" s="59">
        <v>0.48575231481481485</v>
      </c>
      <c r="K455" s="61"/>
      <c r="L455" s="62"/>
    </row>
    <row r="456" spans="5:12" x14ac:dyDescent="0.25">
      <c r="E456" s="53"/>
      <c r="F456" s="54">
        <v>0.47738425925925926</v>
      </c>
      <c r="G456" s="54">
        <v>0.47780092592592593</v>
      </c>
      <c r="H456" s="55"/>
      <c r="I456" s="55"/>
      <c r="J456" s="54">
        <v>0.49875000000000003</v>
      </c>
      <c r="K456" s="56"/>
      <c r="L456" s="57"/>
    </row>
    <row r="457" spans="5:12" x14ac:dyDescent="0.25">
      <c r="E457" s="58"/>
      <c r="F457" s="59">
        <v>0.47762731481481485</v>
      </c>
      <c r="G457" s="60">
        <v>0.47787037037037039</v>
      </c>
      <c r="H457" s="61"/>
      <c r="I457" s="61"/>
      <c r="J457" s="59">
        <v>0.50667824074074075</v>
      </c>
      <c r="K457" s="61"/>
      <c r="L457" s="62"/>
    </row>
    <row r="458" spans="5:12" x14ac:dyDescent="0.25">
      <c r="E458" s="53"/>
      <c r="F458" s="54">
        <v>0.47784722222222226</v>
      </c>
      <c r="G458" s="54">
        <v>0.47813657407407412</v>
      </c>
      <c r="H458" s="55"/>
      <c r="I458" s="55"/>
      <c r="J458" s="54">
        <v>0.49487268518518518</v>
      </c>
      <c r="K458" s="56"/>
      <c r="L458" s="57"/>
    </row>
    <row r="459" spans="5:12" x14ac:dyDescent="0.25">
      <c r="E459" s="58"/>
      <c r="F459" s="59">
        <v>0.47822916666666665</v>
      </c>
      <c r="G459" s="60">
        <v>0.47856481481481478</v>
      </c>
      <c r="H459" s="61"/>
      <c r="I459" s="61"/>
      <c r="J459" s="59">
        <v>0.49341435185185184</v>
      </c>
      <c r="K459" s="61"/>
      <c r="L459" s="62"/>
    </row>
    <row r="460" spans="5:12" x14ac:dyDescent="0.25">
      <c r="E460" s="53"/>
      <c r="F460" s="54">
        <v>0.47849537037037032</v>
      </c>
      <c r="G460" s="54">
        <v>0.4788425925925926</v>
      </c>
      <c r="H460" s="55"/>
      <c r="I460" s="55"/>
      <c r="J460" s="54">
        <v>0.49384259259259261</v>
      </c>
      <c r="K460" s="56"/>
      <c r="L460" s="57"/>
    </row>
    <row r="461" spans="5:12" x14ac:dyDescent="0.25">
      <c r="E461" s="58"/>
      <c r="F461" s="59">
        <v>0.47876157407407405</v>
      </c>
      <c r="G461" s="60">
        <v>0.47909722222222223</v>
      </c>
      <c r="H461" s="61"/>
      <c r="I461" s="61"/>
      <c r="J461" s="59">
        <v>0.50018518518518518</v>
      </c>
      <c r="K461" s="61"/>
      <c r="L461" s="62"/>
    </row>
    <row r="462" spans="5:12" x14ac:dyDescent="0.25">
      <c r="E462" s="53"/>
      <c r="F462" s="54">
        <v>0.47892361111111109</v>
      </c>
      <c r="G462" s="54">
        <v>0.4791435185185185</v>
      </c>
      <c r="H462" s="55"/>
      <c r="I462" s="55"/>
      <c r="J462" s="54">
        <v>0.49535879629629626</v>
      </c>
      <c r="K462" s="56"/>
      <c r="L462" s="57"/>
    </row>
    <row r="463" spans="5:12" x14ac:dyDescent="0.25">
      <c r="E463" s="58"/>
      <c r="F463" s="59">
        <v>0.47910879629629632</v>
      </c>
      <c r="G463" s="60">
        <v>0.47940972222222222</v>
      </c>
      <c r="H463" s="61"/>
      <c r="I463" s="61"/>
      <c r="J463" s="59">
        <v>0.50197916666666664</v>
      </c>
      <c r="K463" s="61"/>
      <c r="L463" s="62"/>
    </row>
    <row r="464" spans="5:12" x14ac:dyDescent="0.25">
      <c r="E464" s="53"/>
      <c r="F464" s="54">
        <v>0.47947916666666668</v>
      </c>
      <c r="G464" s="54">
        <v>0.48002314814814812</v>
      </c>
      <c r="H464" s="55"/>
      <c r="I464" s="55"/>
      <c r="J464" s="54">
        <v>0.48615740740740737</v>
      </c>
      <c r="K464" s="56"/>
      <c r="L464" s="57"/>
    </row>
    <row r="465" spans="5:12" x14ac:dyDescent="0.25">
      <c r="E465" s="58"/>
      <c r="F465" s="59">
        <v>0.47971064814814812</v>
      </c>
      <c r="G465" s="60">
        <v>0.4800578703703704</v>
      </c>
      <c r="H465" s="61"/>
      <c r="I465" s="61"/>
      <c r="J465" s="59">
        <v>0.4826273148148148</v>
      </c>
      <c r="K465" s="61"/>
      <c r="L465" s="62"/>
    </row>
    <row r="466" spans="5:12" x14ac:dyDescent="0.25">
      <c r="E466" s="53"/>
      <c r="F466" s="54">
        <v>0.48003472222222227</v>
      </c>
      <c r="G466" s="54">
        <v>0.48043981481481479</v>
      </c>
      <c r="H466" s="55"/>
      <c r="I466" s="55"/>
      <c r="J466" s="54">
        <v>0.49662037037037038</v>
      </c>
      <c r="K466" s="56"/>
      <c r="L466" s="57"/>
    </row>
    <row r="467" spans="5:12" x14ac:dyDescent="0.25">
      <c r="E467" s="58"/>
      <c r="F467" s="59">
        <v>0.48025462962962967</v>
      </c>
      <c r="G467" s="60">
        <v>0.48048611111111111</v>
      </c>
      <c r="H467" s="61"/>
      <c r="I467" s="61"/>
      <c r="J467" s="59">
        <v>0.4927083333333333</v>
      </c>
      <c r="K467" s="61"/>
      <c r="L467" s="62"/>
    </row>
    <row r="468" spans="5:12" x14ac:dyDescent="0.25">
      <c r="E468" s="53"/>
      <c r="F468" s="54">
        <v>0.48079861111111111</v>
      </c>
      <c r="G468" s="54">
        <v>0.48123842592592592</v>
      </c>
      <c r="H468" s="55"/>
      <c r="I468" s="55"/>
      <c r="J468" s="54">
        <v>0.50225694444444446</v>
      </c>
      <c r="K468" s="56"/>
      <c r="L468" s="57"/>
    </row>
    <row r="469" spans="5:12" x14ac:dyDescent="0.25">
      <c r="E469" s="58"/>
      <c r="F469" s="59">
        <v>0.48120370370370374</v>
      </c>
      <c r="G469" s="60">
        <v>0.48159722222222223</v>
      </c>
      <c r="H469" s="61"/>
      <c r="I469" s="61"/>
      <c r="J469" s="59">
        <v>0.49482638888888886</v>
      </c>
      <c r="K469" s="61"/>
      <c r="L469" s="62"/>
    </row>
    <row r="470" spans="5:12" x14ac:dyDescent="0.25">
      <c r="E470" s="53"/>
      <c r="F470" s="54">
        <v>0.48160879629629627</v>
      </c>
      <c r="G470" s="54">
        <v>0.48203703703703704</v>
      </c>
      <c r="H470" s="55"/>
      <c r="I470" s="55"/>
      <c r="J470" s="54">
        <v>0.49552083333333335</v>
      </c>
      <c r="K470" s="56"/>
      <c r="L470" s="57"/>
    </row>
    <row r="471" spans="5:12" x14ac:dyDescent="0.25">
      <c r="E471" s="58"/>
      <c r="F471" s="59">
        <v>0.48208333333333336</v>
      </c>
      <c r="G471" s="60">
        <v>0.48245370370370372</v>
      </c>
      <c r="H471" s="61"/>
      <c r="I471" s="61"/>
      <c r="J471" s="59">
        <v>0.49217592592592596</v>
      </c>
      <c r="K471" s="61"/>
      <c r="L471" s="62"/>
    </row>
    <row r="472" spans="5:12" x14ac:dyDescent="0.25">
      <c r="E472" s="53"/>
      <c r="F472" s="54">
        <v>0.48225694444444445</v>
      </c>
      <c r="G472" s="54">
        <v>0.48256944444444444</v>
      </c>
      <c r="H472" s="55"/>
      <c r="I472" s="55"/>
      <c r="J472" s="54">
        <v>0.49358796296296298</v>
      </c>
      <c r="K472" s="56"/>
      <c r="L472" s="57"/>
    </row>
    <row r="473" spans="5:12" x14ac:dyDescent="0.25">
      <c r="E473" s="58"/>
      <c r="F473" s="59">
        <v>0.48288194444444449</v>
      </c>
      <c r="G473" s="60">
        <v>0.48312500000000003</v>
      </c>
      <c r="H473" s="61"/>
      <c r="I473" s="61"/>
      <c r="J473" s="59">
        <v>0.48424768518518518</v>
      </c>
      <c r="K473" s="61"/>
      <c r="L473" s="62"/>
    </row>
    <row r="474" spans="5:12" x14ac:dyDescent="0.25">
      <c r="E474" s="53"/>
      <c r="F474" s="54">
        <v>0.48319444444444443</v>
      </c>
      <c r="G474" s="54">
        <v>0.48335648148148147</v>
      </c>
      <c r="H474" s="55"/>
      <c r="I474" s="55"/>
      <c r="J474" s="54">
        <v>0.50033564814814813</v>
      </c>
      <c r="K474" s="56"/>
      <c r="L474" s="57"/>
    </row>
    <row r="475" spans="5:12" x14ac:dyDescent="0.25">
      <c r="E475" s="58"/>
      <c r="F475" s="59">
        <v>0.4834606481481481</v>
      </c>
      <c r="G475" s="60">
        <v>0.48372685185185182</v>
      </c>
      <c r="H475" s="61"/>
      <c r="I475" s="61"/>
      <c r="J475" s="59">
        <v>0.49692129629629633</v>
      </c>
      <c r="K475" s="61"/>
      <c r="L475" s="62"/>
    </row>
    <row r="476" spans="5:12" x14ac:dyDescent="0.25">
      <c r="E476" s="53"/>
      <c r="F476" s="54">
        <v>0.48398148148148151</v>
      </c>
      <c r="G476" s="54">
        <v>0.48428240740740741</v>
      </c>
      <c r="H476" s="55"/>
      <c r="I476" s="55"/>
      <c r="J476" s="54">
        <v>0.49952546296296302</v>
      </c>
      <c r="K476" s="56"/>
      <c r="L476" s="57"/>
    </row>
    <row r="477" spans="5:12" x14ac:dyDescent="0.25">
      <c r="E477" s="58"/>
      <c r="F477" s="59">
        <v>0.48424768518518518</v>
      </c>
      <c r="G477" s="60">
        <v>0.48452546296296295</v>
      </c>
      <c r="H477" s="61"/>
      <c r="I477" s="61"/>
      <c r="J477" s="59">
        <v>0.49484953703703699</v>
      </c>
      <c r="K477" s="61"/>
      <c r="L477" s="62"/>
    </row>
    <row r="478" spans="5:12" x14ac:dyDescent="0.25">
      <c r="E478" s="53"/>
      <c r="F478" s="54">
        <v>0.4848263888888889</v>
      </c>
      <c r="G478" s="54">
        <v>0.48509259259259258</v>
      </c>
      <c r="H478" s="55"/>
      <c r="I478" s="55"/>
      <c r="J478" s="54">
        <v>0.50170138888888893</v>
      </c>
      <c r="K478" s="56"/>
      <c r="L478" s="57"/>
    </row>
    <row r="479" spans="5:12" x14ac:dyDescent="0.25">
      <c r="E479" s="58"/>
      <c r="F479" s="59">
        <v>0.48504629629629631</v>
      </c>
      <c r="G479" s="60">
        <v>0.48563657407407407</v>
      </c>
      <c r="H479" s="61"/>
      <c r="I479" s="61"/>
      <c r="J479" s="59">
        <v>0.50166666666666659</v>
      </c>
      <c r="K479" s="61"/>
      <c r="L479" s="62"/>
    </row>
    <row r="480" spans="5:12" x14ac:dyDescent="0.25">
      <c r="E480" s="53"/>
      <c r="F480" s="54">
        <v>0.48519675925925926</v>
      </c>
      <c r="G480" s="54">
        <v>0.48555555555555557</v>
      </c>
      <c r="H480" s="55"/>
      <c r="I480" s="55"/>
      <c r="J480" s="54">
        <v>0.49574074074074076</v>
      </c>
      <c r="K480" s="56"/>
      <c r="L480" s="57"/>
    </row>
    <row r="481" spans="5:12" x14ac:dyDescent="0.25">
      <c r="E481" s="58"/>
      <c r="F481" s="59">
        <v>0.48552083333333335</v>
      </c>
      <c r="G481" s="60">
        <v>0.48613425925925924</v>
      </c>
      <c r="H481" s="61"/>
      <c r="I481" s="61"/>
      <c r="J481" s="59">
        <v>0.49998842592592596</v>
      </c>
      <c r="K481" s="61"/>
      <c r="L481" s="62"/>
    </row>
    <row r="482" spans="5:12" x14ac:dyDescent="0.25">
      <c r="E482" s="53"/>
      <c r="F482" s="54">
        <v>0.48593749999999997</v>
      </c>
      <c r="G482" s="54">
        <v>0.4863425925925926</v>
      </c>
      <c r="H482" s="55"/>
      <c r="I482" s="55"/>
      <c r="J482" s="54">
        <v>0.49465277777777777</v>
      </c>
      <c r="K482" s="56"/>
      <c r="L482" s="57"/>
    </row>
    <row r="483" spans="5:12" x14ac:dyDescent="0.25">
      <c r="E483" s="58"/>
      <c r="F483" s="59">
        <v>0.48606481481481478</v>
      </c>
      <c r="G483" s="60">
        <v>0.48655092592592591</v>
      </c>
      <c r="H483" s="61"/>
      <c r="I483" s="61"/>
      <c r="J483" s="59">
        <v>0.49943287037037037</v>
      </c>
      <c r="K483" s="61"/>
      <c r="L483" s="62"/>
    </row>
    <row r="484" spans="5:12" x14ac:dyDescent="0.25">
      <c r="E484" s="53"/>
      <c r="F484" s="54">
        <v>0.48659722222222218</v>
      </c>
      <c r="G484" s="54">
        <v>0.48685185185185187</v>
      </c>
      <c r="H484" s="55"/>
      <c r="I484" s="55"/>
      <c r="J484" s="54">
        <v>0.50947916666666659</v>
      </c>
      <c r="K484" s="56"/>
      <c r="L484" s="57"/>
    </row>
    <row r="485" spans="5:12" x14ac:dyDescent="0.25">
      <c r="E485" s="58"/>
      <c r="F485" s="59">
        <v>0.48688657407407404</v>
      </c>
      <c r="G485" s="60">
        <v>0.48731481481481481</v>
      </c>
      <c r="H485" s="61"/>
      <c r="I485" s="61"/>
      <c r="J485" s="59">
        <v>0.49549768518518517</v>
      </c>
      <c r="K485" s="61"/>
      <c r="L485" s="62"/>
    </row>
    <row r="486" spans="5:12" x14ac:dyDescent="0.25">
      <c r="E486" s="53"/>
      <c r="F486" s="54">
        <v>0.48708333333333331</v>
      </c>
      <c r="G486" s="54">
        <v>0.48721064814814818</v>
      </c>
      <c r="H486" s="55"/>
      <c r="I486" s="55"/>
      <c r="J486" s="54">
        <v>0.50692129629629623</v>
      </c>
      <c r="K486" s="56"/>
      <c r="L486" s="57"/>
    </row>
    <row r="487" spans="5:12" x14ac:dyDescent="0.25">
      <c r="E487" s="58"/>
      <c r="F487" s="59">
        <v>0.48728009259259258</v>
      </c>
      <c r="G487" s="60">
        <v>0.48765046296296299</v>
      </c>
      <c r="H487" s="61"/>
      <c r="I487" s="61"/>
      <c r="J487" s="59">
        <v>0.50407407407407401</v>
      </c>
      <c r="K487" s="61"/>
      <c r="L487" s="62"/>
    </row>
    <row r="488" spans="5:12" x14ac:dyDescent="0.25">
      <c r="E488" s="53"/>
      <c r="F488" s="54">
        <v>0.48744212962962963</v>
      </c>
      <c r="G488" s="54">
        <v>0.48774305555555553</v>
      </c>
      <c r="H488" s="55"/>
      <c r="I488" s="55"/>
      <c r="J488" s="54">
        <v>0.50005787037037031</v>
      </c>
      <c r="K488" s="56"/>
      <c r="L488" s="57"/>
    </row>
    <row r="489" spans="5:12" x14ac:dyDescent="0.25">
      <c r="E489" s="58"/>
      <c r="F489" s="59">
        <v>0.48781249999999998</v>
      </c>
      <c r="G489" s="60">
        <v>0.48821759259259262</v>
      </c>
      <c r="H489" s="61"/>
      <c r="I489" s="61"/>
      <c r="J489" s="59">
        <v>0.50005787037037031</v>
      </c>
      <c r="K489" s="61"/>
      <c r="L489" s="62"/>
    </row>
    <row r="490" spans="5:12" x14ac:dyDescent="0.25">
      <c r="E490" s="53"/>
      <c r="F490" s="54">
        <v>0.48811342592592594</v>
      </c>
      <c r="G490" s="54">
        <v>0.48858796296296297</v>
      </c>
      <c r="H490" s="55"/>
      <c r="I490" s="55"/>
      <c r="J490" s="54">
        <v>0.5041782407407408</v>
      </c>
      <c r="K490" s="56"/>
      <c r="L490" s="57"/>
    </row>
    <row r="491" spans="5:12" x14ac:dyDescent="0.25">
      <c r="E491" s="58"/>
      <c r="F491" s="59">
        <v>0.48840277777777774</v>
      </c>
      <c r="G491" s="60">
        <v>0.48885416666666665</v>
      </c>
      <c r="H491" s="61"/>
      <c r="I491" s="61"/>
      <c r="J491" s="59">
        <v>0.50716435185185182</v>
      </c>
      <c r="K491" s="61"/>
      <c r="L491" s="62"/>
    </row>
    <row r="492" spans="5:12" x14ac:dyDescent="0.25">
      <c r="E492" s="53"/>
      <c r="F492" s="54">
        <v>0.48863425925925924</v>
      </c>
      <c r="G492" s="54">
        <v>0.48891203703703701</v>
      </c>
      <c r="H492" s="55"/>
      <c r="I492" s="55"/>
      <c r="J492" s="54">
        <v>0.51108796296296299</v>
      </c>
      <c r="K492" s="56"/>
      <c r="L492" s="57"/>
    </row>
    <row r="493" spans="5:12" x14ac:dyDescent="0.25">
      <c r="E493" s="58"/>
      <c r="F493" s="59">
        <v>0.48898148148148146</v>
      </c>
      <c r="G493" s="60">
        <v>0.48936342592592591</v>
      </c>
      <c r="H493" s="61"/>
      <c r="I493" s="61"/>
      <c r="J493" s="59">
        <v>0.51579861111111114</v>
      </c>
      <c r="K493" s="61"/>
      <c r="L493" s="62"/>
    </row>
    <row r="494" spans="5:12" x14ac:dyDescent="0.25">
      <c r="E494" s="53"/>
      <c r="F494" s="54">
        <v>0.48937499999999995</v>
      </c>
      <c r="G494" s="54">
        <v>0.48966435185185181</v>
      </c>
      <c r="H494" s="55"/>
      <c r="I494" s="55"/>
      <c r="J494" s="54">
        <v>0.5122916666666667</v>
      </c>
      <c r="K494" s="56"/>
      <c r="L494" s="57"/>
    </row>
    <row r="495" spans="5:12" x14ac:dyDescent="0.25">
      <c r="E495" s="58"/>
      <c r="F495" s="59">
        <v>0.48964120370370368</v>
      </c>
      <c r="G495" s="60">
        <v>0.48980324074074072</v>
      </c>
      <c r="H495" s="61"/>
      <c r="I495" s="61"/>
      <c r="J495" s="59">
        <v>0.50817129629629632</v>
      </c>
      <c r="K495" s="61"/>
      <c r="L495" s="62"/>
    </row>
    <row r="496" spans="5:12" x14ac:dyDescent="0.25">
      <c r="E496" s="53"/>
      <c r="F496" s="54">
        <v>0.49</v>
      </c>
      <c r="G496" s="54">
        <v>0.49026620370370372</v>
      </c>
      <c r="H496" s="55"/>
      <c r="I496" s="55"/>
      <c r="J496" s="54">
        <v>0.50739583333333338</v>
      </c>
      <c r="K496" s="56"/>
      <c r="L496" s="57"/>
    </row>
    <row r="497" spans="5:12" x14ac:dyDescent="0.25">
      <c r="E497" s="58"/>
      <c r="F497" s="59">
        <v>0.49057870370370371</v>
      </c>
      <c r="G497" s="60">
        <v>0.49111111111111111</v>
      </c>
      <c r="H497" s="61"/>
      <c r="I497" s="61"/>
      <c r="J497" s="59">
        <v>0.5116087962962963</v>
      </c>
      <c r="K497" s="61"/>
      <c r="L497" s="62"/>
    </row>
    <row r="498" spans="5:12" x14ac:dyDescent="0.25">
      <c r="E498" s="53"/>
      <c r="F498" s="54">
        <v>0.49090277777777774</v>
      </c>
      <c r="G498" s="54">
        <v>0.4911921296296296</v>
      </c>
      <c r="H498" s="55"/>
      <c r="I498" s="55"/>
      <c r="J498" s="54">
        <v>0.51878472222222227</v>
      </c>
      <c r="K498" s="56"/>
      <c r="L498" s="57"/>
    </row>
    <row r="499" spans="5:12" x14ac:dyDescent="0.25">
      <c r="E499" s="58"/>
      <c r="F499" s="59">
        <v>0.49133101851851851</v>
      </c>
      <c r="G499" s="60">
        <v>0.49170138888888887</v>
      </c>
      <c r="H499" s="61"/>
      <c r="I499" s="61"/>
      <c r="J499" s="59">
        <v>0.50093750000000004</v>
      </c>
      <c r="K499" s="61"/>
      <c r="L499" s="62"/>
    </row>
    <row r="500" spans="5:12" x14ac:dyDescent="0.25">
      <c r="E500" s="53"/>
      <c r="F500" s="54">
        <v>0.49157407407407411</v>
      </c>
      <c r="G500" s="54">
        <v>0.49187500000000001</v>
      </c>
      <c r="H500" s="55"/>
      <c r="I500" s="55"/>
      <c r="J500" s="54">
        <v>0.50572916666666667</v>
      </c>
      <c r="K500" s="56"/>
      <c r="L500" s="57"/>
    </row>
    <row r="501" spans="5:12" x14ac:dyDescent="0.25">
      <c r="E501" s="58"/>
      <c r="F501" s="59">
        <v>0.49190972222222223</v>
      </c>
      <c r="G501" s="60">
        <v>0.49201388888888892</v>
      </c>
      <c r="H501" s="61"/>
      <c r="I501" s="61"/>
      <c r="J501" s="59">
        <v>0.50155092592592598</v>
      </c>
      <c r="K501" s="61"/>
      <c r="L501" s="62"/>
    </row>
    <row r="502" spans="5:12" x14ac:dyDescent="0.25">
      <c r="E502" s="53"/>
      <c r="F502" s="54">
        <v>0.49233796296296295</v>
      </c>
      <c r="G502" s="54">
        <v>0.49267361111111113</v>
      </c>
      <c r="H502" s="55"/>
      <c r="I502" s="55"/>
      <c r="J502" s="54">
        <v>0.51071759259259253</v>
      </c>
      <c r="K502" s="56"/>
      <c r="L502" s="57"/>
    </row>
    <row r="503" spans="5:12" x14ac:dyDescent="0.25">
      <c r="E503" s="58"/>
      <c r="F503" s="59">
        <v>0.4926388888888889</v>
      </c>
      <c r="G503" s="60">
        <v>0.49276620370370372</v>
      </c>
      <c r="H503" s="61"/>
      <c r="I503" s="61"/>
      <c r="J503" s="59">
        <v>0.52009259259259266</v>
      </c>
      <c r="K503" s="61"/>
      <c r="L503" s="62"/>
    </row>
    <row r="504" spans="5:12" x14ac:dyDescent="0.25">
      <c r="E504" s="53"/>
      <c r="F504" s="54">
        <v>0.49300925925925926</v>
      </c>
      <c r="G504" s="54">
        <v>0.49334490740740744</v>
      </c>
      <c r="H504" s="55"/>
      <c r="I504" s="55"/>
      <c r="J504" s="54">
        <v>0.50708333333333333</v>
      </c>
      <c r="K504" s="56"/>
      <c r="L504" s="57"/>
    </row>
    <row r="505" spans="5:12" x14ac:dyDescent="0.25">
      <c r="E505" s="58"/>
      <c r="F505" s="59">
        <v>0.49347222222222226</v>
      </c>
      <c r="G505" s="60">
        <v>0.49361111111111106</v>
      </c>
      <c r="H505" s="61"/>
      <c r="I505" s="61"/>
      <c r="J505" s="59">
        <v>0.50618055555555552</v>
      </c>
      <c r="K505" s="61"/>
      <c r="L505" s="62"/>
    </row>
    <row r="506" spans="5:12" x14ac:dyDescent="0.25">
      <c r="E506" s="53"/>
      <c r="F506" s="54">
        <v>0.49373842592592593</v>
      </c>
      <c r="G506" s="54">
        <v>0.49398148148148152</v>
      </c>
      <c r="H506" s="55"/>
      <c r="I506" s="55"/>
      <c r="J506" s="54">
        <v>0.51966435185185189</v>
      </c>
      <c r="K506" s="56"/>
      <c r="L506" s="57"/>
    </row>
    <row r="507" spans="5:12" x14ac:dyDescent="0.25">
      <c r="E507" s="58"/>
      <c r="F507" s="59">
        <v>0.49383101851851857</v>
      </c>
      <c r="G507" s="60">
        <v>0.49428240740740742</v>
      </c>
      <c r="H507" s="61"/>
      <c r="I507" s="61"/>
      <c r="J507" s="59">
        <v>0.51048611111111108</v>
      </c>
      <c r="K507" s="61"/>
      <c r="L507" s="62"/>
    </row>
    <row r="508" spans="5:12" x14ac:dyDescent="0.25">
      <c r="E508" s="53"/>
      <c r="F508" s="54">
        <v>0.49420138888888893</v>
      </c>
      <c r="G508" s="54">
        <v>0.49449074074074079</v>
      </c>
      <c r="H508" s="55"/>
      <c r="I508" s="55"/>
      <c r="J508" s="54">
        <v>0.51344907407407414</v>
      </c>
      <c r="K508" s="56"/>
      <c r="L508" s="57"/>
    </row>
    <row r="509" spans="5:12" x14ac:dyDescent="0.25">
      <c r="E509" s="58"/>
      <c r="F509" s="59">
        <v>0.49457175925925928</v>
      </c>
      <c r="G509" s="60">
        <v>0.49475694444444446</v>
      </c>
      <c r="H509" s="61"/>
      <c r="I509" s="61"/>
      <c r="J509" s="59">
        <v>0.52158564814814812</v>
      </c>
      <c r="K509" s="61"/>
      <c r="L509" s="62"/>
    </row>
    <row r="510" spans="5:12" x14ac:dyDescent="0.25">
      <c r="E510" s="53"/>
      <c r="F510" s="54">
        <v>0.49486111111111114</v>
      </c>
      <c r="G510" s="54">
        <v>0.49540509259259258</v>
      </c>
      <c r="H510" s="55"/>
      <c r="I510" s="55"/>
      <c r="J510" s="54">
        <v>0.51500000000000001</v>
      </c>
      <c r="K510" s="56"/>
      <c r="L510" s="57"/>
    </row>
    <row r="511" spans="5:12" x14ac:dyDescent="0.25">
      <c r="E511" s="58"/>
      <c r="F511" s="59">
        <v>0.49521990740740746</v>
      </c>
      <c r="G511" s="60">
        <v>0.49532407407407408</v>
      </c>
      <c r="H511" s="61"/>
      <c r="I511" s="61"/>
      <c r="J511" s="59">
        <v>0.5153240740740741</v>
      </c>
      <c r="K511" s="61"/>
      <c r="L511" s="62"/>
    </row>
    <row r="512" spans="5:12" x14ac:dyDescent="0.25">
      <c r="E512" s="53"/>
      <c r="F512" s="54">
        <v>0.49549768518518517</v>
      </c>
      <c r="G512" s="54">
        <v>0.49587962962962967</v>
      </c>
      <c r="H512" s="55"/>
      <c r="I512" s="55"/>
      <c r="J512" s="54">
        <v>0.51138888888888889</v>
      </c>
      <c r="K512" s="56"/>
      <c r="L512" s="57"/>
    </row>
    <row r="513" spans="5:12" x14ac:dyDescent="0.25">
      <c r="E513" s="58"/>
      <c r="F513" s="59">
        <v>0.49579861111111106</v>
      </c>
      <c r="G513" s="60">
        <v>0.49616898148148153</v>
      </c>
      <c r="H513" s="61"/>
      <c r="I513" s="61"/>
      <c r="J513" s="59">
        <v>0.5134953703703703</v>
      </c>
      <c r="K513" s="61"/>
      <c r="L513" s="62"/>
    </row>
    <row r="514" spans="5:12" x14ac:dyDescent="0.25">
      <c r="E514" s="53"/>
      <c r="F514" s="54">
        <v>0.49616898148148153</v>
      </c>
      <c r="G514" s="54">
        <v>0.4967361111111111</v>
      </c>
      <c r="H514" s="55"/>
      <c r="I514" s="55"/>
      <c r="J514" s="54">
        <v>0.5198032407407408</v>
      </c>
      <c r="K514" s="56"/>
      <c r="L514" s="57"/>
    </row>
    <row r="515" spans="5:12" x14ac:dyDescent="0.25">
      <c r="E515" s="58"/>
      <c r="F515" s="59">
        <v>0.49627314814814816</v>
      </c>
      <c r="G515" s="60">
        <v>0.49672453703703701</v>
      </c>
      <c r="H515" s="61"/>
      <c r="I515" s="61"/>
      <c r="J515" s="59">
        <v>0.51878472222222227</v>
      </c>
      <c r="K515" s="61"/>
      <c r="L515" s="62"/>
    </row>
    <row r="516" spans="5:12" x14ac:dyDescent="0.25">
      <c r="E516" s="53"/>
      <c r="F516" s="54">
        <v>0.49678240740740742</v>
      </c>
      <c r="G516" s="54">
        <v>0.49699074074074073</v>
      </c>
      <c r="H516" s="55"/>
      <c r="I516" s="55"/>
      <c r="J516" s="54">
        <v>0.51327546296296289</v>
      </c>
      <c r="K516" s="56"/>
      <c r="L516" s="57"/>
    </row>
    <row r="517" spans="5:12" x14ac:dyDescent="0.25">
      <c r="E517" s="58"/>
      <c r="F517" s="59">
        <v>0.49700231481481483</v>
      </c>
      <c r="G517" s="60">
        <v>0.49729166666666669</v>
      </c>
      <c r="H517" s="61"/>
      <c r="I517" s="61"/>
      <c r="J517" s="59">
        <v>0.52706018518518516</v>
      </c>
      <c r="K517" s="61"/>
      <c r="L517" s="62"/>
    </row>
    <row r="518" spans="5:12" x14ac:dyDescent="0.25">
      <c r="E518" s="53"/>
      <c r="F518" s="54">
        <v>0.49714120370370374</v>
      </c>
      <c r="G518" s="54">
        <v>0.49754629629629626</v>
      </c>
      <c r="H518" s="55"/>
      <c r="I518" s="55"/>
      <c r="J518" s="54">
        <v>0.51479166666666665</v>
      </c>
      <c r="K518" s="56"/>
      <c r="L518" s="57"/>
    </row>
    <row r="519" spans="5:12" x14ac:dyDescent="0.25">
      <c r="E519" s="58"/>
      <c r="F519" s="59">
        <v>0.49748842592592596</v>
      </c>
      <c r="G519" s="60">
        <v>0.49778935185185186</v>
      </c>
      <c r="H519" s="61"/>
      <c r="I519" s="61"/>
      <c r="J519" s="59">
        <v>0.51752314814814815</v>
      </c>
      <c r="K519" s="61"/>
      <c r="L519" s="62"/>
    </row>
    <row r="520" spans="5:12" x14ac:dyDescent="0.25">
      <c r="E520" s="53"/>
      <c r="F520" s="54">
        <v>0.49792824074074077</v>
      </c>
      <c r="G520" s="54">
        <v>0.49828703703703708</v>
      </c>
      <c r="H520" s="55"/>
      <c r="I520" s="55"/>
      <c r="J520" s="54">
        <v>0.51722222222222225</v>
      </c>
      <c r="K520" s="56"/>
      <c r="L520" s="57"/>
    </row>
    <row r="521" spans="5:12" x14ac:dyDescent="0.25">
      <c r="E521" s="58"/>
      <c r="F521" s="59">
        <v>0.49817129629629631</v>
      </c>
      <c r="G521" s="60">
        <v>0.49863425925925925</v>
      </c>
      <c r="H521" s="61"/>
      <c r="I521" s="61"/>
      <c r="J521" s="59">
        <v>0.52489583333333334</v>
      </c>
      <c r="K521" s="61"/>
      <c r="L521" s="62"/>
    </row>
    <row r="522" spans="5:12" x14ac:dyDescent="0.25">
      <c r="E522" s="53"/>
      <c r="F522" s="54">
        <v>0.49840277777777775</v>
      </c>
      <c r="G522" s="54">
        <v>0.49888888888888888</v>
      </c>
      <c r="H522" s="55"/>
      <c r="I522" s="55"/>
      <c r="J522" s="54">
        <v>0.51123842592592594</v>
      </c>
      <c r="K522" s="56"/>
      <c r="L522" s="57"/>
    </row>
    <row r="523" spans="5:12" x14ac:dyDescent="0.25">
      <c r="E523" s="58"/>
      <c r="F523" s="59">
        <v>0.49886574074074069</v>
      </c>
      <c r="G523" s="60">
        <v>0.49925925925925929</v>
      </c>
      <c r="H523" s="61"/>
      <c r="I523" s="61"/>
      <c r="J523" s="59">
        <v>0.51258101851851856</v>
      </c>
      <c r="K523" s="61"/>
      <c r="L523" s="62"/>
    </row>
    <row r="524" spans="5:12" x14ac:dyDescent="0.25">
      <c r="E524" s="53"/>
      <c r="F524" s="54">
        <v>0.49910879629629629</v>
      </c>
      <c r="G524" s="54">
        <v>0.4994791666666667</v>
      </c>
      <c r="H524" s="55"/>
      <c r="I524" s="55"/>
      <c r="J524" s="54">
        <v>0.50179398148148147</v>
      </c>
      <c r="K524" s="56"/>
      <c r="L524" s="57"/>
    </row>
    <row r="525" spans="5:12" x14ac:dyDescent="0.25">
      <c r="E525" s="58"/>
      <c r="F525" s="59">
        <v>0.49961805555555555</v>
      </c>
      <c r="G525" s="60">
        <v>0.49995370370370368</v>
      </c>
      <c r="H525" s="61"/>
      <c r="I525" s="61"/>
      <c r="J525" s="59">
        <v>0.51628472222222221</v>
      </c>
      <c r="K525" s="61"/>
      <c r="L525" s="62"/>
    </row>
    <row r="526" spans="5:12" x14ac:dyDescent="0.25">
      <c r="E526" s="53"/>
      <c r="F526" s="54">
        <v>0.50009259259259264</v>
      </c>
      <c r="G526" s="54">
        <v>0.50042824074074077</v>
      </c>
      <c r="H526" s="55"/>
      <c r="I526" s="55"/>
      <c r="J526" s="54">
        <v>0.51547453703703705</v>
      </c>
      <c r="K526" s="56"/>
      <c r="L526" s="57"/>
    </row>
    <row r="527" spans="5:12" x14ac:dyDescent="0.25">
      <c r="E527" s="58"/>
      <c r="F527" s="59">
        <v>0.50047453703703704</v>
      </c>
      <c r="G527" s="60">
        <v>0.50090277777777781</v>
      </c>
      <c r="H527" s="61"/>
      <c r="I527" s="61"/>
      <c r="J527" s="59">
        <v>0.52847222222222223</v>
      </c>
      <c r="K527" s="61"/>
      <c r="L527" s="62"/>
    </row>
    <row r="528" spans="5:12" x14ac:dyDescent="0.25">
      <c r="E528" s="53"/>
      <c r="F528" s="54">
        <v>0.50086805555555558</v>
      </c>
      <c r="G528" s="54">
        <v>0.50113425925925925</v>
      </c>
      <c r="H528" s="55"/>
      <c r="I528" s="55"/>
      <c r="J528" s="54">
        <v>0.51667824074074076</v>
      </c>
      <c r="K528" s="56"/>
      <c r="L528" s="57"/>
    </row>
    <row r="529" spans="5:12" x14ac:dyDescent="0.25">
      <c r="E529" s="58"/>
      <c r="F529" s="59">
        <v>0.50122685185185178</v>
      </c>
      <c r="G529" s="60">
        <v>0.50142361111111111</v>
      </c>
      <c r="H529" s="61"/>
      <c r="I529" s="61"/>
      <c r="J529" s="59">
        <v>0.51487268518518514</v>
      </c>
      <c r="K529" s="61"/>
      <c r="L529" s="62"/>
    </row>
    <row r="530" spans="5:12" x14ac:dyDescent="0.25">
      <c r="E530" s="53"/>
      <c r="F530" s="54">
        <v>0.50138888888888888</v>
      </c>
      <c r="G530" s="54">
        <v>0.50157407407407406</v>
      </c>
      <c r="H530" s="55"/>
      <c r="I530" s="55"/>
      <c r="J530" s="54">
        <v>0.5181365740740741</v>
      </c>
      <c r="K530" s="56"/>
      <c r="L530" s="57"/>
    </row>
    <row r="531" spans="5:12" x14ac:dyDescent="0.25">
      <c r="E531" s="58"/>
      <c r="F531" s="59">
        <v>0.50177083333333339</v>
      </c>
      <c r="G531" s="60">
        <v>0.50202546296296291</v>
      </c>
      <c r="H531" s="61"/>
      <c r="I531" s="61"/>
      <c r="J531" s="59">
        <v>0.51883101851851854</v>
      </c>
      <c r="K531" s="61"/>
      <c r="L531" s="62"/>
    </row>
    <row r="532" spans="5:12" x14ac:dyDescent="0.25">
      <c r="E532" s="53"/>
      <c r="F532" s="54">
        <v>0.50190972222222219</v>
      </c>
      <c r="G532" s="54">
        <v>0.50222222222222224</v>
      </c>
      <c r="H532" s="55"/>
      <c r="I532" s="55"/>
      <c r="J532" s="54">
        <v>0.52314814814814814</v>
      </c>
      <c r="K532" s="56"/>
      <c r="L532" s="57"/>
    </row>
    <row r="533" spans="5:12" x14ac:dyDescent="0.25">
      <c r="E533" s="58"/>
      <c r="F533" s="59">
        <v>0.50207175925925929</v>
      </c>
      <c r="G533" s="60">
        <v>0.50237268518518519</v>
      </c>
      <c r="H533" s="61"/>
      <c r="I533" s="61"/>
      <c r="J533" s="59">
        <v>0.53476851851851859</v>
      </c>
      <c r="K533" s="61"/>
      <c r="L533" s="62"/>
    </row>
    <row r="534" spans="5:12" x14ac:dyDescent="0.25">
      <c r="E534" s="53"/>
      <c r="F534" s="54">
        <v>0.50246527777777772</v>
      </c>
      <c r="G534" s="54">
        <v>0.50282407407407403</v>
      </c>
      <c r="H534" s="55"/>
      <c r="I534" s="55"/>
      <c r="J534" s="54">
        <v>0.5149421296296296</v>
      </c>
      <c r="K534" s="56"/>
      <c r="L534" s="57"/>
    </row>
    <row r="535" spans="5:12" x14ac:dyDescent="0.25">
      <c r="E535" s="58"/>
      <c r="F535" s="59">
        <v>0.50280092592592596</v>
      </c>
      <c r="G535" s="60">
        <v>0.50295138888888891</v>
      </c>
      <c r="H535" s="61"/>
      <c r="I535" s="61"/>
      <c r="J535" s="59">
        <v>0.51896990740740734</v>
      </c>
      <c r="K535" s="61"/>
      <c r="L535" s="62"/>
    </row>
    <row r="536" spans="5:12" x14ac:dyDescent="0.25">
      <c r="E536" s="53"/>
      <c r="F536" s="54">
        <v>0.50313657407407408</v>
      </c>
      <c r="G536" s="54">
        <v>0.50336805555555553</v>
      </c>
      <c r="H536" s="55"/>
      <c r="I536" s="55"/>
      <c r="J536" s="54">
        <v>0.52818287037037037</v>
      </c>
      <c r="K536" s="56"/>
      <c r="L536" s="57"/>
    </row>
    <row r="537" spans="5:12" x14ac:dyDescent="0.25">
      <c r="E537" s="58"/>
      <c r="F537" s="59">
        <v>0.50344907407407413</v>
      </c>
      <c r="G537" s="60">
        <v>0.50368055555555558</v>
      </c>
      <c r="H537" s="61"/>
      <c r="I537" s="61"/>
      <c r="J537" s="59">
        <v>0.52965277777777775</v>
      </c>
      <c r="K537" s="61"/>
      <c r="L537" s="62"/>
    </row>
    <row r="538" spans="5:12" x14ac:dyDescent="0.25">
      <c r="E538" s="53"/>
      <c r="F538" s="54">
        <v>0.5038541666666666</v>
      </c>
      <c r="G538" s="54">
        <v>0.50416666666666665</v>
      </c>
      <c r="H538" s="55"/>
      <c r="I538" s="55"/>
      <c r="J538" s="54">
        <v>0.5227546296296296</v>
      </c>
      <c r="K538" s="56"/>
      <c r="L538" s="57"/>
    </row>
    <row r="539" spans="5:12" x14ac:dyDescent="0.25">
      <c r="E539" s="58"/>
      <c r="F539" s="59">
        <v>0.50423611111111111</v>
      </c>
      <c r="G539" s="60">
        <v>0.50466435185185188</v>
      </c>
      <c r="H539" s="61"/>
      <c r="I539" s="61"/>
      <c r="J539" s="59">
        <v>0.51370370370370366</v>
      </c>
      <c r="K539" s="61"/>
      <c r="L539" s="62"/>
    </row>
    <row r="540" spans="5:12" x14ac:dyDescent="0.25">
      <c r="E540" s="53"/>
      <c r="F540" s="54">
        <v>0.50446759259259266</v>
      </c>
      <c r="G540" s="54">
        <v>0.50481481481481483</v>
      </c>
      <c r="H540" s="55"/>
      <c r="I540" s="55"/>
      <c r="J540" s="54">
        <v>0.53144675925925922</v>
      </c>
      <c r="K540" s="56"/>
      <c r="L540" s="57"/>
    </row>
    <row r="541" spans="5:12" x14ac:dyDescent="0.25">
      <c r="E541" s="58"/>
      <c r="F541" s="59">
        <v>0.50472222222222218</v>
      </c>
      <c r="G541" s="60">
        <v>0.50483796296296302</v>
      </c>
      <c r="H541" s="61"/>
      <c r="I541" s="61"/>
      <c r="J541" s="59">
        <v>0.52388888888888896</v>
      </c>
      <c r="K541" s="61"/>
      <c r="L541" s="62"/>
    </row>
    <row r="542" spans="5:12" x14ac:dyDescent="0.25">
      <c r="E542" s="53"/>
      <c r="F542" s="54">
        <v>0.50526620370370368</v>
      </c>
      <c r="G542" s="54">
        <v>0.50546296296296289</v>
      </c>
      <c r="H542" s="55"/>
      <c r="I542" s="55"/>
      <c r="J542" s="54">
        <v>0.52268518518518514</v>
      </c>
      <c r="K542" s="56"/>
      <c r="L542" s="57"/>
    </row>
    <row r="543" spans="5:12" x14ac:dyDescent="0.25">
      <c r="E543" s="58"/>
      <c r="F543" s="59">
        <v>0.5056018518518518</v>
      </c>
      <c r="G543" s="60">
        <v>0.50594907407407408</v>
      </c>
      <c r="H543" s="61"/>
      <c r="I543" s="61"/>
      <c r="J543" s="59">
        <v>0.51162037037037034</v>
      </c>
      <c r="K543" s="61"/>
      <c r="L543" s="62"/>
    </row>
    <row r="544" spans="5:12" x14ac:dyDescent="0.25">
      <c r="E544" s="53"/>
      <c r="F544" s="54">
        <v>0.50591435185185185</v>
      </c>
      <c r="G544" s="54">
        <v>0.50618055555555552</v>
      </c>
      <c r="H544" s="55"/>
      <c r="I544" s="55"/>
      <c r="J544" s="54">
        <v>0.52439814814814811</v>
      </c>
      <c r="K544" s="56"/>
      <c r="L544" s="57"/>
    </row>
    <row r="545" spans="5:12" x14ac:dyDescent="0.25">
      <c r="E545" s="58"/>
      <c r="F545" s="59">
        <v>0.50645833333333334</v>
      </c>
      <c r="G545" s="60">
        <v>0.50662037037037033</v>
      </c>
      <c r="H545" s="61"/>
      <c r="I545" s="61"/>
      <c r="J545" s="59">
        <v>0.51472222222222219</v>
      </c>
      <c r="K545" s="61"/>
      <c r="L545" s="62"/>
    </row>
    <row r="546" spans="5:12" x14ac:dyDescent="0.25">
      <c r="E546" s="53"/>
      <c r="F546" s="54">
        <v>0.50685185185185189</v>
      </c>
      <c r="G546" s="54">
        <v>0.50710648148148152</v>
      </c>
      <c r="H546" s="55"/>
      <c r="I546" s="55"/>
      <c r="J546" s="54">
        <v>0.52620370370370373</v>
      </c>
      <c r="K546" s="56"/>
      <c r="L546" s="57"/>
    </row>
    <row r="547" spans="5:12" x14ac:dyDescent="0.25">
      <c r="E547" s="58"/>
      <c r="F547" s="59">
        <v>0.50722222222222224</v>
      </c>
      <c r="G547" s="60">
        <v>0.5076504629629629</v>
      </c>
      <c r="H547" s="61"/>
      <c r="I547" s="61"/>
      <c r="J547" s="59">
        <v>0.52725694444444449</v>
      </c>
      <c r="K547" s="61"/>
      <c r="L547" s="62"/>
    </row>
    <row r="548" spans="5:12" x14ac:dyDescent="0.25">
      <c r="E548" s="53"/>
      <c r="F548" s="54">
        <v>0.50769675925925928</v>
      </c>
      <c r="G548" s="54">
        <v>0.50805555555555559</v>
      </c>
      <c r="H548" s="55"/>
      <c r="I548" s="55"/>
      <c r="J548" s="54">
        <v>0.53258101851851858</v>
      </c>
      <c r="K548" s="56"/>
      <c r="L548" s="57"/>
    </row>
    <row r="549" spans="5:12" x14ac:dyDescent="0.25">
      <c r="E549" s="58"/>
      <c r="F549" s="59">
        <v>0.5080324074074074</v>
      </c>
      <c r="G549" s="60">
        <v>0.50817129629629632</v>
      </c>
      <c r="H549" s="61"/>
      <c r="I549" s="61"/>
      <c r="J549" s="59">
        <v>0.5213078703703703</v>
      </c>
      <c r="K549" s="61"/>
      <c r="L549" s="62"/>
    </row>
    <row r="550" spans="5:12" x14ac:dyDescent="0.25">
      <c r="E550" s="53"/>
      <c r="F550" s="54">
        <v>0.50840277777777776</v>
      </c>
      <c r="G550" s="54">
        <v>0.50877314814814811</v>
      </c>
      <c r="H550" s="55"/>
      <c r="I550" s="55"/>
      <c r="J550" s="54">
        <v>0.53173611111111108</v>
      </c>
      <c r="K550" s="56"/>
      <c r="L550" s="57"/>
    </row>
    <row r="551" spans="5:12" x14ac:dyDescent="0.25">
      <c r="E551" s="58"/>
      <c r="F551" s="59">
        <v>0.50891203703703702</v>
      </c>
      <c r="G551" s="60">
        <v>0.50922453703703707</v>
      </c>
      <c r="H551" s="61"/>
      <c r="I551" s="61"/>
      <c r="J551" s="59">
        <v>0.52785879629629628</v>
      </c>
      <c r="K551" s="61"/>
      <c r="L551" s="62"/>
    </row>
    <row r="552" spans="5:12" x14ac:dyDescent="0.25">
      <c r="E552" s="53"/>
      <c r="F552" s="54">
        <v>0.50915509259259262</v>
      </c>
      <c r="G552" s="54">
        <v>0.50931712962962961</v>
      </c>
      <c r="H552" s="55"/>
      <c r="I552" s="55"/>
      <c r="J552" s="54">
        <v>0.53645833333333337</v>
      </c>
      <c r="K552" s="56"/>
      <c r="L552" s="57"/>
    </row>
    <row r="553" spans="5:12" x14ac:dyDescent="0.25">
      <c r="E553" s="58"/>
      <c r="F553" s="59">
        <v>0.50949074074074074</v>
      </c>
      <c r="G553" s="60">
        <v>0.50965277777777784</v>
      </c>
      <c r="H553" s="61"/>
      <c r="I553" s="61"/>
      <c r="J553" s="59">
        <v>0.54228009259259258</v>
      </c>
      <c r="K553" s="61"/>
      <c r="L553" s="62"/>
    </row>
    <row r="554" spans="5:12" x14ac:dyDescent="0.25">
      <c r="E554" s="53"/>
      <c r="F554" s="54">
        <v>0.50982638888888887</v>
      </c>
      <c r="G554" s="54">
        <v>0.51011574074074073</v>
      </c>
      <c r="H554" s="55"/>
      <c r="I554" s="55"/>
      <c r="J554" s="54">
        <v>0.52475694444444443</v>
      </c>
      <c r="K554" s="56"/>
      <c r="L554" s="57"/>
    </row>
    <row r="555" spans="5:12" x14ac:dyDescent="0.25">
      <c r="E555" s="58"/>
      <c r="F555" s="59">
        <v>0.51021990740740741</v>
      </c>
      <c r="G555" s="60">
        <v>0.51039351851851855</v>
      </c>
      <c r="H555" s="61"/>
      <c r="I555" s="61"/>
      <c r="J555" s="59">
        <v>0.52997685185185184</v>
      </c>
      <c r="K555" s="61"/>
      <c r="L555" s="62"/>
    </row>
    <row r="556" spans="5:12" x14ac:dyDescent="0.25">
      <c r="E556" s="53"/>
      <c r="F556" s="54">
        <v>0.51077546296296295</v>
      </c>
      <c r="G556" s="54">
        <v>0.51109953703703703</v>
      </c>
      <c r="H556" s="55"/>
      <c r="I556" s="55"/>
      <c r="J556" s="54">
        <v>0.52748842592592593</v>
      </c>
      <c r="K556" s="56"/>
      <c r="L556" s="57"/>
    </row>
    <row r="557" spans="5:12" x14ac:dyDescent="0.25">
      <c r="E557" s="58"/>
      <c r="F557" s="59">
        <v>0.51085648148148144</v>
      </c>
      <c r="G557" s="60">
        <v>0.51126157407407413</v>
      </c>
      <c r="H557" s="61"/>
      <c r="I557" s="61"/>
      <c r="J557" s="59">
        <v>0.52930555555555558</v>
      </c>
      <c r="K557" s="61"/>
      <c r="L557" s="62"/>
    </row>
    <row r="558" spans="5:12" x14ac:dyDescent="0.25">
      <c r="E558" s="53"/>
      <c r="F558" s="54">
        <v>0.51123842592592594</v>
      </c>
      <c r="G558" s="54">
        <v>0.51159722222222215</v>
      </c>
      <c r="H558" s="55"/>
      <c r="I558" s="55"/>
      <c r="J558" s="54">
        <v>0.52656249999999993</v>
      </c>
      <c r="K558" s="56"/>
      <c r="L558" s="57"/>
    </row>
    <row r="559" spans="5:12" x14ac:dyDescent="0.25">
      <c r="E559" s="58"/>
      <c r="F559" s="59">
        <v>0.51149305555555558</v>
      </c>
      <c r="G559" s="60">
        <v>0.51196759259259261</v>
      </c>
      <c r="H559" s="61"/>
      <c r="I559" s="61"/>
      <c r="J559" s="59">
        <v>0.5337615740740741</v>
      </c>
      <c r="K559" s="61"/>
      <c r="L559" s="62"/>
    </row>
    <row r="560" spans="5:12" x14ac:dyDescent="0.25">
      <c r="E560" s="53"/>
      <c r="F560" s="54">
        <v>0.51178240740740744</v>
      </c>
      <c r="G560" s="54">
        <v>0.51209490740740737</v>
      </c>
      <c r="H560" s="55"/>
      <c r="I560" s="55"/>
      <c r="J560" s="54">
        <v>0.5332175925925926</v>
      </c>
      <c r="K560" s="56"/>
      <c r="L560" s="57"/>
    </row>
    <row r="561" spans="5:12" x14ac:dyDescent="0.25">
      <c r="E561" s="58"/>
      <c r="F561" s="59">
        <v>0.51228009259259266</v>
      </c>
      <c r="G561" s="60">
        <v>0.5125925925925926</v>
      </c>
      <c r="H561" s="61"/>
      <c r="I561" s="61"/>
      <c r="J561" s="59">
        <v>0.5432407407407408</v>
      </c>
      <c r="K561" s="61"/>
      <c r="L561" s="62"/>
    </row>
    <row r="562" spans="5:12" x14ac:dyDescent="0.25">
      <c r="E562" s="53"/>
      <c r="F562" s="54">
        <v>0.51274305555555555</v>
      </c>
      <c r="G562" s="54">
        <v>0.51317129629629632</v>
      </c>
      <c r="H562" s="55"/>
      <c r="I562" s="55"/>
      <c r="J562" s="54">
        <v>0.52749999999999997</v>
      </c>
      <c r="K562" s="56"/>
      <c r="L562" s="57"/>
    </row>
    <row r="563" spans="5:12" x14ac:dyDescent="0.25">
      <c r="E563" s="58"/>
      <c r="F563" s="59">
        <v>0.51297453703703699</v>
      </c>
      <c r="G563" s="60">
        <v>0.51346064814814818</v>
      </c>
      <c r="H563" s="61"/>
      <c r="I563" s="61"/>
      <c r="J563" s="59">
        <v>0.53479166666666667</v>
      </c>
      <c r="K563" s="61"/>
      <c r="L563" s="62"/>
    </row>
    <row r="564" spans="5:12" x14ac:dyDescent="0.25">
      <c r="E564" s="53"/>
      <c r="F564" s="54">
        <v>0.51325231481481481</v>
      </c>
      <c r="G564" s="54">
        <v>0.51358796296296294</v>
      </c>
      <c r="H564" s="55"/>
      <c r="I564" s="55"/>
      <c r="J564" s="54">
        <v>0.52846064814814808</v>
      </c>
      <c r="K564" s="56"/>
      <c r="L564" s="57"/>
    </row>
    <row r="565" spans="5:12" x14ac:dyDescent="0.25">
      <c r="E565" s="58"/>
      <c r="F565" s="59">
        <v>0.51359953703703709</v>
      </c>
      <c r="G565" s="60">
        <v>0.51400462962962956</v>
      </c>
      <c r="H565" s="61"/>
      <c r="I565" s="61"/>
      <c r="J565" s="59">
        <v>0.53379629629629632</v>
      </c>
      <c r="K565" s="61"/>
      <c r="L565" s="62"/>
    </row>
    <row r="566" spans="5:12" x14ac:dyDescent="0.25">
      <c r="E566" s="53"/>
      <c r="F566" s="54">
        <v>0.51384259259259257</v>
      </c>
      <c r="G566" s="54">
        <v>0.51413194444444443</v>
      </c>
      <c r="H566" s="55"/>
      <c r="I566" s="55"/>
      <c r="J566" s="54">
        <v>0.5353472222222222</v>
      </c>
      <c r="K566" s="56"/>
      <c r="L566" s="57"/>
    </row>
    <row r="567" spans="5:12" x14ac:dyDescent="0.25">
      <c r="E567" s="58"/>
      <c r="F567" s="59">
        <v>0.51430555555555557</v>
      </c>
      <c r="G567" s="60">
        <v>0.5145601851851852</v>
      </c>
      <c r="H567" s="61"/>
      <c r="I567" s="61"/>
      <c r="J567" s="59">
        <v>0.5370138888888889</v>
      </c>
      <c r="K567" s="61"/>
      <c r="L567" s="62"/>
    </row>
    <row r="568" spans="5:12" x14ac:dyDescent="0.25">
      <c r="E568" s="53"/>
      <c r="F568" s="54">
        <v>0.51472222222222219</v>
      </c>
      <c r="G568" s="54">
        <v>0.51481481481481484</v>
      </c>
      <c r="H568" s="55"/>
      <c r="I568" s="55"/>
      <c r="J568" s="54">
        <v>0.52918981481481475</v>
      </c>
      <c r="K568" s="56"/>
      <c r="L568" s="57"/>
    </row>
    <row r="569" spans="5:12" x14ac:dyDescent="0.25">
      <c r="E569" s="58"/>
      <c r="F569" s="59">
        <v>0.51506944444444447</v>
      </c>
      <c r="G569" s="60">
        <v>0.51556712962962969</v>
      </c>
      <c r="H569" s="61"/>
      <c r="I569" s="61"/>
      <c r="J569" s="59">
        <v>0.52660879629629631</v>
      </c>
      <c r="K569" s="61"/>
      <c r="L569" s="62"/>
    </row>
    <row r="570" spans="5:12" x14ac:dyDescent="0.25">
      <c r="E570" s="53"/>
      <c r="F570" s="54">
        <v>0.51539351851851845</v>
      </c>
      <c r="G570" s="54">
        <v>0.51569444444444446</v>
      </c>
      <c r="H570" s="55"/>
      <c r="I570" s="55"/>
      <c r="J570" s="54">
        <v>0.53182870370370372</v>
      </c>
      <c r="K570" s="56"/>
      <c r="L570" s="57"/>
    </row>
    <row r="571" spans="5:12" x14ac:dyDescent="0.25">
      <c r="E571" s="58"/>
      <c r="F571" s="59">
        <v>0.51576388888888891</v>
      </c>
      <c r="G571" s="60">
        <v>0.51587962962962963</v>
      </c>
      <c r="H571" s="61"/>
      <c r="I571" s="61"/>
      <c r="J571" s="59">
        <v>0.52916666666666667</v>
      </c>
      <c r="K571" s="61"/>
      <c r="L571" s="62"/>
    </row>
    <row r="572" spans="5:12" x14ac:dyDescent="0.25">
      <c r="E572" s="53"/>
      <c r="F572" s="54">
        <v>0.51615740740740745</v>
      </c>
      <c r="G572" s="54">
        <v>0.51674768518518521</v>
      </c>
      <c r="H572" s="55"/>
      <c r="I572" s="55"/>
      <c r="J572" s="54">
        <v>0.52396990740740745</v>
      </c>
      <c r="K572" s="56"/>
      <c r="L572" s="57"/>
    </row>
    <row r="573" spans="5:12" x14ac:dyDescent="0.25">
      <c r="E573" s="58"/>
      <c r="F573" s="59">
        <v>0.51666666666666672</v>
      </c>
      <c r="G573" s="60">
        <v>0.51680555555555552</v>
      </c>
      <c r="H573" s="61"/>
      <c r="I573" s="61"/>
      <c r="J573" s="59">
        <v>0.53569444444444447</v>
      </c>
      <c r="K573" s="61"/>
      <c r="L573" s="62"/>
    </row>
    <row r="574" spans="5:12" x14ac:dyDescent="0.25">
      <c r="E574" s="53"/>
      <c r="F574" s="54">
        <v>0.51700231481481485</v>
      </c>
      <c r="G574" s="54">
        <v>0.51740740740740743</v>
      </c>
      <c r="H574" s="55"/>
      <c r="I574" s="55"/>
      <c r="J574" s="54">
        <v>0.53978009259259252</v>
      </c>
      <c r="K574" s="56"/>
      <c r="L574" s="57"/>
    </row>
    <row r="575" spans="5:12" x14ac:dyDescent="0.25">
      <c r="E575" s="58"/>
      <c r="F575" s="59">
        <v>0.5175925925925926</v>
      </c>
      <c r="G575" s="60">
        <v>0.51771990740740736</v>
      </c>
      <c r="H575" s="61"/>
      <c r="I575" s="61"/>
      <c r="J575" s="59">
        <v>0.52434027777777781</v>
      </c>
      <c r="K575" s="61"/>
      <c r="L575" s="62"/>
    </row>
    <row r="576" spans="5:12" x14ac:dyDescent="0.25">
      <c r="E576" s="53"/>
      <c r="F576" s="54">
        <v>0.51795138888888892</v>
      </c>
      <c r="G576" s="54">
        <v>0.51819444444444451</v>
      </c>
      <c r="H576" s="55"/>
      <c r="I576" s="55"/>
      <c r="J576" s="54">
        <v>0.53282407407407406</v>
      </c>
      <c r="K576" s="56"/>
      <c r="L576" s="57"/>
    </row>
    <row r="577" spans="5:12" x14ac:dyDescent="0.25">
      <c r="E577" s="58"/>
      <c r="F577" s="59">
        <v>0.51828703703703705</v>
      </c>
      <c r="G577" s="60">
        <v>0.51861111111111113</v>
      </c>
      <c r="H577" s="61"/>
      <c r="I577" s="61"/>
      <c r="J577" s="59">
        <v>0.53377314814814814</v>
      </c>
      <c r="K577" s="61"/>
      <c r="L577" s="62"/>
    </row>
    <row r="578" spans="5:12" x14ac:dyDescent="0.25">
      <c r="E578" s="53"/>
      <c r="F578" s="54">
        <v>0.51876157407407408</v>
      </c>
      <c r="G578" s="54">
        <v>0.5189583333333333</v>
      </c>
      <c r="H578" s="55"/>
      <c r="I578" s="55"/>
      <c r="J578" s="54">
        <v>0.52692129629629625</v>
      </c>
      <c r="K578" s="56"/>
      <c r="L578" s="57"/>
    </row>
    <row r="579" spans="5:12" x14ac:dyDescent="0.25">
      <c r="E579" s="58"/>
      <c r="F579" s="59">
        <v>0.51910879629629625</v>
      </c>
      <c r="G579" s="60">
        <v>0.5195833333333334</v>
      </c>
      <c r="H579" s="61"/>
      <c r="I579" s="61"/>
      <c r="J579" s="59">
        <v>0.54293981481481479</v>
      </c>
      <c r="K579" s="61"/>
      <c r="L579" s="62"/>
    </row>
    <row r="580" spans="5:12" x14ac:dyDescent="0.25">
      <c r="E580" s="53"/>
      <c r="F580" s="54">
        <v>0.51937500000000003</v>
      </c>
      <c r="G580" s="54">
        <v>0.5195833333333334</v>
      </c>
      <c r="H580" s="55"/>
      <c r="I580" s="55"/>
      <c r="J580" s="54">
        <v>0.53068287037037043</v>
      </c>
      <c r="K580" s="56"/>
      <c r="L580" s="57"/>
    </row>
    <row r="581" spans="5:12" x14ac:dyDescent="0.25">
      <c r="E581" s="58"/>
      <c r="F581" s="59">
        <v>0.51967592592592593</v>
      </c>
      <c r="G581" s="60">
        <v>0.52017361111111116</v>
      </c>
      <c r="H581" s="61"/>
      <c r="I581" s="61"/>
      <c r="J581" s="59">
        <v>0.54197916666666668</v>
      </c>
      <c r="K581" s="61"/>
      <c r="L581" s="62"/>
    </row>
    <row r="582" spans="5:12" x14ac:dyDescent="0.25">
      <c r="E582" s="53"/>
      <c r="F582" s="54">
        <v>0.51974537037037039</v>
      </c>
      <c r="G582" s="54">
        <v>0.52027777777777773</v>
      </c>
      <c r="H582" s="55"/>
      <c r="I582" s="55"/>
      <c r="J582" s="54">
        <v>0.53881944444444441</v>
      </c>
      <c r="K582" s="56"/>
      <c r="L582" s="57"/>
    </row>
    <row r="583" spans="5:12" x14ac:dyDescent="0.25">
      <c r="E583" s="58"/>
      <c r="F583" s="59">
        <v>0.52013888888888882</v>
      </c>
      <c r="G583" s="60">
        <v>0.52049768518518513</v>
      </c>
      <c r="H583" s="61"/>
      <c r="I583" s="61"/>
      <c r="J583" s="59">
        <v>0.54138888888888892</v>
      </c>
      <c r="K583" s="61"/>
      <c r="L583" s="62"/>
    </row>
    <row r="584" spans="5:12" x14ac:dyDescent="0.25">
      <c r="E584" s="53"/>
      <c r="F584" s="54">
        <v>0.52045138888888887</v>
      </c>
      <c r="G584" s="54">
        <v>0.52059027777777778</v>
      </c>
      <c r="H584" s="55"/>
      <c r="I584" s="55"/>
      <c r="J584" s="54">
        <v>0.53393518518518512</v>
      </c>
      <c r="K584" s="56"/>
      <c r="L584" s="57"/>
    </row>
    <row r="585" spans="5:12" x14ac:dyDescent="0.25">
      <c r="E585" s="58"/>
      <c r="F585" s="59">
        <v>0.52061342592592597</v>
      </c>
      <c r="G585" s="60">
        <v>0.52076388888888892</v>
      </c>
      <c r="H585" s="61"/>
      <c r="I585" s="61"/>
      <c r="J585" s="59">
        <v>0.54164351851851855</v>
      </c>
      <c r="K585" s="61"/>
      <c r="L585" s="62"/>
    </row>
    <row r="586" spans="5:12" x14ac:dyDescent="0.25">
      <c r="E586" s="53"/>
      <c r="F586" s="54">
        <v>0.52090277777777783</v>
      </c>
      <c r="G586" s="54">
        <v>0.52106481481481481</v>
      </c>
      <c r="H586" s="55"/>
      <c r="I586" s="55"/>
      <c r="J586" s="54">
        <v>0.54259259259259263</v>
      </c>
      <c r="K586" s="56"/>
      <c r="L586" s="57"/>
    </row>
    <row r="587" spans="5:12" x14ac:dyDescent="0.25">
      <c r="E587" s="58"/>
      <c r="F587" s="59">
        <v>0.5213078703703703</v>
      </c>
      <c r="G587" s="60">
        <v>0.52150462962962962</v>
      </c>
      <c r="H587" s="61"/>
      <c r="I587" s="61"/>
      <c r="J587" s="59">
        <v>0.53907407407407404</v>
      </c>
      <c r="K587" s="61"/>
      <c r="L587" s="62"/>
    </row>
    <row r="588" spans="5:12" x14ac:dyDescent="0.25">
      <c r="E588" s="53"/>
      <c r="F588" s="54">
        <v>0.52141203703703709</v>
      </c>
      <c r="G588" s="54">
        <v>0.52196759259259262</v>
      </c>
      <c r="H588" s="55"/>
      <c r="I588" s="55"/>
      <c r="J588" s="54">
        <v>0.53547453703703707</v>
      </c>
      <c r="K588" s="56"/>
      <c r="L588" s="57"/>
    </row>
    <row r="589" spans="5:12" x14ac:dyDescent="0.25">
      <c r="E589" s="58"/>
      <c r="F589" s="59">
        <v>0.52170138888888895</v>
      </c>
      <c r="G589" s="60">
        <v>0.52203703703703697</v>
      </c>
      <c r="H589" s="61"/>
      <c r="I589" s="61"/>
      <c r="J589" s="59">
        <v>0.54774305555555558</v>
      </c>
      <c r="K589" s="61"/>
      <c r="L589" s="62"/>
    </row>
    <row r="590" spans="5:12" x14ac:dyDescent="0.25">
      <c r="E590" s="53"/>
      <c r="F590" s="54">
        <v>0.52224537037037033</v>
      </c>
      <c r="G590" s="54">
        <v>0.52271990740740748</v>
      </c>
      <c r="H590" s="55"/>
      <c r="I590" s="55"/>
      <c r="J590" s="54">
        <v>0.54452546296296289</v>
      </c>
      <c r="K590" s="56"/>
      <c r="L590" s="57"/>
    </row>
    <row r="591" spans="5:12" x14ac:dyDescent="0.25">
      <c r="E591" s="58"/>
      <c r="F591" s="59">
        <v>0.5224537037037037</v>
      </c>
      <c r="G591" s="60">
        <v>0.52299768518518519</v>
      </c>
      <c r="H591" s="61"/>
      <c r="I591" s="61"/>
      <c r="J591" s="59">
        <v>0.54997685185185186</v>
      </c>
      <c r="K591" s="61"/>
      <c r="L591" s="62"/>
    </row>
    <row r="592" spans="5:12" x14ac:dyDescent="0.25">
      <c r="E592" s="53"/>
      <c r="F592" s="54">
        <v>0.52282407407407405</v>
      </c>
      <c r="G592" s="54">
        <v>0.52314814814814814</v>
      </c>
      <c r="H592" s="55"/>
      <c r="I592" s="55"/>
      <c r="J592" s="54">
        <v>0.5400462962962963</v>
      </c>
      <c r="K592" s="56"/>
      <c r="L592" s="57"/>
    </row>
    <row r="593" spans="5:12" x14ac:dyDescent="0.25">
      <c r="E593" s="58"/>
      <c r="F593" s="59">
        <v>0.5231365740740741</v>
      </c>
      <c r="G593" s="60">
        <v>0.5234375</v>
      </c>
      <c r="H593" s="61"/>
      <c r="I593" s="61"/>
      <c r="J593" s="59">
        <v>0.54129629629629628</v>
      </c>
      <c r="K593" s="61"/>
      <c r="L593" s="62"/>
    </row>
    <row r="594" spans="5:12" x14ac:dyDescent="0.25">
      <c r="E594" s="53"/>
      <c r="F594" s="54">
        <v>0.52340277777777777</v>
      </c>
      <c r="G594" s="54">
        <v>0.52387731481481481</v>
      </c>
      <c r="H594" s="55"/>
      <c r="I594" s="55"/>
      <c r="J594" s="54">
        <v>0.53600694444444441</v>
      </c>
      <c r="K594" s="56"/>
      <c r="L594" s="57"/>
    </row>
    <row r="595" spans="5:12" x14ac:dyDescent="0.25">
      <c r="E595" s="58"/>
      <c r="F595" s="59">
        <v>0.52369212962962963</v>
      </c>
      <c r="G595" s="60">
        <v>0.52400462962962957</v>
      </c>
      <c r="H595" s="61"/>
      <c r="I595" s="61"/>
      <c r="J595" s="59">
        <v>0.53638888888888892</v>
      </c>
      <c r="K595" s="61"/>
      <c r="L595" s="62"/>
    </row>
    <row r="596" spans="5:12" x14ac:dyDescent="0.25">
      <c r="E596" s="53"/>
      <c r="F596" s="54">
        <v>0.52403935185185191</v>
      </c>
      <c r="G596" s="54">
        <v>0.52439814814814811</v>
      </c>
      <c r="H596" s="55"/>
      <c r="I596" s="55"/>
      <c r="J596" s="54">
        <v>0.53215277777777781</v>
      </c>
      <c r="K596" s="56"/>
      <c r="L596" s="57"/>
    </row>
    <row r="597" spans="5:12" x14ac:dyDescent="0.25">
      <c r="E597" s="58"/>
      <c r="F597" s="59">
        <v>0.52436342592592589</v>
      </c>
      <c r="G597" s="60">
        <v>0.52475694444444443</v>
      </c>
      <c r="H597" s="61"/>
      <c r="I597" s="61"/>
      <c r="J597" s="59">
        <v>0.54033564814814816</v>
      </c>
      <c r="K597" s="61"/>
      <c r="L597" s="62"/>
    </row>
    <row r="598" spans="5:12" x14ac:dyDescent="0.25">
      <c r="E598" s="53"/>
      <c r="F598" s="54">
        <v>0.5247222222222222</v>
      </c>
      <c r="G598" s="54">
        <v>0.52506944444444448</v>
      </c>
      <c r="H598" s="55"/>
      <c r="I598" s="55"/>
      <c r="J598" s="54">
        <v>0.53753472222222221</v>
      </c>
      <c r="K598" s="56"/>
      <c r="L598" s="57"/>
    </row>
    <row r="599" spans="5:12" x14ac:dyDescent="0.25">
      <c r="E599" s="58"/>
      <c r="F599" s="59">
        <v>0.52515046296296297</v>
      </c>
      <c r="G599" s="60">
        <v>0.52543981481481483</v>
      </c>
      <c r="H599" s="61"/>
      <c r="I599" s="61"/>
      <c r="J599" s="59">
        <v>0.54511574074074076</v>
      </c>
      <c r="K599" s="61"/>
      <c r="L599" s="62"/>
    </row>
    <row r="600" spans="5:12" x14ac:dyDescent="0.25">
      <c r="E600" s="53"/>
      <c r="F600" s="54">
        <v>0.52561342592592586</v>
      </c>
      <c r="G600" s="54">
        <v>0.52603009259259259</v>
      </c>
      <c r="H600" s="55"/>
      <c r="I600" s="55"/>
      <c r="J600" s="54">
        <v>0.54998842592592589</v>
      </c>
      <c r="K600" s="56"/>
      <c r="L600" s="57"/>
    </row>
    <row r="601" spans="5:12" x14ac:dyDescent="0.25">
      <c r="E601" s="58"/>
      <c r="F601" s="59">
        <v>0.52590277777777772</v>
      </c>
      <c r="G601" s="60">
        <v>0.52618055555555554</v>
      </c>
      <c r="H601" s="61"/>
      <c r="I601" s="61"/>
      <c r="J601" s="59">
        <v>0.54630787037037043</v>
      </c>
      <c r="K601" s="61"/>
      <c r="L601" s="62"/>
    </row>
    <row r="602" spans="5:12" x14ac:dyDescent="0.25">
      <c r="E602" s="53"/>
      <c r="F602" s="54">
        <v>0.52622685185185192</v>
      </c>
      <c r="G602" s="54">
        <v>0.52655092592592589</v>
      </c>
      <c r="H602" s="55"/>
      <c r="I602" s="55"/>
      <c r="J602" s="54">
        <v>0.54827546296296303</v>
      </c>
      <c r="K602" s="56"/>
      <c r="L602" s="57"/>
    </row>
    <row r="603" spans="5:12" x14ac:dyDescent="0.25">
      <c r="E603" s="58"/>
      <c r="F603" s="59">
        <v>0.52658564814814812</v>
      </c>
      <c r="G603" s="60">
        <v>0.52692129629629625</v>
      </c>
      <c r="H603" s="61"/>
      <c r="I603" s="61"/>
      <c r="J603" s="59">
        <v>0.55101851851851846</v>
      </c>
      <c r="K603" s="61"/>
      <c r="L603" s="62"/>
    </row>
    <row r="604" spans="5:12" x14ac:dyDescent="0.25">
      <c r="E604" s="53"/>
      <c r="F604" s="54">
        <v>0.52690972222222221</v>
      </c>
      <c r="G604" s="54">
        <v>0.52718750000000003</v>
      </c>
      <c r="H604" s="55"/>
      <c r="I604" s="55"/>
      <c r="J604" s="54">
        <v>0.54335648148148141</v>
      </c>
      <c r="K604" s="56"/>
      <c r="L604" s="57"/>
    </row>
    <row r="605" spans="5:12" x14ac:dyDescent="0.25">
      <c r="E605" s="58"/>
      <c r="F605" s="59">
        <v>0.52725694444444449</v>
      </c>
      <c r="G605" s="60">
        <v>0.52758101851851846</v>
      </c>
      <c r="H605" s="61"/>
      <c r="I605" s="61"/>
      <c r="J605" s="59">
        <v>0.54192129629629626</v>
      </c>
      <c r="K605" s="61"/>
      <c r="L605" s="62"/>
    </row>
    <row r="606" spans="5:12" x14ac:dyDescent="0.25">
      <c r="E606" s="53"/>
      <c r="F606" s="54">
        <v>0.52748842592592593</v>
      </c>
      <c r="G606" s="54">
        <v>0.52777777777777779</v>
      </c>
      <c r="H606" s="55"/>
      <c r="I606" s="55"/>
      <c r="J606" s="54">
        <v>0.54160879629629632</v>
      </c>
      <c r="K606" s="56"/>
      <c r="L606" s="57"/>
    </row>
    <row r="607" spans="5:12" x14ac:dyDescent="0.25">
      <c r="E607" s="58"/>
      <c r="F607" s="59">
        <v>0.52774305555555556</v>
      </c>
      <c r="G607" s="60">
        <v>0.52827546296296302</v>
      </c>
      <c r="H607" s="61"/>
      <c r="I607" s="61"/>
      <c r="J607" s="59">
        <v>0.5372569444444445</v>
      </c>
      <c r="K607" s="61"/>
      <c r="L607" s="62"/>
    </row>
    <row r="608" spans="5:12" x14ac:dyDescent="0.25">
      <c r="E608" s="53"/>
      <c r="F608" s="54">
        <v>0.52819444444444441</v>
      </c>
      <c r="G608" s="54">
        <v>0.52840277777777778</v>
      </c>
      <c r="H608" s="55"/>
      <c r="I608" s="55"/>
      <c r="J608" s="54">
        <v>0.54515046296296299</v>
      </c>
      <c r="K608" s="56"/>
      <c r="L608" s="57"/>
    </row>
    <row r="609" spans="5:12" x14ac:dyDescent="0.25">
      <c r="E609" s="58"/>
      <c r="F609" s="59">
        <v>0.52849537037037042</v>
      </c>
      <c r="G609" s="60">
        <v>0.52887731481481481</v>
      </c>
      <c r="H609" s="61"/>
      <c r="I609" s="61"/>
      <c r="J609" s="59">
        <v>0.54737268518518511</v>
      </c>
      <c r="K609" s="61"/>
      <c r="L609" s="62"/>
    </row>
    <row r="610" spans="5:12" x14ac:dyDescent="0.25">
      <c r="E610" s="53"/>
      <c r="F610" s="54">
        <v>0.52872685185185186</v>
      </c>
      <c r="G610" s="54">
        <v>0.52910879629629626</v>
      </c>
      <c r="H610" s="55"/>
      <c r="I610" s="55"/>
      <c r="J610" s="54">
        <v>0.55496527777777771</v>
      </c>
      <c r="K610" s="56"/>
      <c r="L610" s="57"/>
    </row>
    <row r="611" spans="5:12" x14ac:dyDescent="0.25">
      <c r="E611" s="58"/>
      <c r="F611" s="59">
        <v>0.52894675925925927</v>
      </c>
      <c r="G611" s="60">
        <v>0.52927083333333336</v>
      </c>
      <c r="H611" s="61"/>
      <c r="I611" s="61"/>
      <c r="J611" s="59">
        <v>0.54202546296296295</v>
      </c>
      <c r="K611" s="61"/>
      <c r="L611" s="62"/>
    </row>
    <row r="612" spans="5:12" x14ac:dyDescent="0.25">
      <c r="E612" s="53"/>
      <c r="F612" s="54">
        <v>0.52938657407407408</v>
      </c>
      <c r="G612" s="54">
        <v>0.5298842592592593</v>
      </c>
      <c r="H612" s="55"/>
      <c r="I612" s="55"/>
      <c r="J612" s="54">
        <v>0.54387731481481483</v>
      </c>
      <c r="K612" s="56"/>
      <c r="L612" s="57"/>
    </row>
    <row r="613" spans="5:12" x14ac:dyDescent="0.25">
      <c r="E613" s="58"/>
      <c r="F613" s="59">
        <v>0.52982638888888889</v>
      </c>
      <c r="G613" s="60">
        <v>0.5301851851851852</v>
      </c>
      <c r="H613" s="61"/>
      <c r="I613" s="61"/>
      <c r="J613" s="59">
        <v>0.54552083333333334</v>
      </c>
      <c r="K613" s="61"/>
      <c r="L613" s="62"/>
    </row>
    <row r="614" spans="5:12" x14ac:dyDescent="0.25">
      <c r="E614" s="53"/>
      <c r="F614" s="54">
        <v>0.53027777777777774</v>
      </c>
      <c r="G614" s="54">
        <v>0.53060185185185182</v>
      </c>
      <c r="H614" s="55"/>
      <c r="I614" s="55"/>
      <c r="J614" s="54">
        <v>0.54850694444444448</v>
      </c>
      <c r="K614" s="56"/>
      <c r="L614" s="57"/>
    </row>
    <row r="615" spans="5:12" x14ac:dyDescent="0.25">
      <c r="E615" s="58"/>
      <c r="F615" s="59">
        <v>0.530787037037037</v>
      </c>
      <c r="G615" s="60">
        <v>0.53118055555555554</v>
      </c>
      <c r="H615" s="61"/>
      <c r="I615" s="61"/>
      <c r="J615" s="59">
        <v>0.55850694444444449</v>
      </c>
      <c r="K615" s="61"/>
      <c r="L615" s="62"/>
    </row>
    <row r="616" spans="5:12" x14ac:dyDescent="0.25">
      <c r="E616" s="53"/>
      <c r="F616" s="54">
        <v>0.53114583333333332</v>
      </c>
      <c r="G616" s="54">
        <v>0.53175925925925926</v>
      </c>
      <c r="H616" s="55"/>
      <c r="I616" s="55"/>
      <c r="J616" s="54">
        <v>0.55565972222222226</v>
      </c>
      <c r="K616" s="56"/>
      <c r="L616" s="57"/>
    </row>
    <row r="617" spans="5:12" x14ac:dyDescent="0.25">
      <c r="E617" s="58"/>
      <c r="F617" s="59">
        <v>0.5314699074074074</v>
      </c>
      <c r="G617" s="60">
        <v>0.53162037037037035</v>
      </c>
      <c r="H617" s="61"/>
      <c r="I617" s="61"/>
      <c r="J617" s="59">
        <v>0.55456018518518524</v>
      </c>
      <c r="K617" s="61"/>
      <c r="L617" s="62"/>
    </row>
    <row r="618" spans="5:12" x14ac:dyDescent="0.25">
      <c r="E618" s="53"/>
      <c r="F618" s="54">
        <v>0.53170138888888896</v>
      </c>
      <c r="G618" s="54">
        <v>0.53192129629629636</v>
      </c>
      <c r="H618" s="55"/>
      <c r="I618" s="55"/>
      <c r="J618" s="54">
        <v>0.55496527777777771</v>
      </c>
      <c r="K618" s="56"/>
      <c r="L618" s="57"/>
    </row>
    <row r="619" spans="5:12" x14ac:dyDescent="0.25">
      <c r="E619" s="58"/>
      <c r="F619" s="59">
        <v>0.53214120370370377</v>
      </c>
      <c r="G619" s="60">
        <v>0.53254629629629624</v>
      </c>
      <c r="H619" s="61"/>
      <c r="I619" s="61"/>
      <c r="J619" s="59">
        <v>0.54146990740740741</v>
      </c>
      <c r="K619" s="61"/>
      <c r="L619" s="62"/>
    </row>
    <row r="620" spans="5:12" x14ac:dyDescent="0.25">
      <c r="E620" s="53"/>
      <c r="F620" s="54">
        <v>0.53232638888888884</v>
      </c>
      <c r="G620" s="54">
        <v>0.53274305555555557</v>
      </c>
      <c r="H620" s="55"/>
      <c r="I620" s="55"/>
      <c r="J620" s="54">
        <v>0.5496875</v>
      </c>
      <c r="K620" s="56"/>
      <c r="L620" s="57"/>
    </row>
    <row r="621" spans="5:12" x14ac:dyDescent="0.25">
      <c r="E621" s="58"/>
      <c r="F621" s="59">
        <v>0.53263888888888888</v>
      </c>
      <c r="G621" s="60">
        <v>0.53318287037037038</v>
      </c>
      <c r="H621" s="61"/>
      <c r="I621" s="61"/>
      <c r="J621" s="59">
        <v>0.55298611111111107</v>
      </c>
      <c r="K621" s="61"/>
      <c r="L621" s="62"/>
    </row>
    <row r="622" spans="5:12" x14ac:dyDescent="0.25">
      <c r="E622" s="53"/>
      <c r="F622" s="54">
        <v>0.53292824074074074</v>
      </c>
      <c r="G622" s="54">
        <v>0.53324074074074079</v>
      </c>
      <c r="H622" s="55"/>
      <c r="I622" s="55"/>
      <c r="J622" s="54">
        <v>0.555150462962963</v>
      </c>
      <c r="K622" s="56"/>
      <c r="L622" s="57"/>
    </row>
    <row r="623" spans="5:12" x14ac:dyDescent="0.25">
      <c r="E623" s="58"/>
      <c r="F623" s="59">
        <v>0.53324074074074079</v>
      </c>
      <c r="G623" s="60">
        <v>0.53354166666666669</v>
      </c>
      <c r="H623" s="61"/>
      <c r="I623" s="61"/>
      <c r="J623" s="59">
        <v>0.56026620370370372</v>
      </c>
      <c r="K623" s="61"/>
      <c r="L623" s="62"/>
    </row>
    <row r="624" spans="5:12" x14ac:dyDescent="0.25">
      <c r="E624" s="53"/>
      <c r="F624" s="54">
        <v>0.53355324074074073</v>
      </c>
      <c r="G624" s="54">
        <v>0.53402777777777777</v>
      </c>
      <c r="H624" s="55"/>
      <c r="I624" s="55"/>
      <c r="J624" s="54">
        <v>0.55274305555555558</v>
      </c>
      <c r="K624" s="56"/>
      <c r="L624" s="57"/>
    </row>
    <row r="625" spans="5:12" x14ac:dyDescent="0.25">
      <c r="E625" s="58"/>
      <c r="F625" s="59">
        <v>0.53392361111111108</v>
      </c>
      <c r="G625" s="60">
        <v>0.53425925925925932</v>
      </c>
      <c r="H625" s="61"/>
      <c r="I625" s="61"/>
      <c r="J625" s="59">
        <v>0.55443287037037037</v>
      </c>
      <c r="K625" s="61"/>
      <c r="L625" s="62"/>
    </row>
    <row r="626" spans="5:12" x14ac:dyDescent="0.25">
      <c r="E626" s="53"/>
      <c r="F626" s="54">
        <v>0.53435185185185186</v>
      </c>
      <c r="G626" s="54">
        <v>0.53469907407407413</v>
      </c>
      <c r="H626" s="55"/>
      <c r="I626" s="55"/>
      <c r="J626" s="54">
        <v>0.54688657407407404</v>
      </c>
      <c r="K626" s="56"/>
      <c r="L626" s="57"/>
    </row>
    <row r="627" spans="5:12" x14ac:dyDescent="0.25">
      <c r="E627" s="58"/>
      <c r="F627" s="59">
        <v>0.53473379629629625</v>
      </c>
      <c r="G627" s="60">
        <v>0.53513888888888894</v>
      </c>
      <c r="H627" s="61"/>
      <c r="I627" s="61"/>
      <c r="J627" s="59">
        <v>0.55451388888888886</v>
      </c>
      <c r="K627" s="61"/>
      <c r="L627" s="62"/>
    </row>
    <row r="628" spans="5:12" x14ac:dyDescent="0.25">
      <c r="E628" s="53"/>
      <c r="F628" s="54">
        <v>0.53508101851851853</v>
      </c>
      <c r="G628" s="54">
        <v>0.53547453703703707</v>
      </c>
      <c r="H628" s="55"/>
      <c r="I628" s="55"/>
      <c r="J628" s="54">
        <v>0.54969907407407403</v>
      </c>
      <c r="K628" s="56"/>
      <c r="L628" s="57"/>
    </row>
    <row r="629" spans="5:12" x14ac:dyDescent="0.25">
      <c r="E629" s="58"/>
      <c r="F629" s="59">
        <v>0.53548611111111111</v>
      </c>
      <c r="G629" s="60">
        <v>0.53557870370370375</v>
      </c>
      <c r="H629" s="61"/>
      <c r="I629" s="61"/>
      <c r="J629" s="59">
        <v>0.55833333333333335</v>
      </c>
      <c r="K629" s="61"/>
      <c r="L629" s="62"/>
    </row>
    <row r="630" spans="5:12" x14ac:dyDescent="0.25">
      <c r="E630" s="53"/>
      <c r="F630" s="54">
        <v>0.53570601851851851</v>
      </c>
      <c r="G630" s="54">
        <v>0.53625</v>
      </c>
      <c r="H630" s="55"/>
      <c r="I630" s="55"/>
      <c r="J630" s="54">
        <v>0.55987268518518518</v>
      </c>
      <c r="K630" s="56"/>
      <c r="L630" s="57"/>
    </row>
    <row r="631" spans="5:12" x14ac:dyDescent="0.25">
      <c r="E631" s="58"/>
      <c r="F631" s="59">
        <v>0.53606481481481483</v>
      </c>
      <c r="G631" s="60">
        <v>0.53641203703703699</v>
      </c>
      <c r="H631" s="61"/>
      <c r="I631" s="61"/>
      <c r="J631" s="59">
        <v>0.55233796296296289</v>
      </c>
      <c r="K631" s="61"/>
      <c r="L631" s="62"/>
    </row>
    <row r="632" spans="5:12" x14ac:dyDescent="0.25">
      <c r="E632" s="53"/>
      <c r="F632" s="54">
        <v>0.53677083333333331</v>
      </c>
      <c r="G632" s="54">
        <v>0.53707175925925921</v>
      </c>
      <c r="H632" s="55"/>
      <c r="I632" s="55"/>
      <c r="J632" s="54">
        <v>0.55626157407407406</v>
      </c>
      <c r="K632" s="56"/>
      <c r="L632" s="57"/>
    </row>
    <row r="633" spans="5:12" x14ac:dyDescent="0.25">
      <c r="E633" s="58"/>
      <c r="F633" s="59">
        <v>0.53711805555555558</v>
      </c>
      <c r="G633" s="60">
        <v>0.53729166666666661</v>
      </c>
      <c r="H633" s="61"/>
      <c r="I633" s="61"/>
      <c r="J633" s="59">
        <v>0.55555555555555558</v>
      </c>
      <c r="K633" s="61"/>
      <c r="L633" s="62"/>
    </row>
    <row r="634" spans="5:12" x14ac:dyDescent="0.25">
      <c r="E634" s="53"/>
      <c r="F634" s="54">
        <v>0.53749999999999998</v>
      </c>
      <c r="G634" s="54">
        <v>0.53810185185185189</v>
      </c>
      <c r="H634" s="55"/>
      <c r="I634" s="55"/>
      <c r="J634" s="54">
        <v>0.55965277777777778</v>
      </c>
      <c r="K634" s="56"/>
      <c r="L634" s="57"/>
    </row>
    <row r="635" spans="5:12" x14ac:dyDescent="0.25">
      <c r="E635" s="58"/>
      <c r="F635" s="59">
        <v>0.53790509259259256</v>
      </c>
      <c r="G635" s="60">
        <v>0.5382986111111111</v>
      </c>
      <c r="H635" s="61"/>
      <c r="I635" s="61"/>
      <c r="J635" s="59">
        <v>0.55715277777777772</v>
      </c>
      <c r="K635" s="61"/>
      <c r="L635" s="62"/>
    </row>
    <row r="636" spans="5:12" x14ac:dyDescent="0.25">
      <c r="E636" s="53"/>
      <c r="F636" s="54">
        <v>0.53811342592592593</v>
      </c>
      <c r="G636" s="54">
        <v>0.53853009259259255</v>
      </c>
      <c r="H636" s="55"/>
      <c r="I636" s="55"/>
      <c r="J636" s="54">
        <v>0.56071759259259257</v>
      </c>
      <c r="K636" s="56"/>
      <c r="L636" s="57"/>
    </row>
    <row r="637" spans="5:12" x14ac:dyDescent="0.25">
      <c r="E637" s="58"/>
      <c r="F637" s="59">
        <v>0.53848379629629628</v>
      </c>
      <c r="G637" s="60">
        <v>0.53895833333333332</v>
      </c>
      <c r="H637" s="61"/>
      <c r="I637" s="61"/>
      <c r="J637" s="59">
        <v>0.56504629629629632</v>
      </c>
      <c r="K637" s="61"/>
      <c r="L637" s="62"/>
    </row>
    <row r="638" spans="5:12" x14ac:dyDescent="0.25">
      <c r="E638" s="53"/>
      <c r="F638" s="54">
        <v>0.53871527777777783</v>
      </c>
      <c r="G638" s="54">
        <v>0.53903935185185181</v>
      </c>
      <c r="H638" s="55"/>
      <c r="I638" s="55"/>
      <c r="J638" s="54">
        <v>0.55483796296296295</v>
      </c>
      <c r="K638" s="56"/>
      <c r="L638" s="57"/>
    </row>
    <row r="639" spans="5:12" x14ac:dyDescent="0.25">
      <c r="E639" s="58"/>
      <c r="F639" s="59">
        <v>0.53916666666666668</v>
      </c>
      <c r="G639" s="60">
        <v>0.53950231481481481</v>
      </c>
      <c r="H639" s="61"/>
      <c r="I639" s="61"/>
      <c r="J639" s="59">
        <v>0.57307870370370373</v>
      </c>
      <c r="K639" s="61"/>
      <c r="L639" s="62"/>
    </row>
    <row r="640" spans="5:12" x14ac:dyDescent="0.25">
      <c r="E640" s="53"/>
      <c r="F640" s="54">
        <v>0.53929398148148155</v>
      </c>
      <c r="G640" s="54">
        <v>0.53949074074074077</v>
      </c>
      <c r="H640" s="55"/>
      <c r="I640" s="55"/>
      <c r="J640" s="54">
        <v>0.57078703703703704</v>
      </c>
      <c r="K640" s="56"/>
      <c r="L640" s="57"/>
    </row>
    <row r="641" spans="5:12" x14ac:dyDescent="0.25">
      <c r="E641" s="58"/>
      <c r="F641" s="59">
        <v>0.53961805555555553</v>
      </c>
      <c r="G641" s="60">
        <v>0.5401273148148148</v>
      </c>
      <c r="H641" s="61"/>
      <c r="I641" s="61"/>
      <c r="J641" s="59">
        <v>0.55833333333333335</v>
      </c>
      <c r="K641" s="61"/>
      <c r="L641" s="62"/>
    </row>
    <row r="642" spans="5:12" x14ac:dyDescent="0.25">
      <c r="E642" s="53"/>
      <c r="F642" s="54">
        <v>0.53988425925925931</v>
      </c>
      <c r="G642" s="54">
        <v>0.54003472222222226</v>
      </c>
      <c r="H642" s="55"/>
      <c r="I642" s="55"/>
      <c r="J642" s="54">
        <v>0.55201388888888892</v>
      </c>
      <c r="K642" s="56"/>
      <c r="L642" s="57"/>
    </row>
    <row r="643" spans="5:12" x14ac:dyDescent="0.25">
      <c r="E643" s="58"/>
      <c r="F643" s="59">
        <v>0.54009259259259257</v>
      </c>
      <c r="G643" s="60">
        <v>0.54052083333333334</v>
      </c>
      <c r="H643" s="61"/>
      <c r="I643" s="61"/>
      <c r="J643" s="59">
        <v>0.55412037037037043</v>
      </c>
      <c r="K643" s="61"/>
      <c r="L643" s="62"/>
    </row>
    <row r="644" spans="5:12" x14ac:dyDescent="0.25">
      <c r="E644" s="53"/>
      <c r="F644" s="54">
        <v>0.54043981481481485</v>
      </c>
      <c r="G644" s="54">
        <v>0.54077546296296297</v>
      </c>
      <c r="H644" s="55"/>
      <c r="I644" s="55"/>
      <c r="J644" s="54">
        <v>0.56282407407407409</v>
      </c>
      <c r="K644" s="56"/>
      <c r="L644" s="57"/>
    </row>
    <row r="645" spans="5:12" x14ac:dyDescent="0.25">
      <c r="E645" s="58"/>
      <c r="F645" s="59">
        <v>0.5406481481481481</v>
      </c>
      <c r="G645" s="60">
        <v>0.54097222222222219</v>
      </c>
      <c r="H645" s="61"/>
      <c r="I645" s="61"/>
      <c r="J645" s="59">
        <v>0.56021990740740735</v>
      </c>
      <c r="K645" s="61"/>
      <c r="L645" s="62"/>
    </row>
    <row r="646" spans="5:12" x14ac:dyDescent="0.25">
      <c r="E646" s="53"/>
      <c r="F646" s="54">
        <v>0.54107638888888887</v>
      </c>
      <c r="G646" s="54">
        <v>0.54142361111111115</v>
      </c>
      <c r="H646" s="55"/>
      <c r="I646" s="55"/>
      <c r="J646" s="54">
        <v>0.56722222222222218</v>
      </c>
      <c r="K646" s="56"/>
      <c r="L646" s="57"/>
    </row>
    <row r="647" spans="5:12" x14ac:dyDescent="0.25">
      <c r="E647" s="58"/>
      <c r="F647" s="59">
        <v>0.54160879629629632</v>
      </c>
      <c r="G647" s="60">
        <v>0.54200231481481487</v>
      </c>
      <c r="H647" s="61"/>
      <c r="I647" s="61"/>
      <c r="J647" s="59">
        <v>0.5628819444444445</v>
      </c>
      <c r="K647" s="61"/>
      <c r="L647" s="62"/>
    </row>
    <row r="648" spans="5:12" x14ac:dyDescent="0.25">
      <c r="E648" s="53"/>
      <c r="F648" s="54">
        <v>0.54189814814814818</v>
      </c>
      <c r="G648" s="54">
        <v>0.54223379629629631</v>
      </c>
      <c r="H648" s="55"/>
      <c r="I648" s="55"/>
      <c r="J648" s="54">
        <v>0.56876157407407402</v>
      </c>
      <c r="K648" s="56"/>
      <c r="L648" s="57"/>
    </row>
    <row r="649" spans="5:12" x14ac:dyDescent="0.25">
      <c r="E649" s="58"/>
      <c r="F649" s="59">
        <v>0.54208333333333336</v>
      </c>
      <c r="G649" s="60">
        <v>0.54249999999999998</v>
      </c>
      <c r="H649" s="61"/>
      <c r="I649" s="61"/>
      <c r="J649" s="59">
        <v>0.56636574074074075</v>
      </c>
      <c r="K649" s="61"/>
      <c r="L649" s="62"/>
    </row>
    <row r="650" spans="5:12" x14ac:dyDescent="0.25">
      <c r="E650" s="53"/>
      <c r="F650" s="54">
        <v>0.54248842592592594</v>
      </c>
      <c r="G650" s="54">
        <v>0.54271990740740739</v>
      </c>
      <c r="H650" s="55"/>
      <c r="I650" s="55"/>
      <c r="J650" s="54">
        <v>0.56646990740740744</v>
      </c>
      <c r="K650" s="56"/>
      <c r="L650" s="57"/>
    </row>
    <row r="651" spans="5:12" x14ac:dyDescent="0.25">
      <c r="E651" s="58"/>
      <c r="F651" s="59">
        <v>0.54278935185185184</v>
      </c>
      <c r="G651" s="60">
        <v>0.54333333333333333</v>
      </c>
      <c r="H651" s="61"/>
      <c r="I651" s="61"/>
      <c r="J651" s="59">
        <v>0.55935185185185188</v>
      </c>
      <c r="K651" s="61"/>
      <c r="L651" s="62"/>
    </row>
    <row r="652" spans="5:12" x14ac:dyDescent="0.25">
      <c r="E652" s="53"/>
      <c r="F652" s="54">
        <v>0.54313657407407401</v>
      </c>
      <c r="G652" s="54">
        <v>0.54351851851851851</v>
      </c>
      <c r="H652" s="55"/>
      <c r="I652" s="55"/>
      <c r="J652" s="54">
        <v>0.55804398148148149</v>
      </c>
      <c r="K652" s="56"/>
      <c r="L652" s="57"/>
    </row>
    <row r="653" spans="5:12" x14ac:dyDescent="0.25">
      <c r="E653" s="58"/>
      <c r="F653" s="59">
        <v>0.54342592592592587</v>
      </c>
      <c r="G653" s="60">
        <v>0.54386574074074068</v>
      </c>
      <c r="H653" s="61"/>
      <c r="I653" s="61"/>
      <c r="J653" s="59">
        <v>0.56410879629629629</v>
      </c>
      <c r="K653" s="61"/>
      <c r="L653" s="62"/>
    </row>
    <row r="654" spans="5:12" x14ac:dyDescent="0.25">
      <c r="E654" s="53"/>
      <c r="F654" s="54">
        <v>0.54379629629629633</v>
      </c>
      <c r="G654" s="54">
        <v>0.54417824074074073</v>
      </c>
      <c r="H654" s="55"/>
      <c r="I654" s="55"/>
      <c r="J654" s="54">
        <v>0.56092592592592594</v>
      </c>
      <c r="K654" s="56"/>
      <c r="L654" s="57"/>
    </row>
    <row r="655" spans="5:12" x14ac:dyDescent="0.25">
      <c r="E655" s="58"/>
      <c r="F655" s="59">
        <v>0.54412037037037042</v>
      </c>
      <c r="G655" s="60">
        <v>0.54478009259259264</v>
      </c>
      <c r="H655" s="61"/>
      <c r="I655" s="61"/>
      <c r="J655" s="59">
        <v>0.57747685185185182</v>
      </c>
      <c r="K655" s="61"/>
      <c r="L655" s="62"/>
    </row>
    <row r="656" spans="5:12" x14ac:dyDescent="0.25">
      <c r="E656" s="53"/>
      <c r="F656" s="54">
        <v>0.54446759259259259</v>
      </c>
      <c r="G656" s="54">
        <v>0.54493055555555558</v>
      </c>
      <c r="H656" s="55"/>
      <c r="I656" s="55"/>
      <c r="J656" s="54">
        <v>0.55775462962962963</v>
      </c>
      <c r="K656" s="56"/>
      <c r="L656" s="57"/>
    </row>
    <row r="657" spans="5:12" x14ac:dyDescent="0.25">
      <c r="E657" s="58"/>
      <c r="F657" s="59">
        <v>0.54457175925925927</v>
      </c>
      <c r="G657" s="60">
        <v>0.54483796296296294</v>
      </c>
      <c r="H657" s="61"/>
      <c r="I657" s="61"/>
      <c r="J657" s="59">
        <v>0.56877314814814817</v>
      </c>
      <c r="K657" s="61"/>
      <c r="L657" s="62"/>
    </row>
    <row r="658" spans="5:12" x14ac:dyDescent="0.25">
      <c r="E658" s="53"/>
      <c r="F658" s="54">
        <v>0.54480324074074071</v>
      </c>
      <c r="G658" s="54">
        <v>0.54513888888888895</v>
      </c>
      <c r="H658" s="55"/>
      <c r="I658" s="55"/>
      <c r="J658" s="54">
        <v>0.56966435185185182</v>
      </c>
      <c r="K658" s="56"/>
      <c r="L658" s="57"/>
    </row>
    <row r="659" spans="5:12" x14ac:dyDescent="0.25">
      <c r="E659" s="58"/>
      <c r="F659" s="59">
        <v>0.54524305555555552</v>
      </c>
      <c r="G659" s="60">
        <v>0.54553240740740738</v>
      </c>
      <c r="H659" s="61"/>
      <c r="I659" s="61"/>
      <c r="J659" s="59">
        <v>0.56718750000000007</v>
      </c>
      <c r="K659" s="61"/>
      <c r="L659" s="62"/>
    </row>
    <row r="660" spans="5:12" x14ac:dyDescent="0.25">
      <c r="E660" s="53"/>
      <c r="F660" s="54">
        <v>0.54567129629629629</v>
      </c>
      <c r="G660" s="54">
        <v>0.54591435185185189</v>
      </c>
      <c r="H660" s="55"/>
      <c r="I660" s="55"/>
      <c r="J660" s="54">
        <v>0.56422453703703701</v>
      </c>
      <c r="K660" s="56"/>
      <c r="L660" s="57"/>
    </row>
    <row r="661" spans="5:12" x14ac:dyDescent="0.25">
      <c r="E661" s="58"/>
      <c r="F661" s="59">
        <v>0.54599537037037038</v>
      </c>
      <c r="G661" s="60">
        <v>0.54633101851851851</v>
      </c>
      <c r="H661" s="61"/>
      <c r="I661" s="61"/>
      <c r="J661" s="59">
        <v>0.56447916666666664</v>
      </c>
      <c r="K661" s="61"/>
      <c r="L661" s="62"/>
    </row>
    <row r="662" spans="5:12" x14ac:dyDescent="0.25">
      <c r="E662" s="53"/>
      <c r="F662" s="54">
        <v>0.54614583333333333</v>
      </c>
      <c r="G662" s="54">
        <v>0.5464930555555555</v>
      </c>
      <c r="H662" s="55"/>
      <c r="I662" s="55"/>
      <c r="J662" s="54">
        <v>0.57309027777777777</v>
      </c>
      <c r="K662" s="56"/>
      <c r="L662" s="57"/>
    </row>
    <row r="663" spans="5:12" x14ac:dyDescent="0.25">
      <c r="E663" s="58"/>
      <c r="F663" s="59">
        <v>0.54629629629629628</v>
      </c>
      <c r="G663" s="60">
        <v>0.54662037037037037</v>
      </c>
      <c r="H663" s="61"/>
      <c r="I663" s="61"/>
      <c r="J663" s="59">
        <v>0.55386574074074069</v>
      </c>
      <c r="K663" s="61"/>
      <c r="L663" s="62"/>
    </row>
    <row r="664" spans="5:12" x14ac:dyDescent="0.25">
      <c r="E664" s="53"/>
      <c r="F664" s="54">
        <v>0.5467129629629629</v>
      </c>
      <c r="G664" s="54">
        <v>0.54710648148148155</v>
      </c>
      <c r="H664" s="55"/>
      <c r="I664" s="55"/>
      <c r="J664" s="54">
        <v>0.57103009259259252</v>
      </c>
      <c r="K664" s="56"/>
      <c r="L664" s="57"/>
    </row>
    <row r="665" spans="5:12" x14ac:dyDescent="0.25">
      <c r="E665" s="58"/>
      <c r="F665" s="59">
        <v>0.54680555555555554</v>
      </c>
      <c r="G665" s="60">
        <v>0.54707175925925922</v>
      </c>
      <c r="H665" s="61"/>
      <c r="I665" s="61"/>
      <c r="J665" s="59">
        <v>0.56130787037037033</v>
      </c>
      <c r="K665" s="61"/>
      <c r="L665" s="62"/>
    </row>
    <row r="666" spans="5:12" x14ac:dyDescent="0.25">
      <c r="E666" s="53"/>
      <c r="F666" s="54">
        <v>0.54701388888888891</v>
      </c>
      <c r="G666" s="54">
        <v>0.54749999999999999</v>
      </c>
      <c r="H666" s="55"/>
      <c r="I666" s="55"/>
      <c r="J666" s="54">
        <v>0.56333333333333335</v>
      </c>
      <c r="K666" s="56"/>
      <c r="L666" s="57"/>
    </row>
    <row r="667" spans="5:12" x14ac:dyDescent="0.25">
      <c r="E667" s="58"/>
      <c r="F667" s="59">
        <v>0.54741898148148149</v>
      </c>
      <c r="G667" s="60">
        <v>0.54791666666666672</v>
      </c>
      <c r="H667" s="61"/>
      <c r="I667" s="61"/>
      <c r="J667" s="59">
        <v>0.56789351851851855</v>
      </c>
      <c r="K667" s="61"/>
      <c r="L667" s="62"/>
    </row>
    <row r="668" spans="5:12" x14ac:dyDescent="0.25">
      <c r="E668" s="53"/>
      <c r="F668" s="54">
        <v>0.54780092592592589</v>
      </c>
      <c r="G668" s="54">
        <v>0.54833333333333334</v>
      </c>
      <c r="H668" s="55"/>
      <c r="I668" s="55"/>
      <c r="J668" s="54">
        <v>0.56145833333333328</v>
      </c>
      <c r="K668" s="56"/>
      <c r="L668" s="57"/>
    </row>
    <row r="669" spans="5:12" x14ac:dyDescent="0.25">
      <c r="E669" s="58"/>
      <c r="F669" s="59">
        <v>0.54804398148148148</v>
      </c>
      <c r="G669" s="60">
        <v>0.54819444444444443</v>
      </c>
      <c r="H669" s="61"/>
      <c r="I669" s="61"/>
      <c r="J669" s="59">
        <v>0.56587962962962968</v>
      </c>
      <c r="K669" s="61"/>
      <c r="L669" s="62"/>
    </row>
    <row r="670" spans="5:12" x14ac:dyDescent="0.25">
      <c r="E670" s="53"/>
      <c r="F670" s="54">
        <v>0.54833333333333334</v>
      </c>
      <c r="G670" s="54">
        <v>0.54872685185185188</v>
      </c>
      <c r="H670" s="55"/>
      <c r="I670" s="55"/>
      <c r="J670" s="54">
        <v>0.56032407407407414</v>
      </c>
      <c r="K670" s="56"/>
      <c r="L670" s="57"/>
    </row>
    <row r="671" spans="5:12" x14ac:dyDescent="0.25">
      <c r="E671" s="58"/>
      <c r="F671" s="59">
        <v>0.5486805555555555</v>
      </c>
      <c r="G671" s="60">
        <v>0.5490046296296297</v>
      </c>
      <c r="H671" s="61"/>
      <c r="I671" s="61"/>
      <c r="J671" s="59">
        <v>0.55613425925925919</v>
      </c>
      <c r="K671" s="61"/>
      <c r="L671" s="62"/>
    </row>
    <row r="672" spans="5:12" x14ac:dyDescent="0.25">
      <c r="E672" s="53"/>
      <c r="F672" s="54">
        <v>0.54916666666666669</v>
      </c>
      <c r="G672" s="54">
        <v>0.54959490740740746</v>
      </c>
      <c r="H672" s="55"/>
      <c r="I672" s="55"/>
      <c r="J672" s="54">
        <v>0.56234953703703705</v>
      </c>
      <c r="K672" s="56"/>
      <c r="L672" s="57"/>
    </row>
    <row r="673" spans="5:12" x14ac:dyDescent="0.25">
      <c r="E673" s="58"/>
      <c r="F673" s="59">
        <v>0.5493865740740741</v>
      </c>
      <c r="G673" s="60">
        <v>0.54964120370370373</v>
      </c>
      <c r="H673" s="61"/>
      <c r="I673" s="61"/>
      <c r="J673" s="59">
        <v>0.56232638888888886</v>
      </c>
      <c r="K673" s="61"/>
      <c r="L673" s="62"/>
    </row>
    <row r="674" spans="5:12" x14ac:dyDescent="0.25">
      <c r="E674" s="53"/>
      <c r="F674" s="54">
        <v>0.54986111111111113</v>
      </c>
      <c r="G674" s="54">
        <v>0.55017361111111118</v>
      </c>
      <c r="H674" s="55"/>
      <c r="I674" s="55"/>
      <c r="J674" s="54">
        <v>0.5635648148148148</v>
      </c>
      <c r="K674" s="56"/>
      <c r="L674" s="57"/>
    </row>
    <row r="675" spans="5:12" x14ac:dyDescent="0.25">
      <c r="E675" s="58"/>
      <c r="F675" s="59">
        <v>0.55035879629629625</v>
      </c>
      <c r="G675" s="60">
        <v>0.55057870370370365</v>
      </c>
      <c r="H675" s="61"/>
      <c r="I675" s="61"/>
      <c r="J675" s="59">
        <v>0.5663541666666666</v>
      </c>
      <c r="K675" s="61"/>
      <c r="L675" s="62"/>
    </row>
    <row r="676" spans="5:12" x14ac:dyDescent="0.25">
      <c r="E676" s="53"/>
      <c r="F676" s="54">
        <v>0.55047453703703708</v>
      </c>
      <c r="G676" s="54">
        <v>0.55091435185185189</v>
      </c>
      <c r="H676" s="55"/>
      <c r="I676" s="55"/>
      <c r="J676" s="54">
        <v>0.5625</v>
      </c>
      <c r="K676" s="56"/>
      <c r="L676" s="57"/>
    </row>
    <row r="677" spans="5:12" x14ac:dyDescent="0.25">
      <c r="E677" s="58"/>
      <c r="F677" s="59">
        <v>0.55084490740740744</v>
      </c>
      <c r="G677" s="60">
        <v>0.55100694444444442</v>
      </c>
      <c r="H677" s="61"/>
      <c r="I677" s="61"/>
      <c r="J677" s="59">
        <v>0.56050925925925921</v>
      </c>
      <c r="K677" s="61"/>
      <c r="L677" s="62"/>
    </row>
    <row r="678" spans="5:12" x14ac:dyDescent="0.25">
      <c r="E678" s="53"/>
      <c r="F678" s="54">
        <v>0.55122685185185183</v>
      </c>
      <c r="G678" s="54">
        <v>0.55166666666666664</v>
      </c>
      <c r="H678" s="55"/>
      <c r="I678" s="55"/>
      <c r="J678" s="54">
        <v>0.57344907407407408</v>
      </c>
      <c r="K678" s="56"/>
      <c r="L678" s="57"/>
    </row>
    <row r="679" spans="5:12" x14ac:dyDescent="0.25">
      <c r="E679" s="58"/>
      <c r="F679" s="59">
        <v>0.55130787037037032</v>
      </c>
      <c r="G679" s="60">
        <v>0.55164351851851856</v>
      </c>
      <c r="H679" s="61"/>
      <c r="I679" s="61"/>
      <c r="J679" s="59">
        <v>0.57517361111111109</v>
      </c>
      <c r="K679" s="61"/>
      <c r="L679" s="62"/>
    </row>
    <row r="680" spans="5:12" x14ac:dyDescent="0.25">
      <c r="E680" s="53"/>
      <c r="F680" s="54">
        <v>0.55163194444444441</v>
      </c>
      <c r="G680" s="54">
        <v>0.55199074074074073</v>
      </c>
      <c r="H680" s="55"/>
      <c r="I680" s="55"/>
      <c r="J680" s="54">
        <v>0.5774421296296296</v>
      </c>
      <c r="K680" s="56"/>
      <c r="L680" s="57"/>
    </row>
    <row r="681" spans="5:12" x14ac:dyDescent="0.25">
      <c r="E681" s="58"/>
      <c r="F681" s="59">
        <v>0.55193287037037042</v>
      </c>
      <c r="G681" s="60">
        <v>0.55215277777777783</v>
      </c>
      <c r="H681" s="61"/>
      <c r="I681" s="61"/>
      <c r="J681" s="59">
        <v>0.55885416666666665</v>
      </c>
      <c r="K681" s="61"/>
      <c r="L681" s="62"/>
    </row>
    <row r="682" spans="5:12" x14ac:dyDescent="0.25">
      <c r="E682" s="53"/>
      <c r="F682" s="54">
        <v>0.55204861111111114</v>
      </c>
      <c r="G682" s="54">
        <v>0.5522569444444444</v>
      </c>
      <c r="H682" s="55"/>
      <c r="I682" s="55"/>
      <c r="J682" s="54">
        <v>0.56744212962962959</v>
      </c>
      <c r="K682" s="56"/>
      <c r="L682" s="57"/>
    </row>
    <row r="683" spans="5:12" x14ac:dyDescent="0.25">
      <c r="E683" s="58"/>
      <c r="F683" s="59">
        <v>0.55226851851851855</v>
      </c>
      <c r="G683" s="60">
        <v>0.5527199074074074</v>
      </c>
      <c r="H683" s="61"/>
      <c r="I683" s="61"/>
      <c r="J683" s="59">
        <v>0.5556712962962963</v>
      </c>
      <c r="K683" s="61"/>
      <c r="L683" s="62"/>
    </row>
    <row r="684" spans="5:12" x14ac:dyDescent="0.25">
      <c r="E684" s="53"/>
      <c r="F684" s="54">
        <v>0.5526388888888889</v>
      </c>
      <c r="G684" s="54">
        <v>0.55300925925925926</v>
      </c>
      <c r="H684" s="55"/>
      <c r="I684" s="55"/>
      <c r="J684" s="54">
        <v>0.5662152777777778</v>
      </c>
      <c r="K684" s="56"/>
      <c r="L684" s="57"/>
    </row>
    <row r="685" spans="5:12" x14ac:dyDescent="0.25">
      <c r="E685" s="58"/>
      <c r="F685" s="59">
        <v>0.5531018518518519</v>
      </c>
      <c r="G685" s="60">
        <v>0.55357638888888883</v>
      </c>
      <c r="H685" s="61"/>
      <c r="I685" s="61"/>
      <c r="J685" s="59">
        <v>0.56388888888888888</v>
      </c>
      <c r="K685" s="61"/>
      <c r="L685" s="62"/>
    </row>
    <row r="686" spans="5:12" x14ac:dyDescent="0.25">
      <c r="E686" s="53"/>
      <c r="F686" s="54">
        <v>0.55336805555555557</v>
      </c>
      <c r="G686" s="54">
        <v>0.55355324074074075</v>
      </c>
      <c r="H686" s="55"/>
      <c r="I686" s="55"/>
      <c r="J686" s="54">
        <v>0.56062500000000004</v>
      </c>
      <c r="K686" s="56"/>
      <c r="L686" s="57"/>
    </row>
    <row r="687" spans="5:12" x14ac:dyDescent="0.25">
      <c r="E687" s="58"/>
      <c r="F687" s="59">
        <v>0.55371527777777774</v>
      </c>
      <c r="G687" s="60">
        <v>0.55394675925925929</v>
      </c>
      <c r="H687" s="61"/>
      <c r="I687" s="61"/>
      <c r="J687" s="59">
        <v>0.57844907407407409</v>
      </c>
      <c r="K687" s="61"/>
      <c r="L687" s="62"/>
    </row>
    <row r="688" spans="5:12" x14ac:dyDescent="0.25">
      <c r="E688" s="53"/>
      <c r="F688" s="54">
        <v>0.55425925925925923</v>
      </c>
      <c r="G688" s="54">
        <v>0.55475694444444446</v>
      </c>
      <c r="H688" s="55"/>
      <c r="I688" s="55"/>
      <c r="J688" s="54">
        <v>0.5631828703703704</v>
      </c>
      <c r="K688" s="56"/>
      <c r="L688" s="57"/>
    </row>
    <row r="689" spans="5:12" x14ac:dyDescent="0.25">
      <c r="E689" s="58"/>
      <c r="F689" s="59">
        <v>0.55464120370370373</v>
      </c>
      <c r="G689" s="60">
        <v>0.55511574074074077</v>
      </c>
      <c r="H689" s="61"/>
      <c r="I689" s="61"/>
      <c r="J689" s="59">
        <v>0.57901620370370377</v>
      </c>
      <c r="K689" s="61"/>
      <c r="L689" s="62"/>
    </row>
    <row r="690" spans="5:12" x14ac:dyDescent="0.25">
      <c r="E690" s="53"/>
      <c r="F690" s="54">
        <v>0.55491898148148155</v>
      </c>
      <c r="G690" s="54">
        <v>0.55533564814814818</v>
      </c>
      <c r="H690" s="55"/>
      <c r="I690" s="55"/>
      <c r="J690" s="54">
        <v>0.56751157407407404</v>
      </c>
      <c r="K690" s="56"/>
      <c r="L690" s="57"/>
    </row>
    <row r="691" spans="5:12" x14ac:dyDescent="0.25">
      <c r="E691" s="58"/>
      <c r="F691" s="59">
        <v>0.55534722222222221</v>
      </c>
      <c r="G691" s="60">
        <v>0.55582175925925925</v>
      </c>
      <c r="H691" s="61"/>
      <c r="I691" s="61"/>
      <c r="J691" s="59">
        <v>0.57989583333333339</v>
      </c>
      <c r="K691" s="61"/>
      <c r="L691" s="62"/>
    </row>
    <row r="692" spans="5:12" x14ac:dyDescent="0.25">
      <c r="E692" s="53"/>
      <c r="F692" s="54">
        <v>0.55572916666666672</v>
      </c>
      <c r="G692" s="54">
        <v>0.55614583333333334</v>
      </c>
      <c r="H692" s="55"/>
      <c r="I692" s="55"/>
      <c r="J692" s="54">
        <v>0.57178240740740738</v>
      </c>
      <c r="K692" s="56"/>
      <c r="L692" s="57"/>
    </row>
    <row r="693" spans="5:12" x14ac:dyDescent="0.25">
      <c r="E693" s="58"/>
      <c r="F693" s="59">
        <v>0.55607638888888888</v>
      </c>
      <c r="G693" s="60">
        <v>0.5562731481481481</v>
      </c>
      <c r="H693" s="61"/>
      <c r="I693" s="61"/>
      <c r="J693" s="59">
        <v>0.57743055555555556</v>
      </c>
      <c r="K693" s="61"/>
      <c r="L693" s="62"/>
    </row>
    <row r="694" spans="5:12" x14ac:dyDescent="0.25">
      <c r="E694" s="53"/>
      <c r="F694" s="54">
        <v>0.5564351851851852</v>
      </c>
      <c r="G694" s="54">
        <v>0.55685185185185182</v>
      </c>
      <c r="H694" s="55"/>
      <c r="I694" s="55"/>
      <c r="J694" s="54">
        <v>0.56946759259259261</v>
      </c>
      <c r="K694" s="56"/>
      <c r="L694" s="57"/>
    </row>
    <row r="695" spans="5:12" x14ac:dyDescent="0.25">
      <c r="E695" s="58"/>
      <c r="F695" s="59">
        <v>0.55671296296296291</v>
      </c>
      <c r="G695" s="60">
        <v>0.55710648148148145</v>
      </c>
      <c r="H695" s="61"/>
      <c r="I695" s="61"/>
      <c r="J695" s="59">
        <v>0.57366898148148149</v>
      </c>
      <c r="K695" s="61"/>
      <c r="L695" s="62"/>
    </row>
    <row r="696" spans="5:12" x14ac:dyDescent="0.25">
      <c r="E696" s="53"/>
      <c r="F696" s="54">
        <v>0.55714120370370368</v>
      </c>
      <c r="G696" s="54">
        <v>0.55738425925925927</v>
      </c>
      <c r="H696" s="55"/>
      <c r="I696" s="55"/>
      <c r="J696" s="54">
        <v>0.57141203703703702</v>
      </c>
      <c r="K696" s="56"/>
      <c r="L696" s="57"/>
    </row>
    <row r="697" spans="5:12" x14ac:dyDescent="0.25">
      <c r="E697" s="58"/>
      <c r="F697" s="59">
        <v>0.55754629629629626</v>
      </c>
      <c r="G697" s="60">
        <v>0.55788194444444439</v>
      </c>
      <c r="H697" s="61"/>
      <c r="I697" s="61"/>
      <c r="J697" s="59">
        <v>0.58091435185185192</v>
      </c>
      <c r="K697" s="61"/>
      <c r="L697" s="62"/>
    </row>
    <row r="698" spans="5:12" x14ac:dyDescent="0.25">
      <c r="E698" s="53"/>
      <c r="F698" s="54">
        <v>0.55789351851851854</v>
      </c>
      <c r="G698" s="54">
        <v>0.55827546296296293</v>
      </c>
      <c r="H698" s="55"/>
      <c r="I698" s="55"/>
      <c r="J698" s="54">
        <v>0.57859953703703704</v>
      </c>
      <c r="K698" s="56"/>
      <c r="L698" s="57"/>
    </row>
    <row r="699" spans="5:12" x14ac:dyDescent="0.25">
      <c r="E699" s="58"/>
      <c r="F699" s="59">
        <v>0.55839120370370365</v>
      </c>
      <c r="G699" s="60">
        <v>0.5587037037037037</v>
      </c>
      <c r="H699" s="61"/>
      <c r="I699" s="61"/>
      <c r="J699" s="59">
        <v>0.56774305555555549</v>
      </c>
      <c r="K699" s="61"/>
      <c r="L699" s="62"/>
    </row>
    <row r="700" spans="5:12" x14ac:dyDescent="0.25">
      <c r="E700" s="53"/>
      <c r="F700" s="54">
        <v>0.55876157407407401</v>
      </c>
      <c r="G700" s="54">
        <v>0.55910879629629628</v>
      </c>
      <c r="H700" s="55"/>
      <c r="I700" s="55"/>
      <c r="J700" s="54">
        <v>0.57765046296296296</v>
      </c>
      <c r="K700" s="56"/>
      <c r="L700" s="57"/>
    </row>
    <row r="701" spans="5:12" x14ac:dyDescent="0.25">
      <c r="E701" s="58"/>
      <c r="F701" s="59">
        <v>0.55902777777777779</v>
      </c>
      <c r="G701" s="60">
        <v>0.55942129629629633</v>
      </c>
      <c r="H701" s="61"/>
      <c r="I701" s="61"/>
      <c r="J701" s="59">
        <v>0.58581018518518524</v>
      </c>
      <c r="K701" s="61"/>
      <c r="L701" s="62"/>
    </row>
    <row r="702" spans="5:12" x14ac:dyDescent="0.25">
      <c r="E702" s="53"/>
      <c r="F702" s="54">
        <v>0.55934027777777773</v>
      </c>
      <c r="G702" s="54">
        <v>0.55957175925925928</v>
      </c>
      <c r="H702" s="55"/>
      <c r="I702" s="55"/>
      <c r="J702" s="54">
        <v>0.57625000000000004</v>
      </c>
      <c r="K702" s="56"/>
      <c r="L702" s="57"/>
    </row>
    <row r="703" spans="5:12" x14ac:dyDescent="0.25">
      <c r="E703" s="58"/>
      <c r="F703" s="59">
        <v>0.55981481481481488</v>
      </c>
      <c r="G703" s="60">
        <v>0.55993055555555549</v>
      </c>
      <c r="H703" s="61"/>
      <c r="I703" s="61"/>
      <c r="J703" s="59">
        <v>0.58391203703703709</v>
      </c>
      <c r="K703" s="61"/>
      <c r="L703" s="62"/>
    </row>
    <row r="704" spans="5:12" x14ac:dyDescent="0.25">
      <c r="E704" s="53"/>
      <c r="F704" s="54">
        <v>0.56010416666666674</v>
      </c>
      <c r="G704" s="54">
        <v>0.5602893518518518</v>
      </c>
      <c r="H704" s="55"/>
      <c r="I704" s="55"/>
      <c r="J704" s="54">
        <v>0.57341435185185186</v>
      </c>
      <c r="K704" s="56"/>
      <c r="L704" s="57"/>
    </row>
    <row r="705" spans="5:12" x14ac:dyDescent="0.25">
      <c r="E705" s="58"/>
      <c r="F705" s="59">
        <v>0.56026620370370372</v>
      </c>
      <c r="G705" s="60">
        <v>0.56065972222222216</v>
      </c>
      <c r="H705" s="61"/>
      <c r="I705" s="61"/>
      <c r="J705" s="59">
        <v>0.57943287037037039</v>
      </c>
      <c r="K705" s="61"/>
      <c r="L705" s="62"/>
    </row>
    <row r="706" spans="5:12" x14ac:dyDescent="0.25">
      <c r="E706" s="53"/>
      <c r="F706" s="54">
        <v>0.56067129629629631</v>
      </c>
      <c r="G706" s="54">
        <v>0.5609143518518519</v>
      </c>
      <c r="H706" s="55"/>
      <c r="I706" s="55"/>
      <c r="J706" s="54">
        <v>0.58538194444444447</v>
      </c>
      <c r="K706" s="56"/>
      <c r="L706" s="57"/>
    </row>
    <row r="707" spans="5:12" x14ac:dyDescent="0.25">
      <c r="E707" s="58"/>
      <c r="F707" s="59">
        <v>0.56087962962962956</v>
      </c>
      <c r="G707" s="60">
        <v>0.56128472222222225</v>
      </c>
      <c r="H707" s="61"/>
      <c r="I707" s="61"/>
      <c r="J707" s="59">
        <v>0.5744907407407408</v>
      </c>
      <c r="K707" s="61"/>
      <c r="L707" s="62"/>
    </row>
    <row r="708" spans="5:12" x14ac:dyDescent="0.25">
      <c r="E708" s="53"/>
      <c r="F708" s="54">
        <v>0.56122685185185184</v>
      </c>
      <c r="G708" s="54">
        <v>0.56164351851851857</v>
      </c>
      <c r="H708" s="55"/>
      <c r="I708" s="55"/>
      <c r="J708" s="54">
        <v>0.57224537037037038</v>
      </c>
      <c r="K708" s="56"/>
      <c r="L708" s="57"/>
    </row>
    <row r="709" spans="5:12" x14ac:dyDescent="0.25">
      <c r="E709" s="58"/>
      <c r="F709" s="59">
        <v>0.56153935185185189</v>
      </c>
      <c r="G709" s="60">
        <v>0.56206018518518519</v>
      </c>
      <c r="H709" s="61"/>
      <c r="I709" s="61"/>
      <c r="J709" s="59">
        <v>0.5800925925925926</v>
      </c>
      <c r="K709" s="61"/>
      <c r="L709" s="62"/>
    </row>
    <row r="710" spans="5:12" x14ac:dyDescent="0.25">
      <c r="E710" s="53"/>
      <c r="F710" s="54">
        <v>0.56188657407407405</v>
      </c>
      <c r="G710" s="54">
        <v>0.56231481481481482</v>
      </c>
      <c r="H710" s="55"/>
      <c r="I710" s="55"/>
      <c r="J710" s="54">
        <v>0.57673611111111112</v>
      </c>
      <c r="K710" s="56"/>
      <c r="L710" s="57"/>
    </row>
    <row r="711" spans="5:12" x14ac:dyDescent="0.25">
      <c r="E711" s="58"/>
      <c r="F711" s="59">
        <v>0.56208333333333338</v>
      </c>
      <c r="G711" s="60">
        <v>0.56252314814814819</v>
      </c>
      <c r="H711" s="61"/>
      <c r="I711" s="61"/>
      <c r="J711" s="59">
        <v>0.58805555555555555</v>
      </c>
      <c r="K711" s="61"/>
      <c r="L711" s="62"/>
    </row>
    <row r="712" spans="5:12" x14ac:dyDescent="0.25">
      <c r="E712" s="53"/>
      <c r="F712" s="54">
        <v>0.56236111111111109</v>
      </c>
      <c r="G712" s="54">
        <v>0.56253472222222223</v>
      </c>
      <c r="H712" s="55"/>
      <c r="I712" s="55"/>
      <c r="J712" s="54">
        <v>0.58454861111111112</v>
      </c>
      <c r="K712" s="56"/>
      <c r="L712" s="57"/>
    </row>
    <row r="713" spans="5:12" x14ac:dyDescent="0.25">
      <c r="E713" s="58"/>
      <c r="F713" s="59">
        <v>0.56269675925925922</v>
      </c>
      <c r="G713" s="60">
        <v>0.56307870370370372</v>
      </c>
      <c r="H713" s="61"/>
      <c r="I713" s="61"/>
      <c r="J713" s="59">
        <v>0.5786458333333333</v>
      </c>
      <c r="K713" s="61"/>
      <c r="L713" s="62"/>
    </row>
    <row r="714" spans="5:12" x14ac:dyDescent="0.25">
      <c r="E714" s="53"/>
      <c r="F714" s="54">
        <v>0.56298611111111108</v>
      </c>
      <c r="G714" s="54">
        <v>0.56331018518518516</v>
      </c>
      <c r="H714" s="55"/>
      <c r="I714" s="55"/>
      <c r="J714" s="54">
        <v>0.58416666666666661</v>
      </c>
      <c r="K714" s="56"/>
      <c r="L714" s="57"/>
    </row>
    <row r="715" spans="5:12" x14ac:dyDescent="0.25">
      <c r="E715" s="58"/>
      <c r="F715" s="59">
        <v>0.56339120370370377</v>
      </c>
      <c r="G715" s="60">
        <v>0.56396990740740738</v>
      </c>
      <c r="H715" s="61"/>
      <c r="I715" s="61"/>
      <c r="J715" s="59">
        <v>0.57505787037037037</v>
      </c>
      <c r="K715" s="61"/>
      <c r="L715" s="62"/>
    </row>
    <row r="716" spans="5:12" x14ac:dyDescent="0.25">
      <c r="E716" s="53"/>
      <c r="F716" s="54">
        <v>0.56384259259259262</v>
      </c>
      <c r="G716" s="54">
        <v>0.5642476851851852</v>
      </c>
      <c r="H716" s="55"/>
      <c r="I716" s="55"/>
      <c r="J716" s="54">
        <v>0.58202546296296298</v>
      </c>
      <c r="K716" s="56"/>
      <c r="L716" s="57"/>
    </row>
    <row r="717" spans="5:12" x14ac:dyDescent="0.25">
      <c r="E717" s="58"/>
      <c r="F717" s="59">
        <v>0.56420138888888893</v>
      </c>
      <c r="G717" s="60">
        <v>0.56460648148148151</v>
      </c>
      <c r="H717" s="61"/>
      <c r="I717" s="61"/>
      <c r="J717" s="59">
        <v>0.58638888888888896</v>
      </c>
      <c r="K717" s="61"/>
      <c r="L717" s="62"/>
    </row>
    <row r="718" spans="5:12" x14ac:dyDescent="0.25">
      <c r="E718" s="53"/>
      <c r="F718" s="54">
        <v>0.56464120370370374</v>
      </c>
      <c r="G718" s="54">
        <v>0.5650115740740741</v>
      </c>
      <c r="H718" s="55"/>
      <c r="I718" s="55"/>
      <c r="J718" s="54">
        <v>0.5730439814814815</v>
      </c>
      <c r="K718" s="56"/>
      <c r="L718" s="57"/>
    </row>
    <row r="719" spans="5:12" x14ac:dyDescent="0.25">
      <c r="E719" s="58"/>
      <c r="F719" s="59">
        <v>0.5649305555555556</v>
      </c>
      <c r="G719" s="60">
        <v>0.5652314814814815</v>
      </c>
      <c r="H719" s="61"/>
      <c r="I719" s="61"/>
      <c r="J719" s="59">
        <v>0.58164351851851859</v>
      </c>
      <c r="K719" s="61"/>
      <c r="L719" s="62"/>
    </row>
    <row r="720" spans="5:12" x14ac:dyDescent="0.25">
      <c r="E720" s="53"/>
      <c r="F720" s="54">
        <v>0.56541666666666668</v>
      </c>
      <c r="G720" s="54">
        <v>0.56570601851851854</v>
      </c>
      <c r="H720" s="55"/>
      <c r="I720" s="55"/>
      <c r="J720" s="54">
        <v>0.58018518518518525</v>
      </c>
      <c r="K720" s="56"/>
      <c r="L720" s="57"/>
    </row>
    <row r="721" spans="5:12" x14ac:dyDescent="0.25">
      <c r="E721" s="58"/>
      <c r="F721" s="59">
        <v>0.56578703703703703</v>
      </c>
      <c r="G721" s="60">
        <v>0.56616898148148154</v>
      </c>
      <c r="H721" s="61"/>
      <c r="I721" s="61"/>
      <c r="J721" s="59">
        <v>0.57700231481481479</v>
      </c>
      <c r="K721" s="61"/>
      <c r="L721" s="62"/>
    </row>
    <row r="722" spans="5:12" x14ac:dyDescent="0.25">
      <c r="E722" s="53"/>
      <c r="F722" s="54">
        <v>0.5661342592592592</v>
      </c>
      <c r="G722" s="54">
        <v>0.56660879629629635</v>
      </c>
      <c r="H722" s="55"/>
      <c r="I722" s="55"/>
      <c r="J722" s="54">
        <v>0.5881481481481482</v>
      </c>
      <c r="K722" s="56"/>
      <c r="L722" s="57"/>
    </row>
    <row r="723" spans="5:12" x14ac:dyDescent="0.25">
      <c r="E723" s="58"/>
      <c r="F723" s="59">
        <v>0.5665972222222222</v>
      </c>
      <c r="G723" s="60">
        <v>0.56690972222222225</v>
      </c>
      <c r="H723" s="61"/>
      <c r="I723" s="61"/>
      <c r="J723" s="59">
        <v>0.5875231481481481</v>
      </c>
      <c r="K723" s="61"/>
      <c r="L723" s="62"/>
    </row>
    <row r="724" spans="5:12" x14ac:dyDescent="0.25">
      <c r="E724" s="53"/>
      <c r="F724" s="54">
        <v>0.56707175925925923</v>
      </c>
      <c r="G724" s="54">
        <v>0.56744212962962959</v>
      </c>
      <c r="H724" s="55"/>
      <c r="I724" s="55"/>
      <c r="J724" s="54">
        <v>0.58572916666666663</v>
      </c>
      <c r="K724" s="56"/>
      <c r="L724" s="57"/>
    </row>
    <row r="725" spans="5:12" x14ac:dyDescent="0.25">
      <c r="E725" s="58"/>
      <c r="F725" s="59">
        <v>0.56730324074074068</v>
      </c>
      <c r="G725" s="60">
        <v>0.56751157407407404</v>
      </c>
      <c r="H725" s="61"/>
      <c r="I725" s="61"/>
      <c r="J725" s="59">
        <v>0.58853009259259259</v>
      </c>
      <c r="K725" s="61"/>
      <c r="L725" s="62"/>
    </row>
    <row r="726" spans="5:12" x14ac:dyDescent="0.25">
      <c r="E726" s="53"/>
      <c r="F726" s="54">
        <v>0.56761574074074073</v>
      </c>
      <c r="G726" s="54">
        <v>0.56781249999999994</v>
      </c>
      <c r="H726" s="55"/>
      <c r="I726" s="55"/>
      <c r="J726" s="54">
        <v>0.58781249999999996</v>
      </c>
      <c r="K726" s="56"/>
      <c r="L726" s="57"/>
    </row>
    <row r="727" spans="5:12" x14ac:dyDescent="0.25">
      <c r="E727" s="58"/>
      <c r="F727" s="59">
        <v>0.56777777777777783</v>
      </c>
      <c r="G727" s="60">
        <v>0.56839120370370366</v>
      </c>
      <c r="H727" s="61"/>
      <c r="I727" s="61"/>
      <c r="J727" s="59">
        <v>0.58766203703703701</v>
      </c>
      <c r="K727" s="61"/>
      <c r="L727" s="62"/>
    </row>
    <row r="728" spans="5:12" x14ac:dyDescent="0.25">
      <c r="E728" s="53"/>
      <c r="F728" s="54">
        <v>0.56821759259259264</v>
      </c>
      <c r="G728" s="54">
        <v>0.56854166666666661</v>
      </c>
      <c r="H728" s="55"/>
      <c r="I728" s="55"/>
      <c r="J728" s="54">
        <v>0.58364583333333331</v>
      </c>
      <c r="K728" s="56"/>
      <c r="L728" s="57"/>
    </row>
    <row r="729" spans="5:12" x14ac:dyDescent="0.25">
      <c r="E729" s="58"/>
      <c r="F729" s="59">
        <v>0.56848379629629631</v>
      </c>
      <c r="G729" s="60">
        <v>0.56873842592592594</v>
      </c>
      <c r="H729" s="61"/>
      <c r="I729" s="61"/>
      <c r="J729" s="59">
        <v>0.58918981481481481</v>
      </c>
      <c r="K729" s="61"/>
      <c r="L729" s="62"/>
    </row>
    <row r="730" spans="5:12" x14ac:dyDescent="0.25">
      <c r="E730" s="53"/>
      <c r="F730" s="54">
        <v>0.56873842592592594</v>
      </c>
      <c r="G730" s="54">
        <v>0.56910879629629629</v>
      </c>
      <c r="H730" s="55"/>
      <c r="I730" s="55"/>
      <c r="J730" s="54">
        <v>0.58681712962962962</v>
      </c>
      <c r="K730" s="56"/>
      <c r="L730" s="57"/>
    </row>
    <row r="731" spans="5:12" x14ac:dyDescent="0.25">
      <c r="E731" s="58"/>
      <c r="F731" s="59">
        <v>0.56905092592592588</v>
      </c>
      <c r="G731" s="60">
        <v>0.56945601851851857</v>
      </c>
      <c r="H731" s="61"/>
      <c r="I731" s="61"/>
      <c r="J731" s="59">
        <v>0.58739583333333334</v>
      </c>
      <c r="K731" s="61"/>
      <c r="L731" s="62"/>
    </row>
    <row r="732" spans="5:12" x14ac:dyDescent="0.25">
      <c r="E732" s="53"/>
      <c r="F732" s="54">
        <v>0.56937499999999996</v>
      </c>
      <c r="G732" s="54">
        <v>0.56942129629629623</v>
      </c>
      <c r="H732" s="55"/>
      <c r="I732" s="55"/>
      <c r="J732" s="54">
        <v>0.59493055555555552</v>
      </c>
      <c r="K732" s="56"/>
      <c r="L732" s="57"/>
    </row>
    <row r="733" spans="5:12" x14ac:dyDescent="0.25">
      <c r="E733" s="58"/>
      <c r="F733" s="59">
        <v>0.56946759259259261</v>
      </c>
      <c r="G733" s="60">
        <v>0.5699305555555555</v>
      </c>
      <c r="H733" s="61"/>
      <c r="I733" s="61"/>
      <c r="J733" s="59">
        <v>0.58209490740740744</v>
      </c>
      <c r="K733" s="61"/>
      <c r="L733" s="62"/>
    </row>
    <row r="734" spans="5:12" x14ac:dyDescent="0.25">
      <c r="E734" s="53"/>
      <c r="F734" s="54">
        <v>0.56966435185185182</v>
      </c>
      <c r="G734" s="54">
        <v>0.57024305555555554</v>
      </c>
      <c r="H734" s="55"/>
      <c r="I734" s="55"/>
      <c r="J734" s="54">
        <v>0.58493055555555562</v>
      </c>
      <c r="K734" s="56"/>
      <c r="L734" s="57"/>
    </row>
    <row r="735" spans="5:12" x14ac:dyDescent="0.25">
      <c r="E735" s="58"/>
      <c r="F735" s="59">
        <v>0.57010416666666663</v>
      </c>
      <c r="G735" s="60">
        <v>0.5704745370370371</v>
      </c>
      <c r="H735" s="61"/>
      <c r="I735" s="61"/>
      <c r="J735" s="59">
        <v>0.58327546296296295</v>
      </c>
      <c r="K735" s="61"/>
      <c r="L735" s="62"/>
    </row>
    <row r="736" spans="5:12" x14ac:dyDescent="0.25">
      <c r="E736" s="53"/>
      <c r="F736" s="54">
        <v>0.57037037037037031</v>
      </c>
      <c r="G736" s="54">
        <v>0.57087962962962957</v>
      </c>
      <c r="H736" s="55"/>
      <c r="I736" s="55"/>
      <c r="J736" s="54">
        <v>0.58394675925925921</v>
      </c>
      <c r="K736" s="56"/>
      <c r="L736" s="57"/>
    </row>
    <row r="737" spans="5:12" x14ac:dyDescent="0.25">
      <c r="E737" s="58"/>
      <c r="F737" s="59">
        <v>0.57057870370370367</v>
      </c>
      <c r="G737" s="60">
        <v>0.57091435185185191</v>
      </c>
      <c r="H737" s="61"/>
      <c r="I737" s="61"/>
      <c r="J737" s="59">
        <v>0.59726851851851859</v>
      </c>
      <c r="K737" s="61"/>
      <c r="L737" s="62"/>
    </row>
    <row r="738" spans="5:12" x14ac:dyDescent="0.25">
      <c r="E738" s="53"/>
      <c r="F738" s="54">
        <v>0.57101851851851848</v>
      </c>
      <c r="G738" s="54">
        <v>0.57152777777777775</v>
      </c>
      <c r="H738" s="55"/>
      <c r="I738" s="55"/>
      <c r="J738" s="54">
        <v>0.59270833333333328</v>
      </c>
      <c r="K738" s="56"/>
      <c r="L738" s="57"/>
    </row>
    <row r="739" spans="5:12" x14ac:dyDescent="0.25">
      <c r="E739" s="58"/>
      <c r="F739" s="59">
        <v>0.57113425925925931</v>
      </c>
      <c r="G739" s="60">
        <v>0.57138888888888884</v>
      </c>
      <c r="H739" s="61"/>
      <c r="I739" s="61"/>
      <c r="J739" s="59">
        <v>0.59370370370370373</v>
      </c>
      <c r="K739" s="61"/>
      <c r="L739" s="62"/>
    </row>
    <row r="740" spans="5:12" x14ac:dyDescent="0.25">
      <c r="E740" s="53"/>
      <c r="F740" s="54">
        <v>0.57145833333333329</v>
      </c>
      <c r="G740" s="54">
        <v>0.57186342592592598</v>
      </c>
      <c r="H740" s="55"/>
      <c r="I740" s="55"/>
      <c r="J740" s="54">
        <v>0.57881944444444444</v>
      </c>
      <c r="K740" s="56"/>
      <c r="L740" s="57"/>
    </row>
    <row r="741" spans="5:12" x14ac:dyDescent="0.25">
      <c r="E741" s="58"/>
      <c r="F741" s="59">
        <v>0.57162037037037039</v>
      </c>
      <c r="G741" s="60">
        <v>0.57185185185185183</v>
      </c>
      <c r="H741" s="61"/>
      <c r="I741" s="61"/>
      <c r="J741" s="59">
        <v>0.5779050925925926</v>
      </c>
      <c r="K741" s="61"/>
      <c r="L741" s="62"/>
    </row>
    <row r="742" spans="5:12" x14ac:dyDescent="0.25">
      <c r="E742" s="53"/>
      <c r="F742" s="54">
        <v>0.5720601851851852</v>
      </c>
      <c r="G742" s="54">
        <v>0.5724421296296297</v>
      </c>
      <c r="H742" s="55"/>
      <c r="I742" s="55"/>
      <c r="J742" s="54">
        <v>0.58524305555555556</v>
      </c>
      <c r="K742" s="56"/>
      <c r="L742" s="57"/>
    </row>
    <row r="743" spans="5:12" x14ac:dyDescent="0.25">
      <c r="E743" s="58"/>
      <c r="F743" s="59">
        <v>0.57259259259259265</v>
      </c>
      <c r="G743" s="60">
        <v>0.57296296296296301</v>
      </c>
      <c r="H743" s="61"/>
      <c r="I743" s="61"/>
      <c r="J743" s="59">
        <v>0.58159722222222221</v>
      </c>
      <c r="K743" s="61"/>
      <c r="L743" s="62"/>
    </row>
    <row r="744" spans="5:12" x14ac:dyDescent="0.25">
      <c r="E744" s="53"/>
      <c r="F744" s="54">
        <v>0.57287037037037036</v>
      </c>
      <c r="G744" s="54">
        <v>0.57305555555555554</v>
      </c>
      <c r="H744" s="55"/>
      <c r="I744" s="55"/>
      <c r="J744" s="54">
        <v>0.58935185185185179</v>
      </c>
      <c r="K744" s="56"/>
      <c r="L744" s="57"/>
    </row>
    <row r="745" spans="5:12" x14ac:dyDescent="0.25">
      <c r="E745" s="58"/>
      <c r="F745" s="59">
        <v>0.57335648148148144</v>
      </c>
      <c r="G745" s="60">
        <v>0.5738657407407407</v>
      </c>
      <c r="H745" s="61"/>
      <c r="I745" s="61"/>
      <c r="J745" s="59">
        <v>0.59356481481481482</v>
      </c>
      <c r="K745" s="61"/>
      <c r="L745" s="62"/>
    </row>
    <row r="746" spans="5:12" x14ac:dyDescent="0.25">
      <c r="E746" s="53"/>
      <c r="F746" s="54">
        <v>0.57347222222222227</v>
      </c>
      <c r="G746" s="54">
        <v>0.57388888888888889</v>
      </c>
      <c r="H746" s="55"/>
      <c r="I746" s="55"/>
      <c r="J746" s="54">
        <v>0.5939699074074074</v>
      </c>
      <c r="K746" s="56"/>
      <c r="L746" s="57"/>
    </row>
    <row r="747" spans="5:12" x14ac:dyDescent="0.25">
      <c r="E747" s="58"/>
      <c r="F747" s="59">
        <v>0.57363425925925926</v>
      </c>
      <c r="G747" s="60">
        <v>0.57391203703703708</v>
      </c>
      <c r="H747" s="61"/>
      <c r="I747" s="61"/>
      <c r="J747" s="59">
        <v>0.5935300925925926</v>
      </c>
      <c r="K747" s="61"/>
      <c r="L747" s="62"/>
    </row>
    <row r="748" spans="5:12" x14ac:dyDescent="0.25">
      <c r="E748" s="53"/>
      <c r="F748" s="54">
        <v>0.57378472222222221</v>
      </c>
      <c r="G748" s="54">
        <v>0.5741087962962963</v>
      </c>
      <c r="H748" s="55"/>
      <c r="I748" s="55"/>
      <c r="J748" s="54">
        <v>0.59372685185185181</v>
      </c>
      <c r="K748" s="56"/>
      <c r="L748" s="57"/>
    </row>
    <row r="749" spans="5:12" x14ac:dyDescent="0.25">
      <c r="E749" s="58"/>
      <c r="F749" s="59">
        <v>0.57421296296296298</v>
      </c>
      <c r="G749" s="60">
        <v>0.57453703703703707</v>
      </c>
      <c r="H749" s="61"/>
      <c r="I749" s="61"/>
      <c r="J749" s="59">
        <v>0.58284722222222218</v>
      </c>
      <c r="K749" s="61"/>
      <c r="L749" s="62"/>
    </row>
    <row r="750" spans="5:12" x14ac:dyDescent="0.25">
      <c r="E750" s="53"/>
      <c r="F750" s="54">
        <v>0.5744907407407408</v>
      </c>
      <c r="G750" s="54">
        <v>0.57488425925925923</v>
      </c>
      <c r="H750" s="55"/>
      <c r="I750" s="55"/>
      <c r="J750" s="54">
        <v>0.58998842592592593</v>
      </c>
      <c r="K750" s="56"/>
      <c r="L750" s="57"/>
    </row>
    <row r="751" spans="5:12" x14ac:dyDescent="0.25">
      <c r="E751" s="58"/>
      <c r="F751" s="59">
        <v>0.57459490740740737</v>
      </c>
      <c r="G751" s="60">
        <v>0.57496527777777773</v>
      </c>
      <c r="H751" s="61"/>
      <c r="I751" s="61"/>
      <c r="J751" s="59">
        <v>0.58842592592592591</v>
      </c>
      <c r="K751" s="61"/>
      <c r="L751" s="62"/>
    </row>
    <row r="752" spans="5:12" x14ac:dyDescent="0.25">
      <c r="E752" s="53"/>
      <c r="F752" s="54">
        <v>0.5747916666666667</v>
      </c>
      <c r="G752" s="54">
        <v>0.57496527777777773</v>
      </c>
      <c r="H752" s="55"/>
      <c r="I752" s="55"/>
      <c r="J752" s="54">
        <v>0.58811342592592586</v>
      </c>
      <c r="K752" s="56"/>
      <c r="L752" s="57"/>
    </row>
    <row r="753" spans="5:12" x14ac:dyDescent="0.25">
      <c r="E753" s="58"/>
      <c r="F753" s="59">
        <v>0.57506944444444441</v>
      </c>
      <c r="G753" s="60">
        <v>0.57534722222222223</v>
      </c>
      <c r="H753" s="61"/>
      <c r="I753" s="61"/>
      <c r="J753" s="59">
        <v>0.58901620370370367</v>
      </c>
      <c r="K753" s="61"/>
      <c r="L753" s="62"/>
    </row>
    <row r="754" spans="5:12" x14ac:dyDescent="0.25">
      <c r="E754" s="53"/>
      <c r="F754" s="54">
        <v>0.57547453703703699</v>
      </c>
      <c r="G754" s="54">
        <v>0.57571759259259259</v>
      </c>
      <c r="H754" s="55"/>
      <c r="I754" s="55"/>
      <c r="J754" s="54">
        <v>0.58511574074074069</v>
      </c>
      <c r="K754" s="56"/>
      <c r="L754" s="57"/>
    </row>
    <row r="755" spans="5:12" x14ac:dyDescent="0.25">
      <c r="E755" s="58"/>
      <c r="F755" s="59">
        <v>0.57568287037037036</v>
      </c>
      <c r="G755" s="60">
        <v>0.57605324074074071</v>
      </c>
      <c r="H755" s="61"/>
      <c r="I755" s="61"/>
      <c r="J755" s="59">
        <v>0.5851736111111111</v>
      </c>
      <c r="K755" s="61"/>
      <c r="L755" s="62"/>
    </row>
    <row r="756" spans="5:12" x14ac:dyDescent="0.25">
      <c r="E756" s="53"/>
      <c r="F756" s="54">
        <v>0.57582175925925927</v>
      </c>
      <c r="G756" s="54">
        <v>0.57612268518518517</v>
      </c>
      <c r="H756" s="55"/>
      <c r="I756" s="55"/>
      <c r="J756" s="54">
        <v>0.5944328703703704</v>
      </c>
      <c r="K756" s="56"/>
      <c r="L756" s="57"/>
    </row>
    <row r="757" spans="5:12" x14ac:dyDescent="0.25">
      <c r="E757" s="58"/>
      <c r="F757" s="59">
        <v>0.57609953703703709</v>
      </c>
      <c r="G757" s="60">
        <v>0.57636574074074076</v>
      </c>
      <c r="H757" s="61"/>
      <c r="I757" s="61"/>
      <c r="J757" s="59">
        <v>0.59679398148148144</v>
      </c>
      <c r="K757" s="61"/>
      <c r="L757" s="62"/>
    </row>
    <row r="758" spans="5:12" x14ac:dyDescent="0.25">
      <c r="E758" s="53"/>
      <c r="F758" s="54">
        <v>0.57644675925925926</v>
      </c>
      <c r="G758" s="54">
        <v>0.57681712962962961</v>
      </c>
      <c r="H758" s="55"/>
      <c r="I758" s="55"/>
      <c r="J758" s="54">
        <v>0.59502314814814816</v>
      </c>
      <c r="K758" s="56"/>
      <c r="L758" s="57"/>
    </row>
    <row r="759" spans="5:12" x14ac:dyDescent="0.25">
      <c r="E759" s="58"/>
      <c r="F759" s="59">
        <v>0.57694444444444437</v>
      </c>
      <c r="G759" s="60">
        <v>0.57733796296296302</v>
      </c>
      <c r="H759" s="61"/>
      <c r="I759" s="61"/>
      <c r="J759" s="59">
        <v>0.59127314814814813</v>
      </c>
      <c r="K759" s="61"/>
      <c r="L759" s="62"/>
    </row>
    <row r="760" spans="5:12" x14ac:dyDescent="0.25">
      <c r="E760" s="53"/>
      <c r="F760" s="54">
        <v>0.57737268518518514</v>
      </c>
      <c r="G760" s="54">
        <v>0.57776620370370368</v>
      </c>
      <c r="H760" s="55"/>
      <c r="I760" s="55"/>
      <c r="J760" s="54">
        <v>0.60064814814814815</v>
      </c>
      <c r="K760" s="56"/>
      <c r="L760" s="57"/>
    </row>
    <row r="761" spans="5:12" x14ac:dyDescent="0.25">
      <c r="E761" s="58"/>
      <c r="F761" s="59">
        <v>0.57783564814814814</v>
      </c>
      <c r="G761" s="60">
        <v>0.578125</v>
      </c>
      <c r="H761" s="61"/>
      <c r="I761" s="61"/>
      <c r="J761" s="59">
        <v>0.59561342592592592</v>
      </c>
      <c r="K761" s="61"/>
      <c r="L761" s="62"/>
    </row>
    <row r="762" spans="5:12" x14ac:dyDescent="0.25">
      <c r="E762" s="53"/>
      <c r="F762" s="54">
        <v>0.57802083333333332</v>
      </c>
      <c r="G762" s="54">
        <v>0.57821759259259264</v>
      </c>
      <c r="H762" s="55"/>
      <c r="I762" s="55"/>
      <c r="J762" s="54">
        <v>0.59986111111111107</v>
      </c>
      <c r="K762" s="56"/>
      <c r="L762" s="57"/>
    </row>
    <row r="763" spans="5:12" x14ac:dyDescent="0.25">
      <c r="E763" s="58"/>
      <c r="F763" s="59">
        <v>0.57831018518518518</v>
      </c>
      <c r="G763" s="60">
        <v>0.57865740740740745</v>
      </c>
      <c r="H763" s="61"/>
      <c r="I763" s="61"/>
      <c r="J763" s="59">
        <v>0.59478009259259257</v>
      </c>
      <c r="K763" s="61"/>
      <c r="L763" s="62"/>
    </row>
    <row r="764" spans="5:12" x14ac:dyDescent="0.25">
      <c r="E764" s="53"/>
      <c r="F764" s="54">
        <v>0.57871527777777776</v>
      </c>
      <c r="G764" s="54">
        <v>0.57886574074074071</v>
      </c>
      <c r="H764" s="55"/>
      <c r="I764" s="55"/>
      <c r="J764" s="54">
        <v>0.60248842592592589</v>
      </c>
      <c r="K764" s="56"/>
      <c r="L764" s="57"/>
    </row>
    <row r="765" spans="5:12" x14ac:dyDescent="0.25">
      <c r="E765" s="58"/>
      <c r="F765" s="59">
        <v>0.57921296296296299</v>
      </c>
      <c r="G765" s="60">
        <v>0.57972222222222225</v>
      </c>
      <c r="H765" s="61"/>
      <c r="I765" s="61"/>
      <c r="J765" s="59">
        <v>0.59263888888888883</v>
      </c>
      <c r="K765" s="61"/>
      <c r="L765" s="62"/>
    </row>
    <row r="766" spans="5:12" x14ac:dyDescent="0.25">
      <c r="E766" s="53"/>
      <c r="F766" s="54">
        <v>0.57939814814814816</v>
      </c>
      <c r="G766" s="54">
        <v>0.57980324074074074</v>
      </c>
      <c r="H766" s="55"/>
      <c r="I766" s="55"/>
      <c r="J766" s="54">
        <v>0.59292824074074069</v>
      </c>
      <c r="K766" s="56"/>
      <c r="L766" s="57"/>
    </row>
    <row r="767" spans="5:12" x14ac:dyDescent="0.25">
      <c r="E767" s="58"/>
      <c r="F767" s="59">
        <v>0.5797106481481481</v>
      </c>
      <c r="G767" s="60">
        <v>0.58021990740740736</v>
      </c>
      <c r="H767" s="61"/>
      <c r="I767" s="61"/>
      <c r="J767" s="59">
        <v>0.6010416666666667</v>
      </c>
      <c r="K767" s="61"/>
      <c r="L767" s="62"/>
    </row>
    <row r="768" spans="5:12" x14ac:dyDescent="0.25">
      <c r="E768" s="53"/>
      <c r="F768" s="54">
        <v>0.58010416666666664</v>
      </c>
      <c r="G768" s="54">
        <v>0.58070601851851855</v>
      </c>
      <c r="H768" s="55"/>
      <c r="I768" s="55"/>
      <c r="J768" s="54">
        <v>0.59879629629629627</v>
      </c>
      <c r="K768" s="56"/>
      <c r="L768" s="57"/>
    </row>
    <row r="769" spans="5:12" x14ac:dyDescent="0.25">
      <c r="E769" s="58"/>
      <c r="F769" s="59">
        <v>0.5803935185185185</v>
      </c>
      <c r="G769" s="60">
        <v>0.58062500000000006</v>
      </c>
      <c r="H769" s="61"/>
      <c r="I769" s="61"/>
      <c r="J769" s="59">
        <v>0.60251157407407407</v>
      </c>
      <c r="K769" s="61"/>
      <c r="L769" s="62"/>
    </row>
    <row r="770" spans="5:12" x14ac:dyDescent="0.25">
      <c r="E770" s="53"/>
      <c r="F770" s="54">
        <v>0.58064814814814814</v>
      </c>
      <c r="G770" s="54">
        <v>0.58118055555555559</v>
      </c>
      <c r="H770" s="55"/>
      <c r="I770" s="55"/>
      <c r="J770" s="54">
        <v>0.60196759259259258</v>
      </c>
      <c r="K770" s="56"/>
      <c r="L770" s="57"/>
    </row>
    <row r="771" spans="5:12" x14ac:dyDescent="0.25">
      <c r="E771" s="58"/>
      <c r="F771" s="59">
        <v>0.58094907407407403</v>
      </c>
      <c r="G771" s="60">
        <v>0.58126157407407408</v>
      </c>
      <c r="H771" s="61"/>
      <c r="I771" s="61"/>
      <c r="J771" s="59">
        <v>0.60003472222222221</v>
      </c>
      <c r="K771" s="61"/>
      <c r="L771" s="62"/>
    </row>
    <row r="772" spans="5:12" x14ac:dyDescent="0.25">
      <c r="E772" s="53"/>
      <c r="F772" s="54">
        <v>0.58113425925925932</v>
      </c>
      <c r="G772" s="54">
        <v>0.58159722222222221</v>
      </c>
      <c r="H772" s="55"/>
      <c r="I772" s="55"/>
      <c r="J772" s="54">
        <v>0.60317129629629629</v>
      </c>
      <c r="K772" s="56"/>
      <c r="L772" s="57"/>
    </row>
    <row r="773" spans="5:12" x14ac:dyDescent="0.25">
      <c r="E773" s="58"/>
      <c r="F773" s="59">
        <v>0.58160879629629625</v>
      </c>
      <c r="G773" s="60">
        <v>0.58190972222222226</v>
      </c>
      <c r="H773" s="61"/>
      <c r="I773" s="61"/>
      <c r="J773" s="59">
        <v>0.59646990740740746</v>
      </c>
      <c r="K773" s="61"/>
      <c r="L773" s="62"/>
    </row>
    <row r="774" spans="5:12" x14ac:dyDescent="0.25">
      <c r="E774" s="53"/>
      <c r="F774" s="54">
        <v>0.58210648148148147</v>
      </c>
      <c r="G774" s="54">
        <v>0.58234953703703707</v>
      </c>
      <c r="H774" s="55"/>
      <c r="I774" s="55"/>
      <c r="J774" s="54">
        <v>0.59531250000000002</v>
      </c>
      <c r="K774" s="56"/>
      <c r="L774" s="57"/>
    </row>
    <row r="775" spans="5:12" x14ac:dyDescent="0.25">
      <c r="E775" s="58"/>
      <c r="F775" s="59">
        <v>0.58239583333333333</v>
      </c>
      <c r="G775" s="60">
        <v>0.58289351851851856</v>
      </c>
      <c r="H775" s="61"/>
      <c r="I775" s="61"/>
      <c r="J775" s="59">
        <v>0.59996527777777775</v>
      </c>
      <c r="K775" s="61"/>
      <c r="L775" s="62"/>
    </row>
    <row r="776" spans="5:12" x14ac:dyDescent="0.25">
      <c r="E776" s="53"/>
      <c r="F776" s="54">
        <v>0.58281250000000007</v>
      </c>
      <c r="G776" s="54">
        <v>0.5832060185185185</v>
      </c>
      <c r="H776" s="55"/>
      <c r="I776" s="55"/>
      <c r="J776" s="54">
        <v>0.60332175925925924</v>
      </c>
      <c r="K776" s="56"/>
      <c r="L776" s="57"/>
    </row>
    <row r="777" spans="5:12" x14ac:dyDescent="0.25">
      <c r="E777" s="58"/>
      <c r="F777" s="59">
        <v>0.58331018518518518</v>
      </c>
      <c r="G777" s="60">
        <v>0.5835069444444444</v>
      </c>
      <c r="H777" s="61"/>
      <c r="I777" s="61"/>
      <c r="J777" s="59">
        <v>0.59627314814814814</v>
      </c>
      <c r="K777" s="61"/>
      <c r="L777" s="62"/>
    </row>
    <row r="778" spans="5:12" x14ac:dyDescent="0.25">
      <c r="E778" s="53"/>
      <c r="F778" s="54">
        <v>0.58354166666666674</v>
      </c>
      <c r="G778" s="54">
        <v>0.5839699074074074</v>
      </c>
      <c r="H778" s="55"/>
      <c r="I778" s="55"/>
      <c r="J778" s="54">
        <v>0.60807870370370376</v>
      </c>
      <c r="K778" s="56"/>
      <c r="L778" s="57"/>
    </row>
    <row r="779" spans="5:12" x14ac:dyDescent="0.25">
      <c r="E779" s="58"/>
      <c r="F779" s="59">
        <v>0.58378472222222222</v>
      </c>
      <c r="G779" s="60">
        <v>0.58409722222222216</v>
      </c>
      <c r="H779" s="61"/>
      <c r="I779" s="61"/>
      <c r="J779" s="59">
        <v>0.60259259259259257</v>
      </c>
      <c r="K779" s="61"/>
      <c r="L779" s="62"/>
    </row>
    <row r="780" spans="5:12" x14ac:dyDescent="0.25">
      <c r="E780" s="53"/>
      <c r="F780" s="54">
        <v>0.58410879629629631</v>
      </c>
      <c r="G780" s="54">
        <v>0.58450231481481485</v>
      </c>
      <c r="H780" s="55"/>
      <c r="I780" s="55"/>
      <c r="J780" s="54">
        <v>0.60412037037037036</v>
      </c>
      <c r="K780" s="56"/>
      <c r="L780" s="57"/>
    </row>
    <row r="781" spans="5:12" x14ac:dyDescent="0.25">
      <c r="E781" s="58"/>
      <c r="F781" s="59">
        <v>0.58428240740740744</v>
      </c>
      <c r="G781" s="60">
        <v>0.58460648148148142</v>
      </c>
      <c r="H781" s="61"/>
      <c r="I781" s="61"/>
      <c r="J781" s="59">
        <v>0.59833333333333327</v>
      </c>
      <c r="K781" s="61"/>
      <c r="L781" s="62"/>
    </row>
    <row r="782" spans="5:12" x14ac:dyDescent="0.25">
      <c r="E782" s="53"/>
      <c r="F782" s="54">
        <v>0.58460648148148142</v>
      </c>
      <c r="G782" s="54">
        <v>0.58510416666666665</v>
      </c>
      <c r="H782" s="55"/>
      <c r="I782" s="55"/>
      <c r="J782" s="54">
        <v>0.61002314814814818</v>
      </c>
      <c r="K782" s="56"/>
      <c r="L782" s="57"/>
    </row>
    <row r="783" spans="5:12" x14ac:dyDescent="0.25">
      <c r="E783" s="58"/>
      <c r="F783" s="59">
        <v>0.5849537037037037</v>
      </c>
      <c r="G783" s="60">
        <v>0.58543981481481489</v>
      </c>
      <c r="H783" s="61"/>
      <c r="I783" s="61"/>
      <c r="J783" s="59">
        <v>0.60302083333333334</v>
      </c>
      <c r="K783" s="61"/>
      <c r="L783" s="62"/>
    </row>
    <row r="784" spans="5:12" x14ac:dyDescent="0.25">
      <c r="E784" s="53"/>
      <c r="F784" s="54">
        <v>0.58535879629629628</v>
      </c>
      <c r="G784" s="54">
        <v>0.58560185185185187</v>
      </c>
      <c r="H784" s="55"/>
      <c r="I784" s="55"/>
      <c r="J784" s="54">
        <v>0.60137731481481482</v>
      </c>
      <c r="K784" s="56"/>
      <c r="L784" s="57"/>
    </row>
    <row r="785" spans="5:12" x14ac:dyDescent="0.25">
      <c r="E785" s="58"/>
      <c r="F785" s="59">
        <v>0.58559027777777783</v>
      </c>
      <c r="G785" s="60">
        <v>0.5861574074074074</v>
      </c>
      <c r="H785" s="61"/>
      <c r="I785" s="61"/>
      <c r="J785" s="59">
        <v>0.60841435185185189</v>
      </c>
      <c r="K785" s="61"/>
      <c r="L785" s="62"/>
    </row>
    <row r="786" spans="5:12" x14ac:dyDescent="0.25">
      <c r="E786" s="53"/>
      <c r="F786" s="54">
        <v>0.58564814814814814</v>
      </c>
      <c r="G786" s="54">
        <v>0.58611111111111114</v>
      </c>
      <c r="H786" s="55"/>
      <c r="I786" s="55"/>
      <c r="J786" s="54">
        <v>0.60467592592592589</v>
      </c>
      <c r="K786" s="56"/>
      <c r="L786" s="57"/>
    </row>
    <row r="787" spans="5:12" x14ac:dyDescent="0.25">
      <c r="E787" s="58"/>
      <c r="F787" s="59">
        <v>0.58611111111111114</v>
      </c>
      <c r="G787" s="60">
        <v>0.58651620370370372</v>
      </c>
      <c r="H787" s="61"/>
      <c r="I787" s="61"/>
      <c r="J787" s="59">
        <v>0.61175925925925922</v>
      </c>
      <c r="K787" s="61"/>
      <c r="L787" s="62"/>
    </row>
    <row r="788" spans="5:12" x14ac:dyDescent="0.25">
      <c r="E788" s="53"/>
      <c r="F788" s="54">
        <v>0.58653935185185191</v>
      </c>
      <c r="G788" s="54">
        <v>0.58678240740740739</v>
      </c>
      <c r="H788" s="55"/>
      <c r="I788" s="55"/>
      <c r="J788" s="54">
        <v>0.60226851851851848</v>
      </c>
      <c r="K788" s="56"/>
      <c r="L788" s="57"/>
    </row>
    <row r="789" spans="5:12" x14ac:dyDescent="0.25">
      <c r="E789" s="58"/>
      <c r="F789" s="59">
        <v>0.58678240740740739</v>
      </c>
      <c r="G789" s="60">
        <v>0.58726851851851858</v>
      </c>
      <c r="H789" s="61"/>
      <c r="I789" s="61"/>
      <c r="J789" s="59">
        <v>0.60628472222222218</v>
      </c>
      <c r="K789" s="61"/>
      <c r="L789" s="62"/>
    </row>
    <row r="790" spans="5:12" x14ac:dyDescent="0.25">
      <c r="E790" s="53"/>
      <c r="F790" s="54">
        <v>0.58697916666666672</v>
      </c>
      <c r="G790" s="54">
        <v>0.58732638888888888</v>
      </c>
      <c r="H790" s="55"/>
      <c r="I790" s="55"/>
      <c r="J790" s="54">
        <v>0.60851851851851857</v>
      </c>
      <c r="K790" s="56"/>
      <c r="L790" s="57"/>
    </row>
    <row r="791" spans="5:12" x14ac:dyDescent="0.25">
      <c r="E791" s="58"/>
      <c r="F791" s="59">
        <v>0.5872222222222222</v>
      </c>
      <c r="G791" s="60">
        <v>0.58751157407407406</v>
      </c>
      <c r="H791" s="61"/>
      <c r="I791" s="61"/>
      <c r="J791" s="59">
        <v>0.61229166666666668</v>
      </c>
      <c r="K791" s="61"/>
      <c r="L791" s="62"/>
    </row>
    <row r="792" spans="5:12" x14ac:dyDescent="0.25">
      <c r="E792" s="53"/>
      <c r="F792" s="54">
        <v>0.58756944444444448</v>
      </c>
      <c r="G792" s="54">
        <v>0.58807870370370374</v>
      </c>
      <c r="H792" s="55"/>
      <c r="I792" s="55"/>
      <c r="J792" s="54">
        <v>0.60236111111111112</v>
      </c>
      <c r="K792" s="56"/>
      <c r="L792" s="57"/>
    </row>
    <row r="793" spans="5:12" x14ac:dyDescent="0.25">
      <c r="E793" s="58"/>
      <c r="F793" s="59">
        <v>0.58791666666666664</v>
      </c>
      <c r="G793" s="60">
        <v>0.58839120370370368</v>
      </c>
      <c r="H793" s="61"/>
      <c r="I793" s="61"/>
      <c r="J793" s="59">
        <v>0.61383101851851851</v>
      </c>
      <c r="K793" s="61"/>
      <c r="L793" s="62"/>
    </row>
    <row r="794" spans="5:12" x14ac:dyDescent="0.25">
      <c r="E794" s="53"/>
      <c r="F794" s="54">
        <v>0.58833333333333326</v>
      </c>
      <c r="G794" s="54">
        <v>0.58881944444444445</v>
      </c>
      <c r="H794" s="55"/>
      <c r="I794" s="55"/>
      <c r="J794" s="54">
        <v>0.61575231481481485</v>
      </c>
      <c r="K794" s="56"/>
      <c r="L794" s="57"/>
    </row>
    <row r="795" spans="5:12" x14ac:dyDescent="0.25">
      <c r="E795" s="58"/>
      <c r="F795" s="59">
        <v>0.58862268518518512</v>
      </c>
      <c r="G795" s="60">
        <v>0.58899305555555559</v>
      </c>
      <c r="H795" s="61"/>
      <c r="I795" s="61"/>
      <c r="J795" s="59">
        <v>0.60625000000000007</v>
      </c>
      <c r="K795" s="61"/>
      <c r="L795" s="62"/>
    </row>
    <row r="796" spans="5:12" x14ac:dyDescent="0.25">
      <c r="E796" s="53"/>
      <c r="F796" s="54">
        <v>0.58899305555555559</v>
      </c>
      <c r="G796" s="54">
        <v>0.58950231481481474</v>
      </c>
      <c r="H796" s="55"/>
      <c r="I796" s="55"/>
      <c r="J796" s="54">
        <v>0.60098379629629628</v>
      </c>
      <c r="K796" s="56"/>
      <c r="L796" s="57"/>
    </row>
    <row r="797" spans="5:12" x14ac:dyDescent="0.25">
      <c r="E797" s="58"/>
      <c r="F797" s="59">
        <v>0.58940972222222221</v>
      </c>
      <c r="G797" s="60">
        <v>0.58981481481481479</v>
      </c>
      <c r="H797" s="61"/>
      <c r="I797" s="61"/>
      <c r="J797" s="59">
        <v>0.61601851851851852</v>
      </c>
      <c r="K797" s="61"/>
      <c r="L797" s="62"/>
    </row>
    <row r="798" spans="5:12" x14ac:dyDescent="0.25">
      <c r="E798" s="53"/>
      <c r="F798" s="54">
        <v>0.58978009259259256</v>
      </c>
      <c r="G798" s="54">
        <v>0.59015046296296292</v>
      </c>
      <c r="H798" s="55"/>
      <c r="I798" s="55"/>
      <c r="J798" s="54">
        <v>0.61708333333333332</v>
      </c>
      <c r="K798" s="56"/>
      <c r="L798" s="57"/>
    </row>
    <row r="799" spans="5:12" x14ac:dyDescent="0.25">
      <c r="E799" s="58"/>
      <c r="F799" s="59">
        <v>0.58981481481481479</v>
      </c>
      <c r="G799" s="60">
        <v>0.59012731481481484</v>
      </c>
      <c r="H799" s="61"/>
      <c r="I799" s="61"/>
      <c r="J799" s="59">
        <v>0.61379629629629628</v>
      </c>
      <c r="K799" s="61"/>
      <c r="L799" s="62"/>
    </row>
    <row r="800" spans="5:12" x14ac:dyDescent="0.25">
      <c r="E800" s="53"/>
      <c r="F800" s="54">
        <v>0.59004629629629635</v>
      </c>
      <c r="G800" s="54">
        <v>0.59037037037037032</v>
      </c>
      <c r="H800" s="55"/>
      <c r="I800" s="55"/>
      <c r="J800" s="54">
        <v>0.61474537037037036</v>
      </c>
      <c r="K800" s="56"/>
      <c r="L800" s="57"/>
    </row>
    <row r="801" spans="5:12" x14ac:dyDescent="0.25">
      <c r="E801" s="58"/>
      <c r="F801" s="59">
        <v>0.59027777777777779</v>
      </c>
      <c r="G801" s="60">
        <v>0.59053240740740742</v>
      </c>
      <c r="H801" s="61"/>
      <c r="I801" s="61"/>
      <c r="J801" s="59">
        <v>0.61623842592592593</v>
      </c>
      <c r="K801" s="61"/>
      <c r="L801" s="62"/>
    </row>
    <row r="802" spans="5:12" x14ac:dyDescent="0.25">
      <c r="E802" s="53"/>
      <c r="F802" s="54">
        <v>0.59059027777777773</v>
      </c>
      <c r="G802" s="54">
        <v>0.59081018518518513</v>
      </c>
      <c r="H802" s="55"/>
      <c r="I802" s="55"/>
      <c r="J802" s="54">
        <v>0.61160879629629628</v>
      </c>
      <c r="K802" s="56"/>
      <c r="L802" s="57"/>
    </row>
    <row r="803" spans="5:12" x14ac:dyDescent="0.25">
      <c r="E803" s="58"/>
      <c r="F803" s="59">
        <v>0.5910185185185185</v>
      </c>
      <c r="G803" s="60">
        <v>0.59124999999999994</v>
      </c>
      <c r="H803" s="61"/>
      <c r="I803" s="61"/>
      <c r="J803" s="59">
        <v>0.6058217592592593</v>
      </c>
      <c r="K803" s="61"/>
      <c r="L803" s="62"/>
    </row>
    <row r="804" spans="5:12" x14ac:dyDescent="0.25">
      <c r="E804" s="53"/>
      <c r="F804" s="54">
        <v>0.59146990740740735</v>
      </c>
      <c r="G804" s="54">
        <v>0.59177083333333336</v>
      </c>
      <c r="H804" s="55"/>
      <c r="I804" s="55"/>
      <c r="J804" s="54">
        <v>0.60974537037037035</v>
      </c>
      <c r="K804" s="56"/>
      <c r="L804" s="57"/>
    </row>
    <row r="805" spans="5:12" x14ac:dyDescent="0.25">
      <c r="E805" s="58"/>
      <c r="F805" s="59">
        <v>0.59177083333333336</v>
      </c>
      <c r="G805" s="60">
        <v>0.59215277777777775</v>
      </c>
      <c r="H805" s="61"/>
      <c r="I805" s="61"/>
      <c r="J805" s="59">
        <v>0.60555555555555551</v>
      </c>
      <c r="K805" s="61"/>
      <c r="L805" s="62"/>
    </row>
    <row r="806" spans="5:12" x14ac:dyDescent="0.25">
      <c r="E806" s="53"/>
      <c r="F806" s="54">
        <v>0.5921643518518519</v>
      </c>
      <c r="G806" s="54">
        <v>0.59252314814814822</v>
      </c>
      <c r="H806" s="55"/>
      <c r="I806" s="55"/>
      <c r="J806" s="54">
        <v>0.60893518518518519</v>
      </c>
      <c r="K806" s="56"/>
      <c r="L806" s="57"/>
    </row>
    <row r="807" spans="5:12" x14ac:dyDescent="0.25">
      <c r="E807" s="58"/>
      <c r="F807" s="59">
        <v>0.59255787037037033</v>
      </c>
      <c r="G807" s="60">
        <v>0.59297453703703706</v>
      </c>
      <c r="H807" s="61"/>
      <c r="I807" s="61"/>
      <c r="J807" s="59">
        <v>0.60945601851851849</v>
      </c>
      <c r="K807" s="61"/>
      <c r="L807" s="62"/>
    </row>
    <row r="808" spans="5:12" x14ac:dyDescent="0.25">
      <c r="E808" s="53"/>
      <c r="F808" s="54">
        <v>0.59296296296296302</v>
      </c>
      <c r="G808" s="54">
        <v>0.593287037037037</v>
      </c>
      <c r="H808" s="55"/>
      <c r="I808" s="55"/>
      <c r="J808" s="54">
        <v>0.60619212962962965</v>
      </c>
      <c r="K808" s="56"/>
      <c r="L808" s="57"/>
    </row>
    <row r="809" spans="5:12" x14ac:dyDescent="0.25">
      <c r="E809" s="58"/>
      <c r="F809" s="59">
        <v>0.59342592592592591</v>
      </c>
      <c r="G809" s="60">
        <v>0.59355324074074078</v>
      </c>
      <c r="H809" s="61"/>
      <c r="I809" s="61"/>
      <c r="J809" s="59">
        <v>0.61474537037037036</v>
      </c>
      <c r="K809" s="61"/>
      <c r="L809" s="62"/>
    </row>
    <row r="810" spans="5:12" x14ac:dyDescent="0.25">
      <c r="E810" s="53"/>
      <c r="F810" s="54">
        <v>0.59393518518518518</v>
      </c>
      <c r="G810" s="54">
        <v>0.59425925925925926</v>
      </c>
      <c r="H810" s="55"/>
      <c r="I810" s="55"/>
      <c r="J810" s="54">
        <v>0.61678240740740742</v>
      </c>
      <c r="K810" s="56"/>
      <c r="L810" s="57"/>
    </row>
    <row r="811" spans="5:12" x14ac:dyDescent="0.25">
      <c r="E811" s="58"/>
      <c r="F811" s="59">
        <v>0.59414351851851854</v>
      </c>
      <c r="G811" s="60">
        <v>0.59442129629629636</v>
      </c>
      <c r="H811" s="61"/>
      <c r="I811" s="61"/>
      <c r="J811" s="59">
        <v>0.60490740740740734</v>
      </c>
      <c r="K811" s="61"/>
      <c r="L811" s="62"/>
    </row>
    <row r="812" spans="5:12" x14ac:dyDescent="0.25">
      <c r="E812" s="53"/>
      <c r="F812" s="54">
        <v>0.59438657407407403</v>
      </c>
      <c r="G812" s="54">
        <v>0.59456018518518516</v>
      </c>
      <c r="H812" s="55"/>
      <c r="I812" s="55"/>
      <c r="J812" s="54">
        <v>0.61087962962962961</v>
      </c>
      <c r="K812" s="56"/>
      <c r="L812" s="57"/>
    </row>
    <row r="813" spans="5:12" x14ac:dyDescent="0.25">
      <c r="E813" s="58"/>
      <c r="F813" s="59">
        <v>0.59467592592592589</v>
      </c>
      <c r="G813" s="60">
        <v>0.59509259259259262</v>
      </c>
      <c r="H813" s="61"/>
      <c r="I813" s="61"/>
      <c r="J813" s="59">
        <v>0.61458333333333337</v>
      </c>
      <c r="K813" s="61"/>
      <c r="L813" s="62"/>
    </row>
    <row r="814" spans="5:12" x14ac:dyDescent="0.25">
      <c r="E814" s="53"/>
      <c r="F814" s="54">
        <v>0.59499999999999997</v>
      </c>
      <c r="G814" s="54">
        <v>0.59530092592592598</v>
      </c>
      <c r="H814" s="55"/>
      <c r="I814" s="55"/>
      <c r="J814" s="54">
        <v>0.61284722222222221</v>
      </c>
      <c r="K814" s="56"/>
      <c r="L814" s="57"/>
    </row>
    <row r="815" spans="5:12" x14ac:dyDescent="0.25">
      <c r="E815" s="58"/>
      <c r="F815" s="59">
        <v>0.59540509259259256</v>
      </c>
      <c r="G815" s="60">
        <v>0.59585648148148151</v>
      </c>
      <c r="H815" s="61"/>
      <c r="I815" s="61"/>
      <c r="J815" s="59">
        <v>0.61616898148148147</v>
      </c>
      <c r="K815" s="61"/>
      <c r="L815" s="62"/>
    </row>
    <row r="816" spans="5:12" x14ac:dyDescent="0.25">
      <c r="E816" s="53"/>
      <c r="F816" s="54">
        <v>0.595636574074074</v>
      </c>
      <c r="G816" s="54">
        <v>0.59600694444444446</v>
      </c>
      <c r="H816" s="55"/>
      <c r="I816" s="55"/>
      <c r="J816" s="54">
        <v>0.61918981481481483</v>
      </c>
      <c r="K816" s="56"/>
      <c r="L816" s="57"/>
    </row>
    <row r="817" spans="5:12" x14ac:dyDescent="0.25">
      <c r="E817" s="58"/>
      <c r="F817" s="59">
        <v>0.59598379629629628</v>
      </c>
      <c r="G817" s="60">
        <v>0.59631944444444451</v>
      </c>
      <c r="H817" s="61"/>
      <c r="I817" s="61"/>
      <c r="J817" s="59">
        <v>0.61144675925925929</v>
      </c>
      <c r="K817" s="61"/>
      <c r="L817" s="62"/>
    </row>
    <row r="818" spans="5:12" x14ac:dyDescent="0.25">
      <c r="E818" s="53"/>
      <c r="F818" s="54">
        <v>0.59619212962962964</v>
      </c>
      <c r="G818" s="54">
        <v>0.59649305555555554</v>
      </c>
      <c r="H818" s="55"/>
      <c r="I818" s="55"/>
      <c r="J818" s="54">
        <v>0.60900462962962965</v>
      </c>
      <c r="K818" s="56"/>
      <c r="L818" s="57"/>
    </row>
    <row r="819" spans="5:12" x14ac:dyDescent="0.25">
      <c r="E819" s="58"/>
      <c r="F819" s="59">
        <v>0.59666666666666668</v>
      </c>
      <c r="G819" s="60">
        <v>0.59711805555555553</v>
      </c>
      <c r="H819" s="61"/>
      <c r="I819" s="61"/>
      <c r="J819" s="59">
        <v>0.62351851851851847</v>
      </c>
      <c r="K819" s="61"/>
      <c r="L819" s="62"/>
    </row>
    <row r="820" spans="5:12" x14ac:dyDescent="0.25">
      <c r="E820" s="53"/>
      <c r="F820" s="54">
        <v>0.59686342592592589</v>
      </c>
      <c r="G820" s="54">
        <v>0.59707175925925926</v>
      </c>
      <c r="H820" s="55"/>
      <c r="I820" s="55"/>
      <c r="J820" s="54">
        <v>0.60806712962962961</v>
      </c>
      <c r="K820" s="56"/>
      <c r="L820" s="57"/>
    </row>
    <row r="821" spans="5:12" x14ac:dyDescent="0.25">
      <c r="E821" s="58"/>
      <c r="F821" s="59">
        <v>0.59722222222222221</v>
      </c>
      <c r="G821" s="60">
        <v>0.59766203703703702</v>
      </c>
      <c r="H821" s="61"/>
      <c r="I821" s="61"/>
      <c r="J821" s="59">
        <v>0.61655092592592597</v>
      </c>
      <c r="K821" s="61"/>
      <c r="L821" s="62"/>
    </row>
    <row r="822" spans="5:12" x14ac:dyDescent="0.25">
      <c r="E822" s="53"/>
      <c r="F822" s="54">
        <v>0.59759259259259256</v>
      </c>
      <c r="G822" s="54">
        <v>0.59788194444444442</v>
      </c>
      <c r="H822" s="55"/>
      <c r="I822" s="55"/>
      <c r="J822" s="54">
        <v>0.61962962962962964</v>
      </c>
      <c r="K822" s="56"/>
      <c r="L822" s="57"/>
    </row>
    <row r="823" spans="5:12" x14ac:dyDescent="0.25">
      <c r="E823" s="58"/>
      <c r="F823" s="59">
        <v>0.59797453703703707</v>
      </c>
      <c r="G823" s="60">
        <v>0.59848379629629633</v>
      </c>
      <c r="H823" s="61"/>
      <c r="I823" s="61"/>
      <c r="J823" s="59">
        <v>0.62234953703703699</v>
      </c>
      <c r="K823" s="61"/>
      <c r="L823" s="62"/>
    </row>
    <row r="824" spans="5:12" x14ac:dyDescent="0.25">
      <c r="E824" s="53"/>
      <c r="F824" s="54">
        <v>0.59849537037037037</v>
      </c>
      <c r="G824" s="54">
        <v>0.59880787037037042</v>
      </c>
      <c r="H824" s="55"/>
      <c r="I824" s="55"/>
      <c r="J824" s="54">
        <v>0.6132291666666666</v>
      </c>
      <c r="K824" s="56"/>
      <c r="L824" s="57"/>
    </row>
    <row r="825" spans="5:12" x14ac:dyDescent="0.25">
      <c r="E825" s="58"/>
      <c r="F825" s="59">
        <v>0.59881944444444446</v>
      </c>
      <c r="G825" s="60">
        <v>0.59918981481481481</v>
      </c>
      <c r="H825" s="61"/>
      <c r="I825" s="61"/>
      <c r="J825" s="59">
        <v>0.61619212962962966</v>
      </c>
      <c r="K825" s="61"/>
      <c r="L825" s="62"/>
    </row>
    <row r="826" spans="5:12" x14ac:dyDescent="0.25">
      <c r="E826" s="53"/>
      <c r="F826" s="54">
        <v>0.59914351851851855</v>
      </c>
      <c r="G826" s="54">
        <v>0.59957175925925921</v>
      </c>
      <c r="H826" s="55"/>
      <c r="I826" s="55"/>
      <c r="J826" s="54">
        <v>0.61098379629629629</v>
      </c>
      <c r="K826" s="56"/>
      <c r="L826" s="57"/>
    </row>
    <row r="827" spans="5:12" x14ac:dyDescent="0.25">
      <c r="E827" s="58"/>
      <c r="F827" s="59">
        <v>0.59965277777777781</v>
      </c>
      <c r="G827" s="60">
        <v>0.59989583333333341</v>
      </c>
      <c r="H827" s="61"/>
      <c r="I827" s="61"/>
      <c r="J827" s="59">
        <v>0.61908564814814815</v>
      </c>
      <c r="K827" s="61"/>
      <c r="L827" s="62"/>
    </row>
    <row r="828" spans="5:12" x14ac:dyDescent="0.25">
      <c r="E828" s="53"/>
      <c r="F828" s="54">
        <v>0.60006944444444443</v>
      </c>
      <c r="G828" s="54">
        <v>0.60060185185185189</v>
      </c>
      <c r="H828" s="55"/>
      <c r="I828" s="55"/>
      <c r="J828" s="54">
        <v>0.60851851851851857</v>
      </c>
      <c r="K828" s="56"/>
      <c r="L828" s="57"/>
    </row>
    <row r="829" spans="5:12" x14ac:dyDescent="0.25">
      <c r="E829" s="58"/>
      <c r="F829" s="59">
        <v>0.60025462962962961</v>
      </c>
      <c r="G829" s="60">
        <v>0.60065972222222219</v>
      </c>
      <c r="H829" s="61"/>
      <c r="I829" s="61"/>
      <c r="J829" s="59">
        <v>0.61040509259259257</v>
      </c>
      <c r="K829" s="61"/>
      <c r="L829" s="62"/>
    </row>
    <row r="830" spans="5:12" x14ac:dyDescent="0.25">
      <c r="E830" s="53"/>
      <c r="F830" s="54">
        <v>0.60056712962962966</v>
      </c>
      <c r="G830" s="54">
        <v>0.60099537037037043</v>
      </c>
      <c r="H830" s="55"/>
      <c r="I830" s="55"/>
      <c r="J830" s="54">
        <v>0.62565972222222221</v>
      </c>
      <c r="K830" s="56"/>
      <c r="L830" s="57"/>
    </row>
    <row r="831" spans="5:12" x14ac:dyDescent="0.25">
      <c r="E831" s="58"/>
      <c r="F831" s="59">
        <v>0.60090277777777779</v>
      </c>
      <c r="G831" s="60">
        <v>0.60114583333333338</v>
      </c>
      <c r="H831" s="61"/>
      <c r="I831" s="61"/>
      <c r="J831" s="59">
        <v>0.62344907407407402</v>
      </c>
      <c r="K831" s="61"/>
      <c r="L831" s="62"/>
    </row>
    <row r="832" spans="5:12" x14ac:dyDescent="0.25">
      <c r="E832" s="53"/>
      <c r="F832" s="54">
        <v>0.60133101851851845</v>
      </c>
      <c r="G832" s="54">
        <v>0.60170138888888891</v>
      </c>
      <c r="H832" s="55"/>
      <c r="I832" s="55"/>
      <c r="J832" s="54">
        <v>0.61511574074074071</v>
      </c>
      <c r="K832" s="56"/>
      <c r="L832" s="57"/>
    </row>
    <row r="833" spans="5:12" x14ac:dyDescent="0.25">
      <c r="E833" s="58"/>
      <c r="F833" s="59">
        <v>0.60163194444444446</v>
      </c>
      <c r="G833" s="60">
        <v>0.60201388888888896</v>
      </c>
      <c r="H833" s="61"/>
      <c r="I833" s="61"/>
      <c r="J833" s="59">
        <v>0.61633101851851857</v>
      </c>
      <c r="K833" s="61"/>
      <c r="L833" s="62"/>
    </row>
    <row r="834" spans="5:12" x14ac:dyDescent="0.25">
      <c r="E834" s="53"/>
      <c r="F834" s="54">
        <v>0.60204861111111108</v>
      </c>
      <c r="G834" s="54">
        <v>0.60243055555555558</v>
      </c>
      <c r="H834" s="55"/>
      <c r="I834" s="55"/>
      <c r="J834" s="54">
        <v>0.62049768518518522</v>
      </c>
      <c r="K834" s="56"/>
      <c r="L834" s="57"/>
    </row>
    <row r="835" spans="5:12" x14ac:dyDescent="0.25">
      <c r="E835" s="58"/>
      <c r="F835" s="59">
        <v>0.60240740740740739</v>
      </c>
      <c r="G835" s="60">
        <v>0.60278935185185178</v>
      </c>
      <c r="H835" s="61"/>
      <c r="I835" s="61"/>
      <c r="J835" s="59">
        <v>0.62041666666666673</v>
      </c>
      <c r="K835" s="61"/>
      <c r="L835" s="62"/>
    </row>
    <row r="836" spans="5:12" x14ac:dyDescent="0.25">
      <c r="E836" s="53"/>
      <c r="F836" s="54">
        <v>0.60295138888888888</v>
      </c>
      <c r="G836" s="54">
        <v>0.6033101851851852</v>
      </c>
      <c r="H836" s="55"/>
      <c r="I836" s="55"/>
      <c r="J836" s="54">
        <v>0.61865740740740738</v>
      </c>
      <c r="K836" s="56"/>
      <c r="L836" s="57"/>
    </row>
    <row r="837" spans="5:12" x14ac:dyDescent="0.25">
      <c r="E837" s="58"/>
      <c r="F837" s="59">
        <v>0.60351851851851845</v>
      </c>
      <c r="G837" s="60">
        <v>0.6036111111111111</v>
      </c>
      <c r="H837" s="61"/>
      <c r="I837" s="61"/>
      <c r="J837" s="59">
        <v>0.6175694444444445</v>
      </c>
      <c r="K837" s="61"/>
      <c r="L837" s="62"/>
    </row>
    <row r="838" spans="5:12" x14ac:dyDescent="0.25">
      <c r="E838" s="53"/>
      <c r="F838" s="54">
        <v>0.60370370370370374</v>
      </c>
      <c r="G838" s="54">
        <v>0.60425925925925927</v>
      </c>
      <c r="H838" s="55"/>
      <c r="I838" s="55"/>
      <c r="J838" s="54">
        <v>0.62124999999999997</v>
      </c>
      <c r="K838" s="56"/>
      <c r="L838" s="57"/>
    </row>
    <row r="839" spans="5:12" x14ac:dyDescent="0.25">
      <c r="E839" s="58"/>
      <c r="F839" s="59">
        <v>0.60408564814814814</v>
      </c>
      <c r="G839" s="60">
        <v>0.60447916666666668</v>
      </c>
      <c r="H839" s="61"/>
      <c r="I839" s="61"/>
      <c r="J839" s="59">
        <v>0.6189351851851852</v>
      </c>
      <c r="K839" s="61"/>
      <c r="L839" s="62"/>
    </row>
    <row r="840" spans="5:12" x14ac:dyDescent="0.25">
      <c r="E840" s="53"/>
      <c r="F840" s="54">
        <v>0.60439814814814818</v>
      </c>
      <c r="G840" s="54">
        <v>0.60454861111111113</v>
      </c>
      <c r="H840" s="55"/>
      <c r="I840" s="55"/>
      <c r="J840" s="54">
        <v>0.61704861111111109</v>
      </c>
      <c r="K840" s="56"/>
      <c r="L840" s="57"/>
    </row>
    <row r="841" spans="5:12" x14ac:dyDescent="0.25">
      <c r="E841" s="58"/>
      <c r="F841" s="59">
        <v>0.60471064814814812</v>
      </c>
      <c r="G841" s="60">
        <v>0.60513888888888889</v>
      </c>
      <c r="H841" s="61"/>
      <c r="I841" s="61"/>
      <c r="J841" s="59">
        <v>0.61831018518518521</v>
      </c>
      <c r="K841" s="61"/>
      <c r="L841" s="62"/>
    </row>
    <row r="842" spans="5:12" x14ac:dyDescent="0.25">
      <c r="E842" s="53"/>
      <c r="F842" s="54">
        <v>0.6050578703703704</v>
      </c>
      <c r="G842" s="54">
        <v>0.60547453703703702</v>
      </c>
      <c r="H842" s="55"/>
      <c r="I842" s="55"/>
      <c r="J842" s="54">
        <v>0.62053240740740734</v>
      </c>
      <c r="K842" s="56"/>
      <c r="L842" s="57"/>
    </row>
    <row r="843" spans="5:12" x14ac:dyDescent="0.25">
      <c r="E843" s="58"/>
      <c r="F843" s="59">
        <v>0.60556712962962966</v>
      </c>
      <c r="G843" s="60">
        <v>0.6057407407407408</v>
      </c>
      <c r="H843" s="61"/>
      <c r="I843" s="61"/>
      <c r="J843" s="59">
        <v>0.61925925925925929</v>
      </c>
      <c r="K843" s="61"/>
      <c r="L843" s="62"/>
    </row>
    <row r="844" spans="5:12" x14ac:dyDescent="0.25">
      <c r="E844" s="53"/>
      <c r="F844" s="54">
        <v>0.60594907407407406</v>
      </c>
      <c r="G844" s="54">
        <v>0.60620370370370369</v>
      </c>
      <c r="H844" s="55"/>
      <c r="I844" s="55"/>
      <c r="J844" s="54">
        <v>0.62410879629629623</v>
      </c>
      <c r="K844" s="56"/>
      <c r="L844" s="57"/>
    </row>
    <row r="845" spans="5:12" x14ac:dyDescent="0.25">
      <c r="E845" s="58"/>
      <c r="F845" s="59">
        <v>0.60619212962962965</v>
      </c>
      <c r="G845" s="60">
        <v>0.60638888888888887</v>
      </c>
      <c r="H845" s="61"/>
      <c r="I845" s="61"/>
      <c r="J845" s="59">
        <v>0.62158564814814821</v>
      </c>
      <c r="K845" s="61"/>
      <c r="L845" s="62"/>
    </row>
    <row r="846" spans="5:12" x14ac:dyDescent="0.25">
      <c r="E846" s="53"/>
      <c r="F846" s="54">
        <v>0.60651620370370374</v>
      </c>
      <c r="G846" s="54">
        <v>0.60703703703703704</v>
      </c>
      <c r="H846" s="55"/>
      <c r="I846" s="55"/>
      <c r="J846" s="54">
        <v>0.62208333333333332</v>
      </c>
      <c r="K846" s="56"/>
      <c r="L846" s="57"/>
    </row>
    <row r="847" spans="5:12" x14ac:dyDescent="0.25">
      <c r="E847" s="58"/>
      <c r="F847" s="59">
        <v>0.60697916666666674</v>
      </c>
      <c r="G847" s="60">
        <v>0.6071643518518518</v>
      </c>
      <c r="H847" s="61"/>
      <c r="I847" s="61"/>
      <c r="J847" s="59">
        <v>0.62225694444444446</v>
      </c>
      <c r="K847" s="61"/>
      <c r="L847" s="62"/>
    </row>
    <row r="848" spans="5:12" x14ac:dyDescent="0.25">
      <c r="E848" s="53"/>
      <c r="F848" s="54">
        <v>0.60723379629629626</v>
      </c>
      <c r="G848" s="54">
        <v>0.60782407407407402</v>
      </c>
      <c r="H848" s="55"/>
      <c r="I848" s="55"/>
      <c r="J848" s="54">
        <v>0.62730324074074073</v>
      </c>
      <c r="K848" s="56"/>
      <c r="L848" s="57"/>
    </row>
    <row r="849" spans="5:12" x14ac:dyDescent="0.25">
      <c r="E849" s="58"/>
      <c r="F849" s="59">
        <v>0.60782407407407402</v>
      </c>
      <c r="G849" s="60">
        <v>0.60814814814814822</v>
      </c>
      <c r="H849" s="61"/>
      <c r="I849" s="61"/>
      <c r="J849" s="59">
        <v>0.62398148148148147</v>
      </c>
      <c r="K849" s="61"/>
      <c r="L849" s="62"/>
    </row>
    <row r="850" spans="5:12" x14ac:dyDescent="0.25">
      <c r="E850" s="53"/>
      <c r="F850" s="54">
        <v>0.60815972222222225</v>
      </c>
      <c r="G850" s="54">
        <v>0.60846064814814815</v>
      </c>
      <c r="H850" s="55"/>
      <c r="I850" s="55"/>
      <c r="J850" s="54">
        <v>0.61665509259259255</v>
      </c>
      <c r="K850" s="56"/>
      <c r="L850" s="57"/>
    </row>
    <row r="851" spans="5:12" x14ac:dyDescent="0.25">
      <c r="E851" s="58"/>
      <c r="F851" s="59">
        <v>0.6086111111111111</v>
      </c>
      <c r="G851" s="60">
        <v>0.60909722222222229</v>
      </c>
      <c r="H851" s="61"/>
      <c r="I851" s="61"/>
      <c r="J851" s="59">
        <v>0.64035879629629633</v>
      </c>
      <c r="K851" s="61"/>
      <c r="L851" s="62"/>
    </row>
    <row r="852" spans="5:12" x14ac:dyDescent="0.25">
      <c r="E852" s="53"/>
      <c r="F852" s="54">
        <v>0.60900462962962965</v>
      </c>
      <c r="G852" s="54">
        <v>0.60946759259259264</v>
      </c>
      <c r="H852" s="55"/>
      <c r="I852" s="55"/>
      <c r="J852" s="54">
        <v>0.63148148148148142</v>
      </c>
      <c r="K852" s="56"/>
      <c r="L852" s="57"/>
    </row>
    <row r="853" spans="5:12" x14ac:dyDescent="0.25">
      <c r="E853" s="58"/>
      <c r="F853" s="59">
        <v>0.609375</v>
      </c>
      <c r="G853" s="60">
        <v>0.60979166666666662</v>
      </c>
      <c r="H853" s="61"/>
      <c r="I853" s="61"/>
      <c r="J853" s="59">
        <v>0.63018518518518518</v>
      </c>
      <c r="K853" s="61"/>
      <c r="L853" s="62"/>
    </row>
    <row r="854" spans="5:12" x14ac:dyDescent="0.25">
      <c r="E854" s="53"/>
      <c r="F854" s="54">
        <v>0.60950231481481476</v>
      </c>
      <c r="G854" s="54">
        <v>0.60994212962962957</v>
      </c>
      <c r="H854" s="55"/>
      <c r="I854" s="55"/>
      <c r="J854" s="54">
        <v>0.62929398148148141</v>
      </c>
      <c r="K854" s="56"/>
      <c r="L854" s="57"/>
    </row>
    <row r="855" spans="5:12" x14ac:dyDescent="0.25">
      <c r="E855" s="58"/>
      <c r="F855" s="59">
        <v>0.60993055555555553</v>
      </c>
      <c r="G855" s="60">
        <v>0.61033564814814811</v>
      </c>
      <c r="H855" s="61"/>
      <c r="I855" s="61"/>
      <c r="J855" s="59">
        <v>0.62717592592592586</v>
      </c>
      <c r="K855" s="61"/>
      <c r="L855" s="62"/>
    </row>
    <row r="856" spans="5:12" x14ac:dyDescent="0.25">
      <c r="E856" s="53"/>
      <c r="F856" s="54">
        <v>0.61026620370370377</v>
      </c>
      <c r="G856" s="54">
        <v>0.61054398148148148</v>
      </c>
      <c r="H856" s="55"/>
      <c r="I856" s="55"/>
      <c r="J856" s="54">
        <v>0.63238425925925923</v>
      </c>
      <c r="K856" s="56"/>
      <c r="L856" s="57"/>
    </row>
    <row r="857" spans="5:12" x14ac:dyDescent="0.25">
      <c r="E857" s="58"/>
      <c r="F857" s="59">
        <v>0.61045138888888884</v>
      </c>
      <c r="G857" s="60">
        <v>0.61054398148148148</v>
      </c>
      <c r="H857" s="61"/>
      <c r="I857" s="61"/>
      <c r="J857" s="59">
        <v>0.63063657407407414</v>
      </c>
      <c r="K857" s="61"/>
      <c r="L857" s="62"/>
    </row>
    <row r="858" spans="5:12" x14ac:dyDescent="0.25">
      <c r="E858" s="53"/>
      <c r="F858" s="54">
        <v>0.61037037037037034</v>
      </c>
      <c r="G858" s="54">
        <v>0.61069444444444443</v>
      </c>
      <c r="H858" s="55"/>
      <c r="I858" s="55"/>
      <c r="J858" s="54">
        <v>0.62467592592592591</v>
      </c>
      <c r="K858" s="56"/>
      <c r="L858" s="57"/>
    </row>
    <row r="859" spans="5:12" x14ac:dyDescent="0.25">
      <c r="E859" s="58"/>
      <c r="F859" s="59">
        <v>0.61081018518518515</v>
      </c>
      <c r="G859" s="60">
        <v>0.61109953703703701</v>
      </c>
      <c r="H859" s="61"/>
      <c r="I859" s="61"/>
      <c r="J859" s="59">
        <v>0.63462962962962965</v>
      </c>
      <c r="K859" s="61"/>
      <c r="L859" s="62"/>
    </row>
    <row r="860" spans="5:12" x14ac:dyDescent="0.25">
      <c r="E860" s="53"/>
      <c r="F860" s="54">
        <v>0.61108796296296297</v>
      </c>
      <c r="G860" s="54">
        <v>0.61149305555555555</v>
      </c>
      <c r="H860" s="55"/>
      <c r="I860" s="55"/>
      <c r="J860" s="54">
        <v>0.62313657407407408</v>
      </c>
      <c r="K860" s="56"/>
      <c r="L860" s="57"/>
    </row>
    <row r="861" spans="5:12" x14ac:dyDescent="0.25">
      <c r="E861" s="58"/>
      <c r="F861" s="59">
        <v>0.61149305555555555</v>
      </c>
      <c r="G861" s="60">
        <v>0.61184027777777772</v>
      </c>
      <c r="H861" s="61"/>
      <c r="I861" s="61"/>
      <c r="J861" s="59">
        <v>0.63526620370370368</v>
      </c>
      <c r="K861" s="61"/>
      <c r="L861" s="62"/>
    </row>
    <row r="862" spans="5:12" x14ac:dyDescent="0.25">
      <c r="E862" s="53"/>
      <c r="F862" s="54">
        <v>0.61187500000000006</v>
      </c>
      <c r="G862" s="54">
        <v>0.61216435185185192</v>
      </c>
      <c r="H862" s="55"/>
      <c r="I862" s="55"/>
      <c r="J862" s="54">
        <v>0.62752314814814814</v>
      </c>
      <c r="K862" s="56"/>
      <c r="L862" s="57"/>
    </row>
    <row r="863" spans="5:12" x14ac:dyDescent="0.25">
      <c r="E863" s="58"/>
      <c r="F863" s="59">
        <v>0.61234953703703698</v>
      </c>
      <c r="G863" s="60">
        <v>0.61267361111111118</v>
      </c>
      <c r="H863" s="61"/>
      <c r="I863" s="61"/>
      <c r="J863" s="59">
        <v>0.63109953703703703</v>
      </c>
      <c r="K863" s="61"/>
      <c r="L863" s="62"/>
    </row>
    <row r="864" spans="5:12" x14ac:dyDescent="0.25">
      <c r="E864" s="53"/>
      <c r="F864" s="54">
        <v>0.61267361111111118</v>
      </c>
      <c r="G864" s="54">
        <v>0.61320601851851853</v>
      </c>
      <c r="H864" s="55"/>
      <c r="I864" s="55"/>
      <c r="J864" s="54">
        <v>0.63298611111111114</v>
      </c>
      <c r="K864" s="56"/>
      <c r="L864" s="57"/>
    </row>
    <row r="865" spans="5:12" x14ac:dyDescent="0.25">
      <c r="E865" s="58"/>
      <c r="F865" s="59">
        <v>0.61304398148148154</v>
      </c>
      <c r="G865" s="60">
        <v>0.61342592592592593</v>
      </c>
      <c r="H865" s="61"/>
      <c r="I865" s="61"/>
      <c r="J865" s="59">
        <v>0.63972222222222219</v>
      </c>
      <c r="K865" s="61"/>
      <c r="L865" s="62"/>
    </row>
    <row r="866" spans="5:12" x14ac:dyDescent="0.25">
      <c r="E866" s="53"/>
      <c r="F866" s="54">
        <v>0.6132291666666666</v>
      </c>
      <c r="G866" s="54">
        <v>0.61359953703703707</v>
      </c>
      <c r="H866" s="55"/>
      <c r="I866" s="55"/>
      <c r="J866" s="54">
        <v>0.62540509259259258</v>
      </c>
      <c r="K866" s="56"/>
      <c r="L866" s="57"/>
    </row>
    <row r="867" spans="5:12" x14ac:dyDescent="0.25">
      <c r="E867" s="58"/>
      <c r="F867" s="59">
        <v>0.61351851851851846</v>
      </c>
      <c r="G867" s="60">
        <v>0.6136921296296296</v>
      </c>
      <c r="H867" s="61"/>
      <c r="I867" s="61"/>
      <c r="J867" s="59">
        <v>0.63750000000000007</v>
      </c>
      <c r="K867" s="61"/>
      <c r="L867" s="62"/>
    </row>
    <row r="868" spans="5:12" x14ac:dyDescent="0.25">
      <c r="E868" s="53"/>
      <c r="F868" s="54">
        <v>0.61394675925925923</v>
      </c>
      <c r="G868" s="54">
        <v>0.61434027777777778</v>
      </c>
      <c r="H868" s="55"/>
      <c r="I868" s="55"/>
      <c r="J868" s="54">
        <v>0.62809027777777782</v>
      </c>
      <c r="K868" s="56"/>
      <c r="L868" s="57"/>
    </row>
    <row r="869" spans="5:12" x14ac:dyDescent="0.25">
      <c r="E869" s="58"/>
      <c r="F869" s="59">
        <v>0.61427083333333332</v>
      </c>
      <c r="G869" s="60">
        <v>0.61429398148148151</v>
      </c>
      <c r="H869" s="61"/>
      <c r="I869" s="61"/>
      <c r="J869" s="59">
        <v>0.62476851851851845</v>
      </c>
      <c r="K869" s="61"/>
      <c r="L869" s="62"/>
    </row>
    <row r="870" spans="5:12" x14ac:dyDescent="0.25">
      <c r="E870" s="53"/>
      <c r="F870" s="54">
        <v>0.61450231481481488</v>
      </c>
      <c r="G870" s="54">
        <v>0.6149189814814815</v>
      </c>
      <c r="H870" s="55"/>
      <c r="I870" s="55"/>
      <c r="J870" s="54">
        <v>0.62520833333333337</v>
      </c>
      <c r="K870" s="56"/>
      <c r="L870" s="57"/>
    </row>
    <row r="871" spans="5:12" x14ac:dyDescent="0.25">
      <c r="E871" s="58"/>
      <c r="F871" s="59">
        <v>0.61478009259259259</v>
      </c>
      <c r="G871" s="60">
        <v>0.6152199074074074</v>
      </c>
      <c r="H871" s="61"/>
      <c r="I871" s="61"/>
      <c r="J871" s="59">
        <v>0.63121527777777775</v>
      </c>
      <c r="K871" s="61"/>
      <c r="L871" s="62"/>
    </row>
    <row r="872" spans="5:12" x14ac:dyDescent="0.25">
      <c r="E872" s="53"/>
      <c r="F872" s="54">
        <v>0.6151388888888889</v>
      </c>
      <c r="G872" s="54">
        <v>0.61548611111111107</v>
      </c>
      <c r="H872" s="55"/>
      <c r="I872" s="55"/>
      <c r="J872" s="54">
        <v>0.63217592592592597</v>
      </c>
      <c r="K872" s="56"/>
      <c r="L872" s="57"/>
    </row>
    <row r="873" spans="5:12" x14ac:dyDescent="0.25">
      <c r="E873" s="58"/>
      <c r="F873" s="59">
        <v>0.61569444444444443</v>
      </c>
      <c r="G873" s="60">
        <v>0.61585648148148142</v>
      </c>
      <c r="H873" s="61"/>
      <c r="I873" s="61"/>
      <c r="J873" s="59">
        <v>0.62626157407407412</v>
      </c>
      <c r="K873" s="61"/>
      <c r="L873" s="62"/>
    </row>
    <row r="874" spans="5:12" x14ac:dyDescent="0.25">
      <c r="E874" s="53"/>
      <c r="F874" s="54">
        <v>0.61600694444444437</v>
      </c>
      <c r="G874" s="54">
        <v>0.61614583333333328</v>
      </c>
      <c r="H874" s="55"/>
      <c r="I874" s="55"/>
      <c r="J874" s="54">
        <v>0.63633101851851859</v>
      </c>
      <c r="K874" s="56"/>
      <c r="L874" s="57"/>
    </row>
    <row r="875" spans="5:12" x14ac:dyDescent="0.25">
      <c r="E875" s="58"/>
      <c r="F875" s="59">
        <v>0.61636574074074069</v>
      </c>
      <c r="G875" s="60">
        <v>0.61674768518518519</v>
      </c>
      <c r="H875" s="61"/>
      <c r="I875" s="61"/>
      <c r="J875" s="59">
        <v>0.63053240740740735</v>
      </c>
      <c r="K875" s="61"/>
      <c r="L875" s="62"/>
    </row>
    <row r="876" spans="5:12" x14ac:dyDescent="0.25">
      <c r="E876" s="53"/>
      <c r="F876" s="54">
        <v>0.61675925925925923</v>
      </c>
      <c r="G876" s="54">
        <v>0.61689814814814814</v>
      </c>
      <c r="H876" s="55"/>
      <c r="I876" s="55"/>
      <c r="J876" s="54">
        <v>0.63177083333333328</v>
      </c>
      <c r="K876" s="56"/>
      <c r="L876" s="57"/>
    </row>
    <row r="877" spans="5:12" x14ac:dyDescent="0.25">
      <c r="E877" s="58"/>
      <c r="F877" s="59">
        <v>0.61710648148148151</v>
      </c>
      <c r="G877" s="60">
        <v>0.61751157407407409</v>
      </c>
      <c r="H877" s="61"/>
      <c r="I877" s="61"/>
      <c r="J877" s="59">
        <v>0.64093750000000005</v>
      </c>
      <c r="K877" s="61"/>
      <c r="L877" s="62"/>
    </row>
    <row r="878" spans="5:12" x14ac:dyDescent="0.25">
      <c r="E878" s="53"/>
      <c r="F878" s="54">
        <v>0.61736111111111114</v>
      </c>
      <c r="G878" s="54">
        <v>0.61773148148148149</v>
      </c>
      <c r="H878" s="55"/>
      <c r="I878" s="55"/>
      <c r="J878" s="54">
        <v>0.63716435185185183</v>
      </c>
      <c r="K878" s="56"/>
      <c r="L878" s="57"/>
    </row>
    <row r="879" spans="5:12" x14ac:dyDescent="0.25">
      <c r="E879" s="58"/>
      <c r="F879" s="59">
        <v>0.61792824074074071</v>
      </c>
      <c r="G879" s="60">
        <v>0.61824074074074076</v>
      </c>
      <c r="H879" s="61"/>
      <c r="I879" s="61"/>
      <c r="J879" s="59">
        <v>0.63262731481481482</v>
      </c>
      <c r="K879" s="61"/>
      <c r="L879" s="62"/>
    </row>
    <row r="880" spans="5:12" x14ac:dyDescent="0.25">
      <c r="E880" s="53"/>
      <c r="F880" s="54">
        <v>0.61832175925925925</v>
      </c>
      <c r="G880" s="54">
        <v>0.61870370370370364</v>
      </c>
      <c r="H880" s="55"/>
      <c r="I880" s="55"/>
      <c r="J880" s="54">
        <v>0.63616898148148149</v>
      </c>
      <c r="K880" s="56"/>
      <c r="L880" s="57"/>
    </row>
    <row r="881" spans="5:12" x14ac:dyDescent="0.25">
      <c r="E881" s="58"/>
      <c r="F881" s="59">
        <v>0.61859953703703707</v>
      </c>
      <c r="G881" s="60">
        <v>0.61895833333333339</v>
      </c>
      <c r="H881" s="61"/>
      <c r="I881" s="61"/>
      <c r="J881" s="59">
        <v>0.63885416666666661</v>
      </c>
      <c r="K881" s="61"/>
      <c r="L881" s="62"/>
    </row>
    <row r="882" spans="5:12" x14ac:dyDescent="0.25">
      <c r="E882" s="53"/>
      <c r="F882" s="54">
        <v>0.61869212962962961</v>
      </c>
      <c r="G882" s="54">
        <v>0.61905092592592592</v>
      </c>
      <c r="H882" s="55"/>
      <c r="I882" s="55"/>
      <c r="J882" s="54">
        <v>0.63936342592592588</v>
      </c>
      <c r="K882" s="56"/>
      <c r="L882" s="57"/>
    </row>
    <row r="883" spans="5:12" x14ac:dyDescent="0.25">
      <c r="E883" s="58"/>
      <c r="F883" s="59">
        <v>0.6189930555555555</v>
      </c>
      <c r="G883" s="60">
        <v>0.61942129629629628</v>
      </c>
      <c r="H883" s="61"/>
      <c r="I883" s="61"/>
      <c r="J883" s="59">
        <v>0.64074074074074072</v>
      </c>
      <c r="K883" s="61"/>
      <c r="L883" s="62"/>
    </row>
    <row r="884" spans="5:12" x14ac:dyDescent="0.25">
      <c r="E884" s="53"/>
      <c r="F884" s="54">
        <v>0.61920138888888887</v>
      </c>
      <c r="G884" s="54">
        <v>0.61967592592592591</v>
      </c>
      <c r="H884" s="55"/>
      <c r="I884" s="55"/>
      <c r="J884" s="54">
        <v>0.63447916666666659</v>
      </c>
      <c r="K884" s="56"/>
      <c r="L884" s="57"/>
    </row>
    <row r="885" spans="5:12" x14ac:dyDescent="0.25">
      <c r="E885" s="58"/>
      <c r="F885" s="59">
        <v>0.61966435185185187</v>
      </c>
      <c r="G885" s="60">
        <v>0.61998842592592596</v>
      </c>
      <c r="H885" s="61"/>
      <c r="I885" s="61"/>
      <c r="J885" s="59">
        <v>0.63637731481481474</v>
      </c>
      <c r="K885" s="61"/>
      <c r="L885" s="62"/>
    </row>
    <row r="886" spans="5:12" x14ac:dyDescent="0.25">
      <c r="E886" s="53"/>
      <c r="F886" s="54">
        <v>0.61990740740740746</v>
      </c>
      <c r="G886" s="54">
        <v>0.62049768518518522</v>
      </c>
      <c r="H886" s="55"/>
      <c r="I886" s="55"/>
      <c r="J886" s="54">
        <v>0.63987268518518514</v>
      </c>
      <c r="K886" s="56"/>
      <c r="L886" s="57"/>
    </row>
    <row r="887" spans="5:12" x14ac:dyDescent="0.25">
      <c r="E887" s="58"/>
      <c r="F887" s="59">
        <v>0.62027777777777782</v>
      </c>
      <c r="G887" s="60">
        <v>0.62069444444444444</v>
      </c>
      <c r="H887" s="61"/>
      <c r="I887" s="61"/>
      <c r="J887" s="59">
        <v>0.64385416666666673</v>
      </c>
      <c r="K887" s="61"/>
      <c r="L887" s="62"/>
    </row>
    <row r="888" spans="5:12" x14ac:dyDescent="0.25">
      <c r="E888" s="53"/>
      <c r="F888" s="54">
        <v>0.62078703703703708</v>
      </c>
      <c r="G888" s="54">
        <v>0.62131944444444442</v>
      </c>
      <c r="H888" s="55"/>
      <c r="I888" s="55"/>
      <c r="J888" s="54">
        <v>0.63020833333333337</v>
      </c>
      <c r="K888" s="56"/>
      <c r="L888" s="57"/>
    </row>
    <row r="889" spans="5:12" x14ac:dyDescent="0.25">
      <c r="E889" s="58"/>
      <c r="F889" s="59">
        <v>0.62121527777777774</v>
      </c>
      <c r="G889" s="60">
        <v>0.62149305555555556</v>
      </c>
      <c r="H889" s="61"/>
      <c r="I889" s="61"/>
      <c r="J889" s="59">
        <v>0.6334953703703704</v>
      </c>
      <c r="K889" s="61"/>
      <c r="L889" s="62"/>
    </row>
    <row r="890" spans="5:12" x14ac:dyDescent="0.25">
      <c r="E890" s="53"/>
      <c r="F890" s="54">
        <v>0.62160879629629628</v>
      </c>
      <c r="G890" s="54">
        <v>0.62223379629629627</v>
      </c>
      <c r="H890" s="55"/>
      <c r="I890" s="55"/>
      <c r="J890" s="54">
        <v>0.63784722222222223</v>
      </c>
      <c r="K890" s="56"/>
      <c r="L890" s="57"/>
    </row>
    <row r="891" spans="5:12" x14ac:dyDescent="0.25">
      <c r="E891" s="58"/>
      <c r="F891" s="59">
        <v>0.62185185185185188</v>
      </c>
      <c r="G891" s="60">
        <v>0.62228009259259254</v>
      </c>
      <c r="H891" s="61"/>
      <c r="I891" s="61"/>
      <c r="J891" s="59">
        <v>0.63875000000000004</v>
      </c>
      <c r="K891" s="61"/>
      <c r="L891" s="62"/>
    </row>
    <row r="892" spans="5:12" x14ac:dyDescent="0.25">
      <c r="E892" s="53"/>
      <c r="F892" s="54">
        <v>0.62223379629629627</v>
      </c>
      <c r="G892" s="54">
        <v>0.62253472222222228</v>
      </c>
      <c r="H892" s="55"/>
      <c r="I892" s="55"/>
      <c r="J892" s="54">
        <v>0.63255787037037037</v>
      </c>
      <c r="K892" s="56"/>
      <c r="L892" s="57"/>
    </row>
    <row r="893" spans="5:12" x14ac:dyDescent="0.25">
      <c r="E893" s="58"/>
      <c r="F893" s="59">
        <v>0.62260416666666674</v>
      </c>
      <c r="G893" s="60">
        <v>0.62288194444444445</v>
      </c>
      <c r="H893" s="61"/>
      <c r="I893" s="61"/>
      <c r="J893" s="59">
        <v>0.63896990740740744</v>
      </c>
      <c r="K893" s="61"/>
      <c r="L893" s="62"/>
    </row>
    <row r="894" spans="5:12" x14ac:dyDescent="0.25">
      <c r="E894" s="53"/>
      <c r="F894" s="54">
        <v>0.62288194444444445</v>
      </c>
      <c r="G894" s="54">
        <v>0.62317129629629631</v>
      </c>
      <c r="H894" s="55"/>
      <c r="I894" s="55"/>
      <c r="J894" s="54">
        <v>0.63157407407407407</v>
      </c>
      <c r="K894" s="56"/>
      <c r="L894" s="57"/>
    </row>
    <row r="895" spans="5:12" x14ac:dyDescent="0.25">
      <c r="E895" s="58"/>
      <c r="F895" s="59">
        <v>0.62320601851851853</v>
      </c>
      <c r="G895" s="60">
        <v>0.62329861111111107</v>
      </c>
      <c r="H895" s="61"/>
      <c r="I895" s="61"/>
      <c r="J895" s="59">
        <v>0.64598379629629632</v>
      </c>
      <c r="K895" s="61"/>
      <c r="L895" s="62"/>
    </row>
    <row r="896" spans="5:12" x14ac:dyDescent="0.25">
      <c r="E896" s="53"/>
      <c r="F896" s="54">
        <v>0.62356481481481485</v>
      </c>
      <c r="G896" s="54">
        <v>0.6239351851851852</v>
      </c>
      <c r="H896" s="55"/>
      <c r="I896" s="55"/>
      <c r="J896" s="54">
        <v>0.6532175925925926</v>
      </c>
      <c r="K896" s="56"/>
      <c r="L896" s="57"/>
    </row>
    <row r="897" spans="5:12" x14ac:dyDescent="0.25">
      <c r="E897" s="58"/>
      <c r="F897" s="59">
        <v>0.62377314814814822</v>
      </c>
      <c r="G897" s="60">
        <v>0.62402777777777774</v>
      </c>
      <c r="H897" s="61"/>
      <c r="I897" s="61"/>
      <c r="J897" s="59">
        <v>0.63269675925925928</v>
      </c>
      <c r="K897" s="61"/>
      <c r="L897" s="62"/>
    </row>
    <row r="898" spans="5:12" x14ac:dyDescent="0.25">
      <c r="E898" s="53"/>
      <c r="F898" s="54">
        <v>0.62407407407407411</v>
      </c>
      <c r="G898" s="54">
        <v>0.62436342592592597</v>
      </c>
      <c r="H898" s="55"/>
      <c r="I898" s="55"/>
      <c r="J898" s="54">
        <v>0.63836805555555554</v>
      </c>
      <c r="K898" s="56"/>
      <c r="L898" s="57"/>
    </row>
    <row r="899" spans="5:12" x14ac:dyDescent="0.25">
      <c r="E899" s="58"/>
      <c r="F899" s="59">
        <v>0.62432870370370364</v>
      </c>
      <c r="G899" s="60">
        <v>0.62464120370370368</v>
      </c>
      <c r="H899" s="61"/>
      <c r="I899" s="61"/>
      <c r="J899" s="59">
        <v>0.64315972222222217</v>
      </c>
      <c r="K899" s="61"/>
      <c r="L899" s="62"/>
    </row>
    <row r="900" spans="5:12" x14ac:dyDescent="0.25">
      <c r="E900" s="53"/>
      <c r="F900" s="54">
        <v>0.62494212962962969</v>
      </c>
      <c r="G900" s="54">
        <v>0.6252199074074074</v>
      </c>
      <c r="H900" s="55"/>
      <c r="I900" s="55"/>
      <c r="J900" s="54">
        <v>0.63984953703703706</v>
      </c>
      <c r="K900" s="56"/>
      <c r="L900" s="57"/>
    </row>
    <row r="901" spans="5:12" x14ac:dyDescent="0.25">
      <c r="E901" s="58"/>
      <c r="F901" s="59">
        <v>0.62542824074074077</v>
      </c>
      <c r="G901" s="60">
        <v>0.62589120370370377</v>
      </c>
      <c r="H901" s="61"/>
      <c r="I901" s="61"/>
      <c r="J901" s="59">
        <v>0.64636574074074071</v>
      </c>
      <c r="K901" s="61"/>
      <c r="L901" s="62"/>
    </row>
    <row r="902" spans="5:12" x14ac:dyDescent="0.25">
      <c r="E902" s="53"/>
      <c r="F902" s="54">
        <v>0.62577546296296294</v>
      </c>
      <c r="G902" s="54">
        <v>0.62600694444444438</v>
      </c>
      <c r="H902" s="55"/>
      <c r="I902" s="55"/>
      <c r="J902" s="54">
        <v>0.64096064814814813</v>
      </c>
      <c r="K902" s="56"/>
      <c r="L902" s="57"/>
    </row>
    <row r="903" spans="5:12" x14ac:dyDescent="0.25">
      <c r="E903" s="58"/>
      <c r="F903" s="59">
        <v>0.62629629629629624</v>
      </c>
      <c r="G903" s="60">
        <v>0.62659722222222225</v>
      </c>
      <c r="H903" s="61"/>
      <c r="I903" s="61"/>
      <c r="J903" s="59">
        <v>0.641087962962963</v>
      </c>
      <c r="K903" s="61"/>
      <c r="L903" s="62"/>
    </row>
    <row r="904" spans="5:12" x14ac:dyDescent="0.25">
      <c r="E904" s="53"/>
      <c r="F904" s="54">
        <v>0.6265856481481481</v>
      </c>
      <c r="G904" s="54">
        <v>0.62701388888888887</v>
      </c>
      <c r="H904" s="55"/>
      <c r="I904" s="55"/>
      <c r="J904" s="54">
        <v>0.64150462962962962</v>
      </c>
      <c r="K904" s="56"/>
      <c r="L904" s="57"/>
    </row>
    <row r="905" spans="5:12" x14ac:dyDescent="0.25">
      <c r="E905" s="58"/>
      <c r="F905" s="59">
        <v>0.62687499999999996</v>
      </c>
      <c r="G905" s="60">
        <v>0.6272106481481482</v>
      </c>
      <c r="H905" s="61"/>
      <c r="I905" s="61"/>
      <c r="J905" s="59">
        <v>0.63981481481481484</v>
      </c>
      <c r="K905" s="61"/>
      <c r="L905" s="62"/>
    </row>
    <row r="906" spans="5:12" x14ac:dyDescent="0.25">
      <c r="E906" s="53"/>
      <c r="F906" s="54">
        <v>0.62725694444444446</v>
      </c>
      <c r="G906" s="54">
        <v>0.62770833333333331</v>
      </c>
      <c r="H906" s="55"/>
      <c r="I906" s="55"/>
      <c r="J906" s="54">
        <v>0.65100694444444451</v>
      </c>
      <c r="K906" s="56"/>
      <c r="L906" s="57"/>
    </row>
    <row r="907" spans="5:12" x14ac:dyDescent="0.25">
      <c r="E907" s="58"/>
      <c r="F907" s="59">
        <v>0.62767361111111108</v>
      </c>
      <c r="G907" s="60">
        <v>0.62819444444444439</v>
      </c>
      <c r="H907" s="61"/>
      <c r="I907" s="61"/>
      <c r="J907" s="59">
        <v>0.63670138888888894</v>
      </c>
      <c r="K907" s="61"/>
      <c r="L907" s="62"/>
    </row>
    <row r="908" spans="5:12" x14ac:dyDescent="0.25">
      <c r="E908" s="53"/>
      <c r="F908" s="54">
        <v>0.6280324074074074</v>
      </c>
      <c r="G908" s="54">
        <v>0.62839120370370372</v>
      </c>
      <c r="H908" s="55"/>
      <c r="I908" s="55"/>
      <c r="J908" s="54">
        <v>0.64033564814814814</v>
      </c>
      <c r="K908" s="56"/>
      <c r="L908" s="57"/>
    </row>
    <row r="909" spans="5:12" x14ac:dyDescent="0.25">
      <c r="E909" s="58"/>
      <c r="F909" s="59">
        <v>0.6283333333333333</v>
      </c>
      <c r="G909" s="60">
        <v>0.62870370370370365</v>
      </c>
      <c r="H909" s="61"/>
      <c r="I909" s="61"/>
      <c r="J909" s="59">
        <v>0.64951388888888884</v>
      </c>
      <c r="K909" s="61"/>
      <c r="L909" s="62"/>
    </row>
    <row r="910" spans="5:12" x14ac:dyDescent="0.25">
      <c r="E910" s="53"/>
      <c r="F910" s="54">
        <v>0.62875000000000003</v>
      </c>
      <c r="G910" s="54">
        <v>0.62900462962962966</v>
      </c>
      <c r="H910" s="55"/>
      <c r="I910" s="55"/>
      <c r="J910" s="54">
        <v>0.65248842592592593</v>
      </c>
      <c r="K910" s="56"/>
      <c r="L910" s="57"/>
    </row>
    <row r="911" spans="5:12" x14ac:dyDescent="0.25">
      <c r="E911" s="58"/>
      <c r="F911" s="59">
        <v>0.62894675925925925</v>
      </c>
      <c r="G911" s="60">
        <v>0.62928240740740737</v>
      </c>
      <c r="H911" s="61"/>
      <c r="I911" s="61"/>
      <c r="J911" s="59">
        <v>0.65251157407407401</v>
      </c>
      <c r="K911" s="61"/>
      <c r="L911" s="62"/>
    </row>
    <row r="912" spans="5:12" x14ac:dyDescent="0.25">
      <c r="E912" s="53"/>
      <c r="F912" s="54">
        <v>0.62935185185185183</v>
      </c>
      <c r="G912" s="54">
        <v>0.62946759259259266</v>
      </c>
      <c r="H912" s="55"/>
      <c r="I912" s="55"/>
      <c r="J912" s="54">
        <v>0.65440972222222216</v>
      </c>
      <c r="K912" s="56"/>
      <c r="L912" s="57"/>
    </row>
    <row r="913" spans="5:12" x14ac:dyDescent="0.25">
      <c r="E913" s="58"/>
      <c r="F913" s="59">
        <v>0.62957175925925923</v>
      </c>
      <c r="G913" s="60">
        <v>0.62986111111111109</v>
      </c>
      <c r="H913" s="61"/>
      <c r="I913" s="61"/>
      <c r="J913" s="59">
        <v>0.65350694444444446</v>
      </c>
      <c r="K913" s="61"/>
      <c r="L913" s="62"/>
    </row>
    <row r="914" spans="5:12" x14ac:dyDescent="0.25">
      <c r="E914" s="53"/>
      <c r="F914" s="54">
        <v>0.63003472222222223</v>
      </c>
      <c r="G914" s="54">
        <v>0.6303819444444444</v>
      </c>
      <c r="H914" s="55"/>
      <c r="I914" s="55"/>
      <c r="J914" s="54">
        <v>0.64059027777777777</v>
      </c>
      <c r="K914" s="56"/>
      <c r="L914" s="57"/>
    </row>
    <row r="915" spans="5:12" x14ac:dyDescent="0.25">
      <c r="E915" s="58"/>
      <c r="F915" s="59">
        <v>0.63031249999999994</v>
      </c>
      <c r="G915" s="60">
        <v>0.63063657407407414</v>
      </c>
      <c r="H915" s="61"/>
      <c r="I915" s="61"/>
      <c r="J915" s="59">
        <v>0.64637731481481475</v>
      </c>
      <c r="K915" s="61"/>
      <c r="L915" s="62"/>
    </row>
    <row r="916" spans="5:12" x14ac:dyDescent="0.25">
      <c r="E916" s="53"/>
      <c r="F916" s="54">
        <v>0.6306018518518518</v>
      </c>
      <c r="G916" s="54">
        <v>0.63092592592592589</v>
      </c>
      <c r="H916" s="55"/>
      <c r="I916" s="55"/>
      <c r="J916" s="54">
        <v>0.65504629629629629</v>
      </c>
      <c r="K916" s="56"/>
      <c r="L916" s="57"/>
    </row>
    <row r="917" spans="5:12" x14ac:dyDescent="0.25">
      <c r="E917" s="58"/>
      <c r="F917" s="59">
        <v>0.63097222222222216</v>
      </c>
      <c r="G917" s="60">
        <v>0.63118055555555552</v>
      </c>
      <c r="H917" s="61"/>
      <c r="I917" s="61"/>
      <c r="J917" s="59">
        <v>0.64885416666666662</v>
      </c>
      <c r="K917" s="61"/>
      <c r="L917" s="62"/>
    </row>
    <row r="918" spans="5:12" x14ac:dyDescent="0.25">
      <c r="E918" s="53"/>
      <c r="F918" s="54">
        <v>0.63133101851851847</v>
      </c>
      <c r="G918" s="54">
        <v>0.63160879629629629</v>
      </c>
      <c r="H918" s="55"/>
      <c r="I918" s="55"/>
      <c r="J918" s="54">
        <v>0.65238425925925925</v>
      </c>
      <c r="K918" s="56"/>
      <c r="L918" s="57"/>
    </row>
    <row r="919" spans="5:12" x14ac:dyDescent="0.25">
      <c r="E919" s="58"/>
      <c r="F919" s="59">
        <v>0.63143518518518515</v>
      </c>
      <c r="G919" s="60">
        <v>0.63177083333333328</v>
      </c>
      <c r="H919" s="61"/>
      <c r="I919" s="61"/>
      <c r="J919" s="59">
        <v>0.65013888888888893</v>
      </c>
      <c r="K919" s="61"/>
      <c r="L919" s="62"/>
    </row>
    <row r="920" spans="5:12" x14ac:dyDescent="0.25">
      <c r="E920" s="53"/>
      <c r="F920" s="54">
        <v>0.63181712962962966</v>
      </c>
      <c r="G920" s="54">
        <v>0.63214120370370364</v>
      </c>
      <c r="H920" s="55"/>
      <c r="I920" s="55"/>
      <c r="J920" s="54">
        <v>0.65550925925925929</v>
      </c>
      <c r="K920" s="56"/>
      <c r="L920" s="57"/>
    </row>
    <row r="921" spans="5:12" x14ac:dyDescent="0.25">
      <c r="E921" s="58"/>
      <c r="F921" s="59">
        <v>0.63202546296296302</v>
      </c>
      <c r="G921" s="60">
        <v>0.63271990740740736</v>
      </c>
      <c r="H921" s="61"/>
      <c r="I921" s="61"/>
      <c r="J921" s="59">
        <v>0.64708333333333334</v>
      </c>
      <c r="K921" s="61"/>
      <c r="L921" s="62"/>
    </row>
    <row r="922" spans="5:12" x14ac:dyDescent="0.25">
      <c r="E922" s="53"/>
      <c r="F922" s="54">
        <v>0.63236111111111104</v>
      </c>
      <c r="G922" s="54">
        <v>0.63280092592592596</v>
      </c>
      <c r="H922" s="55"/>
      <c r="I922" s="55"/>
      <c r="J922" s="54">
        <v>0.64855324074074072</v>
      </c>
      <c r="K922" s="56"/>
      <c r="L922" s="57"/>
    </row>
    <row r="923" spans="5:12" x14ac:dyDescent="0.25">
      <c r="E923" s="58"/>
      <c r="F923" s="59">
        <v>0.63273148148148151</v>
      </c>
      <c r="G923" s="60">
        <v>0.63318287037037035</v>
      </c>
      <c r="H923" s="61"/>
      <c r="I923" s="61"/>
      <c r="J923" s="59">
        <v>0.65679398148148149</v>
      </c>
      <c r="K923" s="61"/>
      <c r="L923" s="62"/>
    </row>
    <row r="924" spans="5:12" x14ac:dyDescent="0.25">
      <c r="E924" s="53"/>
      <c r="F924" s="54">
        <v>0.63309027777777771</v>
      </c>
      <c r="G924" s="54">
        <v>0.63355324074074071</v>
      </c>
      <c r="H924" s="55"/>
      <c r="I924" s="55"/>
      <c r="J924" s="54">
        <v>0.65091435185185187</v>
      </c>
      <c r="K924" s="56"/>
      <c r="L924" s="57"/>
    </row>
    <row r="925" spans="5:12" x14ac:dyDescent="0.25">
      <c r="E925" s="58"/>
      <c r="F925" s="59">
        <v>0.63353009259259252</v>
      </c>
      <c r="G925" s="60">
        <v>0.63378472222222226</v>
      </c>
      <c r="H925" s="61"/>
      <c r="I925" s="61"/>
      <c r="J925" s="59">
        <v>0.64563657407407404</v>
      </c>
      <c r="K925" s="61"/>
      <c r="L925" s="62"/>
    </row>
    <row r="926" spans="5:12" x14ac:dyDescent="0.25">
      <c r="E926" s="53"/>
      <c r="F926" s="54">
        <v>0.63369212962962962</v>
      </c>
      <c r="G926" s="54">
        <v>0.6340972222222222</v>
      </c>
      <c r="H926" s="55"/>
      <c r="I926" s="55"/>
      <c r="J926" s="54">
        <v>0.65440972222222216</v>
      </c>
      <c r="K926" s="56"/>
      <c r="L926" s="57"/>
    </row>
    <row r="927" spans="5:12" x14ac:dyDescent="0.25">
      <c r="E927" s="58"/>
      <c r="F927" s="59">
        <v>0.63400462962962967</v>
      </c>
      <c r="G927" s="60">
        <v>0.63447916666666659</v>
      </c>
      <c r="H927" s="61"/>
      <c r="I927" s="61"/>
      <c r="J927" s="59">
        <v>0.64751157407407411</v>
      </c>
      <c r="K927" s="61"/>
      <c r="L927" s="62"/>
    </row>
    <row r="928" spans="5:12" x14ac:dyDescent="0.25">
      <c r="E928" s="53"/>
      <c r="F928" s="54">
        <v>0.63442129629629629</v>
      </c>
      <c r="G928" s="54">
        <v>0.63471064814814815</v>
      </c>
      <c r="H928" s="55"/>
      <c r="I928" s="55"/>
      <c r="J928" s="54">
        <v>0.6566319444444445</v>
      </c>
      <c r="K928" s="56"/>
      <c r="L928" s="57"/>
    </row>
    <row r="929" spans="5:12" x14ac:dyDescent="0.25">
      <c r="E929" s="58"/>
      <c r="F929" s="59">
        <v>0.63479166666666664</v>
      </c>
      <c r="G929" s="60">
        <v>0.63501157407407405</v>
      </c>
      <c r="H929" s="61"/>
      <c r="I929" s="61"/>
      <c r="J929" s="59">
        <v>0.64759259259259261</v>
      </c>
      <c r="K929" s="61"/>
      <c r="L929" s="62"/>
    </row>
    <row r="930" spans="5:12" x14ac:dyDescent="0.25">
      <c r="E930" s="53"/>
      <c r="F930" s="54">
        <v>0.63510416666666669</v>
      </c>
      <c r="G930" s="54">
        <v>0.63553240740740746</v>
      </c>
      <c r="H930" s="55"/>
      <c r="I930" s="55"/>
      <c r="J930" s="54">
        <v>0.64094907407407409</v>
      </c>
      <c r="K930" s="56"/>
      <c r="L930" s="57"/>
    </row>
    <row r="931" spans="5:12" x14ac:dyDescent="0.25">
      <c r="E931" s="58"/>
      <c r="F931" s="59">
        <v>0.63547453703703705</v>
      </c>
      <c r="G931" s="60">
        <v>0.63578703703703698</v>
      </c>
      <c r="H931" s="61"/>
      <c r="I931" s="61"/>
      <c r="J931" s="59">
        <v>0.65017361111111105</v>
      </c>
      <c r="K931" s="61"/>
      <c r="L931" s="62"/>
    </row>
    <row r="932" spans="5:12" x14ac:dyDescent="0.25">
      <c r="E932" s="53"/>
      <c r="F932" s="54">
        <v>0.63567129629629626</v>
      </c>
      <c r="G932" s="54">
        <v>0.63607638888888884</v>
      </c>
      <c r="H932" s="55"/>
      <c r="I932" s="55"/>
      <c r="J932" s="54">
        <v>0.65688657407407403</v>
      </c>
      <c r="K932" s="56"/>
      <c r="L932" s="57"/>
    </row>
    <row r="933" spans="5:12" x14ac:dyDescent="0.25">
      <c r="E933" s="58"/>
      <c r="F933" s="59">
        <v>0.63597222222222227</v>
      </c>
      <c r="G933" s="60">
        <v>0.63651620370370365</v>
      </c>
      <c r="H933" s="61"/>
      <c r="I933" s="61"/>
      <c r="J933" s="59">
        <v>0.65065972222222224</v>
      </c>
      <c r="K933" s="61"/>
      <c r="L933" s="62"/>
    </row>
    <row r="934" spans="5:12" x14ac:dyDescent="0.25">
      <c r="E934" s="53"/>
      <c r="F934" s="54">
        <v>0.63631944444444444</v>
      </c>
      <c r="G934" s="54">
        <v>0.63653935185185184</v>
      </c>
      <c r="H934" s="55"/>
      <c r="I934" s="55"/>
      <c r="J934" s="54">
        <v>0.6636805555555555</v>
      </c>
      <c r="K934" s="56"/>
      <c r="L934" s="57"/>
    </row>
    <row r="935" spans="5:12" x14ac:dyDescent="0.25">
      <c r="E935" s="58"/>
      <c r="F935" s="59">
        <v>0.63658564814814811</v>
      </c>
      <c r="G935" s="60">
        <v>0.63695601851851846</v>
      </c>
      <c r="H935" s="61"/>
      <c r="I935" s="61"/>
      <c r="J935" s="59">
        <v>0.65497685185185184</v>
      </c>
      <c r="K935" s="61"/>
      <c r="L935" s="62"/>
    </row>
    <row r="936" spans="5:12" x14ac:dyDescent="0.25">
      <c r="E936" s="53"/>
      <c r="F936" s="54">
        <v>0.63692129629629635</v>
      </c>
      <c r="G936" s="54">
        <v>0.6372916666666667</v>
      </c>
      <c r="H936" s="55"/>
      <c r="I936" s="55"/>
      <c r="J936" s="54">
        <v>0.65467592592592594</v>
      </c>
      <c r="K936" s="56"/>
      <c r="L936" s="57"/>
    </row>
    <row r="937" spans="5:12" x14ac:dyDescent="0.25">
      <c r="E937" s="58"/>
      <c r="F937" s="59">
        <v>0.63736111111111116</v>
      </c>
      <c r="G937" s="60">
        <v>0.63776620370370374</v>
      </c>
      <c r="H937" s="61"/>
      <c r="I937" s="61"/>
      <c r="J937" s="59">
        <v>0.65478009259259262</v>
      </c>
      <c r="K937" s="61"/>
      <c r="L937" s="62"/>
    </row>
    <row r="938" spans="5:12" x14ac:dyDescent="0.25">
      <c r="E938" s="53"/>
      <c r="F938" s="54">
        <v>0.63782407407407404</v>
      </c>
      <c r="G938" s="54">
        <v>0.63813657407407409</v>
      </c>
      <c r="H938" s="55"/>
      <c r="I938" s="55"/>
      <c r="J938" s="54">
        <v>0.65680555555555553</v>
      </c>
      <c r="K938" s="56"/>
      <c r="L938" s="57"/>
    </row>
    <row r="939" spans="5:12" x14ac:dyDescent="0.25">
      <c r="E939" s="58"/>
      <c r="F939" s="59">
        <v>0.63798611111111114</v>
      </c>
      <c r="G939" s="60">
        <v>0.63829861111111108</v>
      </c>
      <c r="H939" s="61"/>
      <c r="I939" s="61"/>
      <c r="J939" s="59">
        <v>0.65304398148148146</v>
      </c>
      <c r="K939" s="61"/>
      <c r="L939" s="62"/>
    </row>
    <row r="940" spans="5:12" x14ac:dyDescent="0.25">
      <c r="E940" s="53"/>
      <c r="F940" s="54">
        <v>0.63831018518518523</v>
      </c>
      <c r="G940" s="54">
        <v>0.63862268518518517</v>
      </c>
      <c r="H940" s="55"/>
      <c r="I940" s="55"/>
      <c r="J940" s="54">
        <v>0.65531249999999996</v>
      </c>
      <c r="K940" s="56"/>
      <c r="L940" s="57"/>
    </row>
    <row r="941" spans="5:12" x14ac:dyDescent="0.25">
      <c r="E941" s="58"/>
      <c r="F941" s="59">
        <v>0.6385763888888889</v>
      </c>
      <c r="G941" s="60">
        <v>0.63892361111111107</v>
      </c>
      <c r="H941" s="61"/>
      <c r="I941" s="61"/>
      <c r="J941" s="59">
        <v>0.64945601851851853</v>
      </c>
      <c r="K941" s="61"/>
      <c r="L941" s="62"/>
    </row>
    <row r="942" spans="5:12" x14ac:dyDescent="0.25">
      <c r="E942" s="53"/>
      <c r="F942" s="54">
        <v>0.63891203703703703</v>
      </c>
      <c r="G942" s="54">
        <v>0.63942129629629629</v>
      </c>
      <c r="H942" s="55"/>
      <c r="I942" s="55"/>
      <c r="J942" s="54">
        <v>0.65540509259259261</v>
      </c>
      <c r="K942" s="56"/>
      <c r="L942" s="57"/>
    </row>
    <row r="943" spans="5:12" x14ac:dyDescent="0.25">
      <c r="E943" s="58"/>
      <c r="F943" s="59">
        <v>0.63916666666666666</v>
      </c>
      <c r="G943" s="60">
        <v>0.63962962962962966</v>
      </c>
      <c r="H943" s="61"/>
      <c r="I943" s="61"/>
      <c r="J943" s="59">
        <v>0.65520833333333328</v>
      </c>
      <c r="K943" s="61"/>
      <c r="L943" s="62"/>
    </row>
    <row r="944" spans="5:12" x14ac:dyDescent="0.25">
      <c r="E944" s="53"/>
      <c r="F944" s="54">
        <v>0.63922453703703697</v>
      </c>
      <c r="G944" s="54">
        <v>0.63951388888888883</v>
      </c>
      <c r="H944" s="55"/>
      <c r="I944" s="55"/>
      <c r="J944" s="54">
        <v>0.65523148148148147</v>
      </c>
      <c r="K944" s="56"/>
      <c r="L944" s="57"/>
    </row>
    <row r="945" spans="5:12" x14ac:dyDescent="0.25">
      <c r="E945" s="58"/>
      <c r="F945" s="59">
        <v>0.63967592592592593</v>
      </c>
      <c r="G945" s="60">
        <v>0.64028935185185187</v>
      </c>
      <c r="H945" s="61"/>
      <c r="I945" s="61"/>
      <c r="J945" s="59">
        <v>0.64983796296296303</v>
      </c>
      <c r="K945" s="61"/>
      <c r="L945" s="62"/>
    </row>
    <row r="946" spans="5:12" x14ac:dyDescent="0.25">
      <c r="E946" s="53"/>
      <c r="F946" s="54">
        <v>0.64006944444444447</v>
      </c>
      <c r="G946" s="54">
        <v>0.64045138888888886</v>
      </c>
      <c r="H946" s="55"/>
      <c r="I946" s="55"/>
      <c r="J946" s="54">
        <v>0.6598032407407407</v>
      </c>
      <c r="K946" s="56"/>
      <c r="L946" s="57"/>
    </row>
    <row r="947" spans="5:12" x14ac:dyDescent="0.25">
      <c r="E947" s="58"/>
      <c r="F947" s="59">
        <v>0.64041666666666663</v>
      </c>
      <c r="G947" s="60">
        <v>0.64077546296296295</v>
      </c>
      <c r="H947" s="61"/>
      <c r="I947" s="61"/>
      <c r="J947" s="59">
        <v>0.66142361111111114</v>
      </c>
      <c r="K947" s="61"/>
      <c r="L947" s="62"/>
    </row>
    <row r="948" spans="5:12" x14ac:dyDescent="0.25">
      <c r="E948" s="53"/>
      <c r="F948" s="54">
        <v>0.64076388888888891</v>
      </c>
      <c r="G948" s="54">
        <v>0.641087962962963</v>
      </c>
      <c r="H948" s="55"/>
      <c r="I948" s="55"/>
      <c r="J948" s="54">
        <v>0.65986111111111112</v>
      </c>
      <c r="K948" s="56"/>
      <c r="L948" s="57"/>
    </row>
    <row r="949" spans="5:12" x14ac:dyDescent="0.25">
      <c r="E949" s="58"/>
      <c r="F949" s="59">
        <v>0.64099537037037035</v>
      </c>
      <c r="G949" s="60">
        <v>0.64136574074074071</v>
      </c>
      <c r="H949" s="61"/>
      <c r="I949" s="61"/>
      <c r="J949" s="59">
        <v>0.65255787037037039</v>
      </c>
      <c r="K949" s="61"/>
      <c r="L949" s="62"/>
    </row>
    <row r="950" spans="5:12" x14ac:dyDescent="0.25">
      <c r="E950" s="53"/>
      <c r="F950" s="54">
        <v>0.64123842592592595</v>
      </c>
      <c r="G950" s="54">
        <v>0.64167824074074076</v>
      </c>
      <c r="H950" s="55"/>
      <c r="I950" s="55"/>
      <c r="J950" s="54">
        <v>0.66549768518518515</v>
      </c>
      <c r="K950" s="56"/>
      <c r="L950" s="57"/>
    </row>
    <row r="951" spans="5:12" x14ac:dyDescent="0.25">
      <c r="E951" s="58"/>
      <c r="F951" s="59">
        <v>0.64136574074074071</v>
      </c>
      <c r="G951" s="60">
        <v>0.64170138888888884</v>
      </c>
      <c r="H951" s="61"/>
      <c r="I951" s="61"/>
      <c r="J951" s="59">
        <v>0.65793981481481478</v>
      </c>
      <c r="K951" s="61"/>
      <c r="L951" s="62"/>
    </row>
    <row r="952" spans="5:12" x14ac:dyDescent="0.25">
      <c r="E952" s="53"/>
      <c r="F952" s="54">
        <v>0.64195601851851858</v>
      </c>
      <c r="G952" s="54">
        <v>0.64228009259259256</v>
      </c>
      <c r="H952" s="55"/>
      <c r="I952" s="55"/>
      <c r="J952" s="54">
        <v>0.65392361111111108</v>
      </c>
      <c r="K952" s="56"/>
      <c r="L952" s="57"/>
    </row>
    <row r="953" spans="5:12" x14ac:dyDescent="0.25">
      <c r="E953" s="58"/>
      <c r="F953" s="59">
        <v>0.64231481481481478</v>
      </c>
      <c r="G953" s="60">
        <v>0.64285879629629628</v>
      </c>
      <c r="H953" s="61"/>
      <c r="I953" s="61"/>
      <c r="J953" s="59">
        <v>0.66364583333333338</v>
      </c>
      <c r="K953" s="61"/>
      <c r="L953" s="62"/>
    </row>
    <row r="954" spans="5:12" x14ac:dyDescent="0.25">
      <c r="E954" s="53"/>
      <c r="F954" s="54">
        <v>0.64288194444444446</v>
      </c>
      <c r="G954" s="54">
        <v>0.64325231481481482</v>
      </c>
      <c r="H954" s="55"/>
      <c r="I954" s="55"/>
      <c r="J954" s="54">
        <v>0.66125</v>
      </c>
      <c r="K954" s="56"/>
      <c r="L954" s="57"/>
    </row>
    <row r="955" spans="5:12" x14ac:dyDescent="0.25">
      <c r="E955" s="58"/>
      <c r="F955" s="59">
        <v>0.64307870370370368</v>
      </c>
      <c r="G955" s="60">
        <v>0.6434375</v>
      </c>
      <c r="H955" s="61"/>
      <c r="I955" s="61"/>
      <c r="J955" s="59">
        <v>0.66346064814814809</v>
      </c>
      <c r="K955" s="61"/>
      <c r="L955" s="62"/>
    </row>
    <row r="956" spans="5:12" x14ac:dyDescent="0.25">
      <c r="E956" s="53"/>
      <c r="F956" s="54">
        <v>0.64334490740740746</v>
      </c>
      <c r="G956" s="54">
        <v>0.64383101851851854</v>
      </c>
      <c r="H956" s="55"/>
      <c r="I956" s="55"/>
      <c r="J956" s="54">
        <v>0.65896990740740746</v>
      </c>
      <c r="K956" s="56"/>
      <c r="L956" s="57"/>
    </row>
    <row r="957" spans="5:12" x14ac:dyDescent="0.25">
      <c r="E957" s="58"/>
      <c r="F957" s="59">
        <v>0.64353009259259253</v>
      </c>
      <c r="G957" s="60">
        <v>0.64393518518518522</v>
      </c>
      <c r="H957" s="61"/>
      <c r="I957" s="61"/>
      <c r="J957" s="59">
        <v>0.66999999999999993</v>
      </c>
      <c r="K957" s="61"/>
      <c r="L957" s="62"/>
    </row>
    <row r="958" spans="5:12" x14ac:dyDescent="0.25">
      <c r="E958" s="53"/>
      <c r="F958" s="54">
        <v>0.64387731481481481</v>
      </c>
      <c r="G958" s="54">
        <v>0.64437500000000003</v>
      </c>
      <c r="H958" s="55"/>
      <c r="I958" s="55"/>
      <c r="J958" s="54">
        <v>0.66432870370370367</v>
      </c>
      <c r="K958" s="56"/>
      <c r="L958" s="57"/>
    </row>
    <row r="959" spans="5:12" x14ac:dyDescent="0.25">
      <c r="E959" s="58"/>
      <c r="F959" s="59">
        <v>0.6441203703703704</v>
      </c>
      <c r="G959" s="60">
        <v>0.64456018518518521</v>
      </c>
      <c r="H959" s="61"/>
      <c r="I959" s="61"/>
      <c r="J959" s="59">
        <v>0.66496527777777781</v>
      </c>
      <c r="K959" s="61"/>
      <c r="L959" s="62"/>
    </row>
    <row r="960" spans="5:12" x14ac:dyDescent="0.25">
      <c r="E960" s="53"/>
      <c r="F960" s="54">
        <v>0.64432870370370365</v>
      </c>
      <c r="G960" s="54">
        <v>0.6445833333333334</v>
      </c>
      <c r="H960" s="55"/>
      <c r="I960" s="55"/>
      <c r="J960" s="54">
        <v>0.65748842592592593</v>
      </c>
      <c r="K960" s="56"/>
      <c r="L960" s="57"/>
    </row>
    <row r="961" spans="5:12" x14ac:dyDescent="0.25">
      <c r="E961" s="58"/>
      <c r="F961" s="59">
        <v>0.64454861111111106</v>
      </c>
      <c r="G961" s="60">
        <v>0.64482638888888888</v>
      </c>
      <c r="H961" s="61"/>
      <c r="I961" s="61"/>
      <c r="J961" s="59">
        <v>0.66074074074074074</v>
      </c>
      <c r="K961" s="61"/>
      <c r="L961" s="62"/>
    </row>
    <row r="962" spans="5:12" x14ac:dyDescent="0.25">
      <c r="E962" s="53"/>
      <c r="F962" s="54">
        <v>0.64496527777777779</v>
      </c>
      <c r="G962" s="54">
        <v>0.64532407407407411</v>
      </c>
      <c r="H962" s="55"/>
      <c r="I962" s="55"/>
      <c r="J962" s="54">
        <v>0.66190972222222222</v>
      </c>
      <c r="K962" s="56"/>
      <c r="L962" s="57"/>
    </row>
    <row r="963" spans="5:12" x14ac:dyDescent="0.25">
      <c r="E963" s="58"/>
      <c r="F963" s="59">
        <v>0.64530092592592592</v>
      </c>
      <c r="G963" s="60">
        <v>0.64550925925925928</v>
      </c>
      <c r="H963" s="61"/>
      <c r="I963" s="61"/>
      <c r="J963" s="59">
        <v>0.66344907407407405</v>
      </c>
      <c r="K963" s="61"/>
      <c r="L963" s="62"/>
    </row>
    <row r="964" spans="5:12" x14ac:dyDescent="0.25">
      <c r="E964" s="53"/>
      <c r="F964" s="54">
        <v>0.64561342592592597</v>
      </c>
      <c r="G964" s="54">
        <v>0.64611111111111108</v>
      </c>
      <c r="H964" s="55"/>
      <c r="I964" s="55"/>
      <c r="J964" s="54">
        <v>0.65796296296296297</v>
      </c>
      <c r="K964" s="56"/>
      <c r="L964" s="57"/>
    </row>
    <row r="965" spans="5:12" x14ac:dyDescent="0.25">
      <c r="E965" s="58"/>
      <c r="F965" s="59">
        <v>0.6459259259259259</v>
      </c>
      <c r="G965" s="60">
        <v>0.64643518518518517</v>
      </c>
      <c r="H965" s="61"/>
      <c r="I965" s="61"/>
      <c r="J965" s="59">
        <v>0.66537037037037039</v>
      </c>
      <c r="K965" s="61"/>
      <c r="L965" s="62"/>
    </row>
    <row r="966" spans="5:12" x14ac:dyDescent="0.25">
      <c r="E966" s="53"/>
      <c r="F966" s="54">
        <v>0.64640046296296294</v>
      </c>
      <c r="G966" s="54">
        <v>0.64653935185185185</v>
      </c>
      <c r="H966" s="55"/>
      <c r="I966" s="55"/>
      <c r="J966" s="54">
        <v>0.66207175925925921</v>
      </c>
      <c r="K966" s="56"/>
      <c r="L966" s="57"/>
    </row>
    <row r="967" spans="5:12" x14ac:dyDescent="0.25">
      <c r="E967" s="58"/>
      <c r="F967" s="59">
        <v>0.64674768518518522</v>
      </c>
      <c r="G967" s="60">
        <v>0.64700231481481485</v>
      </c>
      <c r="H967" s="61"/>
      <c r="I967" s="61"/>
      <c r="J967" s="59">
        <v>0.66268518518518515</v>
      </c>
      <c r="K967" s="61"/>
      <c r="L967" s="62"/>
    </row>
    <row r="968" spans="5:12" x14ac:dyDescent="0.25">
      <c r="E968" s="53"/>
      <c r="F968" s="54">
        <v>0.64688657407407402</v>
      </c>
      <c r="G968" s="54">
        <v>0.64701388888888889</v>
      </c>
      <c r="H968" s="55"/>
      <c r="I968" s="55"/>
      <c r="J968" s="54">
        <v>0.65760416666666666</v>
      </c>
      <c r="K968" s="56"/>
      <c r="L968" s="57"/>
    </row>
    <row r="969" spans="5:12" x14ac:dyDescent="0.25">
      <c r="E969" s="58"/>
      <c r="F969" s="59">
        <v>0.64700231481481485</v>
      </c>
      <c r="G969" s="60">
        <v>0.64749999999999996</v>
      </c>
      <c r="H969" s="61"/>
      <c r="I969" s="61"/>
      <c r="J969" s="59">
        <v>0.67491898148148144</v>
      </c>
      <c r="K969" s="61"/>
      <c r="L969" s="62"/>
    </row>
    <row r="970" spans="5:12" x14ac:dyDescent="0.25">
      <c r="E970" s="53"/>
      <c r="F970" s="54">
        <v>0.64723379629629629</v>
      </c>
      <c r="G970" s="54">
        <v>0.64760416666666665</v>
      </c>
      <c r="H970" s="55"/>
      <c r="I970" s="55"/>
      <c r="J970" s="54">
        <v>0.66783564814814822</v>
      </c>
      <c r="K970" s="56"/>
      <c r="L970" s="57"/>
    </row>
    <row r="971" spans="5:12" x14ac:dyDescent="0.25">
      <c r="E971" s="58"/>
      <c r="F971" s="59">
        <v>0.64760416666666665</v>
      </c>
      <c r="G971" s="60">
        <v>0.64800925925925923</v>
      </c>
      <c r="H971" s="61"/>
      <c r="I971" s="61"/>
      <c r="J971" s="59">
        <v>0.64997685185185183</v>
      </c>
      <c r="K971" s="61"/>
      <c r="L971" s="62"/>
    </row>
    <row r="972" spans="5:12" x14ac:dyDescent="0.25">
      <c r="E972" s="53"/>
      <c r="F972" s="54">
        <v>0.64788194444444447</v>
      </c>
      <c r="G972" s="54">
        <v>0.64810185185185187</v>
      </c>
      <c r="H972" s="55"/>
      <c r="I972" s="55"/>
      <c r="J972" s="54">
        <v>0.66186342592592595</v>
      </c>
      <c r="K972" s="56"/>
      <c r="L972" s="57"/>
    </row>
    <row r="973" spans="5:12" x14ac:dyDescent="0.25">
      <c r="E973" s="58"/>
      <c r="F973" s="59">
        <v>0.6481365740740741</v>
      </c>
      <c r="G973" s="60">
        <v>0.64851851851851849</v>
      </c>
      <c r="H973" s="61"/>
      <c r="I973" s="61"/>
      <c r="J973" s="59">
        <v>0.66271990740740738</v>
      </c>
      <c r="K973" s="61"/>
      <c r="L973" s="62"/>
    </row>
    <row r="974" spans="5:12" x14ac:dyDescent="0.25">
      <c r="E974" s="53"/>
      <c r="F974" s="54">
        <v>0.64829861111111109</v>
      </c>
      <c r="G974" s="54">
        <v>0.64869212962962963</v>
      </c>
      <c r="H974" s="55"/>
      <c r="I974" s="55"/>
      <c r="J974" s="54">
        <v>0.66729166666666673</v>
      </c>
      <c r="K974" s="56"/>
      <c r="L974" s="57"/>
    </row>
    <row r="975" spans="5:12" x14ac:dyDescent="0.25">
      <c r="E975" s="58"/>
      <c r="F975" s="59">
        <v>0.64856481481481476</v>
      </c>
      <c r="G975" s="60">
        <v>0.64876157407407409</v>
      </c>
      <c r="H975" s="61"/>
      <c r="I975" s="61"/>
      <c r="J975" s="59">
        <v>0.66303240740740743</v>
      </c>
      <c r="K975" s="61"/>
      <c r="L975" s="62"/>
    </row>
    <row r="976" spans="5:12" x14ac:dyDescent="0.25">
      <c r="E976" s="53"/>
      <c r="F976" s="54">
        <v>0.64876157407407409</v>
      </c>
      <c r="G976" s="54">
        <v>0.64896990740740745</v>
      </c>
      <c r="H976" s="55"/>
      <c r="I976" s="55"/>
      <c r="J976" s="54">
        <v>0.67383101851851857</v>
      </c>
      <c r="K976" s="56"/>
      <c r="L976" s="57"/>
    </row>
    <row r="977" spans="5:12" x14ac:dyDescent="0.25">
      <c r="E977" s="58"/>
      <c r="F977" s="59">
        <v>0.64913194444444444</v>
      </c>
      <c r="G977" s="60">
        <v>0.64935185185185185</v>
      </c>
      <c r="H977" s="61"/>
      <c r="I977" s="61"/>
      <c r="J977" s="59">
        <v>0.66695601851851849</v>
      </c>
      <c r="K977" s="61"/>
      <c r="L977" s="62"/>
    </row>
    <row r="978" spans="5:12" x14ac:dyDescent="0.25">
      <c r="E978" s="53"/>
      <c r="F978" s="54">
        <v>0.64938657407407407</v>
      </c>
      <c r="G978" s="54">
        <v>0.64966435185185178</v>
      </c>
      <c r="H978" s="55"/>
      <c r="I978" s="55"/>
      <c r="J978" s="54">
        <v>0.66015046296296298</v>
      </c>
      <c r="K978" s="56"/>
      <c r="L978" s="57"/>
    </row>
    <row r="979" spans="5:12" x14ac:dyDescent="0.25">
      <c r="E979" s="58"/>
      <c r="F979" s="59">
        <v>0.64997685185185183</v>
      </c>
      <c r="G979" s="60">
        <v>0.65023148148148147</v>
      </c>
      <c r="H979" s="61"/>
      <c r="I979" s="61"/>
      <c r="J979" s="59">
        <v>0.67008101851851853</v>
      </c>
      <c r="K979" s="61"/>
      <c r="L979" s="62"/>
    </row>
    <row r="980" spans="5:12" x14ac:dyDescent="0.25">
      <c r="E980" s="53"/>
      <c r="F980" s="54">
        <v>0.65021990740740743</v>
      </c>
      <c r="G980" s="54">
        <v>0.65054398148148151</v>
      </c>
      <c r="H980" s="55"/>
      <c r="I980" s="55"/>
      <c r="J980" s="54">
        <v>0.66920138888888892</v>
      </c>
      <c r="K980" s="56"/>
      <c r="L980" s="57"/>
    </row>
    <row r="981" spans="5:12" x14ac:dyDescent="0.25">
      <c r="E981" s="58"/>
      <c r="F981" s="59">
        <v>0.65067129629629628</v>
      </c>
      <c r="G981" s="60">
        <v>0.65091435185185187</v>
      </c>
      <c r="H981" s="61"/>
      <c r="I981" s="61"/>
      <c r="J981" s="59">
        <v>0.66592592592592592</v>
      </c>
      <c r="K981" s="61"/>
      <c r="L981" s="62"/>
    </row>
    <row r="982" spans="5:12" x14ac:dyDescent="0.25">
      <c r="E982" s="53"/>
      <c r="F982" s="54">
        <v>0.6508680555555556</v>
      </c>
      <c r="G982" s="54">
        <v>0.6511689814814815</v>
      </c>
      <c r="H982" s="55"/>
      <c r="I982" s="55"/>
      <c r="J982" s="54">
        <v>0.67230324074074066</v>
      </c>
      <c r="K982" s="56"/>
      <c r="L982" s="57"/>
    </row>
    <row r="983" spans="5:12" x14ac:dyDescent="0.25">
      <c r="E983" s="58"/>
      <c r="F983" s="59">
        <v>0.65128472222222222</v>
      </c>
      <c r="G983" s="60">
        <v>0.65135416666666668</v>
      </c>
      <c r="H983" s="61"/>
      <c r="I983" s="61"/>
      <c r="J983" s="59">
        <v>0.66600694444444442</v>
      </c>
      <c r="K983" s="61"/>
      <c r="L983" s="62"/>
    </row>
    <row r="984" spans="5:12" x14ac:dyDescent="0.25">
      <c r="E984" s="53"/>
      <c r="F984" s="54">
        <v>0.65172453703703703</v>
      </c>
      <c r="G984" s="54">
        <v>0.65221064814814811</v>
      </c>
      <c r="H984" s="55"/>
      <c r="I984" s="55"/>
      <c r="J984" s="54">
        <v>0.67261574074074071</v>
      </c>
      <c r="K984" s="56"/>
      <c r="L984" s="57"/>
    </row>
    <row r="985" spans="5:12" x14ac:dyDescent="0.25">
      <c r="E985" s="58"/>
      <c r="F985" s="59">
        <v>0.65184027777777775</v>
      </c>
      <c r="G985" s="60">
        <v>0.65219907407407407</v>
      </c>
      <c r="H985" s="61"/>
      <c r="I985" s="61"/>
      <c r="J985" s="59">
        <v>0.66818287037037039</v>
      </c>
      <c r="K985" s="61"/>
      <c r="L985" s="62"/>
    </row>
    <row r="986" spans="5:12" x14ac:dyDescent="0.25">
      <c r="E986" s="53"/>
      <c r="F986" s="54">
        <v>0.65203703703703708</v>
      </c>
      <c r="G986" s="54">
        <v>0.6526157407407408</v>
      </c>
      <c r="H986" s="55"/>
      <c r="I986" s="55"/>
      <c r="J986" s="54">
        <v>0.67375000000000007</v>
      </c>
      <c r="K986" s="56"/>
      <c r="L986" s="57"/>
    </row>
    <row r="987" spans="5:12" x14ac:dyDescent="0.25">
      <c r="E987" s="58"/>
      <c r="F987" s="59">
        <v>0.65237268518518521</v>
      </c>
      <c r="G987" s="60">
        <v>0.65273148148148141</v>
      </c>
      <c r="H987" s="61"/>
      <c r="I987" s="61"/>
      <c r="J987" s="59">
        <v>0.66859953703703701</v>
      </c>
      <c r="K987" s="61"/>
      <c r="L987" s="62"/>
    </row>
    <row r="988" spans="5:12" x14ac:dyDescent="0.25">
      <c r="E988" s="53"/>
      <c r="F988" s="54">
        <v>0.65263888888888888</v>
      </c>
      <c r="G988" s="54">
        <v>0.65273148148148141</v>
      </c>
      <c r="H988" s="55"/>
      <c r="I988" s="55"/>
      <c r="J988" s="54">
        <v>0.67733796296296289</v>
      </c>
      <c r="K988" s="56"/>
      <c r="L988" s="57"/>
    </row>
    <row r="989" spans="5:12" x14ac:dyDescent="0.25">
      <c r="E989" s="58"/>
      <c r="F989" s="59">
        <v>0.65289351851851851</v>
      </c>
      <c r="G989" s="60">
        <v>0.65332175925925928</v>
      </c>
      <c r="H989" s="61"/>
      <c r="I989" s="61"/>
      <c r="J989" s="59">
        <v>0.67803240740740733</v>
      </c>
      <c r="K989" s="61"/>
      <c r="L989" s="62"/>
    </row>
    <row r="990" spans="5:12" x14ac:dyDescent="0.25">
      <c r="E990" s="53"/>
      <c r="F990" s="54">
        <v>0.65315972222222218</v>
      </c>
      <c r="G990" s="54">
        <v>0.65347222222222223</v>
      </c>
      <c r="H990" s="55"/>
      <c r="I990" s="55"/>
      <c r="J990" s="54">
        <v>0.671412037037037</v>
      </c>
      <c r="K990" s="56"/>
      <c r="L990" s="57"/>
    </row>
    <row r="991" spans="5:12" x14ac:dyDescent="0.25">
      <c r="E991" s="58"/>
      <c r="F991" s="59">
        <v>0.65341435185185182</v>
      </c>
      <c r="G991" s="60">
        <v>0.65371527777777783</v>
      </c>
      <c r="H991" s="61"/>
      <c r="I991" s="61"/>
      <c r="J991" s="59">
        <v>0.6743055555555556</v>
      </c>
      <c r="K991" s="61"/>
      <c r="L991" s="62"/>
    </row>
    <row r="992" spans="5:12" x14ac:dyDescent="0.25">
      <c r="E992" s="53"/>
      <c r="F992" s="54">
        <v>0.65366898148148145</v>
      </c>
      <c r="G992" s="54">
        <v>0.65410879629629626</v>
      </c>
      <c r="H992" s="55"/>
      <c r="I992" s="55"/>
      <c r="J992" s="54">
        <v>0.67222222222222217</v>
      </c>
      <c r="K992" s="56"/>
      <c r="L992" s="57"/>
    </row>
    <row r="993" spans="5:12" x14ac:dyDescent="0.25">
      <c r="E993" s="58"/>
      <c r="F993" s="59">
        <v>0.65396990740740735</v>
      </c>
      <c r="G993" s="60">
        <v>0.65442129629629631</v>
      </c>
      <c r="H993" s="61"/>
      <c r="I993" s="61"/>
      <c r="J993" s="59">
        <v>0.6753703703703704</v>
      </c>
      <c r="K993" s="61"/>
      <c r="L993" s="62"/>
    </row>
    <row r="994" spans="5:12" x14ac:dyDescent="0.25">
      <c r="E994" s="53"/>
      <c r="F994" s="54">
        <v>0.65439814814814812</v>
      </c>
      <c r="G994" s="54">
        <v>0.65487268518518515</v>
      </c>
      <c r="H994" s="55"/>
      <c r="I994" s="55"/>
      <c r="J994" s="54">
        <v>0.67497685185185186</v>
      </c>
      <c r="K994" s="56"/>
      <c r="L994" s="57"/>
    </row>
    <row r="995" spans="5:12" x14ac:dyDescent="0.25">
      <c r="E995" s="58"/>
      <c r="F995" s="59">
        <v>0.65476851851851847</v>
      </c>
      <c r="G995" s="60">
        <v>0.65494212962962961</v>
      </c>
      <c r="H995" s="61"/>
      <c r="I995" s="61"/>
      <c r="J995" s="59">
        <v>0.66971064814814818</v>
      </c>
      <c r="K995" s="61"/>
      <c r="L995" s="62"/>
    </row>
    <row r="996" spans="5:12" x14ac:dyDescent="0.25">
      <c r="E996" s="53"/>
      <c r="F996" s="54">
        <v>0.65527777777777774</v>
      </c>
      <c r="G996" s="54">
        <v>0.65539351851851857</v>
      </c>
      <c r="H996" s="55"/>
      <c r="I996" s="55"/>
      <c r="J996" s="54">
        <v>0.66821759259259261</v>
      </c>
      <c r="K996" s="56"/>
      <c r="L996" s="57"/>
    </row>
    <row r="997" spans="5:12" x14ac:dyDescent="0.25">
      <c r="E997" s="58"/>
      <c r="F997" s="59">
        <v>0.65547453703703706</v>
      </c>
      <c r="G997" s="60">
        <v>0.65584490740740742</v>
      </c>
      <c r="H997" s="61"/>
      <c r="I997" s="61"/>
      <c r="J997" s="59">
        <v>0.66913194444444446</v>
      </c>
      <c r="K997" s="61"/>
      <c r="L997" s="62"/>
    </row>
    <row r="998" spans="5:12" x14ac:dyDescent="0.25">
      <c r="E998" s="53"/>
      <c r="F998" s="54">
        <v>0.65574074074074074</v>
      </c>
      <c r="G998" s="54">
        <v>0.65622685185185181</v>
      </c>
      <c r="H998" s="55"/>
      <c r="I998" s="55"/>
      <c r="J998" s="54">
        <v>0.67606481481481484</v>
      </c>
      <c r="K998" s="56"/>
      <c r="L998" s="57"/>
    </row>
    <row r="999" spans="5:12" x14ac:dyDescent="0.25">
      <c r="E999" s="58"/>
      <c r="F999" s="59">
        <v>0.65599537037037037</v>
      </c>
      <c r="G999" s="60">
        <v>0.65622685185185181</v>
      </c>
      <c r="H999" s="61"/>
      <c r="I999" s="61"/>
      <c r="J999" s="59">
        <v>0.67486111111111102</v>
      </c>
      <c r="K999" s="61"/>
      <c r="L999" s="62"/>
    </row>
    <row r="1000" spans="5:12" x14ac:dyDescent="0.25">
      <c r="E1000" s="53"/>
      <c r="F1000" s="54">
        <v>0.65620370370370373</v>
      </c>
      <c r="G1000" s="54">
        <v>0.6565509259259259</v>
      </c>
      <c r="H1000" s="55"/>
      <c r="I1000" s="55"/>
      <c r="J1000" s="54">
        <v>0.67667824074074068</v>
      </c>
      <c r="K1000" s="56"/>
      <c r="L1000" s="57"/>
    </row>
    <row r="1001" spans="5:12" x14ac:dyDescent="0.25">
      <c r="E1001" s="58"/>
      <c r="F1001" s="59">
        <v>0.65627314814814819</v>
      </c>
      <c r="G1001" s="60">
        <v>0.65675925925925926</v>
      </c>
      <c r="H1001" s="61"/>
      <c r="I1001" s="61"/>
      <c r="J1001" s="59">
        <v>0.68245370370370362</v>
      </c>
      <c r="K1001" s="61"/>
      <c r="L1001" s="62"/>
    </row>
    <row r="1002" spans="5:12" x14ac:dyDescent="0.25">
      <c r="E1002" s="53"/>
      <c r="F1002" s="54">
        <v>0.65666666666666662</v>
      </c>
      <c r="G1002" s="54">
        <v>0.65714120370370377</v>
      </c>
      <c r="H1002" s="55"/>
      <c r="I1002" s="55"/>
      <c r="J1002" s="54">
        <v>0.67527777777777775</v>
      </c>
      <c r="K1002" s="56"/>
      <c r="L1002" s="57"/>
    </row>
    <row r="1003" spans="5:12" x14ac:dyDescent="0.25">
      <c r="E1003" s="58"/>
      <c r="F1003" s="59">
        <v>0.65706018518518516</v>
      </c>
      <c r="G1003" s="60">
        <v>0.65755787037037039</v>
      </c>
      <c r="H1003" s="61"/>
      <c r="I1003" s="61"/>
      <c r="J1003" s="59">
        <v>0.6629976851851852</v>
      </c>
      <c r="K1003" s="61"/>
      <c r="L1003" s="62"/>
    </row>
    <row r="1004" spans="5:12" x14ac:dyDescent="0.25">
      <c r="E1004" s="53"/>
      <c r="F1004" s="54">
        <v>0.65748842592592593</v>
      </c>
      <c r="G1004" s="54">
        <v>0.65796296296296297</v>
      </c>
      <c r="H1004" s="55"/>
      <c r="I1004" s="55"/>
      <c r="J1004" s="54">
        <v>0.67868055555555562</v>
      </c>
      <c r="K1004" s="56"/>
      <c r="L1004" s="57"/>
    </row>
    <row r="1005" spans="5:12" x14ac:dyDescent="0.25">
      <c r="E1005" s="58"/>
      <c r="F1005" s="59">
        <v>0.65766203703703707</v>
      </c>
      <c r="G1005" s="60">
        <v>0.65806712962962965</v>
      </c>
      <c r="H1005" s="61"/>
      <c r="I1005" s="61"/>
      <c r="J1005" s="59">
        <v>0.66920138888888892</v>
      </c>
      <c r="K1005" s="61"/>
      <c r="L1005" s="62"/>
    </row>
    <row r="1006" spans="5:12" x14ac:dyDescent="0.25">
      <c r="E1006" s="53"/>
      <c r="F1006" s="54">
        <v>0.65804398148148147</v>
      </c>
      <c r="G1006" s="54">
        <v>0.65839120370370374</v>
      </c>
      <c r="H1006" s="55"/>
      <c r="I1006" s="55"/>
      <c r="J1006" s="54">
        <v>0.67920138888888892</v>
      </c>
      <c r="K1006" s="56"/>
      <c r="L1006" s="57"/>
    </row>
    <row r="1007" spans="5:12" x14ac:dyDescent="0.25">
      <c r="E1007" s="58"/>
      <c r="F1007" s="59">
        <v>0.65818287037037038</v>
      </c>
      <c r="G1007" s="60">
        <v>0.65836805555555555</v>
      </c>
      <c r="H1007" s="61"/>
      <c r="I1007" s="61"/>
      <c r="J1007" s="59">
        <v>0.67895833333333344</v>
      </c>
      <c r="K1007" s="61"/>
      <c r="L1007" s="62"/>
    </row>
    <row r="1008" spans="5:12" x14ac:dyDescent="0.25">
      <c r="E1008" s="53"/>
      <c r="F1008" s="54">
        <v>0.65836805555555555</v>
      </c>
      <c r="G1008" s="54">
        <v>0.65865740740740741</v>
      </c>
      <c r="H1008" s="55"/>
      <c r="I1008" s="55"/>
      <c r="J1008" s="54">
        <v>0.66695601851851849</v>
      </c>
      <c r="K1008" s="56"/>
      <c r="L1008" s="57"/>
    </row>
    <row r="1009" spans="5:12" x14ac:dyDescent="0.25">
      <c r="E1009" s="58"/>
      <c r="F1009" s="59">
        <v>0.65866898148148145</v>
      </c>
      <c r="G1009" s="60">
        <v>0.65909722222222222</v>
      </c>
      <c r="H1009" s="61"/>
      <c r="I1009" s="61"/>
      <c r="J1009" s="59">
        <v>0.67662037037037026</v>
      </c>
      <c r="K1009" s="61"/>
      <c r="L1009" s="62"/>
    </row>
    <row r="1010" spans="5:12" x14ac:dyDescent="0.25">
      <c r="E1010" s="53"/>
      <c r="F1010" s="54">
        <v>0.65884259259259259</v>
      </c>
      <c r="G1010" s="54">
        <v>0.6590625</v>
      </c>
      <c r="H1010" s="55"/>
      <c r="I1010" s="55"/>
      <c r="J1010" s="54">
        <v>0.67366898148148147</v>
      </c>
      <c r="K1010" s="56"/>
      <c r="L1010" s="57"/>
    </row>
    <row r="1011" spans="5:12" x14ac:dyDescent="0.25">
      <c r="E1011" s="58"/>
      <c r="F1011" s="59">
        <v>0.65931712962962963</v>
      </c>
      <c r="G1011" s="60">
        <v>0.65950231481481481</v>
      </c>
      <c r="H1011" s="61"/>
      <c r="I1011" s="61"/>
      <c r="J1011" s="59">
        <v>0.68334490740740739</v>
      </c>
      <c r="K1011" s="61"/>
      <c r="L1011" s="62"/>
    </row>
    <row r="1012" spans="5:12" x14ac:dyDescent="0.25">
      <c r="E1012" s="53"/>
      <c r="F1012" s="54">
        <v>0.65978009259259263</v>
      </c>
      <c r="G1012" s="54">
        <v>0.6599652777777778</v>
      </c>
      <c r="H1012" s="55"/>
      <c r="I1012" s="55"/>
      <c r="J1012" s="54">
        <v>0.68361111111111106</v>
      </c>
      <c r="K1012" s="56"/>
      <c r="L1012" s="57"/>
    </row>
    <row r="1013" spans="5:12" x14ac:dyDescent="0.25">
      <c r="E1013" s="58"/>
      <c r="F1013" s="59">
        <v>0.6599652777777778</v>
      </c>
      <c r="G1013" s="60">
        <v>0.66039351851851846</v>
      </c>
      <c r="H1013" s="61"/>
      <c r="I1013" s="61"/>
      <c r="J1013" s="59">
        <v>0.67560185185185195</v>
      </c>
      <c r="K1013" s="61"/>
      <c r="L1013" s="62"/>
    </row>
    <row r="1014" spans="5:12" x14ac:dyDescent="0.25">
      <c r="E1014" s="53"/>
      <c r="F1014" s="54">
        <v>0.66023148148148147</v>
      </c>
      <c r="G1014" s="54">
        <v>0.66053240740740737</v>
      </c>
      <c r="H1014" s="55"/>
      <c r="I1014" s="55"/>
      <c r="J1014" s="54">
        <v>0.6841666666666667</v>
      </c>
      <c r="K1014" s="56"/>
      <c r="L1014" s="57"/>
    </row>
    <row r="1015" spans="5:12" x14ac:dyDescent="0.25">
      <c r="E1015" s="58"/>
      <c r="F1015" s="59">
        <v>0.66055555555555556</v>
      </c>
      <c r="G1015" s="60">
        <v>0.66079861111111116</v>
      </c>
      <c r="H1015" s="61"/>
      <c r="I1015" s="61"/>
      <c r="J1015" s="59">
        <v>0.67797453703703703</v>
      </c>
      <c r="K1015" s="61"/>
      <c r="L1015" s="62"/>
    </row>
    <row r="1016" spans="5:12" x14ac:dyDescent="0.25">
      <c r="E1016" s="53"/>
      <c r="F1016" s="54">
        <v>0.66078703703703701</v>
      </c>
      <c r="G1016" s="54">
        <v>0.66118055555555555</v>
      </c>
      <c r="H1016" s="55"/>
      <c r="I1016" s="55"/>
      <c r="J1016" s="54">
        <v>0.67122685185185194</v>
      </c>
      <c r="K1016" s="56"/>
      <c r="L1016" s="57"/>
    </row>
    <row r="1017" spans="5:12" x14ac:dyDescent="0.25">
      <c r="E1017" s="58"/>
      <c r="F1017" s="59">
        <v>0.66101851851851856</v>
      </c>
      <c r="G1017" s="60">
        <v>0.6613310185185185</v>
      </c>
      <c r="H1017" s="61"/>
      <c r="I1017" s="61"/>
      <c r="J1017" s="59">
        <v>0.67221064814814813</v>
      </c>
      <c r="K1017" s="61"/>
      <c r="L1017" s="62"/>
    </row>
    <row r="1018" spans="5:12" x14ac:dyDescent="0.25">
      <c r="E1018" s="53"/>
      <c r="F1018" s="54">
        <v>0.66136574074074073</v>
      </c>
      <c r="G1018" s="54">
        <v>0.66170138888888885</v>
      </c>
      <c r="H1018" s="55"/>
      <c r="I1018" s="55"/>
      <c r="J1018" s="54">
        <v>0.67122685185185194</v>
      </c>
      <c r="K1018" s="56"/>
      <c r="L1018" s="57"/>
    </row>
    <row r="1019" spans="5:12" x14ac:dyDescent="0.25">
      <c r="E1019" s="58"/>
      <c r="F1019" s="59">
        <v>0.66164351851851855</v>
      </c>
      <c r="G1019" s="60">
        <v>0.66200231481481475</v>
      </c>
      <c r="H1019" s="61"/>
      <c r="I1019" s="61"/>
      <c r="J1019" s="59">
        <v>0.68106481481481485</v>
      </c>
      <c r="K1019" s="61"/>
      <c r="L1019" s="62"/>
    </row>
    <row r="1020" spans="5:12" x14ac:dyDescent="0.25">
      <c r="E1020" s="53"/>
      <c r="F1020" s="54">
        <v>0.6619328703703703</v>
      </c>
      <c r="G1020" s="54">
        <v>0.66232638888888895</v>
      </c>
      <c r="H1020" s="55"/>
      <c r="I1020" s="55"/>
      <c r="J1020" s="54">
        <v>0.6686805555555555</v>
      </c>
      <c r="K1020" s="56"/>
      <c r="L1020" s="57"/>
    </row>
    <row r="1021" spans="5:12" x14ac:dyDescent="0.25">
      <c r="E1021" s="58"/>
      <c r="F1021" s="59">
        <v>0.66229166666666661</v>
      </c>
      <c r="G1021" s="60">
        <v>0.66266203703703697</v>
      </c>
      <c r="H1021" s="61"/>
      <c r="I1021" s="61"/>
      <c r="J1021" s="59">
        <v>0.67762731481481486</v>
      </c>
      <c r="K1021" s="61"/>
      <c r="L1021" s="62"/>
    </row>
    <row r="1022" spans="5:12" x14ac:dyDescent="0.25">
      <c r="E1022" s="53"/>
      <c r="F1022" s="54">
        <v>0.66274305555555557</v>
      </c>
      <c r="G1022" s="54">
        <v>0.66314814814814815</v>
      </c>
      <c r="H1022" s="55"/>
      <c r="I1022" s="55"/>
      <c r="J1022" s="54">
        <v>0.67967592592592585</v>
      </c>
      <c r="K1022" s="56"/>
      <c r="L1022" s="57"/>
    </row>
    <row r="1023" spans="5:12" x14ac:dyDescent="0.25">
      <c r="E1023" s="58"/>
      <c r="F1023" s="59">
        <v>0.66302083333333328</v>
      </c>
      <c r="G1023" s="60">
        <v>0.66322916666666665</v>
      </c>
      <c r="H1023" s="61"/>
      <c r="I1023" s="61"/>
      <c r="J1023" s="59">
        <v>0.67760416666666667</v>
      </c>
      <c r="K1023" s="61"/>
      <c r="L1023" s="62"/>
    </row>
    <row r="1024" spans="5:12" x14ac:dyDescent="0.25">
      <c r="E1024" s="53"/>
      <c r="F1024" s="54">
        <v>0.66333333333333333</v>
      </c>
      <c r="G1024" s="54">
        <v>0.66373842592592591</v>
      </c>
      <c r="H1024" s="55"/>
      <c r="I1024" s="55"/>
      <c r="J1024" s="54">
        <v>0.67393518518518514</v>
      </c>
      <c r="K1024" s="56"/>
      <c r="L1024" s="57"/>
    </row>
    <row r="1025" spans="5:12" x14ac:dyDescent="0.25">
      <c r="E1025" s="58"/>
      <c r="F1025" s="59">
        <v>0.66374999999999995</v>
      </c>
      <c r="G1025" s="60">
        <v>0.66379629629629633</v>
      </c>
      <c r="H1025" s="61"/>
      <c r="I1025" s="61"/>
      <c r="J1025" s="59">
        <v>0.67696759259259265</v>
      </c>
      <c r="K1025" s="61"/>
      <c r="L1025" s="62"/>
    </row>
    <row r="1026" spans="5:12" x14ac:dyDescent="0.25">
      <c r="E1026" s="53"/>
      <c r="F1026" s="54">
        <v>0.66409722222222223</v>
      </c>
      <c r="G1026" s="54">
        <v>0.6643634259259259</v>
      </c>
      <c r="H1026" s="55"/>
      <c r="I1026" s="55"/>
      <c r="J1026" s="54">
        <v>0.68178240740740748</v>
      </c>
      <c r="K1026" s="56"/>
      <c r="L1026" s="57"/>
    </row>
    <row r="1027" spans="5:12" x14ac:dyDescent="0.25">
      <c r="E1027" s="58"/>
      <c r="F1027" s="59">
        <v>0.66430555555555559</v>
      </c>
      <c r="G1027" s="60">
        <v>0.6645833333333333</v>
      </c>
      <c r="H1027" s="61"/>
      <c r="I1027" s="61"/>
      <c r="J1027" s="59">
        <v>0.66917824074074073</v>
      </c>
      <c r="K1027" s="61"/>
      <c r="L1027" s="62"/>
    </row>
    <row r="1028" spans="5:12" x14ac:dyDescent="0.25">
      <c r="E1028" s="53"/>
      <c r="F1028" s="54">
        <v>0.66462962962962957</v>
      </c>
      <c r="G1028" s="54">
        <v>0.66495370370370377</v>
      </c>
      <c r="H1028" s="55"/>
      <c r="I1028" s="55"/>
      <c r="J1028" s="54">
        <v>0.68710648148148146</v>
      </c>
      <c r="K1028" s="56"/>
      <c r="L1028" s="57"/>
    </row>
    <row r="1029" spans="5:12" x14ac:dyDescent="0.25">
      <c r="E1029" s="58"/>
      <c r="F1029" s="59">
        <v>0.66489583333333335</v>
      </c>
      <c r="G1029" s="60">
        <v>0.66516203703703702</v>
      </c>
      <c r="H1029" s="61"/>
      <c r="I1029" s="61"/>
      <c r="J1029" s="59">
        <v>0.68160879629629623</v>
      </c>
      <c r="K1029" s="61"/>
      <c r="L1029" s="62"/>
    </row>
    <row r="1030" spans="5:12" x14ac:dyDescent="0.25">
      <c r="E1030" s="53"/>
      <c r="F1030" s="54">
        <v>0.66516203703703702</v>
      </c>
      <c r="G1030" s="54">
        <v>0.66563657407407406</v>
      </c>
      <c r="H1030" s="55"/>
      <c r="I1030" s="55"/>
      <c r="J1030" s="54">
        <v>0.66888888888888898</v>
      </c>
      <c r="K1030" s="56"/>
      <c r="L1030" s="57"/>
    </row>
    <row r="1031" spans="5:12" x14ac:dyDescent="0.25">
      <c r="E1031" s="58"/>
      <c r="F1031" s="59">
        <v>0.6654282407407407</v>
      </c>
      <c r="G1031" s="60">
        <v>0.66579861111111105</v>
      </c>
      <c r="H1031" s="61"/>
      <c r="I1031" s="61"/>
      <c r="J1031" s="59">
        <v>0.67343750000000002</v>
      </c>
      <c r="K1031" s="61"/>
      <c r="L1031" s="62"/>
    </row>
    <row r="1032" spans="5:12" x14ac:dyDescent="0.25">
      <c r="E1032" s="53"/>
      <c r="F1032" s="54">
        <v>0.66567129629629629</v>
      </c>
      <c r="G1032" s="54">
        <v>0.66594907407407411</v>
      </c>
      <c r="H1032" s="55"/>
      <c r="I1032" s="55"/>
      <c r="J1032" s="54">
        <v>0.69130787037037045</v>
      </c>
      <c r="K1032" s="56"/>
      <c r="L1032" s="57"/>
    </row>
    <row r="1033" spans="5:12" x14ac:dyDescent="0.25">
      <c r="E1033" s="58"/>
      <c r="F1033" s="59">
        <v>0.66568287037037044</v>
      </c>
      <c r="G1033" s="60">
        <v>0.66634259259259265</v>
      </c>
      <c r="H1033" s="61"/>
      <c r="I1033" s="61"/>
      <c r="J1033" s="59">
        <v>0.68530092592592595</v>
      </c>
      <c r="K1033" s="61"/>
      <c r="L1033" s="62"/>
    </row>
    <row r="1034" spans="5:12" x14ac:dyDescent="0.25">
      <c r="E1034" s="53"/>
      <c r="F1034" s="54">
        <v>0.66585648148148147</v>
      </c>
      <c r="G1034" s="54">
        <v>0.66591435185185188</v>
      </c>
      <c r="H1034" s="55"/>
      <c r="I1034" s="55"/>
      <c r="J1034" s="54">
        <v>0.67756944444444445</v>
      </c>
      <c r="K1034" s="56"/>
      <c r="L1034" s="57"/>
    </row>
    <row r="1035" spans="5:12" x14ac:dyDescent="0.25">
      <c r="E1035" s="58"/>
      <c r="F1035" s="59">
        <v>0.66614583333333333</v>
      </c>
      <c r="G1035" s="60">
        <v>0.66640046296296296</v>
      </c>
      <c r="H1035" s="61"/>
      <c r="I1035" s="61"/>
      <c r="J1035" s="59">
        <v>0.6868981481481482</v>
      </c>
      <c r="K1035" s="61"/>
      <c r="L1035" s="62"/>
    </row>
    <row r="1036" spans="5:12" x14ac:dyDescent="0.25">
      <c r="E1036" s="53"/>
      <c r="F1036" s="54">
        <v>0.66625000000000001</v>
      </c>
      <c r="G1036" s="54">
        <v>0.66665509259259259</v>
      </c>
      <c r="H1036" s="55"/>
      <c r="I1036" s="55"/>
      <c r="J1036" s="54">
        <v>0.67721064814814813</v>
      </c>
      <c r="K1036" s="56"/>
      <c r="L1036" s="57"/>
    </row>
    <row r="1037" spans="5:12" x14ac:dyDescent="0.25">
      <c r="E1037" s="58"/>
      <c r="F1037" s="59">
        <v>0.66660879629629632</v>
      </c>
      <c r="G1037" s="60">
        <v>0.66700231481481476</v>
      </c>
      <c r="H1037" s="61"/>
      <c r="I1037" s="61"/>
      <c r="J1037" s="59">
        <v>0.68046296296296294</v>
      </c>
      <c r="K1037" s="61"/>
      <c r="L1037" s="62"/>
    </row>
    <row r="1038" spans="5:12" x14ac:dyDescent="0.25">
      <c r="E1038" s="53"/>
      <c r="F1038" s="54">
        <v>0.6670949074074074</v>
      </c>
      <c r="G1038" s="54">
        <v>0.66753472222222221</v>
      </c>
      <c r="H1038" s="55"/>
      <c r="I1038" s="55"/>
      <c r="J1038" s="54">
        <v>0.69304398148148139</v>
      </c>
      <c r="K1038" s="56"/>
      <c r="L1038" s="57"/>
    </row>
    <row r="1039" spans="5:12" x14ac:dyDescent="0.25">
      <c r="E1039" s="58"/>
      <c r="F1039" s="59">
        <v>0.66732638888888884</v>
      </c>
      <c r="G1039" s="60">
        <v>0.66762731481481474</v>
      </c>
      <c r="H1039" s="61"/>
      <c r="I1039" s="61"/>
      <c r="J1039" s="59">
        <v>0.67912037037037043</v>
      </c>
      <c r="K1039" s="61"/>
      <c r="L1039" s="62"/>
    </row>
    <row r="1040" spans="5:12" x14ac:dyDescent="0.25">
      <c r="E1040" s="53"/>
      <c r="F1040" s="54">
        <v>0.66770833333333324</v>
      </c>
      <c r="G1040" s="54">
        <v>0.66789351851851853</v>
      </c>
      <c r="H1040" s="55"/>
      <c r="I1040" s="55"/>
      <c r="J1040" s="54">
        <v>0.68253472222222233</v>
      </c>
      <c r="K1040" s="56"/>
      <c r="L1040" s="57"/>
    </row>
    <row r="1041" spans="5:12" x14ac:dyDescent="0.25">
      <c r="E1041" s="58"/>
      <c r="F1041" s="59">
        <v>0.66795138888888894</v>
      </c>
      <c r="G1041" s="60">
        <v>0.66833333333333333</v>
      </c>
      <c r="H1041" s="61"/>
      <c r="I1041" s="61"/>
      <c r="J1041" s="59">
        <v>0.68497685185185186</v>
      </c>
      <c r="K1041" s="61"/>
      <c r="L1041" s="62"/>
    </row>
    <row r="1042" spans="5:12" x14ac:dyDescent="0.25">
      <c r="E1042" s="53"/>
      <c r="F1042" s="54">
        <v>0.66829861111111111</v>
      </c>
      <c r="G1042" s="54">
        <v>0.66862268518518519</v>
      </c>
      <c r="H1042" s="55"/>
      <c r="I1042" s="55"/>
      <c r="J1042" s="54">
        <v>0.68409722222222225</v>
      </c>
      <c r="K1042" s="56"/>
      <c r="L1042" s="57"/>
    </row>
    <row r="1043" spans="5:12" x14ac:dyDescent="0.25">
      <c r="E1043" s="58"/>
      <c r="F1043" s="59">
        <v>0.66847222222222225</v>
      </c>
      <c r="G1043" s="60">
        <v>0.66877314814814814</v>
      </c>
      <c r="H1043" s="61"/>
      <c r="I1043" s="61"/>
      <c r="J1043" s="59">
        <v>0.68819444444444444</v>
      </c>
      <c r="K1043" s="61"/>
      <c r="L1043" s="62"/>
    </row>
    <row r="1044" spans="5:12" x14ac:dyDescent="0.25">
      <c r="E1044" s="53"/>
      <c r="F1044" s="54">
        <v>0.66875000000000007</v>
      </c>
      <c r="G1044" s="54">
        <v>0.66903935185185182</v>
      </c>
      <c r="H1044" s="55"/>
      <c r="I1044" s="55"/>
      <c r="J1044" s="54">
        <v>0.68293981481481481</v>
      </c>
      <c r="K1044" s="56"/>
      <c r="L1044" s="57"/>
    </row>
    <row r="1045" spans="5:12" x14ac:dyDescent="0.25">
      <c r="E1045" s="58"/>
      <c r="F1045" s="59">
        <v>0.6691435185185185</v>
      </c>
      <c r="G1045" s="60">
        <v>0.66942129629629632</v>
      </c>
      <c r="H1045" s="61"/>
      <c r="I1045" s="61"/>
      <c r="J1045" s="59">
        <v>0.68237268518518512</v>
      </c>
      <c r="K1045" s="61"/>
      <c r="L1045" s="62"/>
    </row>
    <row r="1046" spans="5:12" x14ac:dyDescent="0.25">
      <c r="E1046" s="53"/>
      <c r="F1046" s="54">
        <v>0.66958333333333331</v>
      </c>
      <c r="G1046" s="54">
        <v>0.66986111111111113</v>
      </c>
      <c r="H1046" s="55"/>
      <c r="I1046" s="55"/>
      <c r="J1046" s="54">
        <v>0.68692129629629628</v>
      </c>
      <c r="K1046" s="56"/>
      <c r="L1046" s="57"/>
    </row>
    <row r="1047" spans="5:12" x14ac:dyDescent="0.25">
      <c r="E1047" s="58"/>
      <c r="F1047" s="59">
        <v>0.66991898148148143</v>
      </c>
      <c r="G1047" s="60">
        <v>0.67020833333333341</v>
      </c>
      <c r="H1047" s="61"/>
      <c r="I1047" s="61"/>
      <c r="J1047" s="59">
        <v>0.67931712962962953</v>
      </c>
      <c r="K1047" s="61"/>
      <c r="L1047" s="62"/>
    </row>
    <row r="1048" spans="5:12" x14ac:dyDescent="0.25">
      <c r="E1048" s="53"/>
      <c r="F1048" s="54">
        <v>0.67030092592592594</v>
      </c>
      <c r="G1048" s="54">
        <v>0.6705902777777778</v>
      </c>
      <c r="H1048" s="55"/>
      <c r="I1048" s="55"/>
      <c r="J1048" s="54">
        <v>0.68937500000000007</v>
      </c>
      <c r="K1048" s="56"/>
      <c r="L1048" s="57"/>
    </row>
    <row r="1049" spans="5:12" x14ac:dyDescent="0.25">
      <c r="E1049" s="58"/>
      <c r="F1049" s="59">
        <v>0.67079861111111105</v>
      </c>
      <c r="G1049" s="60">
        <v>0.67103009259259261</v>
      </c>
      <c r="H1049" s="61"/>
      <c r="I1049" s="61"/>
      <c r="J1049" s="59">
        <v>0.68864583333333329</v>
      </c>
      <c r="K1049" s="61"/>
      <c r="L1049" s="62"/>
    </row>
    <row r="1050" spans="5:12" x14ac:dyDescent="0.25">
      <c r="E1050" s="53"/>
      <c r="F1050" s="54">
        <v>0.6711921296296296</v>
      </c>
      <c r="G1050" s="54">
        <v>0.67134259259259255</v>
      </c>
      <c r="H1050" s="55"/>
      <c r="I1050" s="55"/>
      <c r="J1050" s="54">
        <v>0.68401620370370375</v>
      </c>
      <c r="K1050" s="56"/>
      <c r="L1050" s="57"/>
    </row>
    <row r="1051" spans="5:12" x14ac:dyDescent="0.25">
      <c r="E1051" s="58"/>
      <c r="F1051" s="59">
        <v>0.6712731481481482</v>
      </c>
      <c r="G1051" s="60">
        <v>0.671412037037037</v>
      </c>
      <c r="H1051" s="61"/>
      <c r="I1051" s="61"/>
      <c r="J1051" s="59">
        <v>0.69996527777777784</v>
      </c>
      <c r="K1051" s="61"/>
      <c r="L1051" s="62"/>
    </row>
    <row r="1052" spans="5:12" x14ac:dyDescent="0.25">
      <c r="E1052" s="53"/>
      <c r="F1052" s="54">
        <v>0.6715740740740741</v>
      </c>
      <c r="G1052" s="54">
        <v>0.67214120370370367</v>
      </c>
      <c r="H1052" s="55"/>
      <c r="I1052" s="55"/>
      <c r="J1052" s="54">
        <v>0.69541666666666668</v>
      </c>
      <c r="K1052" s="56"/>
      <c r="L1052" s="57"/>
    </row>
    <row r="1053" spans="5:12" x14ac:dyDescent="0.25">
      <c r="E1053" s="58"/>
      <c r="F1053" s="59">
        <v>0.67202546296296306</v>
      </c>
      <c r="G1053" s="60">
        <v>0.67237268518518523</v>
      </c>
      <c r="H1053" s="61"/>
      <c r="I1053" s="61"/>
      <c r="J1053" s="59">
        <v>0.68449074074074068</v>
      </c>
      <c r="K1053" s="61"/>
      <c r="L1053" s="62"/>
    </row>
    <row r="1054" spans="5:12" x14ac:dyDescent="0.25">
      <c r="E1054" s="53"/>
      <c r="F1054" s="54">
        <v>0.672337962962963</v>
      </c>
      <c r="G1054" s="54">
        <v>0.67256944444444444</v>
      </c>
      <c r="H1054" s="55"/>
      <c r="I1054" s="55"/>
      <c r="J1054" s="54">
        <v>0.69520833333333332</v>
      </c>
      <c r="K1054" s="56"/>
      <c r="L1054" s="57"/>
    </row>
    <row r="1055" spans="5:12" x14ac:dyDescent="0.25">
      <c r="E1055" s="58"/>
      <c r="F1055" s="59">
        <v>0.67270833333333335</v>
      </c>
      <c r="G1055" s="60">
        <v>0.67321759259259262</v>
      </c>
      <c r="H1055" s="61"/>
      <c r="I1055" s="61"/>
      <c r="J1055" s="59">
        <v>0.6864351851851852</v>
      </c>
      <c r="K1055" s="61"/>
      <c r="L1055" s="62"/>
    </row>
    <row r="1056" spans="5:12" x14ac:dyDescent="0.25">
      <c r="E1056" s="53"/>
      <c r="F1056" s="54">
        <v>0.67292824074074076</v>
      </c>
      <c r="G1056" s="54">
        <v>0.67329861111111111</v>
      </c>
      <c r="H1056" s="55"/>
      <c r="I1056" s="55"/>
      <c r="J1056" s="54">
        <v>0.68797453703703704</v>
      </c>
      <c r="K1056" s="56"/>
      <c r="L1056" s="57"/>
    </row>
    <row r="1057" spans="5:12" x14ac:dyDescent="0.25">
      <c r="E1057" s="58"/>
      <c r="F1057" s="59">
        <v>0.67342592592592598</v>
      </c>
      <c r="G1057" s="60">
        <v>0.67379629629629623</v>
      </c>
      <c r="H1057" s="61"/>
      <c r="I1057" s="61"/>
      <c r="J1057" s="59">
        <v>0.68221064814814814</v>
      </c>
      <c r="K1057" s="61"/>
      <c r="L1057" s="62"/>
    </row>
    <row r="1058" spans="5:12" x14ac:dyDescent="0.25">
      <c r="E1058" s="53"/>
      <c r="F1058" s="54">
        <v>0.67395833333333333</v>
      </c>
      <c r="G1058" s="54">
        <v>0.67422453703703711</v>
      </c>
      <c r="H1058" s="55"/>
      <c r="I1058" s="55"/>
      <c r="J1058" s="54">
        <v>0.68979166666666669</v>
      </c>
      <c r="K1058" s="56"/>
      <c r="L1058" s="57"/>
    </row>
    <row r="1059" spans="5:12" x14ac:dyDescent="0.25">
      <c r="E1059" s="58"/>
      <c r="F1059" s="59">
        <v>0.67445601851851855</v>
      </c>
      <c r="G1059" s="60">
        <v>0.67471064814814818</v>
      </c>
      <c r="H1059" s="61"/>
      <c r="I1059" s="61"/>
      <c r="J1059" s="59">
        <v>0.69347222222222227</v>
      </c>
      <c r="K1059" s="61"/>
      <c r="L1059" s="62"/>
    </row>
    <row r="1060" spans="5:12" x14ac:dyDescent="0.25">
      <c r="E1060" s="53"/>
      <c r="F1060" s="54">
        <v>0.67498842592592589</v>
      </c>
      <c r="G1060" s="54">
        <v>0.67533564814814817</v>
      </c>
      <c r="H1060" s="55"/>
      <c r="I1060" s="55"/>
      <c r="J1060" s="54">
        <v>0.68373842592592593</v>
      </c>
      <c r="K1060" s="56"/>
      <c r="L1060" s="57"/>
    </row>
    <row r="1061" spans="5:12" x14ac:dyDescent="0.25">
      <c r="E1061" s="58"/>
      <c r="F1061" s="59">
        <v>0.67535879629629625</v>
      </c>
      <c r="G1061" s="60">
        <v>0.67603009259259261</v>
      </c>
      <c r="H1061" s="61"/>
      <c r="I1061" s="61"/>
      <c r="J1061" s="59">
        <v>0.69405092592592599</v>
      </c>
      <c r="K1061" s="61"/>
      <c r="L1061" s="62"/>
    </row>
    <row r="1062" spans="5:12" x14ac:dyDescent="0.25">
      <c r="E1062" s="53"/>
      <c r="F1062" s="54">
        <v>0.67582175925925936</v>
      </c>
      <c r="G1062" s="54">
        <v>0.67618055555555545</v>
      </c>
      <c r="H1062" s="55"/>
      <c r="I1062" s="55"/>
      <c r="J1062" s="54">
        <v>0.69496527777777783</v>
      </c>
      <c r="K1062" s="56"/>
      <c r="L1062" s="57"/>
    </row>
    <row r="1063" spans="5:12" x14ac:dyDescent="0.25">
      <c r="E1063" s="58"/>
      <c r="F1063" s="59">
        <v>0.67600694444444442</v>
      </c>
      <c r="G1063" s="60">
        <v>0.67630787037037043</v>
      </c>
      <c r="H1063" s="61"/>
      <c r="I1063" s="61"/>
      <c r="J1063" s="59">
        <v>0.6956134259259259</v>
      </c>
      <c r="K1063" s="61"/>
      <c r="L1063" s="62"/>
    </row>
    <row r="1064" spans="5:12" x14ac:dyDescent="0.25">
      <c r="E1064" s="53"/>
      <c r="F1064" s="54">
        <v>0.67614583333333333</v>
      </c>
      <c r="G1064" s="54">
        <v>0.67629629629629628</v>
      </c>
      <c r="H1064" s="55"/>
      <c r="I1064" s="55"/>
      <c r="J1064" s="54">
        <v>0.69936342592592593</v>
      </c>
      <c r="K1064" s="56"/>
      <c r="L1064" s="57"/>
    </row>
    <row r="1065" spans="5:12" x14ac:dyDescent="0.25">
      <c r="E1065" s="58"/>
      <c r="F1065" s="59">
        <v>0.67640046296296286</v>
      </c>
      <c r="G1065" s="60">
        <v>0.67672453703703705</v>
      </c>
      <c r="H1065" s="61"/>
      <c r="I1065" s="61"/>
      <c r="J1065" s="59">
        <v>0.68693287037037043</v>
      </c>
      <c r="K1065" s="61"/>
      <c r="L1065" s="62"/>
    </row>
    <row r="1066" spans="5:12" x14ac:dyDescent="0.25">
      <c r="E1066" s="53"/>
      <c r="F1066" s="54">
        <v>0.67677083333333332</v>
      </c>
      <c r="G1066" s="54">
        <v>0.67715277777777771</v>
      </c>
      <c r="H1066" s="55"/>
      <c r="I1066" s="55"/>
      <c r="J1066" s="54">
        <v>0.70016203703703705</v>
      </c>
      <c r="K1066" s="56"/>
      <c r="L1066" s="57"/>
    </row>
    <row r="1067" spans="5:12" x14ac:dyDescent="0.25">
      <c r="E1067" s="58"/>
      <c r="F1067" s="59">
        <v>0.67697916666666658</v>
      </c>
      <c r="G1067" s="60">
        <v>0.67737268518518512</v>
      </c>
      <c r="H1067" s="61"/>
      <c r="I1067" s="61"/>
      <c r="J1067" s="59">
        <v>0.69525462962962958</v>
      </c>
      <c r="K1067" s="61"/>
      <c r="L1067" s="62"/>
    </row>
    <row r="1068" spans="5:12" x14ac:dyDescent="0.25">
      <c r="E1068" s="53"/>
      <c r="F1068" s="54">
        <v>0.67751157407407403</v>
      </c>
      <c r="G1068" s="54">
        <v>0.67790509259259257</v>
      </c>
      <c r="H1068" s="55"/>
      <c r="I1068" s="55"/>
      <c r="J1068" s="54">
        <v>0.69399305555555557</v>
      </c>
      <c r="K1068" s="56"/>
      <c r="L1068" s="57"/>
    </row>
    <row r="1069" spans="5:12" x14ac:dyDescent="0.25">
      <c r="E1069" s="58"/>
      <c r="F1069" s="59">
        <v>0.67770833333333336</v>
      </c>
      <c r="G1069" s="60">
        <v>0.67806712962962967</v>
      </c>
      <c r="H1069" s="61"/>
      <c r="I1069" s="61"/>
      <c r="J1069" s="59">
        <v>0.69158564814814805</v>
      </c>
      <c r="K1069" s="61"/>
      <c r="L1069" s="62"/>
    </row>
    <row r="1070" spans="5:12" x14ac:dyDescent="0.25">
      <c r="E1070" s="53"/>
      <c r="F1070" s="54">
        <v>0.67795138888888884</v>
      </c>
      <c r="G1070" s="54">
        <v>0.67825231481481485</v>
      </c>
      <c r="H1070" s="55"/>
      <c r="I1070" s="55"/>
      <c r="J1070" s="54">
        <v>0.69421296296296298</v>
      </c>
      <c r="K1070" s="56"/>
      <c r="L1070" s="57"/>
    </row>
    <row r="1071" spans="5:12" x14ac:dyDescent="0.25">
      <c r="E1071" s="58"/>
      <c r="F1071" s="59">
        <v>0.6781018518518519</v>
      </c>
      <c r="G1071" s="60">
        <v>0.67853009259259256</v>
      </c>
      <c r="H1071" s="61"/>
      <c r="I1071" s="61"/>
      <c r="J1071" s="59">
        <v>0.69339120370370377</v>
      </c>
      <c r="K1071" s="61"/>
      <c r="L1071" s="62"/>
    </row>
    <row r="1072" spans="5:12" x14ac:dyDescent="0.25">
      <c r="E1072" s="53"/>
      <c r="F1072" s="54">
        <v>0.67854166666666671</v>
      </c>
      <c r="G1072" s="54">
        <v>0.67890046296296302</v>
      </c>
      <c r="H1072" s="55"/>
      <c r="I1072" s="55"/>
      <c r="J1072" s="54">
        <v>0.69716435185185188</v>
      </c>
      <c r="K1072" s="56"/>
      <c r="L1072" s="57"/>
    </row>
    <row r="1073" spans="5:12" x14ac:dyDescent="0.25">
      <c r="E1073" s="58"/>
      <c r="F1073" s="59">
        <v>0.67899305555555556</v>
      </c>
      <c r="G1073" s="60">
        <v>0.67927083333333327</v>
      </c>
      <c r="H1073" s="61"/>
      <c r="I1073" s="61"/>
      <c r="J1073" s="59">
        <v>0.69918981481481479</v>
      </c>
      <c r="K1073" s="61"/>
      <c r="L1073" s="62"/>
    </row>
    <row r="1074" spans="5:12" x14ac:dyDescent="0.25">
      <c r="E1074" s="53"/>
      <c r="F1074" s="54">
        <v>0.6790046296296296</v>
      </c>
      <c r="G1074" s="54">
        <v>0.67928240740740742</v>
      </c>
      <c r="H1074" s="55"/>
      <c r="I1074" s="55"/>
      <c r="J1074" s="54">
        <v>0.70224537037037038</v>
      </c>
      <c r="K1074" s="56"/>
      <c r="L1074" s="57"/>
    </row>
    <row r="1075" spans="5:12" x14ac:dyDescent="0.25">
      <c r="E1075" s="58"/>
      <c r="F1075" s="59">
        <v>0.67921296296296296</v>
      </c>
      <c r="G1075" s="60">
        <v>0.67943287037037037</v>
      </c>
      <c r="H1075" s="61"/>
      <c r="I1075" s="61"/>
      <c r="J1075" s="59">
        <v>0.69856481481481481</v>
      </c>
      <c r="K1075" s="61"/>
      <c r="L1075" s="62"/>
    </row>
    <row r="1076" spans="5:12" x14ac:dyDescent="0.25">
      <c r="E1076" s="53"/>
      <c r="F1076" s="54">
        <v>0.67956018518518524</v>
      </c>
      <c r="G1076" s="54">
        <v>0.67995370370370367</v>
      </c>
      <c r="H1076" s="55"/>
      <c r="I1076" s="55"/>
      <c r="J1076" s="54">
        <v>0.70295138888888886</v>
      </c>
      <c r="K1076" s="56"/>
      <c r="L1076" s="57"/>
    </row>
    <row r="1077" spans="5:12" x14ac:dyDescent="0.25">
      <c r="E1077" s="58"/>
      <c r="F1077" s="59">
        <v>0.68004629629629632</v>
      </c>
      <c r="G1077" s="60">
        <v>0.6803703703703704</v>
      </c>
      <c r="H1077" s="61"/>
      <c r="I1077" s="61"/>
      <c r="J1077" s="59">
        <v>0.69146990740740744</v>
      </c>
      <c r="K1077" s="61"/>
      <c r="L1077" s="62"/>
    </row>
    <row r="1078" spans="5:12" x14ac:dyDescent="0.25">
      <c r="E1078" s="53"/>
      <c r="F1078" s="54">
        <v>0.68026620370370372</v>
      </c>
      <c r="G1078" s="54">
        <v>0.68065972222222226</v>
      </c>
      <c r="H1078" s="55"/>
      <c r="I1078" s="55"/>
      <c r="J1078" s="54">
        <v>0.69974537037037043</v>
      </c>
      <c r="K1078" s="56"/>
      <c r="L1078" s="57"/>
    </row>
    <row r="1079" spans="5:12" x14ac:dyDescent="0.25">
      <c r="E1079" s="58"/>
      <c r="F1079" s="59">
        <v>0.68060185185185185</v>
      </c>
      <c r="G1079" s="60">
        <v>0.68093750000000008</v>
      </c>
      <c r="H1079" s="61"/>
      <c r="I1079" s="61"/>
      <c r="J1079" s="59">
        <v>0.69452546296296302</v>
      </c>
      <c r="K1079" s="61"/>
      <c r="L1079" s="62"/>
    </row>
    <row r="1080" spans="5:12" x14ac:dyDescent="0.25">
      <c r="E1080" s="53"/>
      <c r="F1080" s="54">
        <v>0.6807523148148148</v>
      </c>
      <c r="G1080" s="54">
        <v>0.68111111111111111</v>
      </c>
      <c r="H1080" s="55"/>
      <c r="I1080" s="55"/>
      <c r="J1080" s="54">
        <v>0.70002314814814814</v>
      </c>
      <c r="K1080" s="56"/>
      <c r="L1080" s="57"/>
    </row>
    <row r="1081" spans="5:12" x14ac:dyDescent="0.25">
      <c r="E1081" s="58"/>
      <c r="F1081" s="59">
        <v>0.68106481481481485</v>
      </c>
      <c r="G1081" s="60">
        <v>0.68136574074074074</v>
      </c>
      <c r="H1081" s="61"/>
      <c r="I1081" s="61"/>
      <c r="J1081" s="59">
        <v>0.69590277777777787</v>
      </c>
      <c r="K1081" s="61"/>
      <c r="L1081" s="62"/>
    </row>
    <row r="1082" spans="5:12" x14ac:dyDescent="0.25">
      <c r="E1082" s="53"/>
      <c r="F1082" s="54">
        <v>0.68143518518518509</v>
      </c>
      <c r="G1082" s="54">
        <v>0.68172453703703706</v>
      </c>
      <c r="H1082" s="55"/>
      <c r="I1082" s="55"/>
      <c r="J1082" s="54">
        <v>0.70452546296296292</v>
      </c>
      <c r="K1082" s="56"/>
      <c r="L1082" s="57"/>
    </row>
    <row r="1083" spans="5:12" x14ac:dyDescent="0.25">
      <c r="E1083" s="58"/>
      <c r="F1083" s="59">
        <v>0.68192129629629628</v>
      </c>
      <c r="G1083" s="60">
        <v>0.68225694444444451</v>
      </c>
      <c r="H1083" s="61"/>
      <c r="I1083" s="61"/>
      <c r="J1083" s="59">
        <v>0.70548611111111104</v>
      </c>
      <c r="K1083" s="61"/>
      <c r="L1083" s="62"/>
    </row>
    <row r="1084" spans="5:12" x14ac:dyDescent="0.25">
      <c r="E1084" s="53"/>
      <c r="F1084" s="54">
        <v>0.68231481481481471</v>
      </c>
      <c r="G1084" s="54">
        <v>0.68283564814814823</v>
      </c>
      <c r="H1084" s="55"/>
      <c r="I1084" s="55"/>
      <c r="J1084" s="54">
        <v>0.69826388888888891</v>
      </c>
      <c r="K1084" s="56"/>
      <c r="L1084" s="57"/>
    </row>
    <row r="1085" spans="5:12" x14ac:dyDescent="0.25">
      <c r="E1085" s="58"/>
      <c r="F1085" s="59">
        <v>0.68268518518518517</v>
      </c>
      <c r="G1085" s="60">
        <v>0.68306712962962957</v>
      </c>
      <c r="H1085" s="61"/>
      <c r="I1085" s="61"/>
      <c r="J1085" s="59">
        <v>0.68717592592592591</v>
      </c>
      <c r="K1085" s="61"/>
      <c r="L1085" s="62"/>
    </row>
    <row r="1086" spans="5:12" x14ac:dyDescent="0.25">
      <c r="E1086" s="53"/>
      <c r="F1086" s="54">
        <v>0.68314814814814817</v>
      </c>
      <c r="G1086" s="54">
        <v>0.68341435185185195</v>
      </c>
      <c r="H1086" s="55"/>
      <c r="I1086" s="55"/>
      <c r="J1086" s="54">
        <v>0.70142361111111118</v>
      </c>
      <c r="K1086" s="56"/>
      <c r="L1086" s="57"/>
    </row>
    <row r="1087" spans="5:12" x14ac:dyDescent="0.25">
      <c r="E1087" s="58"/>
      <c r="F1087" s="59">
        <v>0.68333333333333324</v>
      </c>
      <c r="G1087" s="60">
        <v>0.68373842592592593</v>
      </c>
      <c r="H1087" s="61"/>
      <c r="I1087" s="61"/>
      <c r="J1087" s="59">
        <v>0.69459490740740737</v>
      </c>
      <c r="K1087" s="61"/>
      <c r="L1087" s="62"/>
    </row>
    <row r="1088" spans="5:12" x14ac:dyDescent="0.25">
      <c r="E1088" s="53"/>
      <c r="F1088" s="54">
        <v>0.68368055555555562</v>
      </c>
      <c r="G1088" s="54">
        <v>0.68391203703703696</v>
      </c>
      <c r="H1088" s="55"/>
      <c r="I1088" s="55"/>
      <c r="J1088" s="54">
        <v>0.7015162037037036</v>
      </c>
      <c r="K1088" s="56"/>
      <c r="L1088" s="57"/>
    </row>
    <row r="1089" spans="5:12" x14ac:dyDescent="0.25">
      <c r="E1089" s="58"/>
      <c r="F1089" s="59">
        <v>0.68415509259259266</v>
      </c>
      <c r="G1089" s="60">
        <v>0.68442129629629633</v>
      </c>
      <c r="H1089" s="61"/>
      <c r="I1089" s="61"/>
      <c r="J1089" s="59">
        <v>0.69450231481481473</v>
      </c>
      <c r="K1089" s="61"/>
      <c r="L1089" s="62"/>
    </row>
    <row r="1090" spans="5:12" x14ac:dyDescent="0.25">
      <c r="E1090" s="53"/>
      <c r="F1090" s="54">
        <v>0.68440972222222218</v>
      </c>
      <c r="G1090" s="54">
        <v>0.68465277777777767</v>
      </c>
      <c r="H1090" s="55"/>
      <c r="I1090" s="55"/>
      <c r="J1090" s="54">
        <v>0.69983796296296286</v>
      </c>
      <c r="K1090" s="56"/>
      <c r="L1090" s="57"/>
    </row>
    <row r="1091" spans="5:12" x14ac:dyDescent="0.25">
      <c r="E1091" s="58"/>
      <c r="F1091" s="59">
        <v>0.68466435185185182</v>
      </c>
      <c r="G1091" s="60">
        <v>0.68496527777777771</v>
      </c>
      <c r="H1091" s="61"/>
      <c r="I1091" s="61"/>
      <c r="J1091" s="59">
        <v>0.70601851851851849</v>
      </c>
      <c r="K1091" s="61"/>
      <c r="L1091" s="62"/>
    </row>
    <row r="1092" spans="5:12" x14ac:dyDescent="0.25">
      <c r="E1092" s="53"/>
      <c r="F1092" s="54">
        <v>0.68512731481481481</v>
      </c>
      <c r="G1092" s="54">
        <v>0.6853935185185186</v>
      </c>
      <c r="H1092" s="55"/>
      <c r="I1092" s="55"/>
      <c r="J1092" s="54">
        <v>0.70754629629629628</v>
      </c>
      <c r="K1092" s="56"/>
      <c r="L1092" s="57"/>
    </row>
    <row r="1093" spans="5:12" x14ac:dyDescent="0.25">
      <c r="E1093" s="58"/>
      <c r="F1093" s="59">
        <v>0.68549768518518517</v>
      </c>
      <c r="G1093" s="60">
        <v>0.68582175925925926</v>
      </c>
      <c r="H1093" s="61"/>
      <c r="I1093" s="61"/>
      <c r="J1093" s="59">
        <v>0.70017361111111109</v>
      </c>
      <c r="K1093" s="61"/>
      <c r="L1093" s="62"/>
    </row>
    <row r="1094" spans="5:12" x14ac:dyDescent="0.25">
      <c r="E1094" s="53"/>
      <c r="F1094" s="54">
        <v>0.68600694444444443</v>
      </c>
      <c r="G1094" s="54">
        <v>0.68659722222222219</v>
      </c>
      <c r="H1094" s="55"/>
      <c r="I1094" s="55"/>
      <c r="J1094" s="54">
        <v>0.70537037037037031</v>
      </c>
      <c r="K1094" s="56"/>
      <c r="L1094" s="57"/>
    </row>
    <row r="1095" spans="5:12" x14ac:dyDescent="0.25">
      <c r="E1095" s="58"/>
      <c r="F1095" s="59">
        <v>0.68633101851851841</v>
      </c>
      <c r="G1095" s="60">
        <v>0.68655092592592604</v>
      </c>
      <c r="H1095" s="61"/>
      <c r="I1095" s="61"/>
      <c r="J1095" s="59">
        <v>0.70694444444444438</v>
      </c>
      <c r="K1095" s="61"/>
      <c r="L1095" s="62"/>
    </row>
    <row r="1096" spans="5:12" x14ac:dyDescent="0.25">
      <c r="E1096" s="53"/>
      <c r="F1096" s="54">
        <v>0.6866782407407408</v>
      </c>
      <c r="G1096" s="54">
        <v>0.68716435185185187</v>
      </c>
      <c r="H1096" s="55"/>
      <c r="I1096" s="55"/>
      <c r="J1096" s="54">
        <v>0.70997685185185189</v>
      </c>
      <c r="K1096" s="56"/>
      <c r="L1096" s="57"/>
    </row>
    <row r="1097" spans="5:12" x14ac:dyDescent="0.25">
      <c r="E1097" s="58"/>
      <c r="F1097" s="59">
        <v>0.687037037037037</v>
      </c>
      <c r="G1097" s="60">
        <v>0.68734953703703694</v>
      </c>
      <c r="H1097" s="61"/>
      <c r="I1097" s="61"/>
      <c r="J1097" s="59">
        <v>0.70065972222222228</v>
      </c>
      <c r="K1097" s="61"/>
      <c r="L1097" s="62"/>
    </row>
    <row r="1098" spans="5:12" x14ac:dyDescent="0.25">
      <c r="E1098" s="53"/>
      <c r="F1098" s="54">
        <v>0.68758101851851849</v>
      </c>
      <c r="G1098" s="54">
        <v>0.68797453703703704</v>
      </c>
      <c r="H1098" s="55"/>
      <c r="I1098" s="55"/>
      <c r="J1098" s="54">
        <v>0.7015162037037036</v>
      </c>
      <c r="K1098" s="56"/>
      <c r="L1098" s="57"/>
    </row>
    <row r="1099" spans="5:12" x14ac:dyDescent="0.25">
      <c r="E1099" s="58"/>
      <c r="F1099" s="59">
        <v>0.68798611111111108</v>
      </c>
      <c r="G1099" s="60">
        <v>0.68827546296296294</v>
      </c>
      <c r="H1099" s="61"/>
      <c r="I1099" s="61"/>
      <c r="J1099" s="59">
        <v>0.70025462962962959</v>
      </c>
      <c r="K1099" s="61"/>
      <c r="L1099" s="62"/>
    </row>
    <row r="1100" spans="5:12" x14ac:dyDescent="0.25">
      <c r="E1100" s="53"/>
      <c r="F1100" s="54">
        <v>0.68831018518518527</v>
      </c>
      <c r="G1100" s="54">
        <v>0.6888657407407407</v>
      </c>
      <c r="H1100" s="55"/>
      <c r="I1100" s="55"/>
      <c r="J1100" s="54">
        <v>0.69231481481481483</v>
      </c>
      <c r="K1100" s="56"/>
      <c r="L1100" s="57"/>
    </row>
    <row r="1101" spans="5:12" x14ac:dyDescent="0.25">
      <c r="E1101" s="58"/>
      <c r="F1101" s="59">
        <v>0.68873842592592593</v>
      </c>
      <c r="G1101" s="60">
        <v>0.68898148148148142</v>
      </c>
      <c r="H1101" s="61"/>
      <c r="I1101" s="61"/>
      <c r="J1101" s="59">
        <v>0.7087268518518518</v>
      </c>
      <c r="K1101" s="61"/>
      <c r="L1101" s="62"/>
    </row>
    <row r="1102" spans="5:12" x14ac:dyDescent="0.25">
      <c r="E1102" s="53"/>
      <c r="F1102" s="54">
        <v>0.68912037037037033</v>
      </c>
      <c r="G1102" s="54">
        <v>0.68976851851851861</v>
      </c>
      <c r="H1102" s="55"/>
      <c r="I1102" s="55"/>
      <c r="J1102" s="54">
        <v>0.70848379629629632</v>
      </c>
      <c r="K1102" s="56"/>
      <c r="L1102" s="57"/>
    </row>
    <row r="1103" spans="5:12" x14ac:dyDescent="0.25">
      <c r="E1103" s="58"/>
      <c r="F1103" s="59">
        <v>0.6896064814814814</v>
      </c>
      <c r="G1103" s="60">
        <v>0.68989583333333337</v>
      </c>
      <c r="H1103" s="61"/>
      <c r="I1103" s="61"/>
      <c r="J1103" s="59">
        <v>0.70546296296296296</v>
      </c>
      <c r="K1103" s="61"/>
      <c r="L1103" s="62"/>
    </row>
    <row r="1104" spans="5:12" x14ac:dyDescent="0.25">
      <c r="E1104" s="53"/>
      <c r="F1104" s="54">
        <v>0.68994212962962964</v>
      </c>
      <c r="G1104" s="54">
        <v>0.69020833333333342</v>
      </c>
      <c r="H1104" s="55"/>
      <c r="I1104" s="55"/>
      <c r="J1104" s="54">
        <v>0.71568287037037026</v>
      </c>
      <c r="K1104" s="56"/>
      <c r="L1104" s="57"/>
    </row>
    <row r="1105" spans="5:12" x14ac:dyDescent="0.25">
      <c r="E1105" s="58"/>
      <c r="F1105" s="59">
        <v>0.69045138888888891</v>
      </c>
      <c r="G1105" s="60">
        <v>0.6906944444444445</v>
      </c>
      <c r="H1105" s="61"/>
      <c r="I1105" s="61"/>
      <c r="J1105" s="59">
        <v>0.7085069444444444</v>
      </c>
      <c r="K1105" s="61"/>
      <c r="L1105" s="62"/>
    </row>
    <row r="1106" spans="5:12" x14ac:dyDescent="0.25">
      <c r="E1106" s="53"/>
      <c r="F1106" s="54">
        <v>0.69077546296296299</v>
      </c>
      <c r="G1106" s="54">
        <v>0.69112268518518516</v>
      </c>
      <c r="H1106" s="55"/>
      <c r="I1106" s="55"/>
      <c r="J1106" s="54">
        <v>0.70508101851851857</v>
      </c>
      <c r="K1106" s="56"/>
      <c r="L1106" s="57"/>
    </row>
    <row r="1107" spans="5:12" x14ac:dyDescent="0.25">
      <c r="E1107" s="58"/>
      <c r="F1107" s="59">
        <v>0.6910532407407407</v>
      </c>
      <c r="G1107" s="60">
        <v>0.69149305555555562</v>
      </c>
      <c r="H1107" s="61"/>
      <c r="I1107" s="61"/>
      <c r="J1107" s="59">
        <v>0.70629629629629631</v>
      </c>
      <c r="K1107" s="61"/>
      <c r="L1107" s="62"/>
    </row>
    <row r="1108" spans="5:12" x14ac:dyDescent="0.25">
      <c r="E1108" s="53"/>
      <c r="F1108" s="54">
        <v>0.6912962962962963</v>
      </c>
      <c r="G1108" s="54">
        <v>0.69152777777777785</v>
      </c>
      <c r="H1108" s="55"/>
      <c r="I1108" s="55"/>
      <c r="J1108" s="54">
        <v>0.70469907407407406</v>
      </c>
      <c r="K1108" s="56"/>
      <c r="L1108" s="57"/>
    </row>
    <row r="1109" spans="5:12" x14ac:dyDescent="0.25">
      <c r="E1109" s="58"/>
      <c r="F1109" s="59">
        <v>0.69186342592592587</v>
      </c>
      <c r="G1109" s="60">
        <v>0.69186342592592587</v>
      </c>
      <c r="H1109" s="61"/>
      <c r="I1109" s="61"/>
      <c r="J1109" s="59">
        <v>0.71049768518518519</v>
      </c>
      <c r="K1109" s="61"/>
      <c r="L1109" s="62"/>
    </row>
    <row r="1110" spans="5:12" x14ac:dyDescent="0.25">
      <c r="E1110" s="53"/>
      <c r="F1110" s="54">
        <v>0.69251157407407404</v>
      </c>
      <c r="G1110" s="54">
        <v>0.69298611111111119</v>
      </c>
      <c r="H1110" s="55"/>
      <c r="I1110" s="55"/>
      <c r="J1110" s="54">
        <v>0.70368055555555553</v>
      </c>
      <c r="K1110" s="56"/>
      <c r="L1110" s="57"/>
    </row>
    <row r="1111" spans="5:12" x14ac:dyDescent="0.25">
      <c r="E1111" s="58"/>
      <c r="F1111" s="59">
        <v>0.69291666666666663</v>
      </c>
      <c r="G1111" s="60">
        <v>0.69322916666666667</v>
      </c>
      <c r="H1111" s="61"/>
      <c r="I1111" s="61"/>
      <c r="J1111" s="59">
        <v>0.7091319444444445</v>
      </c>
      <c r="K1111" s="61"/>
      <c r="L1111" s="62"/>
    </row>
    <row r="1112" spans="5:12" x14ac:dyDescent="0.25">
      <c r="E1112" s="53"/>
      <c r="F1112" s="54">
        <v>0.69324074074074071</v>
      </c>
      <c r="G1112" s="54">
        <v>0.69371527777777775</v>
      </c>
      <c r="H1112" s="55"/>
      <c r="I1112" s="55"/>
      <c r="J1112" s="54">
        <v>0.70347222222222217</v>
      </c>
      <c r="K1112" s="56"/>
      <c r="L1112" s="57"/>
    </row>
    <row r="1113" spans="5:12" x14ac:dyDescent="0.25">
      <c r="E1113" s="58"/>
      <c r="F1113" s="59">
        <v>0.69369212962962967</v>
      </c>
      <c r="G1113" s="60">
        <v>0.69393518518518515</v>
      </c>
      <c r="H1113" s="61"/>
      <c r="I1113" s="61"/>
      <c r="J1113" s="59">
        <v>0.71777777777777774</v>
      </c>
      <c r="K1113" s="61"/>
      <c r="L1113" s="62"/>
    </row>
    <row r="1114" spans="5:12" x14ac:dyDescent="0.25">
      <c r="E1114" s="53"/>
      <c r="F1114" s="54">
        <v>0.69388888888888889</v>
      </c>
      <c r="G1114" s="54">
        <v>0.69396990740740738</v>
      </c>
      <c r="H1114" s="55"/>
      <c r="I1114" s="55"/>
      <c r="J1114" s="54">
        <v>0.71015046296296302</v>
      </c>
      <c r="K1114" s="56"/>
      <c r="L1114" s="57"/>
    </row>
    <row r="1115" spans="5:12" x14ac:dyDescent="0.25">
      <c r="E1115" s="58"/>
      <c r="F1115" s="59">
        <v>0.69425925925925924</v>
      </c>
      <c r="G1115" s="60">
        <v>0.69458333333333344</v>
      </c>
      <c r="H1115" s="61"/>
      <c r="I1115" s="61"/>
      <c r="J1115" s="59">
        <v>0.71322916666666669</v>
      </c>
      <c r="K1115" s="61"/>
      <c r="L1115" s="62"/>
    </row>
    <row r="1116" spans="5:12" x14ac:dyDescent="0.25">
      <c r="E1116" s="53"/>
      <c r="F1116" s="54">
        <v>0.69447916666666665</v>
      </c>
      <c r="G1116" s="54">
        <v>0.69491898148148146</v>
      </c>
      <c r="H1116" s="55"/>
      <c r="I1116" s="55"/>
      <c r="J1116" s="54">
        <v>0.72145833333333342</v>
      </c>
      <c r="K1116" s="56"/>
      <c r="L1116" s="57"/>
    </row>
    <row r="1117" spans="5:12" x14ac:dyDescent="0.25">
      <c r="E1117" s="58"/>
      <c r="F1117" s="59">
        <v>0.694849537037037</v>
      </c>
      <c r="G1117" s="60">
        <v>0.69505787037037037</v>
      </c>
      <c r="H1117" s="61"/>
      <c r="I1117" s="61"/>
      <c r="J1117" s="59">
        <v>0.71070601851851845</v>
      </c>
      <c r="K1117" s="61"/>
      <c r="L1117" s="62"/>
    </row>
    <row r="1118" spans="5:12" x14ac:dyDescent="0.25">
      <c r="E1118" s="53"/>
      <c r="F1118" s="54">
        <v>0.69527777777777777</v>
      </c>
      <c r="G1118" s="54">
        <v>0.6955324074074074</v>
      </c>
      <c r="H1118" s="55"/>
      <c r="I1118" s="55"/>
      <c r="J1118" s="54">
        <v>0.70837962962962964</v>
      </c>
      <c r="K1118" s="56"/>
      <c r="L1118" s="57"/>
    </row>
    <row r="1119" spans="5:12" x14ac:dyDescent="0.25">
      <c r="E1119" s="58"/>
      <c r="F1119" s="59">
        <v>0.69568287037037047</v>
      </c>
      <c r="G1119" s="60">
        <v>0.69590277777777787</v>
      </c>
      <c r="H1119" s="61"/>
      <c r="I1119" s="61"/>
      <c r="J1119" s="59">
        <v>0.70435185185185178</v>
      </c>
      <c r="K1119" s="61"/>
      <c r="L1119" s="62"/>
    </row>
    <row r="1120" spans="5:12" x14ac:dyDescent="0.25">
      <c r="E1120" s="53"/>
      <c r="F1120" s="54">
        <v>0.69589120370370372</v>
      </c>
      <c r="G1120" s="54">
        <v>0.69644675925925925</v>
      </c>
      <c r="H1120" s="55"/>
      <c r="I1120" s="55"/>
      <c r="J1120" s="54">
        <v>0.71002314814814815</v>
      </c>
      <c r="K1120" s="56"/>
      <c r="L1120" s="57"/>
    </row>
    <row r="1121" spans="5:12" x14ac:dyDescent="0.25">
      <c r="E1121" s="58"/>
      <c r="F1121" s="59">
        <v>0.69631944444444438</v>
      </c>
      <c r="G1121" s="60">
        <v>0.69658564814814816</v>
      </c>
      <c r="H1121" s="61"/>
      <c r="I1121" s="61"/>
      <c r="J1121" s="59">
        <v>0.71001157407407411</v>
      </c>
      <c r="K1121" s="61"/>
      <c r="L1121" s="62"/>
    </row>
    <row r="1122" spans="5:12" x14ac:dyDescent="0.25">
      <c r="E1122" s="53"/>
      <c r="F1122" s="54">
        <v>0.69627314814814811</v>
      </c>
      <c r="G1122" s="54">
        <v>0.69663194444444443</v>
      </c>
      <c r="H1122" s="55"/>
      <c r="I1122" s="55"/>
      <c r="J1122" s="54">
        <v>0.70265046296296296</v>
      </c>
      <c r="K1122" s="56"/>
      <c r="L1122" s="57"/>
    </row>
    <row r="1123" spans="5:12" x14ac:dyDescent="0.25">
      <c r="E1123" s="58"/>
      <c r="F1123" s="59">
        <v>0.69665509259259262</v>
      </c>
      <c r="G1123" s="60">
        <v>0.69716435185185188</v>
      </c>
      <c r="H1123" s="61"/>
      <c r="I1123" s="61"/>
      <c r="J1123" s="59">
        <v>0.71508101851851846</v>
      </c>
      <c r="K1123" s="61"/>
      <c r="L1123" s="62"/>
    </row>
    <row r="1124" spans="5:12" x14ac:dyDescent="0.25">
      <c r="E1124" s="53"/>
      <c r="F1124" s="54">
        <v>0.69687500000000002</v>
      </c>
      <c r="G1124" s="54">
        <v>0.69736111111111121</v>
      </c>
      <c r="H1124" s="55"/>
      <c r="I1124" s="55"/>
      <c r="J1124" s="54">
        <v>0.71084490740740736</v>
      </c>
      <c r="K1124" s="56"/>
      <c r="L1124" s="57"/>
    </row>
    <row r="1125" spans="5:12" x14ac:dyDescent="0.25">
      <c r="E1125" s="58"/>
      <c r="F1125" s="59">
        <v>0.69696759259259267</v>
      </c>
      <c r="G1125" s="60">
        <v>0.6974421296296297</v>
      </c>
      <c r="H1125" s="61"/>
      <c r="I1125" s="61"/>
      <c r="J1125" s="59">
        <v>0.71277777777777773</v>
      </c>
      <c r="K1125" s="61"/>
      <c r="L1125" s="62"/>
    </row>
    <row r="1126" spans="5:12" x14ac:dyDescent="0.25">
      <c r="E1126" s="53"/>
      <c r="F1126" s="54">
        <v>0.69731481481481483</v>
      </c>
      <c r="G1126" s="54">
        <v>0.69784722222222229</v>
      </c>
      <c r="H1126" s="55"/>
      <c r="I1126" s="55"/>
      <c r="J1126" s="54">
        <v>0.72089120370370363</v>
      </c>
      <c r="K1126" s="56"/>
      <c r="L1126" s="57"/>
    </row>
    <row r="1127" spans="5:12" x14ac:dyDescent="0.25">
      <c r="E1127" s="58"/>
      <c r="F1127" s="59">
        <v>0.69754629629629628</v>
      </c>
      <c r="G1127" s="60">
        <v>0.69780092592592602</v>
      </c>
      <c r="H1127" s="61"/>
      <c r="I1127" s="61"/>
      <c r="J1127" s="59">
        <v>0.719212962962963</v>
      </c>
      <c r="K1127" s="61"/>
      <c r="L1127" s="62"/>
    </row>
    <row r="1128" spans="5:12" x14ac:dyDescent="0.25">
      <c r="E1128" s="53"/>
      <c r="F1128" s="54">
        <v>0.6980439814814815</v>
      </c>
      <c r="G1128" s="54">
        <v>0.69855324074074077</v>
      </c>
      <c r="H1128" s="55"/>
      <c r="I1128" s="55"/>
      <c r="J1128" s="54">
        <v>0.70807870370370374</v>
      </c>
      <c r="K1128" s="56"/>
      <c r="L1128" s="57"/>
    </row>
    <row r="1129" spans="5:12" x14ac:dyDescent="0.25">
      <c r="E1129" s="58"/>
      <c r="F1129" s="59">
        <v>0.69825231481481476</v>
      </c>
      <c r="G1129" s="60">
        <v>0.69878472222222221</v>
      </c>
      <c r="H1129" s="61"/>
      <c r="I1129" s="61"/>
      <c r="J1129" s="59">
        <v>0.71265046296296297</v>
      </c>
      <c r="K1129" s="61"/>
      <c r="L1129" s="62"/>
    </row>
    <row r="1130" spans="5:12" x14ac:dyDescent="0.25">
      <c r="E1130" s="53"/>
      <c r="F1130" s="54">
        <v>0.69863425925925926</v>
      </c>
      <c r="G1130" s="54">
        <v>0.6990277777777778</v>
      </c>
      <c r="H1130" s="55"/>
      <c r="I1130" s="55"/>
      <c r="J1130" s="54">
        <v>0.73081018518518526</v>
      </c>
      <c r="K1130" s="56"/>
      <c r="L1130" s="57"/>
    </row>
    <row r="1131" spans="5:12" x14ac:dyDescent="0.25">
      <c r="E1131" s="58"/>
      <c r="F1131" s="59">
        <v>0.69892361111111112</v>
      </c>
      <c r="G1131" s="60">
        <v>0.69929398148148147</v>
      </c>
      <c r="H1131" s="61"/>
      <c r="I1131" s="61"/>
      <c r="J1131" s="59">
        <v>0.71677083333333336</v>
      </c>
      <c r="K1131" s="61"/>
      <c r="L1131" s="62"/>
    </row>
    <row r="1132" spans="5:12" x14ac:dyDescent="0.25">
      <c r="E1132" s="53"/>
      <c r="F1132" s="54">
        <v>0.69936342592592593</v>
      </c>
      <c r="G1132" s="54">
        <v>0.69961805555555545</v>
      </c>
      <c r="H1132" s="55"/>
      <c r="I1132" s="55"/>
      <c r="J1132" s="54">
        <v>0.71871527777777777</v>
      </c>
      <c r="K1132" s="56"/>
      <c r="L1132" s="57"/>
    </row>
    <row r="1133" spans="5:12" x14ac:dyDescent="0.25">
      <c r="E1133" s="58"/>
      <c r="F1133" s="59">
        <v>0.69983796296296286</v>
      </c>
      <c r="G1133" s="60">
        <v>0.70025462962962959</v>
      </c>
      <c r="H1133" s="61"/>
      <c r="I1133" s="61"/>
      <c r="J1133" s="59">
        <v>0.72428240740740746</v>
      </c>
      <c r="K1133" s="61"/>
      <c r="L1133" s="62"/>
    </row>
    <row r="1134" spans="5:12" x14ac:dyDescent="0.25">
      <c r="E1134" s="53"/>
      <c r="F1134" s="54">
        <v>0.70010416666666664</v>
      </c>
      <c r="G1134" s="54">
        <v>0.70042824074074073</v>
      </c>
      <c r="H1134" s="55"/>
      <c r="I1134" s="55"/>
      <c r="J1134" s="54">
        <v>0.72186342592592589</v>
      </c>
      <c r="K1134" s="56"/>
      <c r="L1134" s="57"/>
    </row>
    <row r="1135" spans="5:12" x14ac:dyDescent="0.25">
      <c r="E1135" s="58"/>
      <c r="F1135" s="59">
        <v>0.70035879629629638</v>
      </c>
      <c r="G1135" s="60">
        <v>0.70064814814814813</v>
      </c>
      <c r="H1135" s="61"/>
      <c r="I1135" s="61"/>
      <c r="J1135" s="59">
        <v>0.7290740740740741</v>
      </c>
      <c r="K1135" s="61"/>
      <c r="L1135" s="62"/>
    </row>
    <row r="1136" spans="5:12" x14ac:dyDescent="0.25">
      <c r="E1136" s="53"/>
      <c r="F1136" s="54">
        <v>0.70092592592592595</v>
      </c>
      <c r="G1136" s="54">
        <v>0.70150462962962967</v>
      </c>
      <c r="H1136" s="55"/>
      <c r="I1136" s="55"/>
      <c r="J1136" s="54">
        <v>0.72221064814814817</v>
      </c>
      <c r="K1136" s="56"/>
      <c r="L1136" s="57"/>
    </row>
    <row r="1137" spans="5:12" x14ac:dyDescent="0.25">
      <c r="E1137" s="58"/>
      <c r="F1137" s="59">
        <v>0.70133101851851853</v>
      </c>
      <c r="G1137" s="60">
        <v>0.70145833333333341</v>
      </c>
      <c r="H1137" s="61"/>
      <c r="I1137" s="61"/>
      <c r="J1137" s="59">
        <v>0.72259259259259256</v>
      </c>
      <c r="K1137" s="61"/>
      <c r="L1137" s="62"/>
    </row>
    <row r="1138" spans="5:12" x14ac:dyDescent="0.25">
      <c r="E1138" s="53"/>
      <c r="F1138" s="54">
        <v>0.70170138888888889</v>
      </c>
      <c r="G1138" s="54">
        <v>0.70197916666666671</v>
      </c>
      <c r="H1138" s="55"/>
      <c r="I1138" s="55"/>
      <c r="J1138" s="54">
        <v>0.72572916666666665</v>
      </c>
      <c r="K1138" s="56"/>
      <c r="L1138" s="57"/>
    </row>
    <row r="1139" spans="5:12" x14ac:dyDescent="0.25">
      <c r="E1139" s="58"/>
      <c r="F1139" s="59">
        <v>0.70221064814814815</v>
      </c>
      <c r="G1139" s="60">
        <v>0.70259259259259255</v>
      </c>
      <c r="H1139" s="61"/>
      <c r="I1139" s="61"/>
      <c r="J1139" s="59">
        <v>0.72023148148148142</v>
      </c>
      <c r="K1139" s="61"/>
      <c r="L1139" s="62"/>
    </row>
    <row r="1140" spans="5:12" x14ac:dyDescent="0.25">
      <c r="E1140" s="53"/>
      <c r="F1140" s="54">
        <v>0.70251157407407405</v>
      </c>
      <c r="G1140" s="54">
        <v>0.7028240740740741</v>
      </c>
      <c r="H1140" s="55"/>
      <c r="I1140" s="55"/>
      <c r="J1140" s="54">
        <v>0.71803240740740737</v>
      </c>
      <c r="K1140" s="56"/>
      <c r="L1140" s="57"/>
    </row>
    <row r="1141" spans="5:12" x14ac:dyDescent="0.25">
      <c r="E1141" s="58"/>
      <c r="F1141" s="59">
        <v>0.7026041666666667</v>
      </c>
      <c r="G1141" s="60">
        <v>0.70300925925925928</v>
      </c>
      <c r="H1141" s="61"/>
      <c r="I1141" s="61"/>
      <c r="J1141" s="59">
        <v>0.71644675925925927</v>
      </c>
      <c r="K1141" s="61"/>
      <c r="L1141" s="62"/>
    </row>
    <row r="1142" spans="5:12" x14ac:dyDescent="0.25">
      <c r="E1142" s="53"/>
      <c r="F1142" s="54">
        <v>0.70270833333333327</v>
      </c>
      <c r="G1142" s="54">
        <v>0.70322916666666668</v>
      </c>
      <c r="H1142" s="55"/>
      <c r="I1142" s="55"/>
      <c r="J1142" s="54">
        <v>0.72299768518518526</v>
      </c>
      <c r="K1142" s="56"/>
      <c r="L1142" s="57"/>
    </row>
    <row r="1143" spans="5:12" x14ac:dyDescent="0.25">
      <c r="E1143" s="58"/>
      <c r="F1143" s="59">
        <v>0.70292824074074067</v>
      </c>
      <c r="G1143" s="60">
        <v>0.70320601851851849</v>
      </c>
      <c r="H1143" s="61"/>
      <c r="I1143" s="61"/>
      <c r="J1143" s="59">
        <v>0.72422453703703704</v>
      </c>
      <c r="K1143" s="61"/>
      <c r="L1143" s="62"/>
    </row>
    <row r="1144" spans="5:12" x14ac:dyDescent="0.25">
      <c r="E1144" s="53"/>
      <c r="F1144" s="54">
        <v>0.70324074074074072</v>
      </c>
      <c r="G1144" s="54">
        <v>0.70377314814814806</v>
      </c>
      <c r="H1144" s="55"/>
      <c r="I1144" s="55"/>
      <c r="J1144" s="54">
        <v>0.7182291666666667</v>
      </c>
      <c r="K1144" s="56"/>
      <c r="L1144" s="57"/>
    </row>
    <row r="1145" spans="5:12" x14ac:dyDescent="0.25">
      <c r="E1145" s="58"/>
      <c r="F1145" s="59">
        <v>0.70351851851851854</v>
      </c>
      <c r="G1145" s="60">
        <v>0.7038888888888889</v>
      </c>
      <c r="H1145" s="61"/>
      <c r="I1145" s="61"/>
      <c r="J1145" s="59">
        <v>0.72082175925925929</v>
      </c>
      <c r="K1145" s="61"/>
      <c r="L1145" s="62"/>
    </row>
    <row r="1146" spans="5:12" x14ac:dyDescent="0.25">
      <c r="E1146" s="53"/>
      <c r="F1146" s="54">
        <v>0.70378472222222221</v>
      </c>
      <c r="G1146" s="54">
        <v>0.70409722222222226</v>
      </c>
      <c r="H1146" s="55"/>
      <c r="I1146" s="55"/>
      <c r="J1146" s="54">
        <v>0.71851851851851845</v>
      </c>
      <c r="K1146" s="56"/>
      <c r="L1146" s="57"/>
    </row>
    <row r="1147" spans="5:12" x14ac:dyDescent="0.25">
      <c r="E1147" s="58"/>
      <c r="F1147" s="59">
        <v>0.70415509259259268</v>
      </c>
      <c r="G1147" s="60">
        <v>0.70459490740740749</v>
      </c>
      <c r="H1147" s="61"/>
      <c r="I1147" s="61"/>
      <c r="J1147" s="59">
        <v>0.70793981481481483</v>
      </c>
      <c r="K1147" s="61"/>
      <c r="L1147" s="62"/>
    </row>
    <row r="1148" spans="5:12" x14ac:dyDescent="0.25">
      <c r="E1148" s="53"/>
      <c r="F1148" s="54">
        <v>0.70432870370370371</v>
      </c>
      <c r="G1148" s="54">
        <v>0.70497685185185188</v>
      </c>
      <c r="H1148" s="55"/>
      <c r="I1148" s="55"/>
      <c r="J1148" s="54">
        <v>0.71478009259259256</v>
      </c>
      <c r="K1148" s="56"/>
      <c r="L1148" s="57"/>
    </row>
    <row r="1149" spans="5:12" x14ac:dyDescent="0.25">
      <c r="E1149" s="58"/>
      <c r="F1149" s="59">
        <v>0.70427083333333329</v>
      </c>
      <c r="G1149" s="60">
        <v>0.7047106481481481</v>
      </c>
      <c r="H1149" s="61"/>
      <c r="I1149" s="61"/>
      <c r="J1149" s="59">
        <v>0.72442129629629637</v>
      </c>
      <c r="K1149" s="61"/>
      <c r="L1149" s="62"/>
    </row>
    <row r="1150" spans="5:12" x14ac:dyDescent="0.25">
      <c r="E1150" s="53"/>
      <c r="F1150" s="54">
        <v>0.70453703703703707</v>
      </c>
      <c r="G1150" s="54">
        <v>0.70479166666666659</v>
      </c>
      <c r="H1150" s="55"/>
      <c r="I1150" s="55"/>
      <c r="J1150" s="54">
        <v>0.72739583333333335</v>
      </c>
      <c r="K1150" s="56"/>
      <c r="L1150" s="57"/>
    </row>
    <row r="1151" spans="5:12" x14ac:dyDescent="0.25">
      <c r="E1151" s="58"/>
      <c r="F1151" s="59">
        <v>0.70478009259259267</v>
      </c>
      <c r="G1151" s="60">
        <v>0.70496527777777773</v>
      </c>
      <c r="H1151" s="61"/>
      <c r="I1151" s="61"/>
      <c r="J1151" s="59">
        <v>0.72429398148148139</v>
      </c>
      <c r="K1151" s="61"/>
      <c r="L1151" s="62"/>
    </row>
    <row r="1152" spans="5:12" x14ac:dyDescent="0.25">
      <c r="E1152" s="53"/>
      <c r="F1152" s="54">
        <v>0.70508101851851857</v>
      </c>
      <c r="G1152" s="54">
        <v>0.70537037037037031</v>
      </c>
      <c r="H1152" s="55"/>
      <c r="I1152" s="55"/>
      <c r="J1152" s="54">
        <v>0.72651620370370373</v>
      </c>
      <c r="K1152" s="56"/>
      <c r="L1152" s="57"/>
    </row>
    <row r="1153" spans="5:12" x14ac:dyDescent="0.25">
      <c r="E1153" s="58"/>
      <c r="F1153" s="59">
        <v>0.70532407407407405</v>
      </c>
      <c r="G1153" s="60">
        <v>0.70570601851851855</v>
      </c>
      <c r="H1153" s="61"/>
      <c r="I1153" s="61"/>
      <c r="J1153" s="59">
        <v>0.72048611111111116</v>
      </c>
      <c r="K1153" s="61"/>
      <c r="L1153" s="62"/>
    </row>
    <row r="1154" spans="5:12" x14ac:dyDescent="0.25">
      <c r="E1154" s="53"/>
      <c r="F1154" s="54">
        <v>0.70561342592592602</v>
      </c>
      <c r="G1154" s="54">
        <v>0.70598379629629626</v>
      </c>
      <c r="H1154" s="55"/>
      <c r="I1154" s="55"/>
      <c r="J1154" s="54">
        <v>0.72719907407407414</v>
      </c>
      <c r="K1154" s="56"/>
      <c r="L1154" s="57"/>
    </row>
    <row r="1155" spans="5:12" x14ac:dyDescent="0.25">
      <c r="E1155" s="58"/>
      <c r="F1155" s="59">
        <v>0.70594907407407403</v>
      </c>
      <c r="G1155" s="60">
        <v>0.70633101851851843</v>
      </c>
      <c r="H1155" s="61"/>
      <c r="I1155" s="61"/>
      <c r="J1155" s="59">
        <v>0.72552083333333339</v>
      </c>
      <c r="K1155" s="61"/>
      <c r="L1155" s="62"/>
    </row>
    <row r="1156" spans="5:12" x14ac:dyDescent="0.25">
      <c r="E1156" s="53"/>
      <c r="F1156" s="54">
        <v>0.70634259259259258</v>
      </c>
      <c r="G1156" s="54">
        <v>0.70652777777777775</v>
      </c>
      <c r="H1156" s="55"/>
      <c r="I1156" s="55"/>
      <c r="J1156" s="54">
        <v>0.73207175925925927</v>
      </c>
      <c r="K1156" s="56"/>
      <c r="L1156" s="57"/>
    </row>
    <row r="1157" spans="5:12" x14ac:dyDescent="0.25">
      <c r="E1157" s="58"/>
      <c r="F1157" s="59">
        <v>0.70658564814814817</v>
      </c>
      <c r="G1157" s="60">
        <v>0.70686342592592588</v>
      </c>
      <c r="H1157" s="61"/>
      <c r="I1157" s="61"/>
      <c r="J1157" s="59">
        <v>0.72237268518518516</v>
      </c>
      <c r="K1157" s="61"/>
      <c r="L1157" s="62"/>
    </row>
    <row r="1158" spans="5:12" x14ac:dyDescent="0.25">
      <c r="E1158" s="53"/>
      <c r="F1158" s="54">
        <v>0.70700231481481479</v>
      </c>
      <c r="G1158" s="54">
        <v>0.7073842592592593</v>
      </c>
      <c r="H1158" s="55"/>
      <c r="I1158" s="55"/>
      <c r="J1158" s="54">
        <v>0.72137731481481471</v>
      </c>
      <c r="K1158" s="56"/>
      <c r="L1158" s="57"/>
    </row>
    <row r="1159" spans="5:12" x14ac:dyDescent="0.25">
      <c r="E1159" s="58"/>
      <c r="F1159" s="59">
        <v>0.70746527777777779</v>
      </c>
      <c r="G1159" s="60">
        <v>0.70783564814814814</v>
      </c>
      <c r="H1159" s="61"/>
      <c r="I1159" s="61"/>
      <c r="J1159" s="59">
        <v>0.71464120370370365</v>
      </c>
      <c r="K1159" s="61"/>
      <c r="L1159" s="62"/>
    </row>
    <row r="1160" spans="5:12" x14ac:dyDescent="0.25">
      <c r="E1160" s="53"/>
      <c r="F1160" s="54">
        <v>0.70780092592592592</v>
      </c>
      <c r="G1160" s="54">
        <v>0.70813657407407404</v>
      </c>
      <c r="H1160" s="55"/>
      <c r="I1160" s="55"/>
      <c r="J1160" s="54">
        <v>0.72722222222222221</v>
      </c>
      <c r="K1160" s="56"/>
      <c r="L1160" s="57"/>
    </row>
    <row r="1161" spans="5:12" x14ac:dyDescent="0.25">
      <c r="E1161" s="58"/>
      <c r="F1161" s="59">
        <v>0.70803240740740747</v>
      </c>
      <c r="G1161" s="60">
        <v>0.70847222222222228</v>
      </c>
      <c r="H1161" s="61"/>
      <c r="I1161" s="61"/>
      <c r="J1161" s="59">
        <v>0.72598379629629628</v>
      </c>
      <c r="K1161" s="61"/>
      <c r="L1161" s="62"/>
    </row>
    <row r="1162" spans="5:12" x14ac:dyDescent="0.25">
      <c r="E1162" s="53"/>
      <c r="F1162" s="54">
        <v>0.70826388888888892</v>
      </c>
      <c r="G1162" s="54">
        <v>0.70862268518518512</v>
      </c>
      <c r="H1162" s="55"/>
      <c r="I1162" s="55"/>
      <c r="J1162" s="54">
        <v>0.72692129629629632</v>
      </c>
      <c r="K1162" s="56"/>
      <c r="L1162" s="57"/>
    </row>
    <row r="1163" spans="5:12" x14ac:dyDescent="0.25">
      <c r="E1163" s="58"/>
      <c r="F1163" s="59">
        <v>0.70858796296296289</v>
      </c>
      <c r="G1163" s="60">
        <v>0.70885416666666667</v>
      </c>
      <c r="H1163" s="61"/>
      <c r="I1163" s="61"/>
      <c r="J1163" s="59">
        <v>0.72498842592592594</v>
      </c>
      <c r="K1163" s="61"/>
      <c r="L1163" s="62"/>
    </row>
    <row r="1164" spans="5:12" x14ac:dyDescent="0.25">
      <c r="E1164" s="53"/>
      <c r="F1164" s="54">
        <v>0.70909722222222227</v>
      </c>
      <c r="G1164" s="54">
        <v>0.70940972222222232</v>
      </c>
      <c r="H1164" s="55"/>
      <c r="I1164" s="55"/>
      <c r="J1164" s="54">
        <v>0.71803240740740737</v>
      </c>
      <c r="K1164" s="56"/>
      <c r="L1164" s="57"/>
    </row>
    <row r="1165" spans="5:12" x14ac:dyDescent="0.25">
      <c r="E1165" s="58"/>
      <c r="F1165" s="59">
        <v>0.70934027777777775</v>
      </c>
      <c r="G1165" s="60">
        <v>0.70975694444444448</v>
      </c>
      <c r="H1165" s="61"/>
      <c r="I1165" s="61"/>
      <c r="J1165" s="59">
        <v>0.72210648148148149</v>
      </c>
      <c r="K1165" s="61"/>
      <c r="L1165" s="62"/>
    </row>
    <row r="1166" spans="5:12" x14ac:dyDescent="0.25">
      <c r="E1166" s="53"/>
      <c r="F1166" s="54">
        <v>0.70962962962962972</v>
      </c>
      <c r="G1166" s="54">
        <v>0.70998842592592604</v>
      </c>
      <c r="H1166" s="55"/>
      <c r="I1166" s="55"/>
      <c r="J1166" s="54">
        <v>0.73181712962962964</v>
      </c>
      <c r="K1166" s="56"/>
      <c r="L1166" s="57"/>
    </row>
    <row r="1167" spans="5:12" x14ac:dyDescent="0.25">
      <c r="E1167" s="58"/>
      <c r="F1167" s="59">
        <v>0.71002314814814815</v>
      </c>
      <c r="G1167" s="60">
        <v>0.71069444444444452</v>
      </c>
      <c r="H1167" s="61"/>
      <c r="I1167" s="61"/>
      <c r="J1167" s="59">
        <v>0.71481481481481479</v>
      </c>
      <c r="K1167" s="61"/>
      <c r="L1167" s="62"/>
    </row>
    <row r="1168" spans="5:12" x14ac:dyDescent="0.25">
      <c r="E1168" s="53"/>
      <c r="F1168" s="54">
        <v>0.71016203703703706</v>
      </c>
      <c r="G1168" s="54">
        <v>0.71053240740740742</v>
      </c>
      <c r="H1168" s="55"/>
      <c r="I1168" s="55"/>
      <c r="J1168" s="54">
        <v>0.72924768518518512</v>
      </c>
      <c r="K1168" s="56"/>
      <c r="L1168" s="57"/>
    </row>
    <row r="1169" spans="5:12" x14ac:dyDescent="0.25">
      <c r="E1169" s="58"/>
      <c r="F1169" s="59">
        <v>0.71046296296296296</v>
      </c>
      <c r="G1169" s="60">
        <v>0.71085648148148151</v>
      </c>
      <c r="H1169" s="61"/>
      <c r="I1169" s="61"/>
      <c r="J1169" s="59">
        <v>0.72490740740740733</v>
      </c>
      <c r="K1169" s="61"/>
      <c r="L1169" s="62"/>
    </row>
    <row r="1170" spans="5:12" x14ac:dyDescent="0.25">
      <c r="E1170" s="53"/>
      <c r="F1170" s="54">
        <v>0.71085648148148151</v>
      </c>
      <c r="G1170" s="54">
        <v>0.71133101851851854</v>
      </c>
      <c r="H1170" s="55"/>
      <c r="I1170" s="55"/>
      <c r="J1170" s="54">
        <v>0.7387731481481481</v>
      </c>
      <c r="K1170" s="56"/>
      <c r="L1170" s="57"/>
    </row>
    <row r="1171" spans="5:12" x14ac:dyDescent="0.25">
      <c r="E1171" s="58"/>
      <c r="F1171" s="59">
        <v>0.7111574074074074</v>
      </c>
      <c r="G1171" s="60">
        <v>0.7114583333333333</v>
      </c>
      <c r="H1171" s="61"/>
      <c r="I1171" s="61"/>
      <c r="J1171" s="59">
        <v>0.73269675925925926</v>
      </c>
      <c r="K1171" s="61"/>
      <c r="L1171" s="62"/>
    </row>
    <row r="1172" spans="5:12" x14ac:dyDescent="0.25">
      <c r="E1172" s="53"/>
      <c r="F1172" s="54">
        <v>0.71130787037037047</v>
      </c>
      <c r="G1172" s="54">
        <v>0.71181712962962962</v>
      </c>
      <c r="H1172" s="55"/>
      <c r="I1172" s="55"/>
      <c r="J1172" s="54">
        <v>0.72894675925925922</v>
      </c>
      <c r="K1172" s="56"/>
      <c r="L1172" s="57"/>
    </row>
    <row r="1173" spans="5:12" x14ac:dyDescent="0.25">
      <c r="E1173" s="58"/>
      <c r="F1173" s="59">
        <v>0.71163194444444444</v>
      </c>
      <c r="G1173" s="60">
        <v>0.71194444444444438</v>
      </c>
      <c r="H1173" s="61"/>
      <c r="I1173" s="61"/>
      <c r="J1173" s="59">
        <v>0.72709490740740745</v>
      </c>
      <c r="K1173" s="61"/>
      <c r="L1173" s="62"/>
    </row>
    <row r="1174" spans="5:12" x14ac:dyDescent="0.25">
      <c r="E1174" s="53"/>
      <c r="F1174" s="54">
        <v>0.71193287037037034</v>
      </c>
      <c r="G1174" s="54">
        <v>0.71240740740740749</v>
      </c>
      <c r="H1174" s="55"/>
      <c r="I1174" s="55"/>
      <c r="J1174" s="54">
        <v>0.73252314814814812</v>
      </c>
      <c r="K1174" s="56"/>
      <c r="L1174" s="57"/>
    </row>
    <row r="1175" spans="5:12" x14ac:dyDescent="0.25">
      <c r="E1175" s="58"/>
      <c r="F1175" s="59">
        <v>0.71233796296296292</v>
      </c>
      <c r="G1175" s="60">
        <v>0.71280092592592592</v>
      </c>
      <c r="H1175" s="61"/>
      <c r="I1175" s="61"/>
      <c r="J1175" s="59">
        <v>0.72346064814814814</v>
      </c>
      <c r="K1175" s="61"/>
      <c r="L1175" s="62"/>
    </row>
    <row r="1176" spans="5:12" x14ac:dyDescent="0.25">
      <c r="E1176" s="53"/>
      <c r="F1176" s="54">
        <v>0.7127430555555555</v>
      </c>
      <c r="G1176" s="54">
        <v>0.7130439814814814</v>
      </c>
      <c r="H1176" s="55"/>
      <c r="I1176" s="55"/>
      <c r="J1176" s="54">
        <v>0.72961805555555559</v>
      </c>
      <c r="K1176" s="56"/>
      <c r="L1176" s="57"/>
    </row>
    <row r="1177" spans="5:12" x14ac:dyDescent="0.25">
      <c r="E1177" s="58"/>
      <c r="F1177" s="59">
        <v>0.71305555555555555</v>
      </c>
      <c r="G1177" s="60">
        <v>0.71335648148148145</v>
      </c>
      <c r="H1177" s="61"/>
      <c r="I1177" s="61"/>
      <c r="J1177" s="59">
        <v>0.73682870370370368</v>
      </c>
      <c r="K1177" s="61"/>
      <c r="L1177" s="62"/>
    </row>
    <row r="1178" spans="5:12" x14ac:dyDescent="0.25">
      <c r="E1178" s="53"/>
      <c r="F1178" s="54">
        <v>0.71341435185185187</v>
      </c>
      <c r="G1178" s="54">
        <v>0.71361111111111108</v>
      </c>
      <c r="H1178" s="55"/>
      <c r="I1178" s="55"/>
      <c r="J1178" s="54">
        <v>0.73749999999999993</v>
      </c>
      <c r="K1178" s="56"/>
      <c r="L1178" s="57"/>
    </row>
    <row r="1179" spans="5:12" x14ac:dyDescent="0.25">
      <c r="E1179" s="58"/>
      <c r="F1179" s="59">
        <v>0.71392361111111102</v>
      </c>
      <c r="G1179" s="60">
        <v>0.71425925925925926</v>
      </c>
      <c r="H1179" s="61"/>
      <c r="I1179" s="61"/>
      <c r="J1179" s="59">
        <v>0.74210648148148151</v>
      </c>
      <c r="K1179" s="61"/>
      <c r="L1179" s="62"/>
    </row>
    <row r="1180" spans="5:12" x14ac:dyDescent="0.25">
      <c r="E1180" s="53"/>
      <c r="F1180" s="54">
        <v>0.7141319444444445</v>
      </c>
      <c r="G1180" s="54">
        <v>0.71446759259259263</v>
      </c>
      <c r="H1180" s="55"/>
      <c r="I1180" s="55"/>
      <c r="J1180" s="54">
        <v>0.73834490740740744</v>
      </c>
      <c r="K1180" s="56"/>
      <c r="L1180" s="57"/>
    </row>
    <row r="1181" spans="5:12" x14ac:dyDescent="0.25">
      <c r="E1181" s="58"/>
      <c r="F1181" s="59">
        <v>0.71446759259259263</v>
      </c>
      <c r="G1181" s="60">
        <v>0.7149537037037037</v>
      </c>
      <c r="H1181" s="61"/>
      <c r="I1181" s="61"/>
      <c r="J1181" s="59">
        <v>0.73578703703703707</v>
      </c>
      <c r="K1181" s="61"/>
      <c r="L1181" s="62"/>
    </row>
    <row r="1182" spans="5:12" x14ac:dyDescent="0.25">
      <c r="E1182" s="53"/>
      <c r="F1182" s="54">
        <v>0.71483796296296298</v>
      </c>
      <c r="G1182" s="54">
        <v>0.71501157407407412</v>
      </c>
      <c r="H1182" s="55"/>
      <c r="I1182" s="55"/>
      <c r="J1182" s="54">
        <v>0.72282407407407412</v>
      </c>
      <c r="K1182" s="56"/>
      <c r="L1182" s="57"/>
    </row>
    <row r="1183" spans="5:12" x14ac:dyDescent="0.25">
      <c r="E1183" s="58"/>
      <c r="F1183" s="59">
        <v>0.7150347222222222</v>
      </c>
      <c r="G1183" s="60">
        <v>0.71537037037037043</v>
      </c>
      <c r="H1183" s="61"/>
      <c r="I1183" s="61"/>
      <c r="J1183" s="59">
        <v>0.72960648148148144</v>
      </c>
      <c r="K1183" s="61"/>
      <c r="L1183" s="62"/>
    </row>
    <row r="1184" spans="5:12" x14ac:dyDescent="0.25">
      <c r="E1184" s="53"/>
      <c r="F1184" s="54">
        <v>0.7153356481481481</v>
      </c>
      <c r="G1184" s="54">
        <v>0.71578703703703705</v>
      </c>
      <c r="H1184" s="55"/>
      <c r="I1184" s="55"/>
      <c r="J1184" s="54">
        <v>0.72821759259259267</v>
      </c>
      <c r="K1184" s="56"/>
      <c r="L1184" s="57"/>
    </row>
    <row r="1185" spans="5:12" x14ac:dyDescent="0.25">
      <c r="E1185" s="58"/>
      <c r="F1185" s="59">
        <v>0.71577546296296291</v>
      </c>
      <c r="G1185" s="60">
        <v>0.71621527777777771</v>
      </c>
      <c r="H1185" s="61"/>
      <c r="I1185" s="61"/>
      <c r="J1185" s="59">
        <v>0.73559027777777775</v>
      </c>
      <c r="K1185" s="61"/>
      <c r="L1185" s="62"/>
    </row>
    <row r="1186" spans="5:12" x14ac:dyDescent="0.25">
      <c r="E1186" s="53"/>
      <c r="F1186" s="54">
        <v>0.71629629629629632</v>
      </c>
      <c r="G1186" s="54">
        <v>0.71652777777777776</v>
      </c>
      <c r="H1186" s="55"/>
      <c r="I1186" s="55"/>
      <c r="J1186" s="54">
        <v>0.73317129629629629</v>
      </c>
      <c r="K1186" s="56"/>
      <c r="L1186" s="57"/>
    </row>
    <row r="1187" spans="5:12" x14ac:dyDescent="0.25">
      <c r="E1187" s="58"/>
      <c r="F1187" s="59">
        <v>0.7165393518518518</v>
      </c>
      <c r="G1187" s="60">
        <v>0.71682870370370377</v>
      </c>
      <c r="H1187" s="61"/>
      <c r="I1187" s="61"/>
      <c r="J1187" s="59">
        <v>0.73424768518518524</v>
      </c>
      <c r="K1187" s="61"/>
      <c r="L1187" s="62"/>
    </row>
    <row r="1188" spans="5:12" x14ac:dyDescent="0.25">
      <c r="E1188" s="53"/>
      <c r="F1188" s="54">
        <v>0.71679398148148143</v>
      </c>
      <c r="G1188" s="54">
        <v>0.71715277777777775</v>
      </c>
      <c r="H1188" s="55"/>
      <c r="I1188" s="55"/>
      <c r="J1188" s="54">
        <v>0.73783564814814817</v>
      </c>
      <c r="K1188" s="56"/>
      <c r="L1188" s="57"/>
    </row>
    <row r="1189" spans="5:12" x14ac:dyDescent="0.25">
      <c r="E1189" s="58"/>
      <c r="F1189" s="59">
        <v>0.71730324074074081</v>
      </c>
      <c r="G1189" s="60">
        <v>0.71760416666666671</v>
      </c>
      <c r="H1189" s="61"/>
      <c r="I1189" s="61"/>
      <c r="J1189" s="59">
        <v>0.73868055555555545</v>
      </c>
      <c r="K1189" s="61"/>
      <c r="L1189" s="62"/>
    </row>
    <row r="1190" spans="5:12" x14ac:dyDescent="0.25">
      <c r="E1190" s="53"/>
      <c r="F1190" s="54">
        <v>0.71751157407407407</v>
      </c>
      <c r="G1190" s="54">
        <v>0.71788194444444453</v>
      </c>
      <c r="H1190" s="55"/>
      <c r="I1190" s="55"/>
      <c r="J1190" s="54">
        <v>0.73197916666666663</v>
      </c>
      <c r="K1190" s="56"/>
      <c r="L1190" s="57"/>
    </row>
    <row r="1191" spans="5:12" x14ac:dyDescent="0.25">
      <c r="E1191" s="58"/>
      <c r="F1191" s="59">
        <v>0.71784722222222219</v>
      </c>
      <c r="G1191" s="60">
        <v>0.71821759259259255</v>
      </c>
      <c r="H1191" s="61"/>
      <c r="I1191" s="61"/>
      <c r="J1191" s="59">
        <v>0.74255787037037047</v>
      </c>
      <c r="K1191" s="61"/>
      <c r="L1191" s="62"/>
    </row>
    <row r="1192" spans="5:12" x14ac:dyDescent="0.25">
      <c r="E1192" s="53"/>
      <c r="F1192" s="54">
        <v>0.71813657407407405</v>
      </c>
      <c r="G1192" s="54">
        <v>0.71847222222222218</v>
      </c>
      <c r="H1192" s="55"/>
      <c r="I1192" s="55"/>
      <c r="J1192" s="54">
        <v>0.72744212962962962</v>
      </c>
      <c r="K1192" s="56"/>
      <c r="L1192" s="57"/>
    </row>
    <row r="1193" spans="5:12" x14ac:dyDescent="0.25">
      <c r="E1193" s="58"/>
      <c r="F1193" s="59">
        <v>0.7185300925925926</v>
      </c>
      <c r="G1193" s="60">
        <v>0.71910879629629632</v>
      </c>
      <c r="H1193" s="61"/>
      <c r="I1193" s="61"/>
      <c r="J1193" s="59">
        <v>0.74583333333333324</v>
      </c>
      <c r="K1193" s="61"/>
      <c r="L1193" s="62"/>
    </row>
    <row r="1194" spans="5:12" x14ac:dyDescent="0.25">
      <c r="E1194" s="53"/>
      <c r="F1194" s="54">
        <v>0.71891203703703699</v>
      </c>
      <c r="G1194" s="54">
        <v>0.71944444444444444</v>
      </c>
      <c r="H1194" s="55"/>
      <c r="I1194" s="55"/>
      <c r="J1194" s="54">
        <v>0.74167824074074085</v>
      </c>
      <c r="K1194" s="56"/>
      <c r="L1194" s="57"/>
    </row>
    <row r="1195" spans="5:12" x14ac:dyDescent="0.25">
      <c r="E1195" s="58"/>
      <c r="F1195" s="59">
        <v>0.71928240740740745</v>
      </c>
      <c r="G1195" s="60">
        <v>0.7197337962962963</v>
      </c>
      <c r="H1195" s="61"/>
      <c r="I1195" s="61"/>
      <c r="J1195" s="59">
        <v>0.73670138888888881</v>
      </c>
      <c r="K1195" s="61"/>
      <c r="L1195" s="62"/>
    </row>
    <row r="1196" spans="5:12" x14ac:dyDescent="0.25">
      <c r="E1196" s="53"/>
      <c r="F1196" s="54">
        <v>0.71958333333333335</v>
      </c>
      <c r="G1196" s="54">
        <v>0.72001157407407401</v>
      </c>
      <c r="H1196" s="55"/>
      <c r="I1196" s="55"/>
      <c r="J1196" s="54">
        <v>0.74130787037037038</v>
      </c>
      <c r="K1196" s="56"/>
      <c r="L1196" s="57"/>
    </row>
    <row r="1197" spans="5:12" x14ac:dyDescent="0.25">
      <c r="E1197" s="58"/>
      <c r="F1197" s="59">
        <v>0.72001157407407401</v>
      </c>
      <c r="G1197" s="60">
        <v>0.7203356481481481</v>
      </c>
      <c r="H1197" s="61"/>
      <c r="I1197" s="61"/>
      <c r="J1197" s="59">
        <v>0.7362847222222223</v>
      </c>
      <c r="K1197" s="61"/>
      <c r="L1197" s="62"/>
    </row>
    <row r="1198" spans="5:12" x14ac:dyDescent="0.25">
      <c r="E1198" s="53"/>
      <c r="F1198" s="54">
        <v>0.72015046296296292</v>
      </c>
      <c r="G1198" s="54">
        <v>0.72052083333333339</v>
      </c>
      <c r="H1198" s="55"/>
      <c r="I1198" s="55"/>
      <c r="J1198" s="54">
        <v>0.74339120370370371</v>
      </c>
      <c r="K1198" s="56"/>
      <c r="L1198" s="57"/>
    </row>
    <row r="1199" spans="5:12" x14ac:dyDescent="0.25">
      <c r="E1199" s="58"/>
      <c r="F1199" s="59">
        <v>0.72056712962962965</v>
      </c>
      <c r="G1199" s="60">
        <v>0.7208796296296297</v>
      </c>
      <c r="H1199" s="61"/>
      <c r="I1199" s="61"/>
      <c r="J1199" s="59">
        <v>0.7418865740740741</v>
      </c>
      <c r="K1199" s="61"/>
      <c r="L1199" s="62"/>
    </row>
    <row r="1200" spans="5:12" x14ac:dyDescent="0.25">
      <c r="E1200" s="53"/>
      <c r="F1200" s="54">
        <v>0.72109953703703711</v>
      </c>
      <c r="G1200" s="54">
        <v>0.7214814814814815</v>
      </c>
      <c r="H1200" s="55"/>
      <c r="I1200" s="55"/>
      <c r="J1200" s="54">
        <v>0.73400462962962953</v>
      </c>
      <c r="K1200" s="56"/>
      <c r="L1200" s="57"/>
    </row>
    <row r="1201" spans="5:12" x14ac:dyDescent="0.25">
      <c r="E1201" s="58"/>
      <c r="F1201" s="59">
        <v>0.72134259259259259</v>
      </c>
      <c r="G1201" s="60">
        <v>0.72184027777777782</v>
      </c>
      <c r="H1201" s="61"/>
      <c r="I1201" s="61"/>
      <c r="J1201" s="59">
        <v>0.74716435185185182</v>
      </c>
      <c r="K1201" s="61"/>
      <c r="L1201" s="62"/>
    </row>
    <row r="1202" spans="5:12" x14ac:dyDescent="0.25">
      <c r="E1202" s="53"/>
      <c r="F1202" s="54">
        <v>0.72157407407407403</v>
      </c>
      <c r="G1202" s="54">
        <v>0.72197916666666673</v>
      </c>
      <c r="H1202" s="55"/>
      <c r="I1202" s="55"/>
      <c r="J1202" s="54">
        <v>0.73704861111111108</v>
      </c>
      <c r="K1202" s="56"/>
      <c r="L1202" s="57"/>
    </row>
    <row r="1203" spans="5:12" x14ac:dyDescent="0.25">
      <c r="E1203" s="58"/>
      <c r="F1203" s="59">
        <v>0.72188657407407408</v>
      </c>
      <c r="G1203" s="60">
        <v>0.72236111111111112</v>
      </c>
      <c r="H1203" s="61"/>
      <c r="I1203" s="61"/>
      <c r="J1203" s="59">
        <v>0.73599537037037033</v>
      </c>
      <c r="K1203" s="61"/>
      <c r="L1203" s="62"/>
    </row>
    <row r="1204" spans="5:12" x14ac:dyDescent="0.25">
      <c r="E1204" s="53"/>
      <c r="F1204" s="54">
        <v>0.7222453703703704</v>
      </c>
      <c r="G1204" s="54">
        <v>0.72271990740740744</v>
      </c>
      <c r="H1204" s="55"/>
      <c r="I1204" s="55"/>
      <c r="J1204" s="54">
        <v>0.74498842592592596</v>
      </c>
      <c r="K1204" s="56"/>
      <c r="L1204" s="57"/>
    </row>
    <row r="1205" spans="5:12" x14ac:dyDescent="0.25">
      <c r="E1205" s="58"/>
      <c r="F1205" s="59">
        <v>0.72262731481481479</v>
      </c>
      <c r="G1205" s="60">
        <v>0.72298611111111111</v>
      </c>
      <c r="H1205" s="61"/>
      <c r="I1205" s="61"/>
      <c r="J1205" s="59">
        <v>0.74024305555555558</v>
      </c>
      <c r="K1205" s="61"/>
      <c r="L1205" s="62"/>
    </row>
    <row r="1206" spans="5:12" x14ac:dyDescent="0.25">
      <c r="E1206" s="53"/>
      <c r="F1206" s="54">
        <v>0.7228472222222222</v>
      </c>
      <c r="G1206" s="54">
        <v>0.72341435185185177</v>
      </c>
      <c r="H1206" s="55"/>
      <c r="I1206" s="55"/>
      <c r="J1206" s="54">
        <v>0.73697916666666663</v>
      </c>
      <c r="K1206" s="56"/>
      <c r="L1206" s="57"/>
    </row>
    <row r="1207" spans="5:12" x14ac:dyDescent="0.25">
      <c r="E1207" s="58"/>
      <c r="F1207" s="59">
        <v>0.72310185185185183</v>
      </c>
      <c r="G1207" s="60">
        <v>0.72334490740740742</v>
      </c>
      <c r="H1207" s="61"/>
      <c r="I1207" s="61"/>
      <c r="J1207" s="59">
        <v>0.7387731481481481</v>
      </c>
      <c r="K1207" s="61"/>
      <c r="L1207" s="62"/>
    </row>
    <row r="1208" spans="5:12" x14ac:dyDescent="0.25">
      <c r="E1208" s="53"/>
      <c r="F1208" s="54">
        <v>0.72351851851851856</v>
      </c>
      <c r="G1208" s="54">
        <v>0.72378472222222223</v>
      </c>
      <c r="H1208" s="55"/>
      <c r="I1208" s="55"/>
      <c r="J1208" s="54">
        <v>0.73499999999999999</v>
      </c>
      <c r="K1208" s="56"/>
      <c r="L1208" s="57"/>
    </row>
    <row r="1209" spans="5:12" x14ac:dyDescent="0.25">
      <c r="E1209" s="58"/>
      <c r="F1209" s="59">
        <v>0.72400462962962964</v>
      </c>
      <c r="G1209" s="60">
        <v>0.72432870370370372</v>
      </c>
      <c r="H1209" s="61"/>
      <c r="I1209" s="61"/>
      <c r="J1209" s="59">
        <v>0.74567129629629625</v>
      </c>
      <c r="K1209" s="61"/>
      <c r="L1209" s="62"/>
    </row>
    <row r="1210" spans="5:12" x14ac:dyDescent="0.25">
      <c r="E1210" s="53"/>
      <c r="F1210" s="54">
        <v>0.72418981481481481</v>
      </c>
      <c r="G1210" s="54">
        <v>0.72460648148148143</v>
      </c>
      <c r="H1210" s="55"/>
      <c r="I1210" s="55"/>
      <c r="J1210" s="54">
        <v>0.75380787037037045</v>
      </c>
      <c r="K1210" s="56"/>
      <c r="L1210" s="57"/>
    </row>
    <row r="1211" spans="5:12" x14ac:dyDescent="0.25">
      <c r="E1211" s="58"/>
      <c r="F1211" s="59">
        <v>0.72451388888888879</v>
      </c>
      <c r="G1211" s="60">
        <v>0.72487268518518511</v>
      </c>
      <c r="H1211" s="61"/>
      <c r="I1211" s="61"/>
      <c r="J1211" s="59">
        <v>0.7362037037037038</v>
      </c>
      <c r="K1211" s="61"/>
      <c r="L1211" s="62"/>
    </row>
    <row r="1212" spans="5:12" x14ac:dyDescent="0.25">
      <c r="E1212" s="53"/>
      <c r="F1212" s="54">
        <v>0.7249537037037036</v>
      </c>
      <c r="G1212" s="54">
        <v>0.72521990740740738</v>
      </c>
      <c r="H1212" s="55"/>
      <c r="I1212" s="55"/>
      <c r="J1212" s="54">
        <v>0.75077546296296294</v>
      </c>
      <c r="K1212" s="56"/>
      <c r="L1212" s="57"/>
    </row>
    <row r="1213" spans="5:12" x14ac:dyDescent="0.25">
      <c r="E1213" s="58"/>
      <c r="F1213" s="59">
        <v>0.72503472222222232</v>
      </c>
      <c r="G1213" s="60">
        <v>0.72545138888888883</v>
      </c>
      <c r="H1213" s="61"/>
      <c r="I1213" s="61"/>
      <c r="J1213" s="59">
        <v>0.74363425925925919</v>
      </c>
      <c r="K1213" s="61"/>
      <c r="L1213" s="62"/>
    </row>
    <row r="1214" spans="5:12" x14ac:dyDescent="0.25">
      <c r="E1214" s="53"/>
      <c r="F1214" s="54">
        <v>0.72546296296296298</v>
      </c>
      <c r="G1214" s="54">
        <v>0.7259606481481482</v>
      </c>
      <c r="H1214" s="55"/>
      <c r="I1214" s="55"/>
      <c r="J1214" s="54">
        <v>0.73892361111111116</v>
      </c>
      <c r="K1214" s="56"/>
      <c r="L1214" s="57"/>
    </row>
    <row r="1215" spans="5:12" x14ac:dyDescent="0.25">
      <c r="E1215" s="58"/>
      <c r="F1215" s="59">
        <v>0.72601851851851851</v>
      </c>
      <c r="G1215" s="60">
        <v>0.72615740740740742</v>
      </c>
      <c r="H1215" s="61"/>
      <c r="I1215" s="61"/>
      <c r="J1215" s="59">
        <v>0.73629629629629623</v>
      </c>
      <c r="K1215" s="61"/>
      <c r="L1215" s="62"/>
    </row>
    <row r="1216" spans="5:12" x14ac:dyDescent="0.25">
      <c r="E1216" s="53"/>
      <c r="F1216" s="54">
        <v>0.7263425925925926</v>
      </c>
      <c r="G1216" s="54">
        <v>0.72673611111111114</v>
      </c>
      <c r="H1216" s="55"/>
      <c r="I1216" s="55"/>
      <c r="J1216" s="54">
        <v>0.74908564814814815</v>
      </c>
      <c r="K1216" s="56"/>
      <c r="L1216" s="57"/>
    </row>
    <row r="1217" spans="5:12" x14ac:dyDescent="0.25">
      <c r="E1217" s="58"/>
      <c r="F1217" s="59">
        <v>0.72640046296296301</v>
      </c>
      <c r="G1217" s="60">
        <v>0.72674768518518518</v>
      </c>
      <c r="H1217" s="61"/>
      <c r="I1217" s="61"/>
      <c r="J1217" s="59">
        <v>0.74618055555555562</v>
      </c>
      <c r="K1217" s="61"/>
      <c r="L1217" s="62"/>
    </row>
    <row r="1218" spans="5:12" x14ac:dyDescent="0.25">
      <c r="E1218" s="53"/>
      <c r="F1218" s="54">
        <v>0.72671296296296306</v>
      </c>
      <c r="G1218" s="54">
        <v>0.7271643518518518</v>
      </c>
      <c r="H1218" s="55"/>
      <c r="I1218" s="55"/>
      <c r="J1218" s="54">
        <v>0.74763888888888896</v>
      </c>
      <c r="K1218" s="56"/>
      <c r="L1218" s="57"/>
    </row>
    <row r="1219" spans="5:12" x14ac:dyDescent="0.25">
      <c r="E1219" s="58"/>
      <c r="F1219" s="59">
        <v>0.72726851851851848</v>
      </c>
      <c r="G1219" s="60">
        <v>0.72766203703703702</v>
      </c>
      <c r="H1219" s="61"/>
      <c r="I1219" s="61"/>
      <c r="J1219" s="59">
        <v>0.7414236111111111</v>
      </c>
      <c r="K1219" s="61"/>
      <c r="L1219" s="62"/>
    </row>
    <row r="1220" spans="5:12" x14ac:dyDescent="0.25">
      <c r="E1220" s="53"/>
      <c r="F1220" s="54">
        <v>0.72741898148148154</v>
      </c>
      <c r="G1220" s="54">
        <v>0.72776620370370371</v>
      </c>
      <c r="H1220" s="55"/>
      <c r="I1220" s="55"/>
      <c r="J1220" s="54">
        <v>0.74129629629629623</v>
      </c>
      <c r="K1220" s="56"/>
      <c r="L1220" s="57"/>
    </row>
    <row r="1221" spans="5:12" x14ac:dyDescent="0.25">
      <c r="E1221" s="58"/>
      <c r="F1221" s="59">
        <v>0.72773148148148159</v>
      </c>
      <c r="G1221" s="60">
        <v>0.72809027777777768</v>
      </c>
      <c r="H1221" s="61"/>
      <c r="I1221" s="61"/>
      <c r="J1221" s="59">
        <v>0.74746527777777771</v>
      </c>
      <c r="K1221" s="61"/>
      <c r="L1221" s="62"/>
    </row>
    <row r="1222" spans="5:12" x14ac:dyDescent="0.25">
      <c r="E1222" s="53"/>
      <c r="F1222" s="54">
        <v>0.72806712962962961</v>
      </c>
      <c r="G1222" s="54">
        <v>0.72841435185185188</v>
      </c>
      <c r="H1222" s="55"/>
      <c r="I1222" s="55"/>
      <c r="J1222" s="54">
        <v>0.73695601851851855</v>
      </c>
      <c r="K1222" s="56"/>
      <c r="L1222" s="57"/>
    </row>
    <row r="1223" spans="5:12" x14ac:dyDescent="0.25">
      <c r="E1223" s="58"/>
      <c r="F1223" s="59">
        <v>0.7284722222222223</v>
      </c>
      <c r="G1223" s="60">
        <v>0.72868055555555555</v>
      </c>
      <c r="H1223" s="61"/>
      <c r="I1223" s="61"/>
      <c r="J1223" s="59">
        <v>0.74583333333333324</v>
      </c>
      <c r="K1223" s="61"/>
      <c r="L1223" s="62"/>
    </row>
    <row r="1224" spans="5:12" x14ac:dyDescent="0.25">
      <c r="E1224" s="53"/>
      <c r="F1224" s="54">
        <v>0.72892361111111104</v>
      </c>
      <c r="G1224" s="54">
        <v>0.72931712962962969</v>
      </c>
      <c r="H1224" s="55"/>
      <c r="I1224" s="55"/>
      <c r="J1224" s="54">
        <v>0.74584490740740739</v>
      </c>
      <c r="K1224" s="56"/>
      <c r="L1224" s="57"/>
    </row>
    <row r="1225" spans="5:12" x14ac:dyDescent="0.25">
      <c r="E1225" s="58"/>
      <c r="F1225" s="59">
        <v>0.72936342592592596</v>
      </c>
      <c r="G1225" s="60">
        <v>0.72967592592592589</v>
      </c>
      <c r="H1225" s="61"/>
      <c r="I1225" s="61"/>
      <c r="J1225" s="59">
        <v>0.73806712962962961</v>
      </c>
      <c r="K1225" s="61"/>
      <c r="L1225" s="62"/>
    </row>
    <row r="1226" spans="5:12" x14ac:dyDescent="0.25">
      <c r="E1226" s="53"/>
      <c r="F1226" s="54">
        <v>0.72971064814814823</v>
      </c>
      <c r="G1226" s="54">
        <v>0.7298958333333333</v>
      </c>
      <c r="H1226" s="55"/>
      <c r="I1226" s="55"/>
      <c r="J1226" s="54">
        <v>0.73942129629629638</v>
      </c>
      <c r="K1226" s="56"/>
      <c r="L1226" s="57"/>
    </row>
    <row r="1227" spans="5:12" x14ac:dyDescent="0.25">
      <c r="E1227" s="58"/>
      <c r="F1227" s="59">
        <v>0.73</v>
      </c>
      <c r="G1227" s="60">
        <v>0.73021990740740739</v>
      </c>
      <c r="H1227" s="61"/>
      <c r="I1227" s="61"/>
      <c r="J1227" s="59">
        <v>0.75200231481481483</v>
      </c>
      <c r="K1227" s="61"/>
      <c r="L1227" s="62"/>
    </row>
    <row r="1228" spans="5:12" x14ac:dyDescent="0.25">
      <c r="E1228" s="53"/>
      <c r="F1228" s="54">
        <v>0.73012731481481474</v>
      </c>
      <c r="G1228" s="54">
        <v>0.73056712962962955</v>
      </c>
      <c r="H1228" s="55"/>
      <c r="I1228" s="55"/>
      <c r="J1228" s="54">
        <v>0.74465277777777772</v>
      </c>
      <c r="K1228" s="56"/>
      <c r="L1228" s="57"/>
    </row>
    <row r="1229" spans="5:12" x14ac:dyDescent="0.25">
      <c r="E1229" s="58"/>
      <c r="F1229" s="59">
        <v>0.73037037037037045</v>
      </c>
      <c r="G1229" s="60">
        <v>0.73068287037037039</v>
      </c>
      <c r="H1229" s="61"/>
      <c r="I1229" s="61"/>
      <c r="J1229" s="59">
        <v>0.7542592592592593</v>
      </c>
      <c r="K1229" s="61"/>
      <c r="L1229" s="62"/>
    </row>
    <row r="1230" spans="5:12" x14ac:dyDescent="0.25">
      <c r="E1230" s="53"/>
      <c r="F1230" s="54">
        <v>0.73075231481481484</v>
      </c>
      <c r="G1230" s="54">
        <v>0.7308796296296296</v>
      </c>
      <c r="H1230" s="55"/>
      <c r="I1230" s="55"/>
      <c r="J1230" s="54">
        <v>0.74532407407407408</v>
      </c>
      <c r="K1230" s="56"/>
      <c r="L1230" s="57"/>
    </row>
    <row r="1231" spans="5:12" x14ac:dyDescent="0.25">
      <c r="E1231" s="58"/>
      <c r="F1231" s="59">
        <v>0.73100694444444436</v>
      </c>
      <c r="G1231" s="60">
        <v>0.73128472222222218</v>
      </c>
      <c r="H1231" s="61"/>
      <c r="I1231" s="61"/>
      <c r="J1231" s="59">
        <v>0.75354166666666667</v>
      </c>
      <c r="K1231" s="61"/>
      <c r="L1231" s="62"/>
    </row>
    <row r="1232" spans="5:12" x14ac:dyDescent="0.25">
      <c r="E1232" s="53"/>
      <c r="F1232" s="54">
        <v>0.73129629629629633</v>
      </c>
      <c r="G1232" s="54">
        <v>0.73175925925925922</v>
      </c>
      <c r="H1232" s="55"/>
      <c r="I1232" s="55"/>
      <c r="J1232" s="54">
        <v>0.74712962962962959</v>
      </c>
      <c r="K1232" s="56"/>
      <c r="L1232" s="57"/>
    </row>
    <row r="1233" spans="5:12" x14ac:dyDescent="0.25">
      <c r="E1233" s="58"/>
      <c r="F1233" s="59">
        <v>0.73157407407407404</v>
      </c>
      <c r="G1233" s="60">
        <v>0.73163194444444446</v>
      </c>
      <c r="H1233" s="61"/>
      <c r="I1233" s="61"/>
      <c r="J1233" s="59">
        <v>0.75071759259259263</v>
      </c>
      <c r="K1233" s="61"/>
      <c r="L1233" s="62"/>
    </row>
    <row r="1234" spans="5:12" x14ac:dyDescent="0.25">
      <c r="E1234" s="53"/>
      <c r="F1234" s="54">
        <v>0.73207175925925927</v>
      </c>
      <c r="G1234" s="54">
        <v>0.73222222222222222</v>
      </c>
      <c r="H1234" s="55"/>
      <c r="I1234" s="55"/>
      <c r="J1234" s="54">
        <v>0.7605439814814815</v>
      </c>
      <c r="K1234" s="56"/>
      <c r="L1234" s="57"/>
    </row>
    <row r="1235" spans="5:12" x14ac:dyDescent="0.25">
      <c r="E1235" s="58"/>
      <c r="F1235" s="59">
        <v>0.7325694444444445</v>
      </c>
      <c r="G1235" s="60">
        <v>0.73290509259259251</v>
      </c>
      <c r="H1235" s="61"/>
      <c r="I1235" s="61"/>
      <c r="J1235" s="59">
        <v>0.7521296296296297</v>
      </c>
      <c r="K1235" s="61"/>
      <c r="L1235" s="62"/>
    </row>
    <row r="1236" spans="5:12" x14ac:dyDescent="0.25">
      <c r="E1236" s="53"/>
      <c r="F1236" s="54">
        <v>0.73287037037037039</v>
      </c>
      <c r="G1236" s="54">
        <v>0.73333333333333339</v>
      </c>
      <c r="H1236" s="55"/>
      <c r="I1236" s="55"/>
      <c r="J1236" s="54">
        <v>0.7427083333333333</v>
      </c>
      <c r="K1236" s="56"/>
      <c r="L1236" s="57"/>
    </row>
    <row r="1237" spans="5:12" x14ac:dyDescent="0.25">
      <c r="E1237" s="58"/>
      <c r="F1237" s="59">
        <v>0.73325231481481479</v>
      </c>
      <c r="G1237" s="60">
        <v>0.73354166666666665</v>
      </c>
      <c r="H1237" s="61"/>
      <c r="I1237" s="61"/>
      <c r="J1237" s="59">
        <v>0.74479166666666663</v>
      </c>
      <c r="K1237" s="61"/>
      <c r="L1237" s="62"/>
    </row>
    <row r="1238" spans="5:12" x14ac:dyDescent="0.25">
      <c r="E1238" s="53"/>
      <c r="F1238" s="54">
        <v>0.73364583333333344</v>
      </c>
      <c r="G1238" s="54">
        <v>0.73396990740740742</v>
      </c>
      <c r="H1238" s="55"/>
      <c r="I1238" s="55"/>
      <c r="J1238" s="54">
        <v>0.74449074074074073</v>
      </c>
      <c r="K1238" s="56"/>
      <c r="L1238" s="57"/>
    </row>
    <row r="1239" spans="5:12" x14ac:dyDescent="0.25">
      <c r="E1239" s="58"/>
      <c r="F1239" s="59">
        <v>0.73390046296296296</v>
      </c>
      <c r="G1239" s="60">
        <v>0.73413194444444441</v>
      </c>
      <c r="H1239" s="61"/>
      <c r="I1239" s="61"/>
      <c r="J1239" s="59">
        <v>0.75312499999999993</v>
      </c>
      <c r="K1239" s="61"/>
      <c r="L1239" s="62"/>
    </row>
    <row r="1240" spans="5:12" x14ac:dyDescent="0.25">
      <c r="E1240" s="53"/>
      <c r="F1240" s="54">
        <v>0.73409722222222218</v>
      </c>
      <c r="G1240" s="54">
        <v>0.73446759259259264</v>
      </c>
      <c r="H1240" s="55"/>
      <c r="I1240" s="55"/>
      <c r="J1240" s="54">
        <v>0.74612268518518521</v>
      </c>
      <c r="K1240" s="56"/>
      <c r="L1240" s="57"/>
    </row>
    <row r="1241" spans="5:12" x14ac:dyDescent="0.25">
      <c r="E1241" s="58"/>
      <c r="F1241" s="59">
        <v>0.73461805555555559</v>
      </c>
      <c r="G1241" s="60">
        <v>0.73478009259259258</v>
      </c>
      <c r="H1241" s="61"/>
      <c r="I1241" s="61"/>
      <c r="J1241" s="59">
        <v>0.76254629629629633</v>
      </c>
      <c r="K1241" s="61"/>
      <c r="L1241" s="62"/>
    </row>
    <row r="1242" spans="5:12" x14ac:dyDescent="0.25">
      <c r="E1242" s="53"/>
      <c r="F1242" s="54">
        <v>0.73511574074074071</v>
      </c>
      <c r="G1242" s="54">
        <v>0.73512731481481486</v>
      </c>
      <c r="H1242" s="55"/>
      <c r="I1242" s="55"/>
      <c r="J1242" s="54">
        <v>0.7556828703703703</v>
      </c>
      <c r="K1242" s="56"/>
      <c r="L1242" s="57"/>
    </row>
    <row r="1243" spans="5:12" x14ac:dyDescent="0.25">
      <c r="E1243" s="58"/>
      <c r="F1243" s="59">
        <v>0.7353587962962963</v>
      </c>
      <c r="G1243" s="60">
        <v>0.73569444444444443</v>
      </c>
      <c r="H1243" s="61"/>
      <c r="I1243" s="61"/>
      <c r="J1243" s="59">
        <v>0.75472222222222218</v>
      </c>
      <c r="K1243" s="61"/>
      <c r="L1243" s="62"/>
    </row>
    <row r="1244" spans="5:12" x14ac:dyDescent="0.25">
      <c r="E1244" s="53"/>
      <c r="F1244" s="54">
        <v>0.73569444444444443</v>
      </c>
      <c r="G1244" s="54">
        <v>0.73606481481481489</v>
      </c>
      <c r="H1244" s="55"/>
      <c r="I1244" s="55"/>
      <c r="J1244" s="54">
        <v>0.75263888888888886</v>
      </c>
      <c r="K1244" s="56"/>
      <c r="L1244" s="57"/>
    </row>
    <row r="1245" spans="5:12" x14ac:dyDescent="0.25">
      <c r="E1245" s="58"/>
      <c r="F1245" s="59">
        <v>0.73593750000000002</v>
      </c>
      <c r="G1245" s="60">
        <v>0.73629629629629623</v>
      </c>
      <c r="H1245" s="61"/>
      <c r="I1245" s="61"/>
      <c r="J1245" s="59">
        <v>0.74100694444444448</v>
      </c>
      <c r="K1245" s="61"/>
      <c r="L1245" s="62"/>
    </row>
    <row r="1246" spans="5:12" x14ac:dyDescent="0.25">
      <c r="E1246" s="53"/>
      <c r="F1246" s="54">
        <v>0.73636574074074079</v>
      </c>
      <c r="G1246" s="54">
        <v>0.73651620370370363</v>
      </c>
      <c r="H1246" s="55"/>
      <c r="I1246" s="55"/>
      <c r="J1246" s="54">
        <v>0.74202546296296301</v>
      </c>
      <c r="K1246" s="56"/>
      <c r="L1246" s="57"/>
    </row>
    <row r="1247" spans="5:12" x14ac:dyDescent="0.25">
      <c r="E1247" s="58"/>
      <c r="F1247" s="59">
        <v>0.73663194444444446</v>
      </c>
      <c r="G1247" s="60">
        <v>0.73684027777777772</v>
      </c>
      <c r="H1247" s="61"/>
      <c r="I1247" s="61"/>
      <c r="J1247" s="59">
        <v>0.75603009259259257</v>
      </c>
      <c r="K1247" s="61"/>
      <c r="L1247" s="62"/>
    </row>
    <row r="1248" spans="5:12" x14ac:dyDescent="0.25">
      <c r="E1248" s="53"/>
      <c r="F1248" s="54">
        <v>0.73695601851851855</v>
      </c>
      <c r="G1248" s="54">
        <v>0.73717592592592596</v>
      </c>
      <c r="H1248" s="55"/>
      <c r="I1248" s="55"/>
      <c r="J1248" s="54">
        <v>0.75475694444444441</v>
      </c>
      <c r="K1248" s="56"/>
      <c r="L1248" s="57"/>
    </row>
    <row r="1249" spans="5:12" x14ac:dyDescent="0.25">
      <c r="E1249" s="58"/>
      <c r="F1249" s="59">
        <v>0.73733796296296295</v>
      </c>
      <c r="G1249" s="60">
        <v>0.73789351851851848</v>
      </c>
      <c r="H1249" s="61"/>
      <c r="I1249" s="61"/>
      <c r="J1249" s="59">
        <v>0.75277777777777777</v>
      </c>
      <c r="K1249" s="61"/>
      <c r="L1249" s="62"/>
    </row>
    <row r="1250" spans="5:12" x14ac:dyDescent="0.25">
      <c r="E1250" s="53"/>
      <c r="F1250" s="54">
        <v>0.73761574074074077</v>
      </c>
      <c r="G1250" s="54">
        <v>0.73803240740740739</v>
      </c>
      <c r="H1250" s="55"/>
      <c r="I1250" s="55"/>
      <c r="J1250" s="54">
        <v>0.75149305555555557</v>
      </c>
      <c r="K1250" s="56"/>
      <c r="L1250" s="57"/>
    </row>
    <row r="1251" spans="5:12" x14ac:dyDescent="0.25">
      <c r="E1251" s="58"/>
      <c r="F1251" s="59">
        <v>0.73761574074074077</v>
      </c>
      <c r="G1251" s="60">
        <v>0.73791666666666667</v>
      </c>
      <c r="H1251" s="61"/>
      <c r="I1251" s="61"/>
      <c r="J1251" s="59">
        <v>0.75298611111111102</v>
      </c>
      <c r="K1251" s="61"/>
      <c r="L1251" s="62"/>
    </row>
    <row r="1252" spans="5:12" x14ac:dyDescent="0.25">
      <c r="E1252" s="53"/>
      <c r="F1252" s="54">
        <v>0.73805555555555558</v>
      </c>
      <c r="G1252" s="54">
        <v>0.73861111111111111</v>
      </c>
      <c r="H1252" s="55"/>
      <c r="I1252" s="55"/>
      <c r="J1252" s="54">
        <v>0.74922453703703706</v>
      </c>
      <c r="K1252" s="56"/>
      <c r="L1252" s="57"/>
    </row>
    <row r="1253" spans="5:12" x14ac:dyDescent="0.25">
      <c r="E1253" s="58"/>
      <c r="F1253" s="59">
        <v>0.73821759259259256</v>
      </c>
      <c r="G1253" s="60">
        <v>0.73851851851851846</v>
      </c>
      <c r="H1253" s="61"/>
      <c r="I1253" s="61"/>
      <c r="J1253" s="59">
        <v>0.74381944444444448</v>
      </c>
      <c r="K1253" s="61"/>
      <c r="L1253" s="62"/>
    </row>
    <row r="1254" spans="5:12" x14ac:dyDescent="0.25">
      <c r="E1254" s="53"/>
      <c r="F1254" s="54">
        <v>0.73849537037037039</v>
      </c>
      <c r="G1254" s="54">
        <v>0.73880787037037043</v>
      </c>
      <c r="H1254" s="55"/>
      <c r="I1254" s="55"/>
      <c r="J1254" s="54">
        <v>0.75951388888888882</v>
      </c>
      <c r="K1254" s="56"/>
      <c r="L1254" s="57"/>
    </row>
    <row r="1255" spans="5:12" x14ac:dyDescent="0.25">
      <c r="E1255" s="58"/>
      <c r="F1255" s="59">
        <v>0.73886574074074074</v>
      </c>
      <c r="G1255" s="60">
        <v>0.73922453703703705</v>
      </c>
      <c r="H1255" s="61"/>
      <c r="I1255" s="61"/>
      <c r="J1255" s="59">
        <v>0.75297453703703709</v>
      </c>
      <c r="K1255" s="61"/>
      <c r="L1255" s="62"/>
    </row>
    <row r="1256" spans="5:12" x14ac:dyDescent="0.25">
      <c r="E1256" s="53"/>
      <c r="F1256" s="54">
        <v>0.73913194444444441</v>
      </c>
      <c r="G1256" s="54">
        <v>0.73976851851851855</v>
      </c>
      <c r="H1256" s="55"/>
      <c r="I1256" s="55"/>
      <c r="J1256" s="54">
        <v>0.75850694444444444</v>
      </c>
      <c r="K1256" s="56"/>
      <c r="L1256" s="57"/>
    </row>
    <row r="1257" spans="5:12" x14ac:dyDescent="0.25">
      <c r="E1257" s="58"/>
      <c r="F1257" s="59">
        <v>0.73935185185185182</v>
      </c>
      <c r="G1257" s="60">
        <v>0.73989583333333331</v>
      </c>
      <c r="H1257" s="61"/>
      <c r="I1257" s="61"/>
      <c r="J1257" s="59">
        <v>0.76127314814814817</v>
      </c>
      <c r="K1257" s="61"/>
      <c r="L1257" s="62"/>
    </row>
    <row r="1258" spans="5:12" x14ac:dyDescent="0.25">
      <c r="E1258" s="53"/>
      <c r="F1258" s="54">
        <v>0.73982638888888896</v>
      </c>
      <c r="G1258" s="54">
        <v>0.74013888888888879</v>
      </c>
      <c r="H1258" s="55"/>
      <c r="I1258" s="55"/>
      <c r="J1258" s="54">
        <v>0.75424768518518526</v>
      </c>
      <c r="K1258" s="56"/>
      <c r="L1258" s="57"/>
    </row>
    <row r="1259" spans="5:12" x14ac:dyDescent="0.25">
      <c r="E1259" s="58"/>
      <c r="F1259" s="59">
        <v>0.74009259259259252</v>
      </c>
      <c r="G1259" s="60">
        <v>0.74056712962962967</v>
      </c>
      <c r="H1259" s="61"/>
      <c r="I1259" s="61"/>
      <c r="J1259" s="59">
        <v>0.75923611111111111</v>
      </c>
      <c r="K1259" s="61"/>
      <c r="L1259" s="62"/>
    </row>
    <row r="1260" spans="5:12" x14ac:dyDescent="0.25">
      <c r="E1260" s="53"/>
      <c r="F1260" s="54">
        <v>0.74032407407407408</v>
      </c>
      <c r="G1260" s="54">
        <v>0.74050925925925926</v>
      </c>
      <c r="H1260" s="55"/>
      <c r="I1260" s="55"/>
      <c r="J1260" s="54">
        <v>0.75908564814814816</v>
      </c>
      <c r="K1260" s="56"/>
      <c r="L1260" s="57"/>
    </row>
    <row r="1261" spans="5:12" x14ac:dyDescent="0.25">
      <c r="E1261" s="58"/>
      <c r="F1261" s="59">
        <v>0.74077546296296293</v>
      </c>
      <c r="G1261" s="60">
        <v>0.74122685185185189</v>
      </c>
      <c r="H1261" s="61"/>
      <c r="I1261" s="61"/>
      <c r="J1261" s="59">
        <v>0.75045138888888896</v>
      </c>
      <c r="K1261" s="61"/>
      <c r="L1261" s="62"/>
    </row>
    <row r="1262" spans="5:12" x14ac:dyDescent="0.25">
      <c r="E1262" s="53"/>
      <c r="F1262" s="54">
        <v>0.74113425925925924</v>
      </c>
      <c r="G1262" s="54">
        <v>0.7415046296296296</v>
      </c>
      <c r="H1262" s="55"/>
      <c r="I1262" s="55"/>
      <c r="J1262" s="54">
        <v>0.76244212962962965</v>
      </c>
      <c r="K1262" s="56"/>
      <c r="L1262" s="57"/>
    </row>
    <row r="1263" spans="5:12" x14ac:dyDescent="0.25">
      <c r="E1263" s="58"/>
      <c r="F1263" s="59">
        <v>0.74145833333333344</v>
      </c>
      <c r="G1263" s="60">
        <v>0.74185185185185187</v>
      </c>
      <c r="H1263" s="61"/>
      <c r="I1263" s="61"/>
      <c r="J1263" s="59">
        <v>0.76386574074074076</v>
      </c>
      <c r="K1263" s="61"/>
      <c r="L1263" s="62"/>
    </row>
    <row r="1264" spans="5:12" x14ac:dyDescent="0.25">
      <c r="E1264" s="53"/>
      <c r="F1264" s="54">
        <v>0.7416666666666667</v>
      </c>
      <c r="G1264" s="54">
        <v>0.74200231481481482</v>
      </c>
      <c r="H1264" s="55"/>
      <c r="I1264" s="55"/>
      <c r="J1264" s="54">
        <v>0.74728009259259265</v>
      </c>
      <c r="K1264" s="56"/>
      <c r="L1264" s="57"/>
    </row>
    <row r="1265" spans="5:12" x14ac:dyDescent="0.25">
      <c r="E1265" s="58"/>
      <c r="F1265" s="59">
        <v>0.74206018518518524</v>
      </c>
      <c r="G1265" s="60">
        <v>0.74243055555555559</v>
      </c>
      <c r="H1265" s="61"/>
      <c r="I1265" s="61"/>
      <c r="J1265" s="59">
        <v>0.76269675925925917</v>
      </c>
      <c r="K1265" s="61"/>
      <c r="L1265" s="62"/>
    </row>
    <row r="1266" spans="5:12" x14ac:dyDescent="0.25">
      <c r="E1266" s="53"/>
      <c r="F1266" s="54">
        <v>0.74254629629629632</v>
      </c>
      <c r="G1266" s="54">
        <v>0.74312500000000004</v>
      </c>
      <c r="H1266" s="55"/>
      <c r="I1266" s="55"/>
      <c r="J1266" s="54">
        <v>0.76697916666666666</v>
      </c>
      <c r="K1266" s="56"/>
      <c r="L1266" s="57"/>
    </row>
    <row r="1267" spans="5:12" x14ac:dyDescent="0.25">
      <c r="E1267" s="58"/>
      <c r="F1267" s="59">
        <v>0.74267361111111108</v>
      </c>
      <c r="G1267" s="60">
        <v>0.74315972222222226</v>
      </c>
      <c r="H1267" s="61"/>
      <c r="I1267" s="61"/>
      <c r="J1267" s="59">
        <v>0.75865740740740739</v>
      </c>
      <c r="K1267" s="61"/>
      <c r="L1267" s="62"/>
    </row>
    <row r="1268" spans="5:12" x14ac:dyDescent="0.25">
      <c r="E1268" s="53"/>
      <c r="F1268" s="54">
        <v>0.74289351851851848</v>
      </c>
      <c r="G1268" s="54">
        <v>0.74306712962962962</v>
      </c>
      <c r="H1268" s="55"/>
      <c r="I1268" s="55"/>
      <c r="J1268" s="54">
        <v>0.75810185185185175</v>
      </c>
      <c r="K1268" s="56"/>
      <c r="L1268" s="57"/>
    </row>
    <row r="1269" spans="5:12" x14ac:dyDescent="0.25">
      <c r="E1269" s="58"/>
      <c r="F1269" s="59">
        <v>0.74341435185185178</v>
      </c>
      <c r="G1269" s="60">
        <v>0.74388888888888882</v>
      </c>
      <c r="H1269" s="61"/>
      <c r="I1269" s="61"/>
      <c r="J1269" s="59">
        <v>0.76025462962962964</v>
      </c>
      <c r="K1269" s="61"/>
      <c r="L1269" s="62"/>
    </row>
    <row r="1270" spans="5:12" x14ac:dyDescent="0.25">
      <c r="E1270" s="53"/>
      <c r="F1270" s="54">
        <v>0.74385416666666659</v>
      </c>
      <c r="G1270" s="54">
        <v>0.74432870370370363</v>
      </c>
      <c r="H1270" s="55"/>
      <c r="I1270" s="55"/>
      <c r="J1270" s="54">
        <v>0.75377314814814822</v>
      </c>
      <c r="K1270" s="56"/>
      <c r="L1270" s="57"/>
    </row>
    <row r="1271" spans="5:12" x14ac:dyDescent="0.25">
      <c r="E1271" s="58"/>
      <c r="F1271" s="59">
        <v>0.74403935185185188</v>
      </c>
      <c r="G1271" s="60">
        <v>0.7442939814814814</v>
      </c>
      <c r="H1271" s="61"/>
      <c r="I1271" s="61"/>
      <c r="J1271" s="59">
        <v>0.76363425925925921</v>
      </c>
      <c r="K1271" s="61"/>
      <c r="L1271" s="62"/>
    </row>
    <row r="1272" spans="5:12" x14ac:dyDescent="0.25">
      <c r="E1272" s="53"/>
      <c r="F1272" s="54">
        <v>0.74427083333333333</v>
      </c>
      <c r="G1272" s="54">
        <v>0.74462962962962964</v>
      </c>
      <c r="H1272" s="55"/>
      <c r="I1272" s="55"/>
      <c r="J1272" s="54">
        <v>0.76380787037037035</v>
      </c>
      <c r="K1272" s="56"/>
      <c r="L1272" s="57"/>
    </row>
    <row r="1273" spans="5:12" x14ac:dyDescent="0.25">
      <c r="E1273" s="58"/>
      <c r="F1273" s="59">
        <v>0.74471064814814814</v>
      </c>
      <c r="G1273" s="60">
        <v>0.74504629629629626</v>
      </c>
      <c r="H1273" s="61"/>
      <c r="I1273" s="61"/>
      <c r="J1273" s="59">
        <v>0.76981481481481484</v>
      </c>
      <c r="K1273" s="61"/>
      <c r="L1273" s="62"/>
    </row>
    <row r="1274" spans="5:12" x14ac:dyDescent="0.25">
      <c r="E1274" s="53"/>
      <c r="F1274" s="54">
        <v>0.74497685185185192</v>
      </c>
      <c r="G1274" s="54">
        <v>0.74554398148148149</v>
      </c>
      <c r="H1274" s="55"/>
      <c r="I1274" s="55"/>
      <c r="J1274" s="54">
        <v>0.76126157407407413</v>
      </c>
      <c r="K1274" s="56"/>
      <c r="L1274" s="57"/>
    </row>
    <row r="1275" spans="5:12" x14ac:dyDescent="0.25">
      <c r="E1275" s="58"/>
      <c r="F1275" s="59">
        <v>0.74530092592592589</v>
      </c>
      <c r="G1275" s="60">
        <v>0.74531249999999993</v>
      </c>
      <c r="H1275" s="61"/>
      <c r="I1275" s="61"/>
      <c r="J1275" s="59">
        <v>0.75719907407407405</v>
      </c>
      <c r="K1275" s="61"/>
      <c r="L1275" s="62"/>
    </row>
    <row r="1276" spans="5:12" x14ac:dyDescent="0.25">
      <c r="E1276" s="53"/>
      <c r="F1276" s="54">
        <v>0.74545138888888884</v>
      </c>
      <c r="G1276" s="54">
        <v>0.74559027777777775</v>
      </c>
      <c r="H1276" s="55"/>
      <c r="I1276" s="55"/>
      <c r="J1276" s="54">
        <v>0.77269675925925929</v>
      </c>
      <c r="K1276" s="56"/>
      <c r="L1276" s="57"/>
    </row>
    <row r="1277" spans="5:12" x14ac:dyDescent="0.25">
      <c r="E1277" s="58"/>
      <c r="F1277" s="59">
        <v>0.74585648148148154</v>
      </c>
      <c r="G1277" s="60">
        <v>0.74630787037037039</v>
      </c>
      <c r="H1277" s="61"/>
      <c r="I1277" s="61"/>
      <c r="J1277" s="59">
        <v>0.76150462962962961</v>
      </c>
      <c r="K1277" s="61"/>
      <c r="L1277" s="62"/>
    </row>
    <row r="1278" spans="5:12" x14ac:dyDescent="0.25">
      <c r="E1278" s="53"/>
      <c r="F1278" s="54">
        <v>0.74633101851851846</v>
      </c>
      <c r="G1278" s="54">
        <v>0.74667824074074074</v>
      </c>
      <c r="H1278" s="55"/>
      <c r="I1278" s="55"/>
      <c r="J1278" s="54">
        <v>0.76672453703703702</v>
      </c>
      <c r="K1278" s="56"/>
      <c r="L1278" s="57"/>
    </row>
    <row r="1279" spans="5:12" x14ac:dyDescent="0.25">
      <c r="E1279" s="58"/>
      <c r="F1279" s="59">
        <v>0.74668981481481478</v>
      </c>
      <c r="G1279" s="60">
        <v>0.74717592592592597</v>
      </c>
      <c r="H1279" s="61"/>
      <c r="I1279" s="61"/>
      <c r="J1279" s="59">
        <v>0.76637731481481486</v>
      </c>
      <c r="K1279" s="61"/>
      <c r="L1279" s="62"/>
    </row>
    <row r="1280" spans="5:12" x14ac:dyDescent="0.25">
      <c r="E1280" s="53"/>
      <c r="F1280" s="54">
        <v>0.74701388888888898</v>
      </c>
      <c r="G1280" s="54">
        <v>0.74731481481481488</v>
      </c>
      <c r="H1280" s="55"/>
      <c r="I1280" s="55"/>
      <c r="J1280" s="54">
        <v>0.76646990740740739</v>
      </c>
      <c r="K1280" s="56"/>
      <c r="L1280" s="57"/>
    </row>
    <row r="1281" spans="5:12" x14ac:dyDescent="0.25">
      <c r="E1281" s="58"/>
      <c r="F1281" s="59">
        <v>0.7475694444444444</v>
      </c>
      <c r="G1281" s="60">
        <v>0.74795138888888879</v>
      </c>
      <c r="H1281" s="61"/>
      <c r="I1281" s="61"/>
      <c r="J1281" s="59">
        <v>0.76487268518518514</v>
      </c>
      <c r="K1281" s="61"/>
      <c r="L1281" s="62"/>
    </row>
    <row r="1282" spans="5:12" x14ac:dyDescent="0.25">
      <c r="E1282" s="53"/>
      <c r="F1282" s="54">
        <v>0.74785879629629637</v>
      </c>
      <c r="G1282" s="54">
        <v>0.74806712962962962</v>
      </c>
      <c r="H1282" s="55"/>
      <c r="I1282" s="55"/>
      <c r="J1282" s="54">
        <v>0.75752314814814825</v>
      </c>
      <c r="K1282" s="56"/>
      <c r="L1282" s="57"/>
    </row>
    <row r="1283" spans="5:12" x14ac:dyDescent="0.25">
      <c r="E1283" s="58"/>
      <c r="F1283" s="59">
        <v>0.74829861111111118</v>
      </c>
      <c r="G1283" s="60">
        <v>0.7486342592592593</v>
      </c>
      <c r="H1283" s="61"/>
      <c r="I1283" s="61"/>
      <c r="J1283" s="59">
        <v>0.76571759259259264</v>
      </c>
      <c r="K1283" s="61"/>
      <c r="L1283" s="62"/>
    </row>
    <row r="1284" spans="5:12" x14ac:dyDescent="0.25">
      <c r="E1284" s="53"/>
      <c r="F1284" s="54">
        <v>0.74865740740740738</v>
      </c>
      <c r="G1284" s="54">
        <v>0.74890046296296298</v>
      </c>
      <c r="H1284" s="55"/>
      <c r="I1284" s="55"/>
      <c r="J1284" s="54">
        <v>0.75726851851851851</v>
      </c>
      <c r="K1284" s="56"/>
      <c r="L1284" s="57"/>
    </row>
    <row r="1285" spans="5:12" x14ac:dyDescent="0.25">
      <c r="E1285" s="58"/>
      <c r="F1285" s="59">
        <v>0.74907407407407411</v>
      </c>
      <c r="G1285" s="60">
        <v>0.74957175925925934</v>
      </c>
      <c r="H1285" s="61"/>
      <c r="I1285" s="61"/>
      <c r="J1285" s="59">
        <v>0.77048611111111109</v>
      </c>
      <c r="K1285" s="61"/>
      <c r="L1285" s="62"/>
    </row>
    <row r="1286" spans="5:12" x14ac:dyDescent="0.25">
      <c r="E1286" s="53"/>
      <c r="F1286" s="54">
        <v>0.74927083333333344</v>
      </c>
      <c r="G1286" s="54">
        <v>0.74958333333333327</v>
      </c>
      <c r="H1286" s="55"/>
      <c r="I1286" s="55"/>
      <c r="J1286" s="54">
        <v>0.77527777777777773</v>
      </c>
      <c r="K1286" s="56"/>
      <c r="L1286" s="57"/>
    </row>
    <row r="1287" spans="5:12" x14ac:dyDescent="0.25">
      <c r="E1287" s="58"/>
      <c r="F1287" s="59">
        <v>0.74959490740740742</v>
      </c>
      <c r="G1287" s="60">
        <v>0.74980324074074067</v>
      </c>
      <c r="H1287" s="61"/>
      <c r="I1287" s="61"/>
      <c r="J1287" s="59">
        <v>0.75642361111111101</v>
      </c>
      <c r="K1287" s="61"/>
      <c r="L1287" s="62"/>
    </row>
  </sheetData>
  <sortState ref="F5:K515">
    <sortCondition ref="F5:F515"/>
  </sortState>
  <mergeCells count="5">
    <mergeCell ref="A4:C4"/>
    <mergeCell ref="A9:C9"/>
    <mergeCell ref="A17:C17"/>
    <mergeCell ref="A33:C33"/>
    <mergeCell ref="A24:C2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6"/>
  <sheetViews>
    <sheetView zoomScale="120" zoomScaleNormal="120" workbookViewId="0">
      <selection activeCell="A3" sqref="A3"/>
    </sheetView>
  </sheetViews>
  <sheetFormatPr defaultRowHeight="15" x14ac:dyDescent="0.25"/>
  <cols>
    <col min="1" max="1" width="31" customWidth="1"/>
    <col min="2" max="2" width="11.5703125" customWidth="1"/>
    <col min="3" max="3" width="14" customWidth="1"/>
  </cols>
  <sheetData>
    <row r="1" spans="1:3" ht="25.5" x14ac:dyDescent="0.35">
      <c r="A1" s="1" t="s">
        <v>10</v>
      </c>
    </row>
    <row r="2" spans="1:3" ht="15.75" x14ac:dyDescent="0.25">
      <c r="A2" s="6" t="s">
        <v>40</v>
      </c>
    </row>
    <row r="4" spans="1:3" ht="18" thickBot="1" x14ac:dyDescent="0.35">
      <c r="A4" s="68" t="s">
        <v>47</v>
      </c>
      <c r="B4" s="68"/>
      <c r="C4" s="68"/>
    </row>
    <row r="5" spans="1:3" ht="15.75" thickTop="1" x14ac:dyDescent="0.25">
      <c r="A5" t="s">
        <v>5</v>
      </c>
      <c r="B5" s="4">
        <v>52</v>
      </c>
      <c r="C5" s="9" t="s">
        <v>46</v>
      </c>
    </row>
    <row r="6" spans="1:3" x14ac:dyDescent="0.25">
      <c r="A6" t="s">
        <v>41</v>
      </c>
      <c r="B6" s="4">
        <v>5</v>
      </c>
      <c r="C6" s="9" t="s">
        <v>44</v>
      </c>
    </row>
    <row r="7" spans="1:3" x14ac:dyDescent="0.25">
      <c r="A7" s="10" t="s">
        <v>50</v>
      </c>
      <c r="B7" s="4">
        <v>6.5</v>
      </c>
      <c r="C7" s="9" t="s">
        <v>44</v>
      </c>
    </row>
    <row r="8" spans="1:3" x14ac:dyDescent="0.25">
      <c r="A8" t="s">
        <v>7</v>
      </c>
      <c r="B8" s="4">
        <v>8</v>
      </c>
      <c r="C8" s="9" t="s">
        <v>4</v>
      </c>
    </row>
    <row r="9" spans="1:3" x14ac:dyDescent="0.25">
      <c r="A9" t="s">
        <v>143</v>
      </c>
      <c r="B9" s="8">
        <f>B5*B6-B7</f>
        <v>253.5</v>
      </c>
      <c r="C9" s="9" t="s">
        <v>44</v>
      </c>
    </row>
    <row r="10" spans="1:3" x14ac:dyDescent="0.25">
      <c r="A10" t="s">
        <v>42</v>
      </c>
      <c r="B10" s="8">
        <f>B9*B8</f>
        <v>2028</v>
      </c>
      <c r="C10" s="9" t="s">
        <v>4</v>
      </c>
    </row>
    <row r="12" spans="1:3" ht="18" thickBot="1" x14ac:dyDescent="0.35">
      <c r="A12" s="68" t="s">
        <v>43</v>
      </c>
      <c r="B12" s="68"/>
      <c r="C12" s="68"/>
    </row>
    <row r="13" spans="1:3" ht="15.75" thickTop="1" x14ac:dyDescent="0.25">
      <c r="A13" t="s">
        <v>45</v>
      </c>
      <c r="B13" s="4">
        <v>15</v>
      </c>
      <c r="C13" s="9" t="s">
        <v>44</v>
      </c>
    </row>
    <row r="14" spans="1:3" x14ac:dyDescent="0.25">
      <c r="A14" t="s">
        <v>6</v>
      </c>
      <c r="B14" s="4">
        <v>10</v>
      </c>
      <c r="C14" s="9" t="s">
        <v>44</v>
      </c>
    </row>
    <row r="15" spans="1:3" x14ac:dyDescent="0.25">
      <c r="A15" t="s">
        <v>144</v>
      </c>
      <c r="B15" s="8">
        <f>(B13+B14)*B8</f>
        <v>200</v>
      </c>
      <c r="C15" s="9" t="s">
        <v>4</v>
      </c>
    </row>
    <row r="17" spans="1:3" ht="18" thickBot="1" x14ac:dyDescent="0.35">
      <c r="A17" s="68" t="s">
        <v>48</v>
      </c>
      <c r="B17" s="68"/>
      <c r="C17" s="68"/>
    </row>
    <row r="18" spans="1:3" ht="15.75" thickTop="1" x14ac:dyDescent="0.25">
      <c r="A18" t="s">
        <v>49</v>
      </c>
      <c r="B18" s="4">
        <v>0.5</v>
      </c>
      <c r="C18" s="9" t="s">
        <v>4</v>
      </c>
    </row>
    <row r="19" spans="1:3" x14ac:dyDescent="0.25">
      <c r="A19" t="s">
        <v>8</v>
      </c>
      <c r="B19" s="4">
        <v>1.5</v>
      </c>
      <c r="C19" s="9" t="s">
        <v>4</v>
      </c>
    </row>
    <row r="20" spans="1:3" x14ac:dyDescent="0.25">
      <c r="A20" t="s">
        <v>54</v>
      </c>
      <c r="B20" s="8">
        <f>B9*(B18+B19)</f>
        <v>507</v>
      </c>
      <c r="C20" s="9" t="s">
        <v>4</v>
      </c>
    </row>
    <row r="22" spans="1:3" ht="18" thickBot="1" x14ac:dyDescent="0.35">
      <c r="A22" s="68" t="s">
        <v>51</v>
      </c>
      <c r="B22" s="68"/>
      <c r="C22" s="68"/>
    </row>
    <row r="23" spans="1:3" ht="15.75" thickTop="1" x14ac:dyDescent="0.25">
      <c r="A23" t="s">
        <v>141</v>
      </c>
      <c r="B23" s="64"/>
      <c r="C23" s="11" t="s">
        <v>28</v>
      </c>
    </row>
    <row r="24" spans="1:3" x14ac:dyDescent="0.25">
      <c r="A24" t="s">
        <v>52</v>
      </c>
      <c r="B24" s="8">
        <f>B15+B20</f>
        <v>707</v>
      </c>
      <c r="C24" s="11" t="s">
        <v>4</v>
      </c>
    </row>
    <row r="25" spans="1:3" x14ac:dyDescent="0.25">
      <c r="A25" t="s">
        <v>9</v>
      </c>
      <c r="B25" s="12">
        <f>B24/B10</f>
        <v>0.34861932938856016</v>
      </c>
    </row>
    <row r="26" spans="1:3" x14ac:dyDescent="0.25">
      <c r="A26" t="s">
        <v>142</v>
      </c>
      <c r="B26" s="65">
        <f>B23/(1-B25)</f>
        <v>0</v>
      </c>
      <c r="C26" s="9" t="s">
        <v>53</v>
      </c>
    </row>
  </sheetData>
  <mergeCells count="4">
    <mergeCell ref="A4:C4"/>
    <mergeCell ref="A12:C12"/>
    <mergeCell ref="A17:C17"/>
    <mergeCell ref="A22:C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1"/>
  <sheetViews>
    <sheetView zoomScale="120" zoomScaleNormal="120" workbookViewId="0">
      <selection activeCell="A3" sqref="A3"/>
    </sheetView>
  </sheetViews>
  <sheetFormatPr defaultRowHeight="15" x14ac:dyDescent="0.25"/>
  <cols>
    <col min="1" max="1" width="29.85546875" style="33" customWidth="1"/>
    <col min="2" max="2" width="9.140625" style="33"/>
    <col min="3" max="3" width="16.28515625" style="33" customWidth="1"/>
    <col min="4" max="4" width="2.85546875" style="33" customWidth="1"/>
    <col min="5" max="5" width="12.5703125" style="33" customWidth="1"/>
    <col min="6" max="6" width="16.28515625" style="33" customWidth="1"/>
    <col min="7" max="7" width="19.5703125" style="33" customWidth="1"/>
    <col min="8" max="8" width="14.7109375" style="33" customWidth="1"/>
    <col min="9" max="16384" width="9.140625" style="33"/>
  </cols>
  <sheetData>
    <row r="1" spans="1:8" ht="25.5" x14ac:dyDescent="0.35">
      <c r="A1" s="32" t="s">
        <v>10</v>
      </c>
    </row>
    <row r="2" spans="1:8" ht="15.75" x14ac:dyDescent="0.25">
      <c r="A2" s="34" t="s">
        <v>128</v>
      </c>
    </row>
    <row r="4" spans="1:8" ht="20.25" thickBot="1" x14ac:dyDescent="0.35">
      <c r="A4" s="70" t="s">
        <v>29</v>
      </c>
      <c r="B4" s="70"/>
      <c r="C4" s="70"/>
      <c r="E4" s="80" t="s">
        <v>146</v>
      </c>
      <c r="F4" s="80"/>
      <c r="G4" s="80"/>
      <c r="H4" s="80"/>
    </row>
    <row r="5" spans="1:8" ht="15.75" thickTop="1" x14ac:dyDescent="0.25">
      <c r="A5" s="33" t="s">
        <v>25</v>
      </c>
      <c r="B5" s="35"/>
      <c r="C5" s="36" t="s">
        <v>24</v>
      </c>
      <c r="E5" s="48" t="s">
        <v>145</v>
      </c>
      <c r="F5" s="49" t="s">
        <v>34</v>
      </c>
      <c r="G5" s="49" t="s">
        <v>36</v>
      </c>
      <c r="H5" s="50" t="s">
        <v>31</v>
      </c>
    </row>
    <row r="6" spans="1:8" x14ac:dyDescent="0.25">
      <c r="A6" s="33" t="s">
        <v>140</v>
      </c>
      <c r="B6" s="35"/>
      <c r="C6" s="36" t="s">
        <v>126</v>
      </c>
      <c r="E6" s="51">
        <f>ROUNDUP(B12,0)</f>
        <v>0</v>
      </c>
      <c r="F6" s="42" t="str">
        <f t="array" aca="1" ref="F6" ca="1">IFERROR(IF(E6&lt;=$B$12,#N/A,($B$12^($E6-1)/FACT($E6-1)*$B$12/($E6-$B$12))/(($B$12^($E6-1)/FACT($E6-1)*$B$12/($E6-$B$12))+SERIESSUM($B$12,0,1,1/FACT(ROW(INDIRECT("1:"&amp;E6))-1)))),"")</f>
        <v/>
      </c>
      <c r="G6" s="43" t="str">
        <f t="shared" ref="G6:G32" ca="1" si="0">IFERROR(F6*$B$8/(E6-$B$12)*60,"")</f>
        <v/>
      </c>
      <c r="H6" s="44" t="str">
        <f t="shared" ref="H6:H32" ca="1" si="1">IFERROR(F6*EXP(-(E6-$B$12)*($B$7/(60*$B$8))),"")</f>
        <v/>
      </c>
    </row>
    <row r="7" spans="1:8" x14ac:dyDescent="0.25">
      <c r="A7" s="33" t="s">
        <v>21</v>
      </c>
      <c r="B7" s="35"/>
      <c r="C7" s="36" t="s">
        <v>2</v>
      </c>
      <c r="E7" s="51">
        <f>E6+1</f>
        <v>1</v>
      </c>
      <c r="F7" s="42" t="str">
        <f t="array" aca="1" ref="F7" ca="1">IFERROR(IF(E7&lt;=$B$12,#N/A,($B$12^($E7-1)/FACT($E7-1)*$B$12/($E7-$B$12))/(($B$12^($E7-1)/FACT($E7-1)*$B$12/($E7-$B$12))+SERIESSUM($B$12,0,1,1/FACT(ROW(INDIRECT("1:"&amp;E7))-1)))),"")</f>
        <v/>
      </c>
      <c r="G7" s="43" t="str">
        <f t="shared" ca="1" si="0"/>
        <v/>
      </c>
      <c r="H7" s="44" t="str">
        <f t="shared" ca="1" si="1"/>
        <v/>
      </c>
    </row>
    <row r="8" spans="1:8" x14ac:dyDescent="0.25">
      <c r="A8" s="33" t="s">
        <v>1</v>
      </c>
      <c r="B8" s="35"/>
      <c r="C8" s="36" t="s">
        <v>3</v>
      </c>
      <c r="E8" s="51">
        <f t="shared" ref="E8:E32" si="2">E7+1</f>
        <v>2</v>
      </c>
      <c r="F8" s="42" t="str">
        <f t="array" aca="1" ref="F8" ca="1">IFERROR(IF(E8&lt;=$B$12,#N/A,($B$12^($E8-1)/FACT($E8-1)*$B$12/($E8-$B$12))/(($B$12^($E8-1)/FACT($E8-1)*$B$12/($E8-$B$12))+SERIESSUM($B$12,0,1,1/FACT(ROW(INDIRECT("1:"&amp;E8))-1)))),"")</f>
        <v/>
      </c>
      <c r="G8" s="43" t="str">
        <f t="shared" ca="1" si="0"/>
        <v/>
      </c>
      <c r="H8" s="44" t="str">
        <f t="shared" ca="1" si="1"/>
        <v/>
      </c>
    </row>
    <row r="9" spans="1:8" x14ac:dyDescent="0.25">
      <c r="A9" s="33" t="s">
        <v>1</v>
      </c>
      <c r="B9" s="37"/>
      <c r="C9" s="36" t="s">
        <v>4</v>
      </c>
      <c r="E9" s="51">
        <f t="shared" si="2"/>
        <v>3</v>
      </c>
      <c r="F9" s="42" t="str">
        <f t="array" aca="1" ref="F9" ca="1">IFERROR(IF(E9&lt;=$B$12,#N/A,($B$12^($E9-1)/FACT($E9-1)*$B$12/($E9-$B$12))/(($B$12^($E9-1)/FACT($E9-1)*$B$12/($E9-$B$12))+SERIESSUM($B$12,0,1,1/FACT(ROW(INDIRECT("1:"&amp;E9))-1)))),"")</f>
        <v/>
      </c>
      <c r="G9" s="43" t="str">
        <f t="shared" ca="1" si="0"/>
        <v/>
      </c>
      <c r="H9" s="44" t="str">
        <f t="shared" ca="1" si="1"/>
        <v/>
      </c>
    </row>
    <row r="10" spans="1:8" x14ac:dyDescent="0.25">
      <c r="E10" s="51">
        <f t="shared" si="2"/>
        <v>4</v>
      </c>
      <c r="F10" s="42" t="str">
        <f t="array" aca="1" ref="F10" ca="1">IFERROR(IF(E10&lt;=$B$12,#N/A,($B$12^($E10-1)/FACT($E10-1)*$B$12/($E10-$B$12))/(($B$12^($E10-1)/FACT($E10-1)*$B$12/($E10-$B$12))+SERIESSUM($B$12,0,1,1/FACT(ROW(INDIRECT("1:"&amp;E10))-1)))),"")</f>
        <v/>
      </c>
      <c r="G10" s="43" t="str">
        <f t="shared" ca="1" si="0"/>
        <v/>
      </c>
      <c r="H10" s="44" t="str">
        <f t="shared" ca="1" si="1"/>
        <v/>
      </c>
    </row>
    <row r="11" spans="1:8" ht="18" thickBot="1" x14ac:dyDescent="0.3">
      <c r="A11" s="70" t="s">
        <v>33</v>
      </c>
      <c r="B11" s="70"/>
      <c r="C11" s="70"/>
      <c r="E11" s="51">
        <f t="shared" si="2"/>
        <v>5</v>
      </c>
      <c r="F11" s="42" t="str">
        <f t="array" aca="1" ref="F11" ca="1">IFERROR(IF(E11&lt;=$B$12,#N/A,($B$12^($E11-1)/FACT($E11-1)*$B$12/($E11-$B$12))/(($B$12^($E11-1)/FACT($E11-1)*$B$12/($E11-$B$12))+SERIESSUM($B$12,0,1,1/FACT(ROW(INDIRECT("1:"&amp;E11))-1)))),"")</f>
        <v/>
      </c>
      <c r="G11" s="43" t="str">
        <f t="shared" ca="1" si="0"/>
        <v/>
      </c>
      <c r="H11" s="44" t="str">
        <f t="shared" ca="1" si="1"/>
        <v/>
      </c>
    </row>
    <row r="12" spans="1:8" ht="15.75" thickTop="1" x14ac:dyDescent="0.25">
      <c r="A12" s="33" t="s">
        <v>27</v>
      </c>
      <c r="B12" s="37"/>
      <c r="C12" s="36" t="s">
        <v>125</v>
      </c>
      <c r="E12" s="51">
        <f t="shared" si="2"/>
        <v>6</v>
      </c>
      <c r="F12" s="42" t="str">
        <f t="array" aca="1" ref="F12" ca="1">IFERROR(IF(E12&lt;=$B$12,#N/A,($B$12^($E12-1)/FACT($E12-1)*$B$12/($E12-$B$12))/(($B$12^($E12-1)/FACT($E12-1)*$B$12/($E12-$B$12))+SERIESSUM($B$12,0,1,1/FACT(ROW(INDIRECT("1:"&amp;E12))-1)))),"")</f>
        <v/>
      </c>
      <c r="G12" s="43" t="str">
        <f t="shared" ca="1" si="0"/>
        <v/>
      </c>
      <c r="H12" s="44" t="str">
        <f t="shared" ca="1" si="1"/>
        <v/>
      </c>
    </row>
    <row r="13" spans="1:8" x14ac:dyDescent="0.25">
      <c r="A13" s="33" t="s">
        <v>127</v>
      </c>
      <c r="B13" s="38"/>
      <c r="E13" s="51">
        <f t="shared" si="2"/>
        <v>7</v>
      </c>
      <c r="F13" s="42" t="str">
        <f t="array" aca="1" ref="F13" ca="1">IFERROR(IF(E13&lt;=$B$12,#N/A,($B$12^($E13-1)/FACT($E13-1)*$B$12/($E13-$B$12))/(($B$12^($E13-1)/FACT($E13-1)*$B$12/($E13-$B$12))+SERIESSUM($B$12,0,1,1/FACT(ROW(INDIRECT("1:"&amp;E13))-1)))),"")</f>
        <v/>
      </c>
      <c r="G13" s="43" t="str">
        <f t="shared" ca="1" si="0"/>
        <v/>
      </c>
      <c r="H13" s="44" t="str">
        <f t="shared" ca="1" si="1"/>
        <v/>
      </c>
    </row>
    <row r="14" spans="1:8" x14ac:dyDescent="0.25">
      <c r="E14" s="51">
        <f t="shared" si="2"/>
        <v>8</v>
      </c>
      <c r="F14" s="42" t="str">
        <f t="array" aca="1" ref="F14" ca="1">IFERROR(IF(E14&lt;=$B$12,#N/A,($B$12^($E14-1)/FACT($E14-1)*$B$12/($E14-$B$12))/(($B$12^($E14-1)/FACT($E14-1)*$B$12/($E14-$B$12))+SERIESSUM($B$12,0,1,1/FACT(ROW(INDIRECT("1:"&amp;E14))-1)))),"")</f>
        <v/>
      </c>
      <c r="G14" s="43" t="str">
        <f t="shared" ca="1" si="0"/>
        <v/>
      </c>
      <c r="H14" s="44" t="str">
        <f t="shared" ca="1" si="1"/>
        <v/>
      </c>
    </row>
    <row r="15" spans="1:8" ht="18" thickBot="1" x14ac:dyDescent="0.3">
      <c r="A15" s="70" t="s">
        <v>30</v>
      </c>
      <c r="B15" s="70"/>
      <c r="C15" s="70"/>
      <c r="E15" s="51">
        <f t="shared" si="2"/>
        <v>9</v>
      </c>
      <c r="F15" s="42" t="str">
        <f t="array" aca="1" ref="F15" ca="1">IFERROR(IF(E15&lt;=$B$12,#N/A,($B$12^($E15-1)/FACT($E15-1)*$B$12/($E15-$B$12))/(($B$12^($E15-1)/FACT($E15-1)*$B$12/($E15-$B$12))+SERIESSUM($B$12,0,1,1/FACT(ROW(INDIRECT("1:"&amp;E15))-1)))),"")</f>
        <v/>
      </c>
      <c r="G15" s="43" t="str">
        <f t="shared" ca="1" si="0"/>
        <v/>
      </c>
      <c r="H15" s="44" t="str">
        <f t="shared" ca="1" si="1"/>
        <v/>
      </c>
    </row>
    <row r="16" spans="1:8" ht="15.75" thickTop="1" x14ac:dyDescent="0.25">
      <c r="A16" s="33" t="s">
        <v>56</v>
      </c>
      <c r="B16" s="39"/>
      <c r="C16" s="36"/>
      <c r="E16" s="51">
        <f t="shared" si="2"/>
        <v>10</v>
      </c>
      <c r="F16" s="42" t="str">
        <f t="array" aca="1" ref="F16" ca="1">IFERROR(IF(E16&lt;=$B$12,#N/A,($B$12^($E16-1)/FACT($E16-1)*$B$12/($E16-$B$12))/(($B$12^($E16-1)/FACT($E16-1)*$B$12/($E16-$B$12))+SERIESSUM($B$12,0,1,1/FACT(ROW(INDIRECT("1:"&amp;E16))-1)))),"")</f>
        <v/>
      </c>
      <c r="G16" s="43" t="str">
        <f t="shared" ca="1" si="0"/>
        <v/>
      </c>
      <c r="H16" s="44" t="str">
        <f t="shared" ca="1" si="1"/>
        <v/>
      </c>
    </row>
    <row r="17" spans="1:8" x14ac:dyDescent="0.25">
      <c r="A17" s="33" t="s">
        <v>35</v>
      </c>
      <c r="B17" s="40"/>
      <c r="C17" s="36" t="s">
        <v>2</v>
      </c>
      <c r="E17" s="51">
        <f t="shared" si="2"/>
        <v>11</v>
      </c>
      <c r="F17" s="42" t="str">
        <f t="array" aca="1" ref="F17" ca="1">IFERROR(IF(E17&lt;=$B$12,#N/A,($B$12^($E17-1)/FACT($E17-1)*$B$12/($E17-$B$12))/(($B$12^($E17-1)/FACT($E17-1)*$B$12/($E17-$B$12))+SERIESSUM($B$12,0,1,1/FACT(ROW(INDIRECT("1:"&amp;E17))-1)))),"")</f>
        <v/>
      </c>
      <c r="G17" s="43" t="str">
        <f t="shared" ca="1" si="0"/>
        <v/>
      </c>
      <c r="H17" s="44" t="str">
        <f t="shared" ca="1" si="1"/>
        <v/>
      </c>
    </row>
    <row r="18" spans="1:8" x14ac:dyDescent="0.25">
      <c r="A18" s="33" t="s">
        <v>35</v>
      </c>
      <c r="B18" s="40"/>
      <c r="C18" s="36" t="s">
        <v>3</v>
      </c>
      <c r="E18" s="51">
        <f t="shared" si="2"/>
        <v>12</v>
      </c>
      <c r="F18" s="42" t="str">
        <f t="array" aca="1" ref="F18" ca="1">IFERROR(IF(E18&lt;=$B$12,#N/A,($B$12^($E18-1)/FACT($E18-1)*$B$12/($E18-$B$12))/(($B$12^($E18-1)/FACT($E18-1)*$B$12/($E18-$B$12))+SERIESSUM($B$12,0,1,1/FACT(ROW(INDIRECT("1:"&amp;E18))-1)))),"")</f>
        <v/>
      </c>
      <c r="G18" s="43" t="str">
        <f t="shared" ca="1" si="0"/>
        <v/>
      </c>
      <c r="H18" s="44" t="str">
        <f t="shared" ca="1" si="1"/>
        <v/>
      </c>
    </row>
    <row r="19" spans="1:8" x14ac:dyDescent="0.25">
      <c r="A19" s="33" t="s">
        <v>32</v>
      </c>
      <c r="B19" s="39"/>
      <c r="C19" s="36"/>
      <c r="E19" s="51">
        <f t="shared" si="2"/>
        <v>13</v>
      </c>
      <c r="F19" s="42" t="str">
        <f t="array" aca="1" ref="F19" ca="1">IFERROR(IF(E19&lt;=$B$12,#N/A,($B$12^($E19-1)/FACT($E19-1)*$B$12/($E19-$B$12))/(($B$12^($E19-1)/FACT($E19-1)*$B$12/($E19-$B$12))+SERIESSUM($B$12,0,1,1/FACT(ROW(INDIRECT("1:"&amp;E19))-1)))),"")</f>
        <v/>
      </c>
      <c r="G19" s="43" t="str">
        <f t="shared" ca="1" si="0"/>
        <v/>
      </c>
      <c r="H19" s="44" t="str">
        <f t="shared" ca="1" si="1"/>
        <v/>
      </c>
    </row>
    <row r="20" spans="1:8" x14ac:dyDescent="0.25">
      <c r="E20" s="51">
        <f t="shared" si="2"/>
        <v>14</v>
      </c>
      <c r="F20" s="42" t="str">
        <f t="array" aca="1" ref="F20" ca="1">IFERROR(IF(E20&lt;=$B$12,#N/A,($B$12^($E20-1)/FACT($E20-1)*$B$12/($E20-$B$12))/(($B$12^($E20-1)/FACT($E20-1)*$B$12/($E20-$B$12))+SERIESSUM($B$12,0,1,1/FACT(ROW(INDIRECT("1:"&amp;E20))-1)))),"")</f>
        <v/>
      </c>
      <c r="G20" s="43" t="str">
        <f t="shared" ca="1" si="0"/>
        <v/>
      </c>
      <c r="H20" s="44" t="str">
        <f t="shared" ca="1" si="1"/>
        <v/>
      </c>
    </row>
    <row r="21" spans="1:8" ht="15.75" thickBot="1" x14ac:dyDescent="0.3">
      <c r="A21" s="66" t="s">
        <v>131</v>
      </c>
      <c r="E21" s="51">
        <f t="shared" si="2"/>
        <v>15</v>
      </c>
      <c r="F21" s="42" t="str">
        <f t="array" aca="1" ref="F21" ca="1">IFERROR(IF(E21&lt;=$B$12,#N/A,($B$12^($E21-1)/FACT($E21-1)*$B$12/($E21-$B$12))/(($B$12^($E21-1)/FACT($E21-1)*$B$12/($E21-$B$12))+SERIESSUM($B$12,0,1,1/FACT(ROW(INDIRECT("1:"&amp;E21))-1)))),"")</f>
        <v/>
      </c>
      <c r="G21" s="43" t="str">
        <f t="shared" ca="1" si="0"/>
        <v/>
      </c>
      <c r="H21" s="44" t="str">
        <f t="shared" ca="1" si="1"/>
        <v/>
      </c>
    </row>
    <row r="22" spans="1:8" x14ac:dyDescent="0.25">
      <c r="A22" s="71"/>
      <c r="B22" s="72"/>
      <c r="C22" s="73"/>
      <c r="E22" s="51">
        <f t="shared" si="2"/>
        <v>16</v>
      </c>
      <c r="F22" s="42" t="str">
        <f t="array" aca="1" ref="F22" ca="1">IFERROR(IF(E22&lt;=$B$12,#N/A,($B$12^($E22-1)/FACT($E22-1)*$B$12/($E22-$B$12))/(($B$12^($E22-1)/FACT($E22-1)*$B$12/($E22-$B$12))+SERIESSUM($B$12,0,1,1/FACT(ROW(INDIRECT("1:"&amp;E22))-1)))),"")</f>
        <v/>
      </c>
      <c r="G22" s="43" t="str">
        <f t="shared" ca="1" si="0"/>
        <v/>
      </c>
      <c r="H22" s="44" t="str">
        <f t="shared" ca="1" si="1"/>
        <v/>
      </c>
    </row>
    <row r="23" spans="1:8" x14ac:dyDescent="0.25">
      <c r="A23" s="74"/>
      <c r="B23" s="75"/>
      <c r="C23" s="76"/>
      <c r="E23" s="51">
        <f t="shared" si="2"/>
        <v>17</v>
      </c>
      <c r="F23" s="42" t="str">
        <f t="array" aca="1" ref="F23" ca="1">IFERROR(IF(E23&lt;=$B$12,#N/A,($B$12^($E23-1)/FACT($E23-1)*$B$12/($E23-$B$12))/(($B$12^($E23-1)/FACT($E23-1)*$B$12/($E23-$B$12))+SERIESSUM($B$12,0,1,1/FACT(ROW(INDIRECT("1:"&amp;E23))-1)))),"")</f>
        <v/>
      </c>
      <c r="G23" s="43" t="str">
        <f t="shared" ca="1" si="0"/>
        <v/>
      </c>
      <c r="H23" s="44" t="str">
        <f t="shared" ca="1" si="1"/>
        <v/>
      </c>
    </row>
    <row r="24" spans="1:8" x14ac:dyDescent="0.25">
      <c r="A24" s="74"/>
      <c r="B24" s="75"/>
      <c r="C24" s="76"/>
      <c r="E24" s="51">
        <f t="shared" si="2"/>
        <v>18</v>
      </c>
      <c r="F24" s="42" t="str">
        <f t="array" aca="1" ref="F24" ca="1">IFERROR(IF(E24&lt;=$B$12,#N/A,($B$12^($E24-1)/FACT($E24-1)*$B$12/($E24-$B$12))/(($B$12^($E24-1)/FACT($E24-1)*$B$12/($E24-$B$12))+SERIESSUM($B$12,0,1,1/FACT(ROW(INDIRECT("1:"&amp;E24))-1)))),"")</f>
        <v/>
      </c>
      <c r="G24" s="43" t="str">
        <f t="shared" ca="1" si="0"/>
        <v/>
      </c>
      <c r="H24" s="44" t="str">
        <f t="shared" ca="1" si="1"/>
        <v/>
      </c>
    </row>
    <row r="25" spans="1:8" x14ac:dyDescent="0.25">
      <c r="A25" s="74"/>
      <c r="B25" s="75"/>
      <c r="C25" s="76"/>
      <c r="E25" s="51">
        <f t="shared" si="2"/>
        <v>19</v>
      </c>
      <c r="F25" s="42" t="str">
        <f t="array" aca="1" ref="F25" ca="1">IFERROR(IF(E25&lt;=$B$12,#N/A,($B$12^($E25-1)/FACT($E25-1)*$B$12/($E25-$B$12))/(($B$12^($E25-1)/FACT($E25-1)*$B$12/($E25-$B$12))+SERIESSUM($B$12,0,1,1/FACT(ROW(INDIRECT("1:"&amp;E25))-1)))),"")</f>
        <v/>
      </c>
      <c r="G25" s="43" t="str">
        <f t="shared" ca="1" si="0"/>
        <v/>
      </c>
      <c r="H25" s="44" t="str">
        <f t="shared" ca="1" si="1"/>
        <v/>
      </c>
    </row>
    <row r="26" spans="1:8" x14ac:dyDescent="0.25">
      <c r="A26" s="74"/>
      <c r="B26" s="75"/>
      <c r="C26" s="76"/>
      <c r="E26" s="51">
        <f t="shared" si="2"/>
        <v>20</v>
      </c>
      <c r="F26" s="42" t="str">
        <f t="array" aca="1" ref="F26" ca="1">IFERROR(IF(E26&lt;=$B$12,#N/A,($B$12^($E26-1)/FACT($E26-1)*$B$12/($E26-$B$12))/(($B$12^($E26-1)/FACT($E26-1)*$B$12/($E26-$B$12))+SERIESSUM($B$12,0,1,1/FACT(ROW(INDIRECT("1:"&amp;E26))-1)))),"")</f>
        <v/>
      </c>
      <c r="G26" s="43" t="str">
        <f t="shared" ca="1" si="0"/>
        <v/>
      </c>
      <c r="H26" s="44" t="str">
        <f t="shared" ca="1" si="1"/>
        <v/>
      </c>
    </row>
    <row r="27" spans="1:8" x14ac:dyDescent="0.25">
      <c r="A27" s="74"/>
      <c r="B27" s="75"/>
      <c r="C27" s="76"/>
      <c r="E27" s="51">
        <f t="shared" si="2"/>
        <v>21</v>
      </c>
      <c r="F27" s="42" t="str">
        <f t="array" aca="1" ref="F27" ca="1">IFERROR(IF(E27&lt;=$B$12,#N/A,($B$12^($E27-1)/FACT($E27-1)*$B$12/($E27-$B$12))/(($B$12^($E27-1)/FACT($E27-1)*$B$12/($E27-$B$12))+SERIESSUM($B$12,0,1,1/FACT(ROW(INDIRECT("1:"&amp;E27))-1)))),"")</f>
        <v/>
      </c>
      <c r="G27" s="43" t="str">
        <f t="shared" ca="1" si="0"/>
        <v/>
      </c>
      <c r="H27" s="44" t="str">
        <f t="shared" ca="1" si="1"/>
        <v/>
      </c>
    </row>
    <row r="28" spans="1:8" x14ac:dyDescent="0.25">
      <c r="A28" s="74"/>
      <c r="B28" s="75"/>
      <c r="C28" s="76"/>
      <c r="E28" s="51">
        <f t="shared" si="2"/>
        <v>22</v>
      </c>
      <c r="F28" s="42" t="str">
        <f t="array" aca="1" ref="F28" ca="1">IFERROR(IF(E28&lt;=$B$12,#N/A,($B$12^($E28-1)/FACT($E28-1)*$B$12/($E28-$B$12))/(($B$12^($E28-1)/FACT($E28-1)*$B$12/($E28-$B$12))+SERIESSUM($B$12,0,1,1/FACT(ROW(INDIRECT("1:"&amp;E28))-1)))),"")</f>
        <v/>
      </c>
      <c r="G28" s="43" t="str">
        <f t="shared" ca="1" si="0"/>
        <v/>
      </c>
      <c r="H28" s="44" t="str">
        <f t="shared" ca="1" si="1"/>
        <v/>
      </c>
    </row>
    <row r="29" spans="1:8" x14ac:dyDescent="0.25">
      <c r="A29" s="74"/>
      <c r="B29" s="75"/>
      <c r="C29" s="76"/>
      <c r="E29" s="51">
        <f t="shared" si="2"/>
        <v>23</v>
      </c>
      <c r="F29" s="42" t="str">
        <f t="array" aca="1" ref="F29" ca="1">IFERROR(IF(E29&lt;=$B$12,#N/A,($B$12^($E29-1)/FACT($E29-1)*$B$12/($E29-$B$12))/(($B$12^($E29-1)/FACT($E29-1)*$B$12/($E29-$B$12))+SERIESSUM($B$12,0,1,1/FACT(ROW(INDIRECT("1:"&amp;E29))-1)))),"")</f>
        <v/>
      </c>
      <c r="G29" s="43" t="str">
        <f t="shared" ca="1" si="0"/>
        <v/>
      </c>
      <c r="H29" s="44" t="str">
        <f t="shared" ca="1" si="1"/>
        <v/>
      </c>
    </row>
    <row r="30" spans="1:8" x14ac:dyDescent="0.25">
      <c r="A30" s="74"/>
      <c r="B30" s="75"/>
      <c r="C30" s="76"/>
      <c r="E30" s="51">
        <f t="shared" si="2"/>
        <v>24</v>
      </c>
      <c r="F30" s="42" t="str">
        <f t="array" aca="1" ref="F30" ca="1">IFERROR(IF(E30&lt;=$B$12,#N/A,($B$12^($E30-1)/FACT($E30-1)*$B$12/($E30-$B$12))/(($B$12^($E30-1)/FACT($E30-1)*$B$12/($E30-$B$12))+SERIESSUM($B$12,0,1,1/FACT(ROW(INDIRECT("1:"&amp;E30))-1)))),"")</f>
        <v/>
      </c>
      <c r="G30" s="43" t="str">
        <f t="shared" ca="1" si="0"/>
        <v/>
      </c>
      <c r="H30" s="44" t="str">
        <f t="shared" ca="1" si="1"/>
        <v/>
      </c>
    </row>
    <row r="31" spans="1:8" x14ac:dyDescent="0.25">
      <c r="A31" s="74"/>
      <c r="B31" s="75"/>
      <c r="C31" s="76"/>
      <c r="E31" s="51">
        <f t="shared" si="2"/>
        <v>25</v>
      </c>
      <c r="F31" s="42" t="str">
        <f t="array" aca="1" ref="F31" ca="1">IFERROR(IF(E31&lt;=$B$12,#N/A,($B$12^($E31-1)/FACT($E31-1)*$B$12/($E31-$B$12))/(($B$12^($E31-1)/FACT($E31-1)*$B$12/($E31-$B$12))+SERIESSUM($B$12,0,1,1/FACT(ROW(INDIRECT("1:"&amp;E31))-1)))),"")</f>
        <v/>
      </c>
      <c r="G31" s="43" t="str">
        <f t="shared" ca="1" si="0"/>
        <v/>
      </c>
      <c r="H31" s="44" t="str">
        <f t="shared" ca="1" si="1"/>
        <v/>
      </c>
    </row>
    <row r="32" spans="1:8" ht="15.75" thickBot="1" x14ac:dyDescent="0.3">
      <c r="A32" s="77"/>
      <c r="B32" s="78"/>
      <c r="C32" s="79"/>
      <c r="E32" s="52">
        <f t="shared" si="2"/>
        <v>26</v>
      </c>
      <c r="F32" s="45" t="str">
        <f t="array" aca="1" ref="F32" ca="1">IFERROR(IF(E32&lt;=$B$12,#N/A,($B$12^($E32-1)/FACT($E32-1)*$B$12/($E32-$B$12))/(($B$12^($E32-1)/FACT($E32-1)*$B$12/($E32-$B$12))+SERIESSUM($B$12,0,1,1/FACT(ROW(INDIRECT("1:"&amp;E32))-1)))),"")</f>
        <v/>
      </c>
      <c r="G32" s="46" t="str">
        <f t="shared" ca="1" si="0"/>
        <v/>
      </c>
      <c r="H32" s="47" t="str">
        <f t="shared" ca="1" si="1"/>
        <v/>
      </c>
    </row>
    <row r="33" spans="6:6" x14ac:dyDescent="0.25">
      <c r="F33" s="41"/>
    </row>
    <row r="34" spans="6:6" x14ac:dyDescent="0.25">
      <c r="F34" s="41"/>
    </row>
    <row r="35" spans="6:6" x14ac:dyDescent="0.25">
      <c r="F35" s="41"/>
    </row>
    <row r="36" spans="6:6" x14ac:dyDescent="0.25">
      <c r="F36" s="41"/>
    </row>
    <row r="37" spans="6:6" x14ac:dyDescent="0.25">
      <c r="F37" s="41"/>
    </row>
    <row r="38" spans="6:6" x14ac:dyDescent="0.25">
      <c r="F38" s="41"/>
    </row>
    <row r="39" spans="6:6" x14ac:dyDescent="0.25">
      <c r="F39" s="41"/>
    </row>
    <row r="40" spans="6:6" x14ac:dyDescent="0.25">
      <c r="F40" s="41"/>
    </row>
    <row r="41" spans="6:6" x14ac:dyDescent="0.25">
      <c r="F41" s="41"/>
    </row>
    <row r="42" spans="6:6" x14ac:dyDescent="0.25">
      <c r="F42" s="41"/>
    </row>
    <row r="43" spans="6:6" x14ac:dyDescent="0.25">
      <c r="F43" s="41"/>
    </row>
    <row r="44" spans="6:6" x14ac:dyDescent="0.25">
      <c r="F44" s="41"/>
    </row>
    <row r="45" spans="6:6" x14ac:dyDescent="0.25">
      <c r="F45" s="41"/>
    </row>
    <row r="46" spans="6:6" x14ac:dyDescent="0.25">
      <c r="F46" s="41"/>
    </row>
    <row r="47" spans="6:6" x14ac:dyDescent="0.25">
      <c r="F47" s="41"/>
    </row>
    <row r="48" spans="6:6" x14ac:dyDescent="0.25">
      <c r="F48" s="41"/>
    </row>
    <row r="49" spans="6:6" x14ac:dyDescent="0.25">
      <c r="F49" s="41"/>
    </row>
    <row r="50" spans="6:6" x14ac:dyDescent="0.25">
      <c r="F50" s="41"/>
    </row>
    <row r="51" spans="6:6" x14ac:dyDescent="0.25">
      <c r="F51" s="41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5">
    <mergeCell ref="A4:C4"/>
    <mergeCell ref="A11:C11"/>
    <mergeCell ref="A15:C15"/>
    <mergeCell ref="A22:C32"/>
    <mergeCell ref="E4:H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2"/>
  <sheetViews>
    <sheetView showGridLines="0" zoomScale="120" zoomScaleNormal="120" workbookViewId="0">
      <selection activeCell="A3" sqref="A3"/>
    </sheetView>
  </sheetViews>
  <sheetFormatPr defaultRowHeight="15" x14ac:dyDescent="0.25"/>
  <cols>
    <col min="1" max="1" width="35.5703125" style="14" customWidth="1"/>
    <col min="2" max="2" width="75.85546875" style="14" customWidth="1"/>
    <col min="3" max="4" width="9.42578125" style="14" customWidth="1"/>
    <col min="5" max="16384" width="9.140625" style="14"/>
  </cols>
  <sheetData>
    <row r="1" spans="1:2" ht="25.5" x14ac:dyDescent="0.25">
      <c r="A1" s="13" t="s">
        <v>10</v>
      </c>
    </row>
    <row r="2" spans="1:2" x14ac:dyDescent="0.25">
      <c r="A2" s="15" t="s">
        <v>57</v>
      </c>
    </row>
    <row r="4" spans="1:2" ht="18" thickBot="1" x14ac:dyDescent="0.3">
      <c r="A4" s="83" t="s">
        <v>58</v>
      </c>
      <c r="B4" s="83"/>
    </row>
    <row r="5" spans="1:2" ht="36.75" customHeight="1" thickTop="1" x14ac:dyDescent="0.25">
      <c r="A5" s="84" t="s">
        <v>59</v>
      </c>
      <c r="B5" s="17" t="s">
        <v>109</v>
      </c>
    </row>
    <row r="6" spans="1:2" x14ac:dyDescent="0.25">
      <c r="A6" s="82"/>
      <c r="B6" s="23" t="s">
        <v>83</v>
      </c>
    </row>
    <row r="7" spans="1:2" x14ac:dyDescent="0.25">
      <c r="A7" s="81" t="s">
        <v>60</v>
      </c>
      <c r="B7" s="21" t="s">
        <v>62</v>
      </c>
    </row>
    <row r="8" spans="1:2" x14ac:dyDescent="0.25">
      <c r="A8" s="82"/>
      <c r="B8" s="23" t="s">
        <v>84</v>
      </c>
    </row>
    <row r="9" spans="1:2" x14ac:dyDescent="0.25">
      <c r="A9" s="81" t="s">
        <v>61</v>
      </c>
      <c r="B9" s="21" t="s">
        <v>63</v>
      </c>
    </row>
    <row r="10" spans="1:2" x14ac:dyDescent="0.25">
      <c r="A10" s="82"/>
      <c r="B10" s="23" t="s">
        <v>85</v>
      </c>
    </row>
    <row r="11" spans="1:2" x14ac:dyDescent="0.25">
      <c r="A11" s="81" t="s">
        <v>68</v>
      </c>
      <c r="B11" s="21" t="s">
        <v>69</v>
      </c>
    </row>
    <row r="12" spans="1:2" x14ac:dyDescent="0.25">
      <c r="A12" s="82"/>
      <c r="B12" s="23" t="s">
        <v>86</v>
      </c>
    </row>
    <row r="13" spans="1:2" x14ac:dyDescent="0.25">
      <c r="A13" s="81" t="s">
        <v>70</v>
      </c>
      <c r="B13" s="21" t="s">
        <v>71</v>
      </c>
    </row>
    <row r="14" spans="1:2" x14ac:dyDescent="0.25">
      <c r="A14" s="82"/>
      <c r="B14" s="23" t="s">
        <v>110</v>
      </c>
    </row>
    <row r="15" spans="1:2" x14ac:dyDescent="0.25">
      <c r="A15" s="81" t="s">
        <v>64</v>
      </c>
      <c r="B15" s="21" t="s">
        <v>65</v>
      </c>
    </row>
    <row r="16" spans="1:2" x14ac:dyDescent="0.25">
      <c r="A16" s="82"/>
      <c r="B16" s="23" t="s">
        <v>87</v>
      </c>
    </row>
    <row r="17" spans="1:2" x14ac:dyDescent="0.25">
      <c r="A17" s="81" t="s">
        <v>66</v>
      </c>
      <c r="B17" s="21" t="s">
        <v>67</v>
      </c>
    </row>
    <row r="18" spans="1:2" x14ac:dyDescent="0.25">
      <c r="A18" s="82"/>
      <c r="B18" s="23" t="s">
        <v>88</v>
      </c>
    </row>
    <row r="19" spans="1:2" x14ac:dyDescent="0.25">
      <c r="A19" s="81" t="s">
        <v>74</v>
      </c>
      <c r="B19" s="21" t="s">
        <v>73</v>
      </c>
    </row>
    <row r="20" spans="1:2" x14ac:dyDescent="0.25">
      <c r="A20" s="82"/>
      <c r="B20" s="23" t="s">
        <v>89</v>
      </c>
    </row>
    <row r="21" spans="1:2" x14ac:dyDescent="0.25">
      <c r="A21" s="81" t="s">
        <v>72</v>
      </c>
      <c r="B21" s="21" t="s">
        <v>75</v>
      </c>
    </row>
    <row r="22" spans="1:2" x14ac:dyDescent="0.25">
      <c r="A22" s="82"/>
      <c r="B22" s="23" t="s">
        <v>90</v>
      </c>
    </row>
    <row r="23" spans="1:2" x14ac:dyDescent="0.25">
      <c r="B23" s="24"/>
    </row>
    <row r="24" spans="1:2" ht="18" thickBot="1" x14ac:dyDescent="0.3">
      <c r="A24" s="83" t="s">
        <v>76</v>
      </c>
      <c r="B24" s="83"/>
    </row>
    <row r="25" spans="1:2" ht="30.75" thickTop="1" x14ac:dyDescent="0.25">
      <c r="A25" s="26" t="s">
        <v>77</v>
      </c>
      <c r="B25" s="19" t="s">
        <v>104</v>
      </c>
    </row>
    <row r="26" spans="1:2" ht="45" x14ac:dyDescent="0.25">
      <c r="A26" s="27" t="s">
        <v>78</v>
      </c>
      <c r="B26" s="20" t="s">
        <v>105</v>
      </c>
    </row>
    <row r="27" spans="1:2" x14ac:dyDescent="0.25">
      <c r="A27" s="27" t="s">
        <v>79</v>
      </c>
      <c r="B27" s="20" t="s">
        <v>106</v>
      </c>
    </row>
    <row r="28" spans="1:2" x14ac:dyDescent="0.25">
      <c r="A28" s="30" t="s">
        <v>22</v>
      </c>
      <c r="B28" s="31" t="s">
        <v>121</v>
      </c>
    </row>
    <row r="30" spans="1:2" ht="18" thickBot="1" x14ac:dyDescent="0.3">
      <c r="A30" s="83" t="s">
        <v>107</v>
      </c>
      <c r="B30" s="83"/>
    </row>
    <row r="31" spans="1:2" ht="33" customHeight="1" thickTop="1" x14ac:dyDescent="0.25">
      <c r="A31" s="84" t="s">
        <v>26</v>
      </c>
      <c r="B31" s="17" t="s">
        <v>92</v>
      </c>
    </row>
    <row r="32" spans="1:2" ht="21" customHeight="1" x14ac:dyDescent="0.25">
      <c r="A32" s="82"/>
      <c r="B32" s="23" t="s">
        <v>111</v>
      </c>
    </row>
    <row r="33" spans="1:2" ht="21.75" customHeight="1" x14ac:dyDescent="0.25">
      <c r="A33" s="81" t="s">
        <v>80</v>
      </c>
      <c r="B33" s="21" t="s">
        <v>93</v>
      </c>
    </row>
    <row r="34" spans="1:2" ht="20.25" customHeight="1" x14ac:dyDescent="0.25">
      <c r="A34" s="82"/>
      <c r="B34" s="23" t="s">
        <v>113</v>
      </c>
    </row>
    <row r="35" spans="1:2" ht="21.75" customHeight="1" x14ac:dyDescent="0.25">
      <c r="A35" s="81" t="s">
        <v>81</v>
      </c>
      <c r="B35" s="21" t="s">
        <v>94</v>
      </c>
    </row>
    <row r="36" spans="1:2" ht="21" customHeight="1" x14ac:dyDescent="0.25">
      <c r="A36" s="82"/>
      <c r="B36" s="23" t="s">
        <v>112</v>
      </c>
    </row>
    <row r="37" spans="1:2" ht="74.25" customHeight="1" x14ac:dyDescent="0.25">
      <c r="A37" s="85" t="s">
        <v>95</v>
      </c>
      <c r="B37" s="16" t="s">
        <v>82</v>
      </c>
    </row>
    <row r="38" spans="1:2" ht="15.75" customHeight="1" x14ac:dyDescent="0.25">
      <c r="A38" s="82"/>
      <c r="B38" s="22" t="s">
        <v>114</v>
      </c>
    </row>
    <row r="39" spans="1:2" ht="28.5" customHeight="1" x14ac:dyDescent="0.25">
      <c r="A39" s="81" t="s">
        <v>96</v>
      </c>
      <c r="B39" s="21" t="s">
        <v>115</v>
      </c>
    </row>
    <row r="40" spans="1:2" ht="27" customHeight="1" x14ac:dyDescent="0.25">
      <c r="A40" s="82"/>
      <c r="B40" s="18"/>
    </row>
    <row r="41" spans="1:2" ht="70.5" customHeight="1" x14ac:dyDescent="0.25">
      <c r="A41" s="81" t="s">
        <v>35</v>
      </c>
      <c r="B41" s="21" t="s">
        <v>91</v>
      </c>
    </row>
    <row r="42" spans="1:2" ht="47.25" customHeight="1" x14ac:dyDescent="0.25">
      <c r="A42" s="82"/>
      <c r="B42" s="22" t="s">
        <v>97</v>
      </c>
    </row>
    <row r="43" spans="1:2" ht="60" customHeight="1" x14ac:dyDescent="0.25">
      <c r="A43" s="81" t="s">
        <v>32</v>
      </c>
      <c r="B43" s="21" t="s">
        <v>122</v>
      </c>
    </row>
    <row r="44" spans="1:2" ht="51.75" customHeight="1" x14ac:dyDescent="0.25">
      <c r="A44" s="82"/>
      <c r="B44" s="22" t="s">
        <v>98</v>
      </c>
    </row>
    <row r="45" spans="1:2" ht="31.5" customHeight="1" x14ac:dyDescent="0.25">
      <c r="A45" s="85" t="s">
        <v>99</v>
      </c>
      <c r="B45" s="16" t="s">
        <v>123</v>
      </c>
    </row>
    <row r="46" spans="1:2" ht="35.25" customHeight="1" x14ac:dyDescent="0.25">
      <c r="A46" s="82"/>
      <c r="B46" s="22"/>
    </row>
    <row r="47" spans="1:2" x14ac:dyDescent="0.25">
      <c r="A47" s="86" t="s">
        <v>108</v>
      </c>
      <c r="B47" s="86"/>
    </row>
    <row r="49" spans="1:2" ht="18" thickBot="1" x14ac:dyDescent="0.3">
      <c r="A49" s="83" t="s">
        <v>100</v>
      </c>
      <c r="B49" s="83"/>
    </row>
    <row r="50" spans="1:2" ht="30.75" thickTop="1" x14ac:dyDescent="0.25">
      <c r="A50" s="28" t="s">
        <v>9</v>
      </c>
      <c r="B50" s="25" t="s">
        <v>116</v>
      </c>
    </row>
    <row r="51" spans="1:2" ht="67.5" customHeight="1" x14ac:dyDescent="0.25">
      <c r="A51" s="87" t="s">
        <v>102</v>
      </c>
      <c r="B51" s="21" t="s">
        <v>101</v>
      </c>
    </row>
    <row r="52" spans="1:2" ht="30" x14ac:dyDescent="0.25">
      <c r="A52" s="88"/>
      <c r="B52" s="22" t="s">
        <v>103</v>
      </c>
    </row>
  </sheetData>
  <mergeCells count="23">
    <mergeCell ref="A43:A44"/>
    <mergeCell ref="A45:A46"/>
    <mergeCell ref="A47:B47"/>
    <mergeCell ref="A49:B49"/>
    <mergeCell ref="A51:A52"/>
    <mergeCell ref="A41:A42"/>
    <mergeCell ref="A15:A16"/>
    <mergeCell ref="A17:A18"/>
    <mergeCell ref="A19:A20"/>
    <mergeCell ref="A21:A22"/>
    <mergeCell ref="A24:B24"/>
    <mergeCell ref="A30:B30"/>
    <mergeCell ref="A31:A32"/>
    <mergeCell ref="A33:A34"/>
    <mergeCell ref="A35:A36"/>
    <mergeCell ref="A37:A38"/>
    <mergeCell ref="A39:A40"/>
    <mergeCell ref="A13:A14"/>
    <mergeCell ref="A4:B4"/>
    <mergeCell ref="A5:A6"/>
    <mergeCell ref="A7:A8"/>
    <mergeCell ref="A9:A10"/>
    <mergeCell ref="A11:A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Documentation</vt:lpstr>
      <vt:lpstr>Claims Center Log</vt:lpstr>
      <vt:lpstr>Staffing Calculator</vt:lpstr>
      <vt:lpstr>Claims Conclusion</vt:lpstr>
      <vt:lpstr>Formulas and Key Terms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3, Review Assignment</dc:title>
  <dc:creator>Your Name</dc:creator>
  <cp:lastModifiedBy>Your Name</cp:lastModifiedBy>
  <dcterms:created xsi:type="dcterms:W3CDTF">2018-06-27T22:23:50Z</dcterms:created>
  <dcterms:modified xsi:type="dcterms:W3CDTF">2018-10-08T22:56:28Z</dcterms:modified>
</cp:coreProperties>
</file>