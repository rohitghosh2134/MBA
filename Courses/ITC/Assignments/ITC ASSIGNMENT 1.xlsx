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<sst xmlns="http://schemas.openxmlformats.org/spreadsheetml/2006/main" count="98" uniqueCount="72">
  <si>
    <t xml:space="preserve">Course Code</t>
  </si>
  <si>
    <t xml:space="preserve">Course Name</t>
  </si>
  <si>
    <t xml:space="preserve">Credits</t>
  </si>
  <si>
    <t xml:space="preserve">Letter Grade</t>
  </si>
  <si>
    <t xml:space="preserve">Grade Value</t>
  </si>
  <si>
    <t xml:space="preserve">Term-1</t>
  </si>
  <si>
    <t xml:space="preserve">Grade</t>
  </si>
  <si>
    <t xml:space="preserve">Value</t>
  </si>
  <si>
    <t xml:space="preserve">BIO</t>
  </si>
  <si>
    <t xml:space="preserve">Behavior in Organizations</t>
  </si>
  <si>
    <t xml:space="preserve">C</t>
  </si>
  <si>
    <t xml:space="preserve">A+</t>
  </si>
  <si>
    <t xml:space="preserve">CCTM</t>
  </si>
  <si>
    <t xml:space="preserve">Communication and Critical Thinking for Managers</t>
  </si>
  <si>
    <t xml:space="preserve">C+</t>
  </si>
  <si>
    <t xml:space="preserve">A</t>
  </si>
  <si>
    <t xml:space="preserve">FRA</t>
  </si>
  <si>
    <t xml:space="preserve">Financial Reporting and Analysis</t>
  </si>
  <si>
    <t xml:space="preserve">A-</t>
  </si>
  <si>
    <t xml:space="preserve">ITC</t>
  </si>
  <si>
    <t xml:space="preserve">Information Technology Concepts</t>
  </si>
  <si>
    <t xml:space="preserve">C-</t>
  </si>
  <si>
    <t xml:space="preserve">B+</t>
  </si>
  <si>
    <t xml:space="preserve">MECO</t>
  </si>
  <si>
    <t xml:space="preserve">Managerial Economics</t>
  </si>
  <si>
    <t xml:space="preserve">B</t>
  </si>
  <si>
    <t xml:space="preserve">LAM</t>
  </si>
  <si>
    <t xml:space="preserve">Legal Aspects in Management</t>
  </si>
  <si>
    <t xml:space="preserve">B-</t>
  </si>
  <si>
    <t xml:space="preserve">MM-I</t>
  </si>
  <si>
    <t xml:space="preserve">Marketing Management -I</t>
  </si>
  <si>
    <t xml:space="preserve">QAM-I</t>
  </si>
  <si>
    <t xml:space="preserve">Quantitative Analysis for Management-I</t>
  </si>
  <si>
    <t xml:space="preserve">Total Credits / SGPA</t>
  </si>
  <si>
    <t xml:space="preserve">D</t>
  </si>
  <si>
    <t xml:space="preserve">Term-2</t>
  </si>
  <si>
    <t xml:space="preserve">F</t>
  </si>
  <si>
    <t xml:space="preserve">DWO</t>
  </si>
  <si>
    <t xml:space="preserve">Designing Work Organizations</t>
  </si>
  <si>
    <t xml:space="preserve">MACRO</t>
  </si>
  <si>
    <t xml:space="preserve">Macroeconomic Environment</t>
  </si>
  <si>
    <t xml:space="preserve">MANAC</t>
  </si>
  <si>
    <t xml:space="preserve">Management Accounting</t>
  </si>
  <si>
    <t xml:space="preserve">MM-II</t>
  </si>
  <si>
    <t xml:space="preserve">Marketing Management-II</t>
  </si>
  <si>
    <t xml:space="preserve">OPM</t>
  </si>
  <si>
    <t xml:space="preserve">Operations Management</t>
  </si>
  <si>
    <t xml:space="preserve">QAM-II</t>
  </si>
  <si>
    <t xml:space="preserve">Quantitative Analysis for Management-II</t>
  </si>
  <si>
    <t xml:space="preserve">WEC</t>
  </si>
  <si>
    <t xml:space="preserve">Written Executive Communication</t>
  </si>
  <si>
    <t xml:space="preserve">IPP</t>
  </si>
  <si>
    <t xml:space="preserve">Introduction to Public Policy</t>
  </si>
  <si>
    <t xml:space="preserve">Term-3</t>
  </si>
  <si>
    <t xml:space="preserve">FM</t>
  </si>
  <si>
    <t xml:space="preserve">Financial Management</t>
  </si>
  <si>
    <t xml:space="preserve">HRM</t>
  </si>
  <si>
    <t xml:space="preserve">Human Resource Management</t>
  </si>
  <si>
    <t xml:space="preserve">IEP</t>
  </si>
  <si>
    <t xml:space="preserve">Indian Economy and Policy Environment</t>
  </si>
  <si>
    <t xml:space="preserve">MIS</t>
  </si>
  <si>
    <t xml:space="preserve">Management Information System</t>
  </si>
  <si>
    <t xml:space="preserve">QAM-III</t>
  </si>
  <si>
    <t xml:space="preserve">Quantitative Analysis for Management-III</t>
  </si>
  <si>
    <t xml:space="preserve">SAF</t>
  </si>
  <si>
    <t xml:space="preserve">Strategic Analysis and Formulation</t>
  </si>
  <si>
    <t xml:space="preserve">SCM</t>
  </si>
  <si>
    <t xml:space="preserve">Supply Chain Management</t>
  </si>
  <si>
    <t xml:space="preserve">CGE</t>
  </si>
  <si>
    <t xml:space="preserve">Corporate Governance and Ethics</t>
  </si>
  <si>
    <t xml:space="preserve">Total Credits / CGPA (First Year)</t>
  </si>
  <si>
    <t xml:space="preserve">Result (First Year MBA)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</si>
</sst>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0000"/>
        <bgColor rgb="FF800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 diagonalUp="false" diagonalDown="false"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00FF00"/>
        </patternFill>
      </fill>
    </dxf>
  </dxfs>
  <colors>
    <indexedColors>
      <rgbColor rgb="FF000000"/>
      <rgbColor rgb="FFFFFFFF"/>
      <rgbColor rgb="FFEE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rade_Table" displayName="Grade_Table" ref="K2:L17" headerRowCount="1" totalsRowCount="0" totalsRowShown="0">
  <tableColumns count="2">
    <tableColumn id="1" name="Grade"/>
    <tableColumn id="2" name="Value"/>
  </tableColumns>
</table>
</file>

<file path=xl/tables/table2.xml><?xml version="1.0" encoding="utf-8"?>
<table xmlns="http://schemas.openxmlformats.org/spreadsheetml/2006/main" id="2" name="Table1" displayName="Table1" ref="A1:E35" headerRowCount="1" totalsRowCount="0" totalsRowShown="0">
  <tableColumns count="5">
    <tableColumn id="1" name="Course Code"/>
    <tableColumn id="2" name="Course Name"/>
    <tableColumn id="3" name="Credits"/>
    <tableColumn id="4" name="Letter Grade"/>
    <tableColumn id="5" name="Grade Valu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14.63"/>
    <col collapsed="false" customWidth="true" hidden="false" outlineLevel="0" max="5" min="5" style="1" width="17.88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6" t="s">
        <v>5</v>
      </c>
      <c r="B2" s="7"/>
      <c r="C2" s="7"/>
      <c r="D2" s="8"/>
      <c r="E2" s="9"/>
      <c r="H2" s="5"/>
      <c r="I2" s="5"/>
      <c r="J2" s="5"/>
      <c r="K2" s="2" t="s">
        <v>6</v>
      </c>
      <c r="L2" s="10" t="s">
        <v>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false" outlineLevel="0" collapsed="false">
      <c r="A3" s="11" t="s">
        <v>8</v>
      </c>
      <c r="B3" s="12" t="s">
        <v>9</v>
      </c>
      <c r="C3" s="12" t="n">
        <v>3</v>
      </c>
      <c r="D3" s="12" t="s">
        <v>10</v>
      </c>
      <c r="E3" s="13" t="n">
        <f aca="false">IF(D3="A+",10,  IF(D3="A",9,  IF(D3="A-",8,  IF(D3="B+",7,  IF(D3="B",6,  IF(D3="B-",5,  IF(D3="C+",4,  IF(D3="C",3,  IF(D3="C-",2,  IF(D3="D",1,  IF(D3="F",0,"")))))))))))</f>
        <v>3</v>
      </c>
      <c r="H3" s="5"/>
      <c r="I3" s="5"/>
      <c r="J3" s="5"/>
      <c r="K3" s="6" t="s">
        <v>11</v>
      </c>
      <c r="L3" s="14" t="n">
        <v>10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.75" hidden="false" customHeight="false" outlineLevel="0" collapsed="false">
      <c r="A4" s="6" t="s">
        <v>12</v>
      </c>
      <c r="B4" s="7" t="s">
        <v>13</v>
      </c>
      <c r="C4" s="7" t="n">
        <v>3</v>
      </c>
      <c r="D4" s="7" t="s">
        <v>14</v>
      </c>
      <c r="E4" s="13" t="n">
        <f aca="false">IF(D4="A+",10,  IF(D4="A",9,  IF(D4="A-",8,  IF(D4="B+",7,  IF(D4="B",6,  IF(D4="B-",5,  IF(D4="C+",4,  IF(D4="C",3,  IF(D4="C-",2,  IF(D4="D",1,  IF(D4="F",0,"")))))))))))</f>
        <v>4</v>
      </c>
      <c r="H4" s="5"/>
      <c r="I4" s="5"/>
      <c r="J4" s="5"/>
      <c r="K4" s="11" t="s">
        <v>15</v>
      </c>
      <c r="L4" s="15" t="n">
        <v>9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.75" hidden="false" customHeight="false" outlineLevel="0" collapsed="false">
      <c r="A5" s="11" t="s">
        <v>16</v>
      </c>
      <c r="B5" s="12" t="s">
        <v>17</v>
      </c>
      <c r="C5" s="12" t="n">
        <v>3</v>
      </c>
      <c r="D5" s="12" t="s">
        <v>10</v>
      </c>
      <c r="E5" s="13" t="n">
        <f aca="false">IF(D5="A+",10,  IF(D5="A",9,  IF(D5="A-",8,  IF(D5="B+",7,  IF(D5="B",6,  IF(D5="B-",5,  IF(D5="C+",4,  IF(D5="C",3,  IF(D5="C-",2,  IF(D5="D",1,  IF(D5="F",0,"")))))))))))</f>
        <v>3</v>
      </c>
      <c r="H5" s="5"/>
      <c r="I5" s="5"/>
      <c r="J5" s="5"/>
      <c r="K5" s="6" t="s">
        <v>18</v>
      </c>
      <c r="L5" s="14" t="n">
        <v>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.75" hidden="false" customHeight="false" outlineLevel="0" collapsed="false">
      <c r="A6" s="6" t="s">
        <v>19</v>
      </c>
      <c r="B6" s="7" t="s">
        <v>20</v>
      </c>
      <c r="C6" s="7" t="n">
        <v>1.5</v>
      </c>
      <c r="D6" s="7" t="s">
        <v>21</v>
      </c>
      <c r="E6" s="13" t="n">
        <f aca="false">IF(D6="A+",10,  IF(D6="A",9,  IF(D6="A-",8,  IF(D6="B+",7,  IF(D6="B",6,  IF(D6="B-",5,  IF(D6="C+",4,  IF(D6="C",3,  IF(D6="C-",2,  IF(D6="D",1,  IF(D6="F",0,"")))))))))))</f>
        <v>2</v>
      </c>
      <c r="H6" s="5"/>
      <c r="I6" s="5"/>
      <c r="J6" s="5"/>
      <c r="K6" s="11" t="s">
        <v>22</v>
      </c>
      <c r="L6" s="15" t="n">
        <v>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.75" hidden="false" customHeight="false" outlineLevel="0" collapsed="false">
      <c r="A7" s="11" t="s">
        <v>23</v>
      </c>
      <c r="B7" s="12" t="s">
        <v>24</v>
      </c>
      <c r="C7" s="12" t="n">
        <v>3</v>
      </c>
      <c r="D7" s="12" t="s">
        <v>14</v>
      </c>
      <c r="E7" s="13" t="n">
        <f aca="false">IF(D7="A+",10,  IF(D7="A",9,  IF(D7="A-",8,  IF(D7="B+",7,  IF(D7="B",6,  IF(D7="B-",5,  IF(D7="C+",4,  IF(D7="C",3,  IF(D7="C-",2,  IF(D7="D",1,  IF(D7="F",0,"")))))))))))</f>
        <v>4</v>
      </c>
      <c r="H7" s="5"/>
      <c r="I7" s="5"/>
      <c r="J7" s="5"/>
      <c r="K7" s="6" t="s">
        <v>25</v>
      </c>
      <c r="L7" s="14" t="n">
        <v>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.75" hidden="false" customHeight="false" outlineLevel="0" collapsed="false">
      <c r="A8" s="6" t="s">
        <v>26</v>
      </c>
      <c r="B8" s="7" t="s">
        <v>27</v>
      </c>
      <c r="C8" s="7" t="n">
        <v>1.5</v>
      </c>
      <c r="D8" s="7" t="s">
        <v>10</v>
      </c>
      <c r="E8" s="13" t="n">
        <f aca="false">IF(D8="A+",10,  IF(D8="A",9,  IF(D8="A-",8,  IF(D8="B+",7,  IF(D8="B",6,  IF(D8="B-",5,  IF(D8="C+",4,  IF(D8="C",3,  IF(D8="C-",2,  IF(D8="D",1,  IF(D8="F",0,"")))))))))))</f>
        <v>3</v>
      </c>
      <c r="H8" s="5"/>
      <c r="I8" s="5"/>
      <c r="J8" s="5"/>
      <c r="K8" s="11" t="s">
        <v>28</v>
      </c>
      <c r="L8" s="15" t="n">
        <v>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5.75" hidden="false" customHeight="false" outlineLevel="0" collapsed="false">
      <c r="A9" s="11" t="s">
        <v>29</v>
      </c>
      <c r="B9" s="12" t="s">
        <v>30</v>
      </c>
      <c r="C9" s="12" t="n">
        <v>3</v>
      </c>
      <c r="D9" s="12" t="s">
        <v>14</v>
      </c>
      <c r="E9" s="13" t="n">
        <f aca="false">IF(D9="A+",10,  IF(D9="A",9,  IF(D9="A-",8,  IF(D9="B+",7,  IF(D9="B",6,  IF(D9="B-",5,  IF(D9="C+",4,  IF(D9="C",3,  IF(D9="C-",2,  IF(D9="D",1,  IF(D9="F",0,"")))))))))))</f>
        <v>4</v>
      </c>
      <c r="H9" s="5"/>
      <c r="I9" s="5"/>
      <c r="J9" s="5"/>
      <c r="K9" s="6" t="s">
        <v>14</v>
      </c>
      <c r="L9" s="14" t="n">
        <v>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.75" hidden="false" customHeight="false" outlineLevel="0" collapsed="false">
      <c r="A10" s="6" t="s">
        <v>31</v>
      </c>
      <c r="B10" s="7" t="s">
        <v>32</v>
      </c>
      <c r="C10" s="7" t="n">
        <v>3</v>
      </c>
      <c r="D10" s="7" t="s">
        <v>10</v>
      </c>
      <c r="E10" s="13" t="n">
        <f aca="false">IF(D10="A+",10,  IF(D10="A",9,  IF(D10="A-",8,  IF(D10="B+",7,  IF(D10="B",6,  IF(D10="B-",5,  IF(D10="C+",4,  IF(D10="C",3,  IF(D10="C-",2,  IF(D10="D",1,  IF(D10="F",0,"")))))))))))</f>
        <v>3</v>
      </c>
      <c r="H10" s="5"/>
      <c r="I10" s="5"/>
      <c r="J10" s="5"/>
      <c r="K10" s="11" t="s">
        <v>10</v>
      </c>
      <c r="L10" s="15" t="n">
        <v>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.75" hidden="false" customHeight="false" outlineLevel="0" collapsed="false">
      <c r="A11" s="11"/>
      <c r="B11" s="12" t="s">
        <v>33</v>
      </c>
      <c r="C11" s="12" t="n">
        <f aca="false">SUM(C3:C10)</f>
        <v>21</v>
      </c>
      <c r="D11" s="16" t="n">
        <f aca="false">ROUND(SUMPRODUCT(C3:C10,E3:E10)/C11,2)</f>
        <v>3.36</v>
      </c>
      <c r="E11" s="13" t="n">
        <f aca="false">SUM(E3:E10)</f>
        <v>26</v>
      </c>
      <c r="H11" s="5"/>
      <c r="I11" s="5"/>
      <c r="J11" s="5"/>
      <c r="K11" s="6" t="s">
        <v>21</v>
      </c>
      <c r="L11" s="14" t="n">
        <v>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.75" hidden="false" customHeight="false" outlineLevel="0" collapsed="false">
      <c r="A12" s="6"/>
      <c r="B12" s="7"/>
      <c r="C12" s="7"/>
      <c r="D12" s="8"/>
      <c r="E12" s="9"/>
      <c r="H12" s="5"/>
      <c r="I12" s="5"/>
      <c r="J12" s="5"/>
      <c r="K12" s="11" t="s">
        <v>34</v>
      </c>
      <c r="L12" s="15" t="n">
        <v>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.75" hidden="false" customHeight="false" outlineLevel="0" collapsed="false">
      <c r="A13" s="11" t="s">
        <v>35</v>
      </c>
      <c r="B13" s="12"/>
      <c r="C13" s="12"/>
      <c r="D13" s="16"/>
      <c r="E13" s="13"/>
      <c r="H13" s="5"/>
      <c r="I13" s="5"/>
      <c r="J13" s="5"/>
      <c r="K13" s="6" t="s">
        <v>36</v>
      </c>
      <c r="L13" s="14" t="n"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false" outlineLevel="0" collapsed="false">
      <c r="A14" s="6" t="s">
        <v>37</v>
      </c>
      <c r="B14" s="7" t="s">
        <v>38</v>
      </c>
      <c r="C14" s="7" t="n">
        <v>1.5</v>
      </c>
      <c r="D14" s="7" t="s">
        <v>14</v>
      </c>
      <c r="E14" s="13" t="n">
        <f aca="false">IF(D14="A+",10,  IF(D14="A",9,  IF(D14="A-",8,  IF(D14="B+",7,  IF(D14="B",6,  IF(D14="B-",5,  IF(D14="C+",4,  IF(D14="C",3,  IF(D14="C-",2,  IF(D14="D",1,  IF(D14="F",0,"")))))))))))</f>
        <v>4</v>
      </c>
      <c r="H14" s="5"/>
      <c r="I14" s="5"/>
      <c r="J14" s="5"/>
      <c r="K14" s="11"/>
      <c r="L14" s="1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false" outlineLevel="0" collapsed="false">
      <c r="A15" s="11" t="s">
        <v>39</v>
      </c>
      <c r="B15" s="12" t="s">
        <v>40</v>
      </c>
      <c r="C15" s="12" t="n">
        <v>3</v>
      </c>
      <c r="D15" s="12" t="s">
        <v>10</v>
      </c>
      <c r="E15" s="13" t="n">
        <f aca="false">IF(D15="A+",10,  IF(D15="A",9,  IF(D15="A-",8,  IF(D15="B+",7,  IF(D15="B",6,  IF(D15="B-",5,  IF(D15="C+",4,  IF(D15="C",3,  IF(D15="C-",2,  IF(D15="D",1,  IF(D15="F",0,"")))))))))))</f>
        <v>3</v>
      </c>
      <c r="H15" s="5"/>
      <c r="I15" s="5"/>
      <c r="J15" s="5"/>
      <c r="K15" s="6"/>
      <c r="L15" s="1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false" outlineLevel="0" collapsed="false">
      <c r="A16" s="6" t="s">
        <v>41</v>
      </c>
      <c r="B16" s="7" t="s">
        <v>42</v>
      </c>
      <c r="C16" s="7" t="n">
        <v>1.5</v>
      </c>
      <c r="D16" s="7" t="s">
        <v>10</v>
      </c>
      <c r="E16" s="13" t="n">
        <f aca="false">IF(D16="A+",10,  IF(D16="A",9,  IF(D16="A-",8,  IF(D16="B+",7,  IF(D16="B",6,  IF(D16="B-",5,  IF(D16="C+",4,  IF(D16="C",3,  IF(D16="C-",2,  IF(D16="D",1,  IF(D16="F",0,"")))))))))))</f>
        <v>3</v>
      </c>
      <c r="H16" s="5"/>
      <c r="I16" s="5"/>
      <c r="J16" s="5"/>
      <c r="K16" s="11"/>
      <c r="L16" s="1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false" outlineLevel="0" collapsed="false">
      <c r="A17" s="11" t="s">
        <v>43</v>
      </c>
      <c r="B17" s="12" t="s">
        <v>44</v>
      </c>
      <c r="C17" s="12" t="n">
        <v>3</v>
      </c>
      <c r="D17" s="12" t="s">
        <v>14</v>
      </c>
      <c r="E17" s="13" t="n">
        <f aca="false">IF(D17="A+",10,  IF(D17="A",9,  IF(D17="A-",8,  IF(D17="B+",7,  IF(D17="B",6,  IF(D17="B-",5,  IF(D17="C+",4,  IF(D17="C",3,  IF(D17="C-",2,  IF(D17="D",1,  IF(D17="F",0,"")))))))))))</f>
        <v>4</v>
      </c>
      <c r="H17" s="5"/>
      <c r="I17" s="5"/>
      <c r="J17" s="5"/>
      <c r="K17" s="17"/>
      <c r="L17" s="1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false" outlineLevel="0" collapsed="false">
      <c r="A18" s="6" t="s">
        <v>45</v>
      </c>
      <c r="B18" s="7" t="s">
        <v>46</v>
      </c>
      <c r="C18" s="7" t="n">
        <v>3</v>
      </c>
      <c r="D18" s="7" t="s">
        <v>10</v>
      </c>
      <c r="E18" s="13" t="n">
        <f aca="false">IF(D18="A+",10,  IF(D18="A",9,  IF(D18="A-",8,  IF(D18="B+",7,  IF(D18="B",6,  IF(D18="B-",5,  IF(D18="C+",4,  IF(D18="C",3,  IF(D18="C-",2,  IF(D18="D",1,  IF(D18="F",0,"")))))))))))</f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false" outlineLevel="0" collapsed="false">
      <c r="A19" s="11" t="s">
        <v>47</v>
      </c>
      <c r="B19" s="12" t="s">
        <v>48</v>
      </c>
      <c r="C19" s="12" t="n">
        <v>3</v>
      </c>
      <c r="D19" s="12" t="s">
        <v>14</v>
      </c>
      <c r="E19" s="13" t="n">
        <f aca="false">IF(D19="A+",10,  IF(D19="A",9,  IF(D19="A-",8,  IF(D19="B+",7,  IF(D19="B",6,  IF(D19="B-",5,  IF(D19="C+",4,  IF(D19="C",3,  IF(D19="C-",2,  IF(D19="D",1,  IF(D19="F",0,"")))))))))))</f>
        <v>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false" outlineLevel="0" collapsed="false">
      <c r="A20" s="6" t="s">
        <v>49</v>
      </c>
      <c r="B20" s="7" t="s">
        <v>50</v>
      </c>
      <c r="C20" s="7" t="n">
        <v>1.5</v>
      </c>
      <c r="D20" s="7" t="s">
        <v>10</v>
      </c>
      <c r="E20" s="13" t="n">
        <f aca="false">IF(D20="A+",10,  IF(D20="A",9,  IF(D20="A-",8,  IF(D20="B+",7,  IF(D20="B",6,  IF(D20="B-",5,  IF(D20="C+",4,  IF(D20="C",3,  IF(D20="C-",2,  IF(D20="D",1,  IF(D20="F",0,"")))))))))))</f>
        <v>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false" outlineLevel="0" collapsed="false">
      <c r="A21" s="11" t="s">
        <v>51</v>
      </c>
      <c r="B21" s="12" t="s">
        <v>52</v>
      </c>
      <c r="C21" s="12" t="n">
        <v>1.5</v>
      </c>
      <c r="D21" s="12" t="s">
        <v>14</v>
      </c>
      <c r="E21" s="13" t="n">
        <f aca="false">IF(D21="A+",10,  IF(D21="A",9,  IF(D21="A-",8,  IF(D21="B+",7,  IF(D21="B",6,  IF(D21="B-",5,  IF(D21="C+",4,  IF(D21="C",3,  IF(D21="C-",2,  IF(D21="D",1,  IF(D21="F",0,"")))))))))))</f>
        <v>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false" outlineLevel="0" collapsed="false">
      <c r="A22" s="6"/>
      <c r="B22" s="7" t="s">
        <v>33</v>
      </c>
      <c r="C22" s="7" t="n">
        <f aca="false">SUM(C14:C21)</f>
        <v>18</v>
      </c>
      <c r="D22" s="8" t="n">
        <f aca="false">ROUND(SUMPRODUCT(C14:C21,E14:E21)/C22,2)</f>
        <v>3.5</v>
      </c>
      <c r="E22" s="9" t="n">
        <f aca="false">SUM(E14:E21)</f>
        <v>28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false" outlineLevel="0" collapsed="false">
      <c r="A23" s="11"/>
      <c r="B23" s="12"/>
      <c r="C23" s="12"/>
      <c r="D23" s="16"/>
      <c r="E23" s="1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false" outlineLevel="0" collapsed="false">
      <c r="A24" s="6" t="s">
        <v>53</v>
      </c>
      <c r="B24" s="7"/>
      <c r="C24" s="7"/>
      <c r="D24" s="8"/>
      <c r="E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false" outlineLevel="0" collapsed="false">
      <c r="A25" s="11" t="s">
        <v>54</v>
      </c>
      <c r="B25" s="12" t="s">
        <v>55</v>
      </c>
      <c r="C25" s="12" t="n">
        <v>3</v>
      </c>
      <c r="D25" s="12" t="s">
        <v>10</v>
      </c>
      <c r="E25" s="13" t="n">
        <f aca="false">VLOOKUP(D25, $K$3:$L$13, 2, FALSE())</f>
        <v>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false" outlineLevel="0" collapsed="false">
      <c r="A26" s="6" t="s">
        <v>56</v>
      </c>
      <c r="B26" s="7" t="s">
        <v>57</v>
      </c>
      <c r="C26" s="7" t="n">
        <v>3</v>
      </c>
      <c r="D26" s="7" t="s">
        <v>14</v>
      </c>
      <c r="E26" s="9" t="n">
        <f aca="false">VLOOKUP(D26, $K$3:$L$13, 2, FALSE())</f>
        <v>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false" outlineLevel="0" collapsed="false">
      <c r="A27" s="11" t="s">
        <v>58</v>
      </c>
      <c r="B27" s="12" t="s">
        <v>59</v>
      </c>
      <c r="C27" s="12" t="n">
        <v>1.5</v>
      </c>
      <c r="D27" s="12" t="s">
        <v>10</v>
      </c>
      <c r="E27" s="13" t="n">
        <f aca="false">VLOOKUP(D27, $K$3:$L$13, 2, FALSE())</f>
        <v>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false" outlineLevel="0" collapsed="false">
      <c r="A28" s="6" t="s">
        <v>60</v>
      </c>
      <c r="B28" s="7" t="s">
        <v>61</v>
      </c>
      <c r="C28" s="7" t="n">
        <v>3</v>
      </c>
      <c r="D28" s="7" t="s">
        <v>14</v>
      </c>
      <c r="E28" s="9" t="n">
        <f aca="false">VLOOKUP(D28, $K$3:$L$13, 2, FALSE())</f>
        <v>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false" outlineLevel="0" collapsed="false">
      <c r="A29" s="11" t="s">
        <v>62</v>
      </c>
      <c r="B29" s="12" t="s">
        <v>63</v>
      </c>
      <c r="C29" s="12" t="n">
        <v>1.5</v>
      </c>
      <c r="D29" s="12" t="s">
        <v>10</v>
      </c>
      <c r="E29" s="13" t="n">
        <f aca="false">VLOOKUP(D29, $K$3:$L$13, 2, FALSE())</f>
        <v>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false" outlineLevel="0" collapsed="false">
      <c r="A30" s="6" t="s">
        <v>64</v>
      </c>
      <c r="B30" s="7" t="s">
        <v>65</v>
      </c>
      <c r="C30" s="7" t="n">
        <v>3</v>
      </c>
      <c r="D30" s="7" t="s">
        <v>14</v>
      </c>
      <c r="E30" s="9" t="n">
        <f aca="false">VLOOKUP(D30, $K$3:$L$13, 2, FALSE())</f>
        <v>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false" outlineLevel="0" collapsed="false">
      <c r="A31" s="11" t="s">
        <v>66</v>
      </c>
      <c r="B31" s="12" t="s">
        <v>67</v>
      </c>
      <c r="C31" s="12" t="n">
        <v>3</v>
      </c>
      <c r="D31" s="12" t="s">
        <v>10</v>
      </c>
      <c r="E31" s="13" t="n">
        <f aca="false">VLOOKUP(D31, $K$3:$L$13, 2, FALSE())</f>
        <v>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false" outlineLevel="0" collapsed="false">
      <c r="A32" s="6" t="s">
        <v>68</v>
      </c>
      <c r="B32" s="7" t="s">
        <v>69</v>
      </c>
      <c r="C32" s="7" t="n">
        <v>1.5</v>
      </c>
      <c r="D32" s="7" t="s">
        <v>14</v>
      </c>
      <c r="E32" s="9" t="n">
        <f aca="false">VLOOKUP(D32, $K$3:$L$13, 2, FALSE())</f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false" outlineLevel="0" collapsed="false">
      <c r="A33" s="11"/>
      <c r="B33" s="12" t="s">
        <v>33</v>
      </c>
      <c r="C33" s="12" t="n">
        <f aca="false">SUM(C25:C32)</f>
        <v>19.5</v>
      </c>
      <c r="D33" s="16" t="n">
        <f aca="false">ROUND(SUMPRODUCT(C25:C32,E25:E32)/C33,2)</f>
        <v>3.54</v>
      </c>
      <c r="E33" s="13" t="n">
        <f aca="false">SUM(E25:E32)</f>
        <v>28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false" outlineLevel="0" collapsed="false">
      <c r="A34" s="6"/>
      <c r="B34" s="7"/>
      <c r="C34" s="7"/>
      <c r="D34" s="8"/>
      <c r="E34" s="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false" outlineLevel="0" collapsed="false">
      <c r="A35" s="19"/>
      <c r="B35" s="20" t="s">
        <v>70</v>
      </c>
      <c r="C35" s="21" t="n">
        <f aca="false">SUM(C11,C22,C33)</f>
        <v>58.5</v>
      </c>
      <c r="D35" s="22" t="n">
        <f aca="false">ROUND(SUM(PRODUCT(C11,D11),PRODUCT(C22,D22),PRODUCT(C33,D33))/C35,2)</f>
        <v>3.46</v>
      </c>
      <c r="E35" s="2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customFormat="false" ht="17.35" hidden="false" customHeight="false" outlineLevel="0" collapsed="false">
      <c r="A37" s="5"/>
      <c r="B37" s="24" t="s">
        <v>71</v>
      </c>
      <c r="C37" s="5"/>
      <c r="D37" s="25" t="str">
        <f aca="false">IF(D35&lt;3.5,"Fail","Pass")</f>
        <v>Fail</v>
      </c>
      <c r="E37" s="5"/>
      <c r="F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customFormat="false" ht="15.75" hidden="false" customHeight="false" outlineLevel="0" collapsed="false">
      <c r="A1000" s="5"/>
      <c r="B1000" s="5"/>
      <c r="C1000" s="5"/>
      <c r="D1000" s="5"/>
      <c r="E1000" s="5"/>
      <c r="F1000" s="5"/>
      <c r="I1000" s="5"/>
      <c r="J1000" s="5"/>
      <c r="K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conditionalFormatting sqref="D37">
    <cfRule type="containsText" priority="2" operator="containsText" aboveAverage="0" equalAverage="0" bottom="0" percent="0" rank="0" text="Pass" dxfId="2">
      <formula>NOT(ISERROR(SEARCH("Pass",D37)))</formula>
    </cfRule>
  </conditionalFormatting>
  <dataValidations count="1">
    <dataValidation allowBlank="true" errorStyle="stop" operator="between" showDropDown="true" showErrorMessage="false" showInputMessage="false" sqref="C2:C35" type="custom">
      <formula1>AND(ISNUMBER(C2),(NOT(OR(NOT(ISERROR(DATEVALUE(C2))), AND(ISNUMBER(C2), LEFT(CELL("format", C2))="D")))))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2025-07-09T06:42:44Z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