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BA\MBA\Courses\FRA\Lectures\"/>
    </mc:Choice>
  </mc:AlternateContent>
  <xr:revisionPtr revIDLastSave="0" documentId="13_ncr:1_{FE0ACDF0-BE69-4634-80B1-78EDA865A0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D48" i="3"/>
  <c r="D49" i="3" s="1"/>
  <c r="C42" i="3"/>
  <c r="D33" i="3"/>
  <c r="D24" i="3"/>
  <c r="D27" i="3" s="1"/>
  <c r="D35" i="3" s="1"/>
  <c r="D13" i="3"/>
  <c r="D10" i="3"/>
  <c r="D17" i="3" s="1"/>
  <c r="D16" i="1"/>
  <c r="E24" i="1"/>
  <c r="C88" i="1"/>
  <c r="C90" i="1" s="1"/>
  <c r="E33" i="1" s="1"/>
  <c r="E32" i="1" s="1"/>
  <c r="F34" i="1" s="1"/>
  <c r="E23" i="1"/>
  <c r="C84" i="1"/>
  <c r="C80" i="1"/>
  <c r="C82" i="1" s="1"/>
  <c r="E6" i="1" s="1"/>
  <c r="C76" i="1"/>
  <c r="C72" i="1"/>
  <c r="C71" i="1"/>
  <c r="C68" i="1"/>
  <c r="C69" i="1" s="1"/>
  <c r="E48" i="1" s="1"/>
  <c r="E39" i="1"/>
  <c r="C66" i="1"/>
  <c r="E41" i="1" s="1"/>
  <c r="C74" i="1" l="1"/>
  <c r="E9" i="1" s="1"/>
  <c r="C78" i="1"/>
  <c r="F7" i="1" s="1"/>
  <c r="E34" i="1"/>
  <c r="E42" i="1"/>
  <c r="E40" i="1"/>
  <c r="C86" i="1" s="1"/>
  <c r="E7" i="1" s="1"/>
  <c r="E8" i="1" s="1"/>
  <c r="E4" i="1" s="1"/>
  <c r="C97" i="1"/>
  <c r="H23" i="2"/>
  <c r="E15" i="1" l="1"/>
  <c r="D47" i="1"/>
  <c r="D48" i="1" s="1"/>
  <c r="C41" i="1"/>
  <c r="D32" i="1"/>
  <c r="D23" i="1"/>
  <c r="D26" i="1" s="1"/>
  <c r="D34" i="1" s="1"/>
  <c r="D12" i="1"/>
  <c r="D9" i="1"/>
</calcChain>
</file>

<file path=xl/sharedStrings.xml><?xml version="1.0" encoding="utf-8"?>
<sst xmlns="http://schemas.openxmlformats.org/spreadsheetml/2006/main" count="208" uniqueCount="134">
  <si>
    <t>Current assets</t>
  </si>
  <si>
    <t>Cash</t>
  </si>
  <si>
    <t>Marketable securities</t>
  </si>
  <si>
    <t>Accounts receivable</t>
  </si>
  <si>
    <t>Inventories</t>
  </si>
  <si>
    <t>Prepaid expenses</t>
  </si>
  <si>
    <t>Total current assets</t>
  </si>
  <si>
    <t>Investments</t>
  </si>
  <si>
    <t>Real estate, plant, and equipment</t>
  </si>
  <si>
    <t xml:space="preserve">      less: Accumulated depreciation</t>
  </si>
  <si>
    <t>Special tools</t>
  </si>
  <si>
    <t>Goodwill</t>
  </si>
  <si>
    <t>Total assets</t>
  </si>
  <si>
    <t>Current Liabilities</t>
  </si>
  <si>
    <t>Accounts payable</t>
  </si>
  <si>
    <t>Loans payable</t>
  </si>
  <si>
    <t>Accrued liabilities</t>
  </si>
  <si>
    <t>Total current liabilities</t>
  </si>
  <si>
    <t>Long-term debt</t>
  </si>
  <si>
    <t>Other noncurrent liabilities</t>
  </si>
  <si>
    <t>Total liabilities</t>
  </si>
  <si>
    <t>Shareholder's equity</t>
  </si>
  <si>
    <t>Preferred stock</t>
  </si>
  <si>
    <t>Common Stock</t>
  </si>
  <si>
    <t>Additional paid-in capital</t>
  </si>
  <si>
    <t>Retained earnings</t>
  </si>
  <si>
    <t>Total Shareholder's equity</t>
  </si>
  <si>
    <t>Total liabilities and shareholder's equity</t>
  </si>
  <si>
    <t>Balance Sheet of Genmo Corporation As of December 31, 2010</t>
  </si>
  <si>
    <t>Income Statement 2010</t>
  </si>
  <si>
    <t>Total revenues</t>
  </si>
  <si>
    <t>Cost of sales (excluding dep. &amp; amort.)</t>
  </si>
  <si>
    <t>Gross margin</t>
  </si>
  <si>
    <t>Other expenses</t>
  </si>
  <si>
    <t>Depreciation</t>
  </si>
  <si>
    <t>Amortization of goodwill &amp; special tools</t>
  </si>
  <si>
    <t>Selling, general &amp; administrative exp.</t>
  </si>
  <si>
    <t>Provison for income taxes</t>
  </si>
  <si>
    <t>Total costs and expenses</t>
  </si>
  <si>
    <t>Net Income</t>
  </si>
  <si>
    <t>Debt/equity ratio (percentage)</t>
  </si>
  <si>
    <t>?</t>
  </si>
  <si>
    <t>13(2)</t>
  </si>
  <si>
    <t>(ROA)</t>
  </si>
  <si>
    <t>Return on Investment =</t>
  </si>
  <si>
    <t>Net Income + (Interest expense after tax)</t>
  </si>
  <si>
    <t xml:space="preserve">                      Average Total Assets</t>
  </si>
  <si>
    <t>54000 + (4200 X 0.7)</t>
  </si>
  <si>
    <t>(400000+525000)/2</t>
  </si>
  <si>
    <t>4200 (1-0.3)</t>
  </si>
  <si>
    <t>13(3)</t>
  </si>
  <si>
    <t>Days' Cash in hand =</t>
  </si>
  <si>
    <t>(cash Exp. / 365)</t>
  </si>
  <si>
    <t>Cash in hand           =</t>
  </si>
  <si>
    <t>CY</t>
  </si>
  <si>
    <t>(83138408/365)</t>
  </si>
  <si>
    <t>PY</t>
  </si>
  <si>
    <t>99748943/365</t>
  </si>
  <si>
    <t>days</t>
  </si>
  <si>
    <t>13(4)</t>
  </si>
  <si>
    <t>A/R days =</t>
  </si>
  <si>
    <t>Acc. Receivables</t>
  </si>
  <si>
    <t>(Credit Sales/365)</t>
  </si>
  <si>
    <t>13035085/365</t>
  </si>
  <si>
    <t>11597327/365</t>
  </si>
  <si>
    <t>13(5)</t>
  </si>
  <si>
    <t>Inventory Turnover=</t>
  </si>
  <si>
    <t>COGS</t>
  </si>
  <si>
    <t>Avg. Invent.</t>
  </si>
  <si>
    <t>(58160+62880)/2</t>
  </si>
  <si>
    <t>times</t>
  </si>
  <si>
    <t>Inventory Days=</t>
  </si>
  <si>
    <t>Avg. Inventory</t>
  </si>
  <si>
    <t>(COGS/365)</t>
  </si>
  <si>
    <t>300000/365</t>
  </si>
  <si>
    <t>13(6)</t>
  </si>
  <si>
    <t>Price-Earnings=</t>
  </si>
  <si>
    <t>Price/- share</t>
  </si>
  <si>
    <t>(Net Income / No. of shares o/s)</t>
  </si>
  <si>
    <t>(20000000/2000000)</t>
  </si>
  <si>
    <t>Dividend Yield=</t>
  </si>
  <si>
    <t>Dividend/-share</t>
  </si>
  <si>
    <t>Price /- share</t>
  </si>
  <si>
    <t>Dividend Payout=</t>
  </si>
  <si>
    <t>Div/-share X No. of shares o/s</t>
  </si>
  <si>
    <t>5.74 X 2000000</t>
  </si>
  <si>
    <t>13(7)</t>
  </si>
  <si>
    <t xml:space="preserve">W.C Turnover = </t>
  </si>
  <si>
    <t>Sales</t>
  </si>
  <si>
    <t>Avg. W.C</t>
  </si>
  <si>
    <t>7 times</t>
  </si>
  <si>
    <t>Capital asset intensity =</t>
  </si>
  <si>
    <t>Avg. PPE</t>
  </si>
  <si>
    <t>Equity Turnover =</t>
  </si>
  <si>
    <t>Avg. SE</t>
  </si>
  <si>
    <t>Revenue</t>
  </si>
  <si>
    <t>Acid-test ratio (C.A.-Inventory - Prepaid Exp.)/ CL</t>
  </si>
  <si>
    <t>Current ratio (CA/CL)</t>
  </si>
  <si>
    <t>Inventory turnover ratio (COGS/Avg. Inventory)</t>
  </si>
  <si>
    <t>Days' receivables [A/R / (Credit Slaes/365)]</t>
  </si>
  <si>
    <t>Gross margin percentage (G.P./ Sales)</t>
  </si>
  <si>
    <t>Profit margin percentage (NP/Sales)</t>
  </si>
  <si>
    <t>Invested capital turnover (times) (Sales/(LT Debt + S.E.)</t>
  </si>
  <si>
    <t>Return on shareholder's equity (Net Income / S.E.)</t>
  </si>
  <si>
    <t>1)</t>
  </si>
  <si>
    <t>G.M / Sales = 15.12%</t>
  </si>
  <si>
    <t>GM = 10281 X 15.12%</t>
  </si>
  <si>
    <t xml:space="preserve">2) </t>
  </si>
  <si>
    <t>NP = Sales X NP Margin</t>
  </si>
  <si>
    <t>3)</t>
  </si>
  <si>
    <t>CL (2011)</t>
  </si>
  <si>
    <t>CA / CL = 1.172</t>
  </si>
  <si>
    <t>CA = 2285 X 1.172</t>
  </si>
  <si>
    <t>4)</t>
  </si>
  <si>
    <t>QA/CL = 0.671</t>
  </si>
  <si>
    <t>Quick Assets = 0.671 X 2285</t>
  </si>
  <si>
    <t>QA</t>
  </si>
  <si>
    <t>5)</t>
  </si>
  <si>
    <t>A/R / (10281/365) = 39.66</t>
  </si>
  <si>
    <t>A/R</t>
  </si>
  <si>
    <t>6)</t>
  </si>
  <si>
    <t>COGS/ Inventory = 10.005</t>
  </si>
  <si>
    <t>8727/ Inventory = 10.005</t>
  </si>
  <si>
    <t>(Cash &amp; Mkt securities)</t>
  </si>
  <si>
    <t>7)</t>
  </si>
  <si>
    <t>Sales / (Debt + Equity) = 2.091</t>
  </si>
  <si>
    <t>10281 / (Debt + Equity) = 2.091</t>
  </si>
  <si>
    <t>Debt + Equity</t>
  </si>
  <si>
    <t>Other Assets</t>
  </si>
  <si>
    <t>8)</t>
  </si>
  <si>
    <t>Let Debt be X</t>
  </si>
  <si>
    <t>X/ {(Debt + Equity) - X)) = 62.15%</t>
  </si>
  <si>
    <t>X = Debt</t>
  </si>
  <si>
    <t>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</si>
</sst>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/>
    <xf numFmtId="10" fontId="0" fillId="0" borderId="0" xfId="1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2" fontId="1" fillId="2" borderId="0" xfId="0" applyNumberFormat="1" applyFont="1" applyFill="1" applyAlignment="1">
      <alignment horizontal="left"/>
    </xf>
    <xf numFmtId="10" fontId="1" fillId="2" borderId="0" xfId="1" applyNumberFormat="1" applyFont="1" applyFill="1"/>
    <xf numFmtId="0" fontId="1" fillId="0" borderId="0" xfId="0" applyFont="1"/>
    <xf numFmtId="0" fontId="0" fillId="2" borderId="0" xfId="0" applyFill="1"/>
    <xf numFmtId="9" fontId="0" fillId="0" borderId="0" xfId="1" applyFont="1"/>
    <xf numFmtId="0" fontId="0" fillId="2" borderId="0" xfId="0" applyFill="1" applyAlignment="1">
      <alignment horizontal="center"/>
    </xf>
    <xf numFmtId="1" fontId="0" fillId="0" borderId="1" xfId="0" applyNumberFormat="1" applyBorder="1"/>
    <xf numFmtId="1" fontId="0" fillId="0" borderId="0" xfId="0" applyNumberFormat="1"/>
    <xf numFmtId="10" fontId="0" fillId="0" borderId="0" xfId="0" applyNumberFormat="1"/>
    <xf numFmtId="0" fontId="7" fillId="2" borderId="0" xfId="0" applyFont="1" applyFill="1"/>
    <xf numFmtId="1" fontId="0" fillId="2" borderId="0" xfId="0" applyNumberFormat="1" applyFill="1"/>
    <xf numFmtId="1" fontId="1" fillId="2" borderId="0" xfId="0" applyNumberFormat="1" applyFont="1" applyFill="1"/>
    <xf numFmtId="1" fontId="8" fillId="2" borderId="0" xfId="0" applyNumberFormat="1" applyFont="1" applyFill="1"/>
    <xf numFmtId="1" fontId="0" fillId="0" borderId="1" xfId="0" applyNumberFormat="1" applyBorder="1" applyAlignment="1">
      <alignment horizontal="right"/>
    </xf>
    <xf numFmtId="1" fontId="8" fillId="2" borderId="1" xfId="0" applyNumberFormat="1" applyFont="1" applyFill="1" applyBorder="1"/>
    <xf numFmtId="9" fontId="0" fillId="0" borderId="1" xfId="1" applyFont="1" applyBorder="1"/>
    <xf numFmtId="9" fontId="0" fillId="0" borderId="0" xfId="1" applyFont="1" applyAlignment="1">
      <alignment horizontal="right"/>
    </xf>
    <xf numFmtId="1" fontId="0" fillId="0" borderId="1" xfId="1" applyNumberFormat="1" applyFont="1" applyBorder="1"/>
    <xf numFmtId="2" fontId="2" fillId="0" borderId="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97"/>
  <sheetViews>
    <sheetView tabSelected="1" zoomScale="150" zoomScaleNormal="150" workbookViewId="0">
      <selection activeCell="D3" sqref="D3"/>
    </sheetView>
  </sheetViews>
  <sheetFormatPr defaultRowHeight="14.4" x14ac:dyDescent="0.3"/>
  <cols>
    <col min="2" max="2" width="46.21875" customWidth="1"/>
    <col min="4" max="4" width="12.44140625" customWidth="1"/>
  </cols>
  <sheetData>
    <row r="2" spans="2:7" x14ac:dyDescent="0.3">
      <c r="B2" s="3" t="s">
        <v>28</v>
      </c>
      <c r="C2" s="3"/>
      <c r="D2" s="3">
        <v>2010</v>
      </c>
      <c r="E2" s="17">
        <v>2011</v>
      </c>
    </row>
    <row r="3" spans="2:7" x14ac:dyDescent="0.3">
      <c r="B3" s="4" t="s">
        <v>0</v>
      </c>
    </row>
    <row r="4" spans="2:7" x14ac:dyDescent="0.3">
      <c r="B4" t="s">
        <v>1</v>
      </c>
      <c r="D4">
        <v>18</v>
      </c>
      <c r="E4" s="22">
        <f>E9-E8-E7-E6</f>
        <v>416.12689041095905</v>
      </c>
      <c r="F4" t="s">
        <v>123</v>
      </c>
    </row>
    <row r="5" spans="2:7" x14ac:dyDescent="0.3">
      <c r="B5" t="s">
        <v>2</v>
      </c>
      <c r="D5">
        <v>494</v>
      </c>
    </row>
    <row r="6" spans="2:7" x14ac:dyDescent="0.3">
      <c r="B6" t="s">
        <v>3</v>
      </c>
      <c r="D6">
        <v>728</v>
      </c>
      <c r="E6" s="22">
        <f>C82</f>
        <v>1117.1081095890411</v>
      </c>
    </row>
    <row r="7" spans="2:7" x14ac:dyDescent="0.3">
      <c r="B7" t="s">
        <v>4</v>
      </c>
      <c r="D7">
        <v>972</v>
      </c>
      <c r="E7" s="22">
        <f>C86</f>
        <v>872.21517241379308</v>
      </c>
      <c r="F7" s="22">
        <f>C78</f>
        <v>1533.2350000000001</v>
      </c>
      <c r="G7" t="s">
        <v>116</v>
      </c>
    </row>
    <row r="8" spans="2:7" x14ac:dyDescent="0.3">
      <c r="B8" t="s">
        <v>5</v>
      </c>
      <c r="D8" s="1">
        <v>214</v>
      </c>
      <c r="E8" s="21">
        <f>E9-F7-E7</f>
        <v>272.56982758620677</v>
      </c>
    </row>
    <row r="9" spans="2:7" x14ac:dyDescent="0.3">
      <c r="B9" s="5" t="s">
        <v>6</v>
      </c>
      <c r="D9">
        <f>SUM(D4:D8)</f>
        <v>2426</v>
      </c>
      <c r="E9" s="22">
        <f>C74</f>
        <v>2678.02</v>
      </c>
    </row>
    <row r="10" spans="2:7" x14ac:dyDescent="0.3">
      <c r="B10" t="s">
        <v>7</v>
      </c>
      <c r="D10">
        <v>898</v>
      </c>
    </row>
    <row r="11" spans="2:7" x14ac:dyDescent="0.3">
      <c r="B11" t="s">
        <v>8</v>
      </c>
      <c r="C11">
        <v>4727</v>
      </c>
    </row>
    <row r="12" spans="2:7" x14ac:dyDescent="0.3">
      <c r="B12" t="s">
        <v>9</v>
      </c>
      <c r="C12" s="1">
        <v>2433</v>
      </c>
      <c r="D12" s="1">
        <f>C11-C12</f>
        <v>2294</v>
      </c>
    </row>
    <row r="13" spans="2:7" x14ac:dyDescent="0.3">
      <c r="B13" t="s">
        <v>10</v>
      </c>
      <c r="D13">
        <v>171</v>
      </c>
    </row>
    <row r="14" spans="2:7" s="19" customFormat="1" x14ac:dyDescent="0.3">
      <c r="B14" s="19" t="s">
        <v>11</v>
      </c>
      <c r="D14" s="32">
        <v>594</v>
      </c>
      <c r="E14" s="30"/>
    </row>
    <row r="15" spans="2:7" s="19" customFormat="1" x14ac:dyDescent="0.3">
      <c r="B15" s="31" t="s">
        <v>128</v>
      </c>
      <c r="D15" s="30"/>
      <c r="E15" s="32">
        <f>E16-E9</f>
        <v>4523.7662266857951</v>
      </c>
    </row>
    <row r="16" spans="2:7" x14ac:dyDescent="0.3">
      <c r="B16" s="5" t="s">
        <v>12</v>
      </c>
      <c r="D16" s="33">
        <f>D9+D10+D12+D13+D14</f>
        <v>6383</v>
      </c>
      <c r="E16" s="29">
        <f>E34</f>
        <v>7201.7862266857956</v>
      </c>
    </row>
    <row r="19" spans="2:5" x14ac:dyDescent="0.3">
      <c r="B19" s="4" t="s">
        <v>13</v>
      </c>
    </row>
    <row r="20" spans="2:5" x14ac:dyDescent="0.3">
      <c r="B20" t="s">
        <v>14</v>
      </c>
      <c r="D20">
        <v>732</v>
      </c>
    </row>
    <row r="21" spans="2:5" x14ac:dyDescent="0.3">
      <c r="B21" t="s">
        <v>15</v>
      </c>
      <c r="D21">
        <v>266</v>
      </c>
    </row>
    <row r="22" spans="2:5" x14ac:dyDescent="0.3">
      <c r="B22" t="s">
        <v>16</v>
      </c>
      <c r="D22" s="1">
        <v>1232</v>
      </c>
      <c r="E22" s="1"/>
    </row>
    <row r="23" spans="2:5" x14ac:dyDescent="0.3">
      <c r="B23" s="5" t="s">
        <v>17</v>
      </c>
      <c r="D23">
        <f>D20+D21+D22</f>
        <v>2230</v>
      </c>
      <c r="E23" s="18">
        <f>C62</f>
        <v>2285</v>
      </c>
    </row>
    <row r="24" spans="2:5" x14ac:dyDescent="0.3">
      <c r="B24" t="s">
        <v>18</v>
      </c>
      <c r="D24">
        <v>250</v>
      </c>
      <c r="E24" s="18">
        <f>C95</f>
        <v>1885</v>
      </c>
    </row>
    <row r="25" spans="2:5" x14ac:dyDescent="0.3">
      <c r="B25" t="s">
        <v>19</v>
      </c>
      <c r="D25" s="1">
        <v>951</v>
      </c>
    </row>
    <row r="26" spans="2:5" x14ac:dyDescent="0.3">
      <c r="B26" s="5" t="s">
        <v>20</v>
      </c>
      <c r="D26">
        <f>D23+D24+D25</f>
        <v>3431</v>
      </c>
    </row>
    <row r="27" spans="2:5" x14ac:dyDescent="0.3">
      <c r="B27" s="6" t="s">
        <v>21</v>
      </c>
    </row>
    <row r="28" spans="2:5" x14ac:dyDescent="0.3">
      <c r="B28" t="s">
        <v>22</v>
      </c>
      <c r="D28">
        <v>25</v>
      </c>
    </row>
    <row r="29" spans="2:5" x14ac:dyDescent="0.3">
      <c r="B29" t="s">
        <v>23</v>
      </c>
      <c r="D29">
        <v>54</v>
      </c>
    </row>
    <row r="30" spans="2:5" x14ac:dyDescent="0.3">
      <c r="B30" t="s">
        <v>24</v>
      </c>
      <c r="D30">
        <v>667</v>
      </c>
    </row>
    <row r="31" spans="2:5" x14ac:dyDescent="0.3">
      <c r="B31" t="s">
        <v>25</v>
      </c>
      <c r="D31" s="1">
        <v>2206</v>
      </c>
    </row>
    <row r="32" spans="2:5" x14ac:dyDescent="0.3">
      <c r="B32" s="5" t="s">
        <v>26</v>
      </c>
      <c r="D32">
        <f>SUM(D28:D31)</f>
        <v>2952</v>
      </c>
      <c r="E32" s="25">
        <f>E33-E24</f>
        <v>3031.7862266857956</v>
      </c>
    </row>
    <row r="33" spans="2:6" x14ac:dyDescent="0.3">
      <c r="B33" s="5" t="s">
        <v>127</v>
      </c>
      <c r="E33" s="28">
        <f>C90</f>
        <v>4916.7862266857956</v>
      </c>
    </row>
    <row r="34" spans="2:6" x14ac:dyDescent="0.3">
      <c r="B34" t="s">
        <v>27</v>
      </c>
      <c r="D34" s="2">
        <f>D26+D32</f>
        <v>6383</v>
      </c>
      <c r="E34" s="27">
        <f>E23+E33</f>
        <v>7201.7862266857956</v>
      </c>
      <c r="F34" s="22">
        <f>E23+E24+E32</f>
        <v>7201.7862266857956</v>
      </c>
    </row>
    <row r="37" spans="2:6" x14ac:dyDescent="0.3">
      <c r="B37" s="3" t="s">
        <v>29</v>
      </c>
      <c r="E37" s="13">
        <v>2011</v>
      </c>
    </row>
    <row r="39" spans="2:6" x14ac:dyDescent="0.3">
      <c r="B39" t="s">
        <v>30</v>
      </c>
      <c r="D39">
        <v>9779</v>
      </c>
      <c r="E39">
        <f>C61</f>
        <v>10281</v>
      </c>
    </row>
    <row r="40" spans="2:6" x14ac:dyDescent="0.3">
      <c r="B40" t="s">
        <v>31</v>
      </c>
      <c r="C40" s="1">
        <v>8165</v>
      </c>
      <c r="E40" s="21">
        <f>E39-E41</f>
        <v>8726.5128000000004</v>
      </c>
    </row>
    <row r="41" spans="2:6" x14ac:dyDescent="0.3">
      <c r="B41" t="s">
        <v>32</v>
      </c>
      <c r="C41">
        <f>D39-C40</f>
        <v>1614</v>
      </c>
      <c r="E41" s="22">
        <f>C66</f>
        <v>1554.4872</v>
      </c>
    </row>
    <row r="42" spans="2:6" x14ac:dyDescent="0.3">
      <c r="B42" s="24" t="s">
        <v>33</v>
      </c>
      <c r="E42" s="26">
        <f>E41-E48</f>
        <v>1263.43209</v>
      </c>
    </row>
    <row r="43" spans="2:6" x14ac:dyDescent="0.3">
      <c r="B43" t="s">
        <v>34</v>
      </c>
      <c r="C43">
        <v>278</v>
      </c>
    </row>
    <row r="44" spans="2:6" x14ac:dyDescent="0.3">
      <c r="B44" t="s">
        <v>35</v>
      </c>
      <c r="C44">
        <v>343</v>
      </c>
    </row>
    <row r="45" spans="2:6" x14ac:dyDescent="0.3">
      <c r="B45" t="s">
        <v>36</v>
      </c>
      <c r="C45">
        <v>430</v>
      </c>
    </row>
    <row r="46" spans="2:6" x14ac:dyDescent="0.3">
      <c r="B46" t="s">
        <v>37</v>
      </c>
      <c r="C46" s="1">
        <v>163</v>
      </c>
    </row>
    <row r="47" spans="2:6" x14ac:dyDescent="0.3">
      <c r="B47" s="5" t="s">
        <v>38</v>
      </c>
      <c r="D47" s="6">
        <f>SUM(C43:C46)+C40</f>
        <v>9379</v>
      </c>
      <c r="E47" s="1"/>
    </row>
    <row r="48" spans="2:6" x14ac:dyDescent="0.3">
      <c r="B48" s="7" t="s">
        <v>39</v>
      </c>
      <c r="D48">
        <f>D39-D47</f>
        <v>400</v>
      </c>
      <c r="E48" s="22">
        <f>C69</f>
        <v>291.05510999999996</v>
      </c>
    </row>
    <row r="50" spans="1:4" x14ac:dyDescent="0.3">
      <c r="C50" s="8">
        <v>2011</v>
      </c>
      <c r="D50" s="8">
        <v>2010</v>
      </c>
    </row>
    <row r="51" spans="1:4" x14ac:dyDescent="0.3">
      <c r="B51" t="s">
        <v>96</v>
      </c>
      <c r="C51" s="9">
        <v>0.67100000000000004</v>
      </c>
      <c r="D51" s="9">
        <v>0.55600000000000005</v>
      </c>
    </row>
    <row r="52" spans="1:4" x14ac:dyDescent="0.3">
      <c r="B52" t="s">
        <v>97</v>
      </c>
      <c r="C52" s="9">
        <v>1.1719999999999999</v>
      </c>
      <c r="D52" s="9">
        <v>1.0880000000000001</v>
      </c>
    </row>
    <row r="53" spans="1:4" x14ac:dyDescent="0.3">
      <c r="B53" t="s">
        <v>98</v>
      </c>
      <c r="C53" s="9">
        <v>10.005000000000001</v>
      </c>
      <c r="D53" s="9">
        <v>8.4</v>
      </c>
    </row>
    <row r="54" spans="1:4" x14ac:dyDescent="0.3">
      <c r="B54" t="s">
        <v>99</v>
      </c>
      <c r="C54" s="9">
        <v>39.659999999999997</v>
      </c>
      <c r="D54" s="9">
        <v>27.17</v>
      </c>
    </row>
    <row r="55" spans="1:4" x14ac:dyDescent="0.3">
      <c r="B55" t="s">
        <v>100</v>
      </c>
      <c r="C55" s="10">
        <v>0.1512</v>
      </c>
      <c r="D55" s="10">
        <v>0.16500000000000001</v>
      </c>
    </row>
    <row r="56" spans="1:4" x14ac:dyDescent="0.3">
      <c r="B56" t="s">
        <v>101</v>
      </c>
      <c r="C56" s="10">
        <v>2.8309999999999998E-2</v>
      </c>
      <c r="D56" s="10">
        <v>4.0899999999999999E-2</v>
      </c>
    </row>
    <row r="57" spans="1:4" x14ac:dyDescent="0.3">
      <c r="B57" t="s">
        <v>102</v>
      </c>
      <c r="C57" s="9">
        <v>2.0910000000000002</v>
      </c>
      <c r="D57" s="9">
        <v>2.355</v>
      </c>
    </row>
    <row r="58" spans="1:4" x14ac:dyDescent="0.3">
      <c r="B58" t="s">
        <v>40</v>
      </c>
      <c r="C58" s="9">
        <v>62.15</v>
      </c>
      <c r="D58" s="9">
        <v>40.68</v>
      </c>
    </row>
    <row r="59" spans="1:4" x14ac:dyDescent="0.3">
      <c r="B59" t="s">
        <v>103</v>
      </c>
      <c r="C59" s="9" t="s">
        <v>41</v>
      </c>
      <c r="D59" s="9">
        <v>13.55</v>
      </c>
    </row>
    <row r="61" spans="1:4" x14ac:dyDescent="0.3">
      <c r="B61" s="18" t="s">
        <v>95</v>
      </c>
      <c r="C61" s="20">
        <v>10281</v>
      </c>
    </row>
    <row r="62" spans="1:4" x14ac:dyDescent="0.3">
      <c r="B62" s="18" t="s">
        <v>13</v>
      </c>
      <c r="C62" s="20">
        <v>2285</v>
      </c>
    </row>
    <row r="64" spans="1:4" x14ac:dyDescent="0.3">
      <c r="A64" t="s">
        <v>104</v>
      </c>
      <c r="B64" t="s">
        <v>100</v>
      </c>
      <c r="C64" s="12">
        <v>0.1512</v>
      </c>
    </row>
    <row r="65" spans="1:3" x14ac:dyDescent="0.3">
      <c r="B65" t="s">
        <v>105</v>
      </c>
    </row>
    <row r="66" spans="1:3" x14ac:dyDescent="0.3">
      <c r="B66" t="s">
        <v>106</v>
      </c>
      <c r="C66">
        <f>C61*C55</f>
        <v>1554.4872</v>
      </c>
    </row>
    <row r="68" spans="1:3" x14ac:dyDescent="0.3">
      <c r="A68" t="s">
        <v>107</v>
      </c>
      <c r="B68" t="s">
        <v>101</v>
      </c>
      <c r="C68" s="23">
        <f>C56</f>
        <v>2.8309999999999998E-2</v>
      </c>
    </row>
    <row r="69" spans="1:3" x14ac:dyDescent="0.3">
      <c r="B69" t="s">
        <v>108</v>
      </c>
      <c r="C69">
        <f>C61*C68</f>
        <v>291.05510999999996</v>
      </c>
    </row>
    <row r="71" spans="1:3" x14ac:dyDescent="0.3">
      <c r="A71" t="s">
        <v>109</v>
      </c>
      <c r="B71" t="s">
        <v>97</v>
      </c>
      <c r="C71">
        <f>C52</f>
        <v>1.1719999999999999</v>
      </c>
    </row>
    <row r="72" spans="1:3" x14ac:dyDescent="0.3">
      <c r="B72" t="s">
        <v>110</v>
      </c>
      <c r="C72">
        <f>C62</f>
        <v>2285</v>
      </c>
    </row>
    <row r="73" spans="1:3" x14ac:dyDescent="0.3">
      <c r="B73" t="s">
        <v>111</v>
      </c>
    </row>
    <row r="74" spans="1:3" x14ac:dyDescent="0.3">
      <c r="B74" t="s">
        <v>112</v>
      </c>
      <c r="C74">
        <f>C72*C71</f>
        <v>2678.02</v>
      </c>
    </row>
    <row r="76" spans="1:3" x14ac:dyDescent="0.3">
      <c r="A76" t="s">
        <v>113</v>
      </c>
      <c r="B76" t="s">
        <v>96</v>
      </c>
      <c r="C76">
        <f>C51</f>
        <v>0.67100000000000004</v>
      </c>
    </row>
    <row r="77" spans="1:3" x14ac:dyDescent="0.3">
      <c r="B77" t="s">
        <v>114</v>
      </c>
    </row>
    <row r="78" spans="1:3" x14ac:dyDescent="0.3">
      <c r="B78" t="s">
        <v>115</v>
      </c>
      <c r="C78">
        <f>C76*C72</f>
        <v>1533.2350000000001</v>
      </c>
    </row>
    <row r="80" spans="1:3" x14ac:dyDescent="0.3">
      <c r="A80" t="s">
        <v>117</v>
      </c>
      <c r="B80" t="s">
        <v>99</v>
      </c>
      <c r="C80">
        <f>C54</f>
        <v>39.659999999999997</v>
      </c>
    </row>
    <row r="81" spans="1:3" x14ac:dyDescent="0.3">
      <c r="B81" t="s">
        <v>118</v>
      </c>
    </row>
    <row r="82" spans="1:3" x14ac:dyDescent="0.3">
      <c r="B82" t="s">
        <v>119</v>
      </c>
      <c r="C82">
        <f>C80*(C61/365)</f>
        <v>1117.1081095890411</v>
      </c>
    </row>
    <row r="84" spans="1:3" x14ac:dyDescent="0.3">
      <c r="A84" t="s">
        <v>120</v>
      </c>
      <c r="B84" t="s">
        <v>98</v>
      </c>
      <c r="C84">
        <f>C53</f>
        <v>10.005000000000001</v>
      </c>
    </row>
    <row r="85" spans="1:3" x14ac:dyDescent="0.3">
      <c r="B85" t="s">
        <v>121</v>
      </c>
    </row>
    <row r="86" spans="1:3" x14ac:dyDescent="0.3">
      <c r="B86" t="s">
        <v>122</v>
      </c>
      <c r="C86">
        <f>E40/C84</f>
        <v>872.21517241379308</v>
      </c>
    </row>
    <row r="88" spans="1:3" x14ac:dyDescent="0.3">
      <c r="A88" t="s">
        <v>124</v>
      </c>
      <c r="B88" t="s">
        <v>102</v>
      </c>
      <c r="C88">
        <f>C57</f>
        <v>2.0910000000000002</v>
      </c>
    </row>
    <row r="89" spans="1:3" x14ac:dyDescent="0.3">
      <c r="B89" t="s">
        <v>125</v>
      </c>
    </row>
    <row r="90" spans="1:3" x14ac:dyDescent="0.3">
      <c r="B90" t="s">
        <v>126</v>
      </c>
      <c r="C90">
        <f>C61/C88</f>
        <v>4916.7862266857956</v>
      </c>
    </row>
    <row r="92" spans="1:3" x14ac:dyDescent="0.3">
      <c r="A92" t="s">
        <v>129</v>
      </c>
      <c r="B92" t="s">
        <v>40</v>
      </c>
      <c r="C92" s="12">
        <v>0.62150000000000005</v>
      </c>
    </row>
    <row r="93" spans="1:3" x14ac:dyDescent="0.3">
      <c r="B93" t="s">
        <v>130</v>
      </c>
    </row>
    <row r="94" spans="1:3" x14ac:dyDescent="0.3">
      <c r="B94" t="s">
        <v>131</v>
      </c>
    </row>
    <row r="95" spans="1:3" x14ac:dyDescent="0.3">
      <c r="B95" t="s">
        <v>132</v>
      </c>
      <c r="C95">
        <v>1885</v>
      </c>
    </row>
    <row r="97" spans="1:3" x14ac:dyDescent="0.3">
      <c r="A97" t="s">
        <v>133</v>
      </c>
      <c r="B97" t="s">
        <v>103</v>
      </c>
      <c r="C97" s="12">
        <f>E48/E32</f>
        <v>9.6001198052201572E-2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6"/>
  <sheetViews>
    <sheetView zoomScale="150" zoomScaleNormal="150" workbookViewId="0">
      <selection activeCell="J32" sqref="J32"/>
    </sheetView>
  </sheetViews>
  <sheetFormatPr defaultRowHeight="14.4" x14ac:dyDescent="0.3"/>
  <sheetData>
    <row r="2" spans="1:12" x14ac:dyDescent="0.3">
      <c r="J2" t="s">
        <v>49</v>
      </c>
    </row>
    <row r="4" spans="1:12" x14ac:dyDescent="0.3">
      <c r="A4" s="11" t="s">
        <v>42</v>
      </c>
      <c r="B4" t="s">
        <v>44</v>
      </c>
      <c r="E4" s="1" t="s">
        <v>45</v>
      </c>
      <c r="F4" s="1"/>
      <c r="G4" s="1"/>
      <c r="H4" s="1"/>
      <c r="J4" s="1" t="s">
        <v>47</v>
      </c>
      <c r="K4" s="1"/>
      <c r="L4" s="12">
        <v>0.1231</v>
      </c>
    </row>
    <row r="5" spans="1:12" x14ac:dyDescent="0.3">
      <c r="B5" t="s">
        <v>43</v>
      </c>
      <c r="E5" t="s">
        <v>46</v>
      </c>
      <c r="J5" t="s">
        <v>48</v>
      </c>
    </row>
    <row r="7" spans="1:12" x14ac:dyDescent="0.3">
      <c r="G7" s="13" t="s">
        <v>54</v>
      </c>
      <c r="J7" s="13" t="s">
        <v>56</v>
      </c>
    </row>
    <row r="8" spans="1:12" x14ac:dyDescent="0.3">
      <c r="A8" t="s">
        <v>50</v>
      </c>
      <c r="B8" t="s">
        <v>51</v>
      </c>
      <c r="E8" s="1" t="s">
        <v>53</v>
      </c>
      <c r="F8" s="1"/>
      <c r="G8" s="1">
        <v>5479296</v>
      </c>
      <c r="I8" s="14">
        <v>24.05</v>
      </c>
      <c r="J8" s="1">
        <v>6123704</v>
      </c>
      <c r="L8" s="14">
        <v>22.4</v>
      </c>
    </row>
    <row r="9" spans="1:12" x14ac:dyDescent="0.3">
      <c r="E9" t="s">
        <v>52</v>
      </c>
      <c r="G9" t="s">
        <v>55</v>
      </c>
      <c r="I9" s="14" t="s">
        <v>58</v>
      </c>
      <c r="J9" t="s">
        <v>57</v>
      </c>
      <c r="L9" s="14" t="s">
        <v>58</v>
      </c>
    </row>
    <row r="11" spans="1:12" x14ac:dyDescent="0.3">
      <c r="A11" t="s">
        <v>59</v>
      </c>
      <c r="B11" t="s">
        <v>60</v>
      </c>
      <c r="D11" s="1" t="s">
        <v>61</v>
      </c>
      <c r="E11" s="1"/>
      <c r="F11" s="1">
        <v>1392790</v>
      </c>
      <c r="I11" s="14">
        <v>39</v>
      </c>
      <c r="J11" s="1">
        <v>1207393</v>
      </c>
      <c r="L11" s="15">
        <v>38</v>
      </c>
    </row>
    <row r="12" spans="1:12" x14ac:dyDescent="0.3">
      <c r="D12" t="s">
        <v>62</v>
      </c>
      <c r="F12" t="s">
        <v>63</v>
      </c>
      <c r="I12" s="14" t="s">
        <v>58</v>
      </c>
      <c r="J12" t="s">
        <v>64</v>
      </c>
      <c r="L12" s="13" t="s">
        <v>58</v>
      </c>
    </row>
    <row r="14" spans="1:12" x14ac:dyDescent="0.3">
      <c r="A14" t="s">
        <v>65</v>
      </c>
      <c r="B14" t="s">
        <v>66</v>
      </c>
      <c r="D14" s="1" t="s">
        <v>67</v>
      </c>
      <c r="F14" s="1">
        <v>300000</v>
      </c>
      <c r="H14" s="1">
        <v>300000</v>
      </c>
      <c r="I14" s="13">
        <v>4.95</v>
      </c>
      <c r="J14" t="s">
        <v>70</v>
      </c>
    </row>
    <row r="15" spans="1:12" x14ac:dyDescent="0.3">
      <c r="D15" t="s">
        <v>68</v>
      </c>
      <c r="F15" t="s">
        <v>69</v>
      </c>
      <c r="H15">
        <v>60520</v>
      </c>
    </row>
    <row r="17" spans="1:11" x14ac:dyDescent="0.3">
      <c r="B17" t="s">
        <v>71</v>
      </c>
      <c r="D17" s="1" t="s">
        <v>72</v>
      </c>
      <c r="F17" s="1">
        <v>60520</v>
      </c>
      <c r="H17" s="13">
        <v>73.63</v>
      </c>
      <c r="I17" t="s">
        <v>58</v>
      </c>
    </row>
    <row r="18" spans="1:11" x14ac:dyDescent="0.3">
      <c r="D18" t="s">
        <v>73</v>
      </c>
      <c r="F18" t="s">
        <v>74</v>
      </c>
    </row>
    <row r="20" spans="1:11" x14ac:dyDescent="0.3">
      <c r="A20" t="s">
        <v>75</v>
      </c>
      <c r="B20" t="s">
        <v>76</v>
      </c>
      <c r="D20" s="1" t="s">
        <v>77</v>
      </c>
      <c r="H20" s="1">
        <v>82</v>
      </c>
      <c r="J20" s="13">
        <v>8.1999999999999993</v>
      </c>
      <c r="K20" t="s">
        <v>70</v>
      </c>
    </row>
    <row r="21" spans="1:11" x14ac:dyDescent="0.3">
      <c r="D21" t="s">
        <v>78</v>
      </c>
      <c r="H21" t="s">
        <v>79</v>
      </c>
    </row>
    <row r="23" spans="1:11" x14ac:dyDescent="0.3">
      <c r="B23" t="s">
        <v>80</v>
      </c>
      <c r="D23" s="1" t="s">
        <v>81</v>
      </c>
      <c r="E23" s="1"/>
      <c r="G23" s="1">
        <v>5.74</v>
      </c>
      <c r="H23" s="16">
        <f>G23/G24</f>
        <v>7.0000000000000007E-2</v>
      </c>
    </row>
    <row r="24" spans="1:11" x14ac:dyDescent="0.3">
      <c r="D24" t="s">
        <v>82</v>
      </c>
      <c r="G24">
        <v>82</v>
      </c>
    </row>
    <row r="26" spans="1:11" x14ac:dyDescent="0.3">
      <c r="B26" t="s">
        <v>83</v>
      </c>
      <c r="D26" s="1" t="s">
        <v>84</v>
      </c>
      <c r="E26" s="1"/>
      <c r="F26" s="1"/>
      <c r="H26" s="1" t="s">
        <v>85</v>
      </c>
      <c r="I26" s="1"/>
      <c r="J26" s="16">
        <v>0.57399999999999995</v>
      </c>
    </row>
    <row r="27" spans="1:11" x14ac:dyDescent="0.3">
      <c r="D27" t="s">
        <v>39</v>
      </c>
      <c r="H27">
        <v>20000000</v>
      </c>
    </row>
    <row r="29" spans="1:11" x14ac:dyDescent="0.3">
      <c r="A29" t="s">
        <v>86</v>
      </c>
      <c r="B29" t="s">
        <v>87</v>
      </c>
      <c r="D29" s="1" t="s">
        <v>88</v>
      </c>
      <c r="E29" s="1">
        <v>1750</v>
      </c>
      <c r="G29" s="13" t="s">
        <v>90</v>
      </c>
    </row>
    <row r="30" spans="1:11" x14ac:dyDescent="0.3">
      <c r="D30" t="s">
        <v>89</v>
      </c>
      <c r="E30">
        <v>250</v>
      </c>
    </row>
    <row r="32" spans="1:11" x14ac:dyDescent="0.3">
      <c r="B32" t="s">
        <v>91</v>
      </c>
      <c r="E32" s="1" t="s">
        <v>88</v>
      </c>
      <c r="F32" s="1">
        <v>1750</v>
      </c>
      <c r="G32" s="13">
        <v>3.33</v>
      </c>
      <c r="H32" s="13" t="s">
        <v>70</v>
      </c>
    </row>
    <row r="33" spans="2:8" x14ac:dyDescent="0.3">
      <c r="E33" t="s">
        <v>92</v>
      </c>
      <c r="F33">
        <v>525</v>
      </c>
    </row>
    <row r="35" spans="2:8" x14ac:dyDescent="0.3">
      <c r="B35" t="s">
        <v>93</v>
      </c>
      <c r="E35" s="1" t="s">
        <v>88</v>
      </c>
      <c r="F35" s="1">
        <v>1750</v>
      </c>
      <c r="G35" s="13">
        <v>1.1599999999999999</v>
      </c>
      <c r="H35" s="13" t="s">
        <v>70</v>
      </c>
    </row>
    <row r="36" spans="2:8" x14ac:dyDescent="0.3">
      <c r="E36" t="s">
        <v>94</v>
      </c>
      <c r="F36">
        <v>1500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C127-9E1F-4044-87F6-409742BB5605}">
  <dimension ref="B3:E63"/>
  <sheetViews>
    <sheetView topLeftCell="A7" zoomScale="140" zoomScaleNormal="140" workbookViewId="0">
      <selection activeCell="D7" sqref="D7"/>
    </sheetView>
  </sheetViews>
  <sheetFormatPr defaultRowHeight="14.4" x14ac:dyDescent="0.3"/>
  <cols>
    <col min="2" max="2" width="52.33203125" customWidth="1"/>
  </cols>
  <sheetData>
    <row r="3" spans="2:5" x14ac:dyDescent="0.3">
      <c r="B3" s="3" t="s">
        <v>28</v>
      </c>
      <c r="C3" s="3"/>
      <c r="D3" s="3"/>
      <c r="E3" s="13">
        <v>2011</v>
      </c>
    </row>
    <row r="4" spans="2:5" x14ac:dyDescent="0.3">
      <c r="B4" s="4" t="s">
        <v>0</v>
      </c>
    </row>
    <row r="5" spans="2:5" x14ac:dyDescent="0.3">
      <c r="B5" t="s">
        <v>1</v>
      </c>
      <c r="D5">
        <v>18</v>
      </c>
    </row>
    <row r="6" spans="2:5" x14ac:dyDescent="0.3">
      <c r="B6" t="s">
        <v>2</v>
      </c>
      <c r="D6">
        <v>494</v>
      </c>
    </row>
    <row r="7" spans="2:5" x14ac:dyDescent="0.3">
      <c r="B7" t="s">
        <v>3</v>
      </c>
      <c r="D7">
        <v>728</v>
      </c>
    </row>
    <row r="8" spans="2:5" x14ac:dyDescent="0.3">
      <c r="B8" t="s">
        <v>4</v>
      </c>
      <c r="D8">
        <v>972</v>
      </c>
    </row>
    <row r="9" spans="2:5" x14ac:dyDescent="0.3">
      <c r="B9" t="s">
        <v>5</v>
      </c>
      <c r="D9" s="1">
        <v>214</v>
      </c>
    </row>
    <row r="10" spans="2:5" x14ac:dyDescent="0.3">
      <c r="B10" s="5" t="s">
        <v>6</v>
      </c>
      <c r="D10">
        <f>SUM(D5:D9)</f>
        <v>2426</v>
      </c>
    </row>
    <row r="11" spans="2:5" x14ac:dyDescent="0.3">
      <c r="B11" t="s">
        <v>7</v>
      </c>
      <c r="D11">
        <v>898</v>
      </c>
    </row>
    <row r="12" spans="2:5" x14ac:dyDescent="0.3">
      <c r="B12" t="s">
        <v>8</v>
      </c>
      <c r="C12">
        <v>4727</v>
      </c>
    </row>
    <row r="13" spans="2:5" x14ac:dyDescent="0.3">
      <c r="B13" t="s">
        <v>9</v>
      </c>
      <c r="C13" s="1">
        <v>2433</v>
      </c>
      <c r="D13" s="1">
        <f>C12-C13</f>
        <v>2294</v>
      </c>
    </row>
    <row r="14" spans="2:5" x14ac:dyDescent="0.3">
      <c r="B14" t="s">
        <v>10</v>
      </c>
      <c r="D14">
        <v>171</v>
      </c>
    </row>
    <row r="15" spans="2:5" x14ac:dyDescent="0.3">
      <c r="B15" s="19" t="s">
        <v>11</v>
      </c>
      <c r="C15" s="19"/>
      <c r="D15" s="32">
        <v>594</v>
      </c>
    </row>
    <row r="16" spans="2:5" x14ac:dyDescent="0.3">
      <c r="B16" s="31" t="s">
        <v>128</v>
      </c>
      <c r="C16" s="19"/>
      <c r="D16" s="30"/>
    </row>
    <row r="17" spans="2:4" x14ac:dyDescent="0.3">
      <c r="B17" s="5" t="s">
        <v>12</v>
      </c>
      <c r="D17" s="33">
        <f>D10+D11+D13+D14+D15</f>
        <v>6383</v>
      </c>
    </row>
    <row r="20" spans="2:4" x14ac:dyDescent="0.3">
      <c r="B20" s="4" t="s">
        <v>13</v>
      </c>
    </row>
    <row r="21" spans="2:4" x14ac:dyDescent="0.3">
      <c r="B21" t="s">
        <v>14</v>
      </c>
      <c r="D21">
        <v>732</v>
      </c>
    </row>
    <row r="22" spans="2:4" x14ac:dyDescent="0.3">
      <c r="B22" t="s">
        <v>15</v>
      </c>
      <c r="D22">
        <v>266</v>
      </c>
    </row>
    <row r="23" spans="2:4" x14ac:dyDescent="0.3">
      <c r="B23" t="s">
        <v>16</v>
      </c>
      <c r="D23" s="1">
        <v>1232</v>
      </c>
    </row>
    <row r="24" spans="2:4" x14ac:dyDescent="0.3">
      <c r="B24" s="5" t="s">
        <v>17</v>
      </c>
      <c r="D24">
        <f>D21+D22+D23</f>
        <v>2230</v>
      </c>
    </row>
    <row r="25" spans="2:4" x14ac:dyDescent="0.3">
      <c r="B25" t="s">
        <v>18</v>
      </c>
      <c r="D25">
        <v>250</v>
      </c>
    </row>
    <row r="26" spans="2:4" x14ac:dyDescent="0.3">
      <c r="B26" t="s">
        <v>19</v>
      </c>
      <c r="D26" s="1">
        <v>951</v>
      </c>
    </row>
    <row r="27" spans="2:4" x14ac:dyDescent="0.3">
      <c r="B27" s="5" t="s">
        <v>20</v>
      </c>
      <c r="D27">
        <f>D24+D25+D26</f>
        <v>3431</v>
      </c>
    </row>
    <row r="28" spans="2:4" x14ac:dyDescent="0.3">
      <c r="B28" s="6" t="s">
        <v>21</v>
      </c>
    </row>
    <row r="29" spans="2:4" x14ac:dyDescent="0.3">
      <c r="B29" t="s">
        <v>22</v>
      </c>
      <c r="D29">
        <v>25</v>
      </c>
    </row>
    <row r="30" spans="2:4" x14ac:dyDescent="0.3">
      <c r="B30" t="s">
        <v>23</v>
      </c>
      <c r="D30">
        <v>54</v>
      </c>
    </row>
    <row r="31" spans="2:4" x14ac:dyDescent="0.3">
      <c r="B31" t="s">
        <v>24</v>
      </c>
      <c r="D31">
        <v>667</v>
      </c>
    </row>
    <row r="32" spans="2:4" x14ac:dyDescent="0.3">
      <c r="B32" t="s">
        <v>25</v>
      </c>
      <c r="D32" s="1">
        <v>2206</v>
      </c>
    </row>
    <row r="33" spans="2:4" x14ac:dyDescent="0.3">
      <c r="B33" s="5" t="s">
        <v>26</v>
      </c>
      <c r="D33">
        <f>SUM(D29:D32)</f>
        <v>2952</v>
      </c>
    </row>
    <row r="34" spans="2:4" x14ac:dyDescent="0.3">
      <c r="B34" s="5" t="s">
        <v>127</v>
      </c>
    </row>
    <row r="35" spans="2:4" x14ac:dyDescent="0.3">
      <c r="B35" t="s">
        <v>27</v>
      </c>
      <c r="D35" s="2">
        <f>D27+D33</f>
        <v>6383</v>
      </c>
    </row>
    <row r="38" spans="2:4" x14ac:dyDescent="0.3">
      <c r="B38" s="3" t="s">
        <v>29</v>
      </c>
    </row>
    <row r="40" spans="2:4" x14ac:dyDescent="0.3">
      <c r="B40" t="s">
        <v>30</v>
      </c>
      <c r="D40">
        <v>9779</v>
      </c>
    </row>
    <row r="41" spans="2:4" x14ac:dyDescent="0.3">
      <c r="B41" t="s">
        <v>31</v>
      </c>
      <c r="C41" s="1">
        <v>8165</v>
      </c>
    </row>
    <row r="42" spans="2:4" x14ac:dyDescent="0.3">
      <c r="B42" t="s">
        <v>32</v>
      </c>
      <c r="C42">
        <f>D40-C41</f>
        <v>1614</v>
      </c>
    </row>
    <row r="43" spans="2:4" x14ac:dyDescent="0.3">
      <c r="B43" s="24" t="s">
        <v>33</v>
      </c>
    </row>
    <row r="44" spans="2:4" x14ac:dyDescent="0.3">
      <c r="B44" t="s">
        <v>34</v>
      </c>
      <c r="C44">
        <v>278</v>
      </c>
    </row>
    <row r="45" spans="2:4" x14ac:dyDescent="0.3">
      <c r="B45" t="s">
        <v>35</v>
      </c>
      <c r="C45">
        <v>343</v>
      </c>
    </row>
    <row r="46" spans="2:4" x14ac:dyDescent="0.3">
      <c r="B46" t="s">
        <v>36</v>
      </c>
      <c r="C46">
        <v>430</v>
      </c>
    </row>
    <row r="47" spans="2:4" x14ac:dyDescent="0.3">
      <c r="B47" t="s">
        <v>37</v>
      </c>
      <c r="C47" s="1">
        <v>163</v>
      </c>
    </row>
    <row r="48" spans="2:4" x14ac:dyDescent="0.3">
      <c r="B48" s="5" t="s">
        <v>38</v>
      </c>
      <c r="D48" s="6">
        <f>SUM(C44:C47)+C41</f>
        <v>9379</v>
      </c>
    </row>
    <row r="49" spans="2:4" x14ac:dyDescent="0.3">
      <c r="B49" s="7" t="s">
        <v>39</v>
      </c>
      <c r="D49">
        <f>D40-D48</f>
        <v>400</v>
      </c>
    </row>
    <row r="51" spans="2:4" x14ac:dyDescent="0.3">
      <c r="C51" s="8">
        <v>2011</v>
      </c>
      <c r="D51" s="8">
        <v>2010</v>
      </c>
    </row>
    <row r="52" spans="2:4" x14ac:dyDescent="0.3">
      <c r="B52" t="s">
        <v>96</v>
      </c>
      <c r="C52" s="9">
        <v>0.67100000000000004</v>
      </c>
      <c r="D52" s="9">
        <v>0.55600000000000005</v>
      </c>
    </row>
    <row r="53" spans="2:4" x14ac:dyDescent="0.3">
      <c r="B53" t="s">
        <v>97</v>
      </c>
      <c r="C53" s="9">
        <v>1.1719999999999999</v>
      </c>
      <c r="D53" s="9">
        <v>1.0880000000000001</v>
      </c>
    </row>
    <row r="54" spans="2:4" x14ac:dyDescent="0.3">
      <c r="B54" t="s">
        <v>98</v>
      </c>
      <c r="C54" s="9">
        <v>10.005000000000001</v>
      </c>
      <c r="D54" s="9">
        <v>8.4</v>
      </c>
    </row>
    <row r="55" spans="2:4" x14ac:dyDescent="0.3">
      <c r="B55" t="s">
        <v>99</v>
      </c>
      <c r="C55" s="9">
        <v>39.659999999999997</v>
      </c>
      <c r="D55" s="9">
        <v>27.17</v>
      </c>
    </row>
    <row r="56" spans="2:4" x14ac:dyDescent="0.3">
      <c r="B56" t="s">
        <v>100</v>
      </c>
      <c r="C56" s="10">
        <v>0.1512</v>
      </c>
      <c r="D56" s="10">
        <v>0.16500000000000001</v>
      </c>
    </row>
    <row r="57" spans="2:4" x14ac:dyDescent="0.3">
      <c r="B57" t="s">
        <v>101</v>
      </c>
      <c r="C57" s="10">
        <v>2.8309999999999998E-2</v>
      </c>
      <c r="D57" s="10">
        <v>4.0899999999999999E-2</v>
      </c>
    </row>
    <row r="58" spans="2:4" x14ac:dyDescent="0.3">
      <c r="B58" t="s">
        <v>102</v>
      </c>
      <c r="C58" s="9">
        <v>2.0910000000000002</v>
      </c>
      <c r="D58" s="9">
        <v>2.355</v>
      </c>
    </row>
    <row r="59" spans="2:4" x14ac:dyDescent="0.3">
      <c r="B59" t="s">
        <v>40</v>
      </c>
      <c r="C59" s="9">
        <v>62.15</v>
      </c>
      <c r="D59" s="9">
        <v>40.68</v>
      </c>
    </row>
    <row r="60" spans="2:4" x14ac:dyDescent="0.3">
      <c r="B60" t="s">
        <v>103</v>
      </c>
      <c r="C60" s="9" t="s">
        <v>41</v>
      </c>
      <c r="D60" s="9">
        <v>13.55</v>
      </c>
    </row>
    <row r="62" spans="2:4" x14ac:dyDescent="0.3">
      <c r="B62" s="18" t="s">
        <v>95</v>
      </c>
      <c r="C62" s="20">
        <v>10281</v>
      </c>
    </row>
    <row r="63" spans="2:4" x14ac:dyDescent="0.3">
      <c r="B63" s="18" t="s">
        <v>13</v>
      </c>
      <c r="C63" s="20">
        <v>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Amrinder Singh</dc:creator>
  <cp:lastModifiedBy>ROHIT GHOSH</cp:lastModifiedBy>
  <dcterms:created xsi:type="dcterms:W3CDTF">2015-06-05T18:17:20Z</dcterms:created>
  <dcterms:modified xsi:type="dcterms:W3CDTF">2025-09-22T04:27:46Z</dcterms:modified>
</cp:coreProperties>
</file>