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BA\MBA\Courses\FRA\Lectures\"/>
    </mc:Choice>
  </mc:AlternateContent>
  <xr:revisionPtr revIDLastSave="0" documentId="13_ncr:1_{2ED4C282-FDC4-4D77-9E43-1ECE39122A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6-5" sheetId="2" r:id="rId1"/>
    <sheet name="Lewis C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1" l="1"/>
  <c r="B75" i="1"/>
  <c r="C68" i="1"/>
  <c r="F98" i="1"/>
  <c r="F97" i="1"/>
  <c r="E96" i="1"/>
  <c r="F90" i="1"/>
  <c r="E90" i="1"/>
  <c r="C90" i="1"/>
  <c r="L63" i="1"/>
  <c r="O80" i="1"/>
  <c r="J80" i="1"/>
  <c r="E4" i="1"/>
  <c r="H63" i="1"/>
  <c r="M62" i="1" l="1"/>
  <c r="M61" i="1"/>
  <c r="F63" i="1"/>
  <c r="K63" i="1"/>
  <c r="D63" i="1"/>
  <c r="B63" i="1"/>
  <c r="G40" i="1"/>
  <c r="G9" i="1"/>
  <c r="J4" i="1"/>
  <c r="C9" i="1"/>
  <c r="E5" i="1"/>
  <c r="O4" i="1"/>
  <c r="I6" i="1"/>
  <c r="E80" i="1" l="1"/>
  <c r="I75" i="1"/>
  <c r="H74" i="1"/>
  <c r="I74" i="1" s="1"/>
  <c r="D74" i="1"/>
  <c r="E74" i="1" s="1"/>
  <c r="H73" i="1"/>
  <c r="I73" i="1" s="1"/>
  <c r="I72" i="1"/>
  <c r="O70" i="1"/>
  <c r="J70" i="1"/>
  <c r="E70" i="1"/>
  <c r="E68" i="1"/>
  <c r="M63" i="1"/>
  <c r="N45" i="1"/>
  <c r="N44" i="1"/>
  <c r="H44" i="1"/>
  <c r="I44" i="1" s="1"/>
  <c r="N43" i="1"/>
  <c r="H43" i="1"/>
  <c r="I43" i="1" s="1"/>
  <c r="R42" i="1"/>
  <c r="I39" i="1"/>
  <c r="N38" i="1"/>
  <c r="I38" i="1"/>
  <c r="N37" i="1"/>
  <c r="I37" i="1"/>
  <c r="E37" i="1"/>
  <c r="N36" i="1"/>
  <c r="I36" i="1"/>
  <c r="E36" i="1"/>
  <c r="R35" i="1"/>
  <c r="N35" i="1"/>
  <c r="I35" i="1"/>
  <c r="E35" i="1"/>
  <c r="E34" i="1"/>
  <c r="T33" i="1"/>
  <c r="O33" i="1"/>
  <c r="J33" i="1"/>
  <c r="N30" i="1"/>
  <c r="I30" i="1"/>
  <c r="N29" i="1"/>
  <c r="I29" i="1"/>
  <c r="H26" i="1"/>
  <c r="I26" i="1" s="1"/>
  <c r="I25" i="1"/>
  <c r="N24" i="1"/>
  <c r="I24" i="1"/>
  <c r="N23" i="1"/>
  <c r="I23" i="1"/>
  <c r="E23" i="1"/>
  <c r="N22" i="1"/>
  <c r="I22" i="1"/>
  <c r="E22" i="1"/>
  <c r="R21" i="1"/>
  <c r="N21" i="1"/>
  <c r="I21" i="1"/>
  <c r="E21" i="1"/>
  <c r="E20" i="1"/>
  <c r="T19" i="1"/>
  <c r="O19" i="1"/>
  <c r="J19" i="1"/>
  <c r="I16" i="1"/>
  <c r="I15" i="1"/>
  <c r="N14" i="1"/>
  <c r="O16" i="1" s="1"/>
  <c r="D90" i="1" s="1"/>
  <c r="I14" i="1"/>
  <c r="J16" i="1" s="1"/>
  <c r="N10" i="1"/>
  <c r="N9" i="1"/>
  <c r="C19" i="1"/>
  <c r="N8" i="1"/>
  <c r="H8" i="1"/>
  <c r="I8" i="1" s="1"/>
  <c r="E8" i="1"/>
  <c r="N7" i="1"/>
  <c r="I7" i="1"/>
  <c r="E7" i="1"/>
  <c r="R6" i="1"/>
  <c r="N6" i="1"/>
  <c r="E6" i="1"/>
  <c r="T4" i="1"/>
  <c r="J31" i="1" l="1"/>
  <c r="J11" i="1"/>
  <c r="J12" i="1" s="1"/>
  <c r="O45" i="1"/>
  <c r="D92" i="1" s="1"/>
  <c r="J45" i="1"/>
  <c r="C92" i="1" s="1"/>
  <c r="E92" i="1" s="1"/>
  <c r="F92" i="1" s="1"/>
  <c r="J40" i="1"/>
  <c r="C98" i="1" s="1"/>
  <c r="E9" i="1"/>
  <c r="O11" i="1"/>
  <c r="D96" i="1" s="1"/>
  <c r="C91" i="1"/>
  <c r="O31" i="1"/>
  <c r="D91" i="1" s="1"/>
  <c r="E76" i="1"/>
  <c r="E77" i="1" s="1"/>
  <c r="E78" i="1" s="1"/>
  <c r="J26" i="1"/>
  <c r="C97" i="1" s="1"/>
  <c r="J41" i="1"/>
  <c r="H50" i="1" s="1"/>
  <c r="I50" i="1" s="1"/>
  <c r="H55" i="1" s="1"/>
  <c r="O26" i="1"/>
  <c r="D97" i="1" s="1"/>
  <c r="O40" i="1"/>
  <c r="D98" i="1" s="1"/>
  <c r="N72" i="1"/>
  <c r="O72" i="1" s="1"/>
  <c r="O76" i="1" s="1"/>
  <c r="O77" i="1" s="1"/>
  <c r="O78" i="1" s="1"/>
  <c r="J75" i="1"/>
  <c r="J76" i="1" s="1"/>
  <c r="C24" i="1"/>
  <c r="C26" i="1" s="1"/>
  <c r="C33" i="1" s="1"/>
  <c r="H48" i="1"/>
  <c r="C11" i="1"/>
  <c r="S6" i="1" l="1"/>
  <c r="S14" i="1" s="1"/>
  <c r="T14" i="1" s="1"/>
  <c r="D19" i="1"/>
  <c r="E19" i="1" s="1"/>
  <c r="E24" i="1" s="1"/>
  <c r="C96" i="1"/>
  <c r="O12" i="1"/>
  <c r="M48" i="1" s="1"/>
  <c r="N48" i="1" s="1"/>
  <c r="I53" i="1" s="1"/>
  <c r="E98" i="1"/>
  <c r="E97" i="1"/>
  <c r="E91" i="1"/>
  <c r="F91" i="1" s="1"/>
  <c r="O41" i="1"/>
  <c r="M50" i="1" s="1"/>
  <c r="N50" i="1" s="1"/>
  <c r="I55" i="1" s="1"/>
  <c r="J55" i="1" s="1"/>
  <c r="O27" i="1"/>
  <c r="M49" i="1" s="1"/>
  <c r="N49" i="1" s="1"/>
  <c r="I54" i="1" s="1"/>
  <c r="J27" i="1"/>
  <c r="H49" i="1" s="1"/>
  <c r="I49" i="1" s="1"/>
  <c r="H54" i="1" s="1"/>
  <c r="N80" i="1"/>
  <c r="J77" i="1"/>
  <c r="J78" i="1" s="1"/>
  <c r="I48" i="1"/>
  <c r="H53" i="1" s="1"/>
  <c r="J53" i="1" s="1"/>
  <c r="C38" i="1"/>
  <c r="C40" i="1" s="1"/>
  <c r="J50" i="1"/>
  <c r="T6" i="1"/>
  <c r="T12" i="1" s="1"/>
  <c r="R48" i="1" s="1"/>
  <c r="S21" i="1" l="1"/>
  <c r="S29" i="1" s="1"/>
  <c r="T29" i="1" s="1"/>
  <c r="D33" i="1"/>
  <c r="O50" i="1"/>
  <c r="E33" i="1"/>
  <c r="E38" i="1" s="1"/>
  <c r="D40" i="1" s="1"/>
  <c r="O48" i="1"/>
  <c r="J49" i="1"/>
  <c r="J54" i="1"/>
  <c r="J56" i="1" s="1"/>
  <c r="T21" i="1"/>
  <c r="T27" i="1" s="1"/>
  <c r="R49" i="1" s="1"/>
  <c r="O49" i="1"/>
  <c r="J48" i="1"/>
  <c r="S48" i="1"/>
  <c r="T48" i="1" s="1"/>
  <c r="S35" i="1" l="1"/>
  <c r="S42" i="1"/>
  <c r="T42" i="1" s="1"/>
  <c r="T35" i="1"/>
  <c r="T40" i="1" s="1"/>
  <c r="R50" i="1" s="1"/>
  <c r="S49" i="1"/>
  <c r="T49" i="1" s="1"/>
  <c r="S50" i="1" l="1"/>
  <c r="T50" i="1" s="1"/>
</calcChain>
</file>

<file path=xl/sharedStrings.xml><?xml version="1.0" encoding="utf-8"?>
<sst xmlns="http://schemas.openxmlformats.org/spreadsheetml/2006/main" count="148" uniqueCount="58">
  <si>
    <t>Rate per unit</t>
  </si>
  <si>
    <t>Amount</t>
  </si>
  <si>
    <t>FIFO</t>
  </si>
  <si>
    <t>LIFO 2009</t>
  </si>
  <si>
    <t>WAC 2009</t>
  </si>
  <si>
    <t>Beginning balance, 2009</t>
  </si>
  <si>
    <t>Sales</t>
  </si>
  <si>
    <t>Purchases</t>
  </si>
  <si>
    <t>COGS</t>
  </si>
  <si>
    <t>Total</t>
  </si>
  <si>
    <t>Year 2010</t>
  </si>
  <si>
    <t>Beginning balance, 2010</t>
  </si>
  <si>
    <t>FIFO 2011</t>
  </si>
  <si>
    <t xml:space="preserve"> Year 2011</t>
  </si>
  <si>
    <t>WAC</t>
  </si>
  <si>
    <t>Beginning balance, 2011</t>
  </si>
  <si>
    <t>Beginning balance, 2012</t>
  </si>
  <si>
    <t>Question 2</t>
  </si>
  <si>
    <t>Tax Liability</t>
  </si>
  <si>
    <t>Tax 40%</t>
  </si>
  <si>
    <t>Net income</t>
  </si>
  <si>
    <t>LIFO</t>
  </si>
  <si>
    <t>Tax saving</t>
  </si>
  <si>
    <t>Question 3:</t>
  </si>
  <si>
    <t>Inventory 2011</t>
  </si>
  <si>
    <t>Expected sales and cls stock</t>
  </si>
  <si>
    <t>Expected sales</t>
  </si>
  <si>
    <t>tax 40%</t>
  </si>
  <si>
    <t>Question 4</t>
  </si>
  <si>
    <t>LIFO Reserve</t>
  </si>
  <si>
    <t>FIFO Inventory</t>
  </si>
  <si>
    <t>minus</t>
  </si>
  <si>
    <t>LIFO Inventory</t>
  </si>
  <si>
    <t>LIFO RESERVE</t>
  </si>
  <si>
    <t xml:space="preserve">Year </t>
  </si>
  <si>
    <t>Inventory</t>
  </si>
  <si>
    <t>(LIFO COGS- FIFO COGS)</t>
  </si>
  <si>
    <t>Cartons</t>
  </si>
  <si>
    <t>(1840 - 820)</t>
  </si>
  <si>
    <t>(700 - 660)</t>
  </si>
  <si>
    <t>(700 - 680)</t>
  </si>
  <si>
    <t>(1910 - 1510)</t>
  </si>
  <si>
    <t>(800 - 380)</t>
  </si>
  <si>
    <t>Ending Inventory</t>
  </si>
  <si>
    <t xml:space="preserve">                      Ending Inventory</t>
  </si>
  <si>
    <t>Gross Margin</t>
  </si>
  <si>
    <t>Target Ending Inventory</t>
  </si>
  <si>
    <t>Less Ending Inventory</t>
  </si>
  <si>
    <t>(LIFO Inventory + LIFO Reserve)</t>
  </si>
  <si>
    <t>(1020 - 620)</t>
  </si>
  <si>
    <t>(700-210)</t>
  </si>
  <si>
    <t>(1000-850)</t>
  </si>
  <si>
    <t>In 2012, LIFO would cause an increase in tax expense of $</t>
  </si>
  <si>
    <t>Problem 6-5</t>
  </si>
  <si>
    <t>Purchase date</t>
  </si>
  <si>
    <t>Units</t>
  </si>
  <si>
    <t>Cost per Unit</t>
  </si>
  <si>
    <t>Ending Inventory (1020 is from 1840 from 2009 begininng, 20 is from 700 @ 21.5 from purchase in 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</si>
</sst>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_ * #,##0.000_ ;_ * \-#,##0.0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164" fontId="2" fillId="0" borderId="0" xfId="1" applyFont="1"/>
    <xf numFmtId="164" fontId="2" fillId="0" borderId="0" xfId="1" applyFont="1" applyBorder="1"/>
    <xf numFmtId="164" fontId="2" fillId="0" borderId="1" xfId="1" applyFont="1" applyBorder="1"/>
    <xf numFmtId="164" fontId="0" fillId="0" borderId="0" xfId="1" applyFont="1"/>
    <xf numFmtId="164" fontId="0" fillId="0" borderId="1" xfId="1" applyFont="1" applyBorder="1"/>
    <xf numFmtId="164" fontId="4" fillId="0" borderId="0" xfId="1" applyFont="1"/>
    <xf numFmtId="164" fontId="4" fillId="0" borderId="1" xfId="1" applyFont="1" applyBorder="1"/>
    <xf numFmtId="164" fontId="3" fillId="0" borderId="1" xfId="1" applyFont="1" applyBorder="1"/>
    <xf numFmtId="164" fontId="0" fillId="0" borderId="0" xfId="1" applyFont="1" applyBorder="1"/>
    <xf numFmtId="164" fontId="0" fillId="0" borderId="2" xfId="1" applyFont="1" applyBorder="1"/>
    <xf numFmtId="164" fontId="2" fillId="0" borderId="2" xfId="1" applyFont="1" applyBorder="1"/>
    <xf numFmtId="164" fontId="0" fillId="0" borderId="3" xfId="1" applyFont="1" applyBorder="1"/>
    <xf numFmtId="164" fontId="0" fillId="0" borderId="4" xfId="1" applyFont="1" applyBorder="1"/>
    <xf numFmtId="164" fontId="0" fillId="0" borderId="5" xfId="1" applyFont="1" applyBorder="1"/>
    <xf numFmtId="164" fontId="2" fillId="0" borderId="6" xfId="1" applyFont="1" applyBorder="1"/>
    <xf numFmtId="165" fontId="0" fillId="0" borderId="7" xfId="1" applyNumberFormat="1" applyFont="1" applyBorder="1"/>
    <xf numFmtId="164" fontId="0" fillId="0" borderId="8" xfId="1" applyFont="1" applyBorder="1"/>
    <xf numFmtId="164" fontId="2" fillId="0" borderId="9" xfId="1" applyFont="1" applyBorder="1"/>
    <xf numFmtId="165" fontId="0" fillId="0" borderId="10" xfId="1" applyNumberFormat="1" applyFont="1" applyBorder="1"/>
    <xf numFmtId="164" fontId="0" fillId="0" borderId="11" xfId="1" applyFont="1" applyBorder="1"/>
    <xf numFmtId="164" fontId="0" fillId="0" borderId="12" xfId="1" applyFont="1" applyBorder="1"/>
    <xf numFmtId="164" fontId="2" fillId="0" borderId="13" xfId="1" applyFont="1" applyBorder="1"/>
    <xf numFmtId="164" fontId="3" fillId="0" borderId="0" xfId="1" applyFont="1" applyBorder="1"/>
    <xf numFmtId="164" fontId="5" fillId="0" borderId="0" xfId="1" applyFont="1" applyBorder="1"/>
    <xf numFmtId="164" fontId="5" fillId="0" borderId="0" xfId="1" applyFont="1"/>
    <xf numFmtId="165" fontId="0" fillId="0" borderId="0" xfId="1" applyNumberFormat="1" applyFont="1" applyBorder="1"/>
    <xf numFmtId="164" fontId="2" fillId="0" borderId="0" xfId="1" applyFont="1" applyAlignment="1">
      <alignment horizontal="right"/>
    </xf>
    <xf numFmtId="164" fontId="5" fillId="0" borderId="0" xfId="1" applyFont="1" applyAlignment="1">
      <alignment horizontal="right"/>
    </xf>
    <xf numFmtId="164" fontId="6" fillId="0" borderId="0" xfId="1" applyFont="1"/>
    <xf numFmtId="164" fontId="0" fillId="0" borderId="0" xfId="1" applyFont="1" applyFill="1"/>
    <xf numFmtId="164" fontId="0" fillId="0" borderId="14" xfId="1" applyFont="1" applyBorder="1"/>
    <xf numFmtId="165" fontId="2" fillId="0" borderId="15" xfId="1" applyNumberFormat="1" applyFont="1" applyBorder="1"/>
    <xf numFmtId="164" fontId="0" fillId="0" borderId="16" xfId="1" applyFont="1" applyBorder="1"/>
    <xf numFmtId="164" fontId="2" fillId="0" borderId="17" xfId="1" applyFont="1" applyBorder="1"/>
    <xf numFmtId="164" fontId="2" fillId="0" borderId="0" xfId="1" applyFont="1" applyBorder="1" applyAlignment="1">
      <alignment horizontal="right"/>
    </xf>
    <xf numFmtId="164" fontId="2" fillId="0" borderId="18" xfId="1" applyFont="1" applyBorder="1" applyAlignment="1">
      <alignment horizontal="right"/>
    </xf>
    <xf numFmtId="164" fontId="0" fillId="0" borderId="17" xfId="1" applyFont="1" applyBorder="1"/>
    <xf numFmtId="164" fontId="0" fillId="0" borderId="18" xfId="1" applyFont="1" applyBorder="1"/>
    <xf numFmtId="164" fontId="2" fillId="0" borderId="18" xfId="1" applyFont="1" applyBorder="1"/>
    <xf numFmtId="164" fontId="3" fillId="0" borderId="17" xfId="1" applyFont="1" applyBorder="1"/>
    <xf numFmtId="164" fontId="4" fillId="0" borderId="0" xfId="1" applyFont="1" applyBorder="1"/>
    <xf numFmtId="164" fontId="4" fillId="0" borderId="18" xfId="1" applyFont="1" applyBorder="1"/>
    <xf numFmtId="166" fontId="0" fillId="0" borderId="0" xfId="1" applyNumberFormat="1" applyFont="1" applyBorder="1"/>
    <xf numFmtId="164" fontId="4" fillId="0" borderId="17" xfId="1" applyFont="1" applyBorder="1"/>
    <xf numFmtId="165" fontId="2" fillId="0" borderId="0" xfId="1" applyNumberFormat="1" applyFont="1" applyBorder="1"/>
    <xf numFmtId="164" fontId="2" fillId="0" borderId="19" xfId="1" applyFont="1" applyBorder="1"/>
    <xf numFmtId="164" fontId="2" fillId="0" borderId="20" xfId="1" applyFont="1" applyBorder="1"/>
    <xf numFmtId="164" fontId="2" fillId="0" borderId="21" xfId="1" applyFont="1" applyBorder="1"/>
    <xf numFmtId="164" fontId="0" fillId="0" borderId="1" xfId="1" applyFont="1" applyFill="1" applyBorder="1"/>
    <xf numFmtId="164" fontId="0" fillId="0" borderId="17" xfId="1" applyFont="1" applyFill="1" applyBorder="1"/>
    <xf numFmtId="164" fontId="0" fillId="0" borderId="0" xfId="1" applyFont="1" applyFill="1" applyBorder="1"/>
    <xf numFmtId="164" fontId="0" fillId="0" borderId="18" xfId="1" applyFont="1" applyFill="1" applyBorder="1"/>
    <xf numFmtId="164" fontId="2" fillId="0" borderId="1" xfId="1" applyFont="1" applyFill="1" applyBorder="1"/>
    <xf numFmtId="164" fontId="2" fillId="0" borderId="0" xfId="1" applyFont="1" applyFill="1" applyBorder="1"/>
    <xf numFmtId="164" fontId="2" fillId="0" borderId="0" xfId="1" applyFont="1" applyFill="1"/>
    <xf numFmtId="164" fontId="2" fillId="0" borderId="17" xfId="1" applyFont="1" applyFill="1" applyBorder="1"/>
    <xf numFmtId="164" fontId="2" fillId="0" borderId="18" xfId="1" applyFont="1" applyFill="1" applyBorder="1"/>
    <xf numFmtId="164" fontId="2" fillId="0" borderId="19" xfId="1" applyFont="1" applyFill="1" applyBorder="1"/>
    <xf numFmtId="164" fontId="2" fillId="0" borderId="20" xfId="1" applyFont="1" applyFill="1" applyBorder="1"/>
    <xf numFmtId="164" fontId="2" fillId="0" borderId="21" xfId="1" applyFont="1" applyFill="1" applyBorder="1"/>
    <xf numFmtId="164" fontId="4" fillId="0" borderId="0" xfId="1" applyFont="1" applyFill="1"/>
    <xf numFmtId="164" fontId="3" fillId="0" borderId="17" xfId="1" applyFont="1" applyFill="1" applyBorder="1"/>
    <xf numFmtId="164" fontId="4" fillId="0" borderId="0" xfId="1" applyFont="1" applyFill="1" applyBorder="1"/>
    <xf numFmtId="164" fontId="4" fillId="0" borderId="18" xfId="1" applyFont="1" applyFill="1" applyBorder="1"/>
    <xf numFmtId="164" fontId="3" fillId="0" borderId="1" xfId="1" applyFont="1" applyFill="1" applyBorder="1"/>
    <xf numFmtId="164" fontId="4" fillId="0" borderId="1" xfId="1" applyFont="1" applyFill="1" applyBorder="1"/>
    <xf numFmtId="164" fontId="2" fillId="0" borderId="15" xfId="1" applyFont="1" applyBorder="1"/>
    <xf numFmtId="164" fontId="0" fillId="0" borderId="15" xfId="1" applyFont="1" applyBorder="1"/>
    <xf numFmtId="164" fontId="2" fillId="0" borderId="1" xfId="1" applyFont="1" applyBorder="1" applyAlignment="1"/>
    <xf numFmtId="164" fontId="2" fillId="0" borderId="0" xfId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87FC-1C06-4F04-91AF-8F48309E2F0C}">
  <dimension ref="B2:D9"/>
  <sheetViews>
    <sheetView workbookViewId="0">
      <selection activeCell="B12" sqref="B12"/>
    </sheetView>
  </sheetViews>
  <sheetFormatPr defaultRowHeight="14.4" x14ac:dyDescent="0.3"/>
  <cols>
    <col min="2" max="2" width="12.5546875" bestFit="1" customWidth="1"/>
    <col min="4" max="4" width="11.77734375" bestFit="1" customWidth="1"/>
  </cols>
  <sheetData>
    <row r="2" spans="2:4" x14ac:dyDescent="0.3">
      <c r="B2" s="71" t="s">
        <v>53</v>
      </c>
    </row>
    <row r="4" spans="2:4" x14ac:dyDescent="0.3">
      <c r="B4" s="72" t="s">
        <v>54</v>
      </c>
      <c r="C4" s="72" t="s">
        <v>55</v>
      </c>
      <c r="D4" s="72" t="s">
        <v>56</v>
      </c>
    </row>
    <row r="5" spans="2:4" x14ac:dyDescent="0.3">
      <c r="B5" s="73">
        <v>40422</v>
      </c>
      <c r="C5" s="74">
        <v>12</v>
      </c>
      <c r="D5" s="74">
        <v>370</v>
      </c>
    </row>
    <row r="6" spans="2:4" x14ac:dyDescent="0.3">
      <c r="B6" s="73">
        <v>42278</v>
      </c>
      <c r="C6" s="74">
        <v>20</v>
      </c>
      <c r="D6" s="74">
        <v>375</v>
      </c>
    </row>
    <row r="7" spans="2:4" x14ac:dyDescent="0.3">
      <c r="B7" s="73">
        <v>37561</v>
      </c>
      <c r="C7" s="74">
        <v>32</v>
      </c>
      <c r="D7" s="74">
        <v>360</v>
      </c>
    </row>
    <row r="8" spans="2:4" x14ac:dyDescent="0.3">
      <c r="B8" s="73">
        <v>40513</v>
      </c>
      <c r="C8" s="74">
        <v>11</v>
      </c>
      <c r="D8" s="74">
        <v>350</v>
      </c>
    </row>
    <row r="9" spans="2:4" x14ac:dyDescent="0.3">
      <c r="B9" s="73">
        <v>37653</v>
      </c>
      <c r="C9" s="74">
        <v>10</v>
      </c>
      <c r="D9" s="74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04"/>
  <sheetViews>
    <sheetView tabSelected="1" topLeftCell="A49" workbookViewId="0">
      <selection activeCell="B62" sqref="B62"/>
    </sheetView>
  </sheetViews>
  <sheetFormatPr defaultColWidth="9.21875" defaultRowHeight="14.4" x14ac:dyDescent="0.3"/>
  <cols>
    <col min="1" max="1" width="5.44140625" style="4" customWidth="1"/>
    <col min="2" max="2" width="26.77734375" style="4" customWidth="1"/>
    <col min="3" max="3" width="22" style="4" customWidth="1"/>
    <col min="4" max="4" width="17.21875" style="4" customWidth="1"/>
    <col min="5" max="5" width="14.77734375" style="4" customWidth="1"/>
    <col min="6" max="6" width="12.21875" style="4" bestFit="1" customWidth="1"/>
    <col min="7" max="7" width="15.77734375" style="9" customWidth="1"/>
    <col min="8" max="8" width="13.77734375" style="9" customWidth="1"/>
    <col min="9" max="9" width="10" style="9" bestFit="1" customWidth="1"/>
    <col min="10" max="10" width="11.5546875" style="2" bestFit="1" customWidth="1"/>
    <col min="11" max="11" width="10.77734375" style="4" customWidth="1"/>
    <col min="12" max="12" width="9.21875" style="9" bestFit="1" customWidth="1"/>
    <col min="13" max="13" width="11.5546875" style="9" bestFit="1" customWidth="1"/>
    <col min="14" max="14" width="11.21875" style="9" customWidth="1"/>
    <col min="15" max="15" width="11.5546875" style="2" bestFit="1" customWidth="1"/>
    <col min="16" max="17" width="9.21875" style="4"/>
    <col min="18" max="18" width="10" style="4" bestFit="1" customWidth="1"/>
    <col min="19" max="19" width="11.44140625" style="4" customWidth="1"/>
    <col min="20" max="20" width="11.5546875" style="4" bestFit="1" customWidth="1"/>
    <col min="21" max="16384" width="9.21875" style="4"/>
  </cols>
  <sheetData>
    <row r="2" spans="2:20" x14ac:dyDescent="0.3">
      <c r="B2" s="31"/>
      <c r="C2" s="32">
        <v>2009</v>
      </c>
      <c r="D2" s="33"/>
    </row>
    <row r="3" spans="2:20" s="1" customFormat="1" x14ac:dyDescent="0.3">
      <c r="B3" s="34"/>
      <c r="C3" s="35" t="s">
        <v>37</v>
      </c>
      <c r="D3" s="36" t="s">
        <v>0</v>
      </c>
      <c r="E3" s="27" t="s">
        <v>1</v>
      </c>
      <c r="G3" s="2" t="s">
        <v>2</v>
      </c>
      <c r="H3" s="2"/>
      <c r="I3" s="2"/>
      <c r="J3" s="2"/>
      <c r="L3" s="2" t="s">
        <v>3</v>
      </c>
      <c r="M3" s="2"/>
      <c r="N3" s="2"/>
      <c r="O3" s="2"/>
      <c r="Q3" s="3" t="s">
        <v>4</v>
      </c>
      <c r="R3" s="3"/>
      <c r="S3" s="3"/>
      <c r="T3" s="3"/>
    </row>
    <row r="4" spans="2:20" x14ac:dyDescent="0.3">
      <c r="B4" s="37" t="s">
        <v>5</v>
      </c>
      <c r="C4" s="9">
        <v>1840</v>
      </c>
      <c r="D4" s="38">
        <v>20</v>
      </c>
      <c r="E4" s="4">
        <f>C4*D4</f>
        <v>36800</v>
      </c>
      <c r="G4" s="5" t="s">
        <v>6</v>
      </c>
      <c r="H4" s="5">
        <v>2820</v>
      </c>
      <c r="I4" s="5">
        <v>34</v>
      </c>
      <c r="J4" s="3">
        <f>C10*D10</f>
        <v>95880</v>
      </c>
      <c r="L4" s="5" t="s">
        <v>6</v>
      </c>
      <c r="M4" s="5">
        <v>2820</v>
      </c>
      <c r="N4" s="5">
        <v>34</v>
      </c>
      <c r="O4" s="3">
        <f>M4*N4</f>
        <v>95880</v>
      </c>
      <c r="Q4" s="5" t="s">
        <v>6</v>
      </c>
      <c r="R4" s="5">
        <v>2820</v>
      </c>
      <c r="S4" s="5">
        <v>34</v>
      </c>
      <c r="T4" s="3">
        <f>R4*S4</f>
        <v>95880</v>
      </c>
    </row>
    <row r="5" spans="2:20" x14ac:dyDescent="0.3">
      <c r="B5" s="37" t="s">
        <v>7</v>
      </c>
      <c r="C5" s="9">
        <v>600</v>
      </c>
      <c r="D5" s="38">
        <v>20.25</v>
      </c>
      <c r="E5" s="4">
        <f t="shared" ref="E5:E8" si="0">C5*D5</f>
        <v>12150</v>
      </c>
      <c r="G5" s="3" t="s">
        <v>8</v>
      </c>
      <c r="H5" s="5"/>
      <c r="I5" s="5"/>
      <c r="J5" s="3"/>
      <c r="L5" s="3" t="s">
        <v>8</v>
      </c>
      <c r="M5" s="5"/>
      <c r="N5" s="5"/>
      <c r="O5" s="3"/>
      <c r="Q5" s="5" t="s">
        <v>8</v>
      </c>
      <c r="R5" s="5"/>
      <c r="S5" s="5"/>
      <c r="T5" s="5"/>
    </row>
    <row r="6" spans="2:20" x14ac:dyDescent="0.3">
      <c r="B6" s="37"/>
      <c r="C6" s="9">
        <v>800</v>
      </c>
      <c r="D6" s="38">
        <v>21</v>
      </c>
      <c r="E6" s="4">
        <f t="shared" si="0"/>
        <v>16800</v>
      </c>
      <c r="G6" s="5">
        <v>1840</v>
      </c>
      <c r="H6" s="5">
        <v>20</v>
      </c>
      <c r="I6" s="5">
        <f>G6*H6</f>
        <v>36800</v>
      </c>
      <c r="J6" s="3"/>
      <c r="L6" s="5">
        <v>200</v>
      </c>
      <c r="M6" s="5">
        <v>21.5</v>
      </c>
      <c r="N6" s="5">
        <f t="shared" ref="N6:N9" si="1">L6*M6</f>
        <v>4300</v>
      </c>
      <c r="O6" s="3"/>
      <c r="Q6" s="5"/>
      <c r="R6" s="5">
        <f>R4</f>
        <v>2820</v>
      </c>
      <c r="S6" s="5">
        <f>E9/C9</f>
        <v>20.455729166666668</v>
      </c>
      <c r="T6" s="5">
        <f>R6*S6</f>
        <v>57685.15625</v>
      </c>
    </row>
    <row r="7" spans="2:20" x14ac:dyDescent="0.3">
      <c r="B7" s="37"/>
      <c r="C7" s="9">
        <v>400</v>
      </c>
      <c r="D7" s="38">
        <v>21.25</v>
      </c>
      <c r="E7" s="4">
        <f t="shared" si="0"/>
        <v>8500</v>
      </c>
      <c r="G7" s="5">
        <v>600</v>
      </c>
      <c r="H7" s="5">
        <v>20.25</v>
      </c>
      <c r="I7" s="5">
        <f t="shared" ref="I7" si="2">G7*H7</f>
        <v>12150</v>
      </c>
      <c r="J7" s="3"/>
      <c r="L7" s="5">
        <v>400</v>
      </c>
      <c r="M7" s="5">
        <v>21.25</v>
      </c>
      <c r="N7" s="5">
        <f t="shared" si="1"/>
        <v>8500</v>
      </c>
      <c r="O7" s="3"/>
      <c r="Q7" s="5"/>
      <c r="R7" s="5"/>
      <c r="S7" s="5"/>
      <c r="T7" s="5"/>
    </row>
    <row r="8" spans="2:20" x14ac:dyDescent="0.3">
      <c r="B8" s="37"/>
      <c r="C8" s="9">
        <v>200</v>
      </c>
      <c r="D8" s="38">
        <v>21.5</v>
      </c>
      <c r="E8" s="4">
        <f t="shared" si="0"/>
        <v>4300</v>
      </c>
      <c r="G8" s="5">
        <v>380</v>
      </c>
      <c r="H8" s="5">
        <f>D6</f>
        <v>21</v>
      </c>
      <c r="I8" s="5">
        <f>G8*H8</f>
        <v>7980</v>
      </c>
      <c r="J8" s="3"/>
      <c r="L8" s="5">
        <v>800</v>
      </c>
      <c r="M8" s="5">
        <v>21</v>
      </c>
      <c r="N8" s="5">
        <f t="shared" si="1"/>
        <v>16800</v>
      </c>
      <c r="O8" s="3"/>
      <c r="Q8" s="5"/>
      <c r="R8" s="5"/>
      <c r="S8" s="5"/>
      <c r="T8" s="5"/>
    </row>
    <row r="9" spans="2:20" s="1" customFormat="1" x14ac:dyDescent="0.3">
      <c r="B9" s="34" t="s">
        <v>9</v>
      </c>
      <c r="C9" s="2">
        <f>SUM(C4:C8)</f>
        <v>3840</v>
      </c>
      <c r="D9" s="39"/>
      <c r="E9" s="1">
        <f>SUM(E4:E8)</f>
        <v>78550</v>
      </c>
      <c r="G9" s="3">
        <f xml:space="preserve"> G6+G7+G8</f>
        <v>2820</v>
      </c>
      <c r="H9" s="5"/>
      <c r="I9" s="5"/>
      <c r="J9" s="3"/>
      <c r="L9" s="5">
        <v>600</v>
      </c>
      <c r="M9" s="5">
        <v>20.25</v>
      </c>
      <c r="N9" s="5">
        <f t="shared" si="1"/>
        <v>12150</v>
      </c>
      <c r="O9" s="3"/>
      <c r="Q9" s="3"/>
      <c r="R9" s="3"/>
      <c r="S9" s="3"/>
      <c r="T9" s="3"/>
    </row>
    <row r="10" spans="2:20" x14ac:dyDescent="0.3">
      <c r="B10" s="37" t="s">
        <v>6</v>
      </c>
      <c r="C10" s="9">
        <v>2820</v>
      </c>
      <c r="D10" s="38">
        <v>34</v>
      </c>
      <c r="G10" s="5"/>
      <c r="H10" s="5"/>
      <c r="I10" s="5"/>
      <c r="J10" s="3"/>
      <c r="L10" s="5">
        <v>820</v>
      </c>
      <c r="M10" s="5">
        <v>20</v>
      </c>
      <c r="N10" s="5">
        <f>L10*M10</f>
        <v>16400</v>
      </c>
      <c r="O10" s="3"/>
      <c r="Q10" s="5"/>
      <c r="R10" s="5"/>
      <c r="S10" s="5"/>
      <c r="T10" s="5"/>
    </row>
    <row r="11" spans="2:20" s="6" customFormat="1" ht="16.2" x14ac:dyDescent="0.45">
      <c r="B11" s="40" t="s">
        <v>43</v>
      </c>
      <c r="C11" s="41">
        <f>C9-C10</f>
        <v>1020</v>
      </c>
      <c r="D11" s="42"/>
      <c r="G11" s="7"/>
      <c r="H11" s="7"/>
      <c r="I11" s="7"/>
      <c r="J11" s="8">
        <f>I6+I7+I8</f>
        <v>56930</v>
      </c>
      <c r="L11" s="7"/>
      <c r="M11" s="7"/>
      <c r="N11" s="7"/>
      <c r="O11" s="8">
        <f>SUM(N6:N11)</f>
        <v>58150</v>
      </c>
      <c r="Q11" s="7"/>
      <c r="R11" s="7"/>
      <c r="S11" s="7"/>
      <c r="T11" s="7"/>
    </row>
    <row r="12" spans="2:20" s="30" customFormat="1" x14ac:dyDescent="0.3">
      <c r="B12" s="50"/>
      <c r="C12" s="51"/>
      <c r="D12" s="52"/>
      <c r="G12" s="53" t="s">
        <v>45</v>
      </c>
      <c r="H12" s="53"/>
      <c r="I12" s="53"/>
      <c r="J12" s="53">
        <f>J4-J11</f>
        <v>38950</v>
      </c>
      <c r="L12" s="53" t="s">
        <v>45</v>
      </c>
      <c r="M12" s="53"/>
      <c r="N12" s="53"/>
      <c r="O12" s="53">
        <f>O4-O11</f>
        <v>37730</v>
      </c>
      <c r="Q12" s="53" t="s">
        <v>45</v>
      </c>
      <c r="R12" s="49"/>
      <c r="S12" s="49"/>
      <c r="T12" s="49">
        <f>T4-T6</f>
        <v>38194.84375</v>
      </c>
    </row>
    <row r="13" spans="2:20" x14ac:dyDescent="0.3">
      <c r="B13" s="37"/>
      <c r="C13" s="9"/>
      <c r="D13" s="38"/>
      <c r="G13" s="3" t="s">
        <v>43</v>
      </c>
      <c r="H13" s="3"/>
      <c r="I13" s="3"/>
      <c r="J13" s="3"/>
      <c r="L13" s="3" t="s">
        <v>43</v>
      </c>
      <c r="M13" s="3"/>
      <c r="N13" s="3"/>
      <c r="O13" s="3"/>
      <c r="Q13" s="3" t="s">
        <v>43</v>
      </c>
      <c r="R13" s="3"/>
      <c r="S13" s="3"/>
      <c r="T13" s="3"/>
    </row>
    <row r="14" spans="2:20" x14ac:dyDescent="0.3">
      <c r="B14" s="37"/>
      <c r="C14" s="43"/>
      <c r="D14" s="38"/>
      <c r="F14" s="25" t="s">
        <v>42</v>
      </c>
      <c r="G14" s="5">
        <v>420</v>
      </c>
      <c r="H14" s="5">
        <v>21</v>
      </c>
      <c r="I14" s="5">
        <f>G14*H14</f>
        <v>8820</v>
      </c>
      <c r="J14" s="3"/>
      <c r="K14" s="25" t="s">
        <v>38</v>
      </c>
      <c r="L14" s="5">
        <v>1020</v>
      </c>
      <c r="M14" s="5">
        <v>20</v>
      </c>
      <c r="N14" s="5">
        <f>L14*M14</f>
        <v>20400</v>
      </c>
      <c r="O14" s="3"/>
      <c r="Q14" s="5"/>
      <c r="R14" s="5">
        <v>1020</v>
      </c>
      <c r="S14" s="5">
        <f>S6</f>
        <v>20.455729166666668</v>
      </c>
      <c r="T14" s="5">
        <f>R14*S14</f>
        <v>20864.84375</v>
      </c>
    </row>
    <row r="15" spans="2:20" x14ac:dyDescent="0.3">
      <c r="B15" s="37"/>
      <c r="C15" s="9"/>
      <c r="D15" s="38"/>
      <c r="G15" s="5">
        <v>400</v>
      </c>
      <c r="H15" s="5">
        <v>21.25</v>
      </c>
      <c r="I15" s="5">
        <f t="shared" ref="I15:I16" si="3">G15*H15</f>
        <v>8500</v>
      </c>
      <c r="J15" s="3"/>
      <c r="L15" s="4"/>
      <c r="M15" s="4"/>
      <c r="N15" s="4"/>
      <c r="O15" s="3"/>
    </row>
    <row r="16" spans="2:20" s="6" customFormat="1" ht="16.2" x14ac:dyDescent="0.45">
      <c r="B16" s="44"/>
      <c r="C16" s="41"/>
      <c r="D16" s="42"/>
      <c r="G16" s="7">
        <v>200</v>
      </c>
      <c r="H16" s="7">
        <v>21.5</v>
      </c>
      <c r="I16" s="7">
        <f t="shared" si="3"/>
        <v>4300</v>
      </c>
      <c r="J16" s="8">
        <f>I14+I15+I16</f>
        <v>21620</v>
      </c>
      <c r="L16" s="7"/>
      <c r="M16" s="7"/>
      <c r="N16" s="7"/>
      <c r="O16" s="8">
        <f>N14+N15+N16</f>
        <v>20400</v>
      </c>
    </row>
    <row r="17" spans="2:20" x14ac:dyDescent="0.3">
      <c r="B17" s="37"/>
      <c r="C17" s="45">
        <v>2010</v>
      </c>
      <c r="D17" s="38"/>
      <c r="G17" s="2"/>
      <c r="L17" s="2"/>
    </row>
    <row r="18" spans="2:20" x14ac:dyDescent="0.3">
      <c r="B18" s="37"/>
      <c r="C18" s="9"/>
      <c r="D18" s="38"/>
      <c r="G18" s="3" t="s">
        <v>10</v>
      </c>
      <c r="L18" s="3" t="s">
        <v>10</v>
      </c>
      <c r="Q18" s="3" t="s">
        <v>10</v>
      </c>
      <c r="R18" s="3"/>
      <c r="S18" s="3"/>
      <c r="T18" s="3"/>
    </row>
    <row r="19" spans="2:20" s="30" customFormat="1" x14ac:dyDescent="0.3">
      <c r="B19" s="56" t="s">
        <v>11</v>
      </c>
      <c r="C19" s="54">
        <f>C9-C10</f>
        <v>1020</v>
      </c>
      <c r="D19" s="57">
        <f>E9/C9</f>
        <v>20.455729166666668</v>
      </c>
      <c r="E19" s="55">
        <f>C19*D19</f>
        <v>20864.84375</v>
      </c>
      <c r="G19" s="49" t="s">
        <v>6</v>
      </c>
      <c r="H19" s="53">
        <v>3080</v>
      </c>
      <c r="I19" s="49">
        <v>35.75</v>
      </c>
      <c r="J19" s="53">
        <f>C25*D25</f>
        <v>110110</v>
      </c>
      <c r="L19" s="49" t="s">
        <v>6</v>
      </c>
      <c r="M19" s="53">
        <v>3080</v>
      </c>
      <c r="N19" s="49">
        <v>35.75</v>
      </c>
      <c r="O19" s="53">
        <f>M19*N19</f>
        <v>110110</v>
      </c>
      <c r="Q19" s="49" t="s">
        <v>6</v>
      </c>
      <c r="R19" s="53">
        <v>3080</v>
      </c>
      <c r="S19" s="49">
        <v>35.75</v>
      </c>
      <c r="T19" s="53">
        <f>R19*S19</f>
        <v>110110</v>
      </c>
    </row>
    <row r="20" spans="2:20" s="30" customFormat="1" x14ac:dyDescent="0.3">
      <c r="B20" s="50" t="s">
        <v>7</v>
      </c>
      <c r="C20" s="51">
        <v>700</v>
      </c>
      <c r="D20" s="52">
        <v>21.5</v>
      </c>
      <c r="E20" s="30">
        <f t="shared" ref="E20:E23" si="4">C20*D20</f>
        <v>15050</v>
      </c>
      <c r="G20" s="53" t="s">
        <v>8</v>
      </c>
      <c r="H20" s="49"/>
      <c r="I20" s="49"/>
      <c r="J20" s="53"/>
      <c r="L20" s="53" t="s">
        <v>8</v>
      </c>
      <c r="M20" s="49"/>
      <c r="N20" s="49"/>
      <c r="O20" s="53"/>
      <c r="Q20" s="49" t="s">
        <v>8</v>
      </c>
      <c r="R20" s="49"/>
      <c r="S20" s="49"/>
      <c r="T20" s="49"/>
    </row>
    <row r="21" spans="2:20" x14ac:dyDescent="0.3">
      <c r="B21" s="37"/>
      <c r="C21" s="9">
        <v>700</v>
      </c>
      <c r="D21" s="38">
        <v>21.5</v>
      </c>
      <c r="E21" s="4">
        <f t="shared" si="4"/>
        <v>15050</v>
      </c>
      <c r="G21" s="5">
        <v>420</v>
      </c>
      <c r="H21" s="5">
        <v>21</v>
      </c>
      <c r="I21" s="5">
        <f>G21*H21</f>
        <v>8820</v>
      </c>
      <c r="J21" s="3"/>
      <c r="L21" s="5">
        <v>1000</v>
      </c>
      <c r="M21" s="5">
        <v>22.25</v>
      </c>
      <c r="N21" s="5">
        <f>L21*M21</f>
        <v>22250</v>
      </c>
      <c r="O21" s="3"/>
      <c r="Q21" s="5"/>
      <c r="R21" s="5">
        <f>R19</f>
        <v>3080</v>
      </c>
      <c r="S21" s="5">
        <f>E24/C24</f>
        <v>21.508457220873787</v>
      </c>
      <c r="T21" s="5">
        <f>R21*S21</f>
        <v>66246.04824029126</v>
      </c>
    </row>
    <row r="22" spans="2:20" x14ac:dyDescent="0.3">
      <c r="B22" s="37"/>
      <c r="C22" s="9">
        <v>700</v>
      </c>
      <c r="D22" s="38">
        <v>22</v>
      </c>
      <c r="E22" s="4">
        <f t="shared" si="4"/>
        <v>15400</v>
      </c>
      <c r="G22" s="5">
        <v>400</v>
      </c>
      <c r="H22" s="5">
        <v>21.25</v>
      </c>
      <c r="I22" s="5">
        <f t="shared" ref="I22:I26" si="5">G22*H22</f>
        <v>8500</v>
      </c>
      <c r="J22" s="3"/>
      <c r="L22" s="5">
        <v>700</v>
      </c>
      <c r="M22" s="5">
        <v>22</v>
      </c>
      <c r="N22" s="5">
        <f>L22*M22</f>
        <v>15400</v>
      </c>
      <c r="O22" s="3"/>
      <c r="Q22" s="5"/>
      <c r="R22" s="5"/>
      <c r="S22" s="5"/>
      <c r="T22" s="5"/>
    </row>
    <row r="23" spans="2:20" s="30" customFormat="1" x14ac:dyDescent="0.3">
      <c r="B23" s="50"/>
      <c r="C23" s="51">
        <v>1000</v>
      </c>
      <c r="D23" s="52">
        <v>22.25</v>
      </c>
      <c r="E23" s="30">
        <f t="shared" si="4"/>
        <v>22250</v>
      </c>
      <c r="G23" s="49">
        <v>200</v>
      </c>
      <c r="H23" s="49">
        <v>21.5</v>
      </c>
      <c r="I23" s="49">
        <f t="shared" si="5"/>
        <v>4300</v>
      </c>
      <c r="J23" s="53"/>
      <c r="L23" s="49">
        <v>700</v>
      </c>
      <c r="M23" s="49">
        <v>21.5</v>
      </c>
      <c r="N23" s="49">
        <f>L23*M23</f>
        <v>15050</v>
      </c>
      <c r="O23" s="53"/>
      <c r="Q23" s="49"/>
      <c r="R23" s="49"/>
      <c r="S23" s="49"/>
      <c r="T23" s="49"/>
    </row>
    <row r="24" spans="2:20" x14ac:dyDescent="0.3">
      <c r="B24" s="34" t="s">
        <v>9</v>
      </c>
      <c r="C24" s="2">
        <f>SUM(C19:C23)</f>
        <v>4120</v>
      </c>
      <c r="D24" s="38"/>
      <c r="E24" s="1">
        <f>SUM(E19:E23)</f>
        <v>88614.84375</v>
      </c>
      <c r="G24" s="5">
        <v>700</v>
      </c>
      <c r="H24" s="5">
        <v>21.5</v>
      </c>
      <c r="I24" s="5">
        <f t="shared" si="5"/>
        <v>15050</v>
      </c>
      <c r="J24" s="3"/>
      <c r="L24" s="5">
        <v>680</v>
      </c>
      <c r="M24" s="5">
        <v>21.5</v>
      </c>
      <c r="N24" s="5">
        <f>L24*M24</f>
        <v>14620</v>
      </c>
      <c r="O24" s="3"/>
      <c r="Q24" s="3"/>
      <c r="R24" s="3"/>
      <c r="S24" s="3"/>
      <c r="T24" s="3"/>
    </row>
    <row r="25" spans="2:20" x14ac:dyDescent="0.3">
      <c r="B25" s="37" t="s">
        <v>6</v>
      </c>
      <c r="C25" s="2">
        <v>3080</v>
      </c>
      <c r="D25" s="38">
        <v>35.75</v>
      </c>
      <c r="G25" s="5">
        <v>700</v>
      </c>
      <c r="H25" s="5">
        <v>21.5</v>
      </c>
      <c r="I25" s="5">
        <f t="shared" si="5"/>
        <v>15050</v>
      </c>
      <c r="J25" s="3"/>
      <c r="L25" s="5"/>
      <c r="M25" s="5"/>
      <c r="N25" s="5"/>
      <c r="O25" s="3"/>
      <c r="Q25" s="5"/>
      <c r="R25" s="5"/>
      <c r="S25" s="5"/>
      <c r="T25" s="5"/>
    </row>
    <row r="26" spans="2:20" s="6" customFormat="1" ht="16.2" x14ac:dyDescent="0.45">
      <c r="B26" s="40" t="s">
        <v>43</v>
      </c>
      <c r="C26" s="41">
        <f>C24-C25</f>
        <v>1040</v>
      </c>
      <c r="D26" s="42"/>
      <c r="G26" s="7">
        <v>660</v>
      </c>
      <c r="H26" s="7">
        <f>D22</f>
        <v>22</v>
      </c>
      <c r="I26" s="7">
        <f t="shared" si="5"/>
        <v>14520</v>
      </c>
      <c r="J26" s="8">
        <f>SUM(I21:I26)</f>
        <v>66240</v>
      </c>
      <c r="L26" s="7"/>
      <c r="M26" s="7"/>
      <c r="N26" s="7"/>
      <c r="O26" s="8">
        <f>SUM(N21:N26)</f>
        <v>67320</v>
      </c>
      <c r="Q26" s="7"/>
      <c r="R26" s="7"/>
      <c r="S26" s="7"/>
      <c r="T26" s="7"/>
    </row>
    <row r="27" spans="2:20" s="1" customFormat="1" x14ac:dyDescent="0.3">
      <c r="B27" s="34"/>
      <c r="C27" s="2"/>
      <c r="D27" s="39"/>
      <c r="G27" s="3" t="s">
        <v>45</v>
      </c>
      <c r="H27" s="3"/>
      <c r="I27" s="3"/>
      <c r="J27" s="3">
        <f>J19-J26</f>
        <v>43870</v>
      </c>
      <c r="L27" s="3" t="s">
        <v>45</v>
      </c>
      <c r="M27" s="3"/>
      <c r="N27" s="3"/>
      <c r="O27" s="3">
        <f>O19-O26</f>
        <v>42790</v>
      </c>
      <c r="Q27" s="3" t="s">
        <v>45</v>
      </c>
      <c r="R27" s="53"/>
      <c r="S27" s="53"/>
      <c r="T27" s="53">
        <f>T19-T21</f>
        <v>43863.95175970874</v>
      </c>
    </row>
    <row r="28" spans="2:20" x14ac:dyDescent="0.3">
      <c r="B28" s="37"/>
      <c r="C28" s="9"/>
      <c r="D28" s="38"/>
      <c r="G28" s="3" t="s">
        <v>43</v>
      </c>
      <c r="H28" s="5"/>
      <c r="I28" s="5"/>
      <c r="J28" s="3"/>
      <c r="L28" s="3" t="s">
        <v>43</v>
      </c>
      <c r="M28" s="5"/>
      <c r="N28" s="5"/>
      <c r="O28" s="3"/>
      <c r="Q28" s="3" t="s">
        <v>43</v>
      </c>
      <c r="R28" s="3"/>
      <c r="S28" s="3"/>
      <c r="T28" s="3"/>
    </row>
    <row r="29" spans="2:20" x14ac:dyDescent="0.3">
      <c r="B29" s="37"/>
      <c r="C29" s="9"/>
      <c r="D29" s="38"/>
      <c r="F29" s="25" t="s">
        <v>39</v>
      </c>
      <c r="G29" s="5">
        <v>40</v>
      </c>
      <c r="H29" s="5">
        <v>22</v>
      </c>
      <c r="I29" s="5">
        <f>G29*H29</f>
        <v>880</v>
      </c>
      <c r="J29" s="3"/>
      <c r="K29" s="25" t="s">
        <v>40</v>
      </c>
      <c r="L29" s="5">
        <v>20</v>
      </c>
      <c r="M29" s="5">
        <v>21.5</v>
      </c>
      <c r="N29" s="5">
        <f>L29*M29</f>
        <v>430</v>
      </c>
      <c r="O29" s="3"/>
      <c r="Q29" s="5"/>
      <c r="R29" s="5">
        <v>1040</v>
      </c>
      <c r="S29" s="5">
        <f>S21</f>
        <v>21.508457220873787</v>
      </c>
      <c r="T29" s="5">
        <f>R29*S29</f>
        <v>22368.79550970874</v>
      </c>
    </row>
    <row r="30" spans="2:20" x14ac:dyDescent="0.3">
      <c r="B30" s="37"/>
      <c r="C30" s="9"/>
      <c r="D30" s="38"/>
      <c r="G30" s="5">
        <v>1000</v>
      </c>
      <c r="H30" s="5">
        <v>22.25</v>
      </c>
      <c r="I30" s="5">
        <f>G30*H30</f>
        <v>22250</v>
      </c>
      <c r="J30" s="3"/>
      <c r="L30" s="5">
        <v>1020</v>
      </c>
      <c r="M30" s="5">
        <v>20</v>
      </c>
      <c r="N30" s="5">
        <f>L30*M30</f>
        <v>20400</v>
      </c>
      <c r="O30" s="3"/>
    </row>
    <row r="31" spans="2:20" x14ac:dyDescent="0.3">
      <c r="B31" s="37"/>
      <c r="C31" s="45">
        <v>2011</v>
      </c>
      <c r="D31" s="38"/>
      <c r="G31" s="5"/>
      <c r="H31" s="5"/>
      <c r="I31" s="5"/>
      <c r="J31" s="3">
        <f>SUM(I29:I30)</f>
        <v>23130</v>
      </c>
      <c r="L31" s="5"/>
      <c r="M31" s="5"/>
      <c r="N31" s="5"/>
      <c r="O31" s="3">
        <f>SUM(N29:N30)</f>
        <v>20830</v>
      </c>
    </row>
    <row r="32" spans="2:20" x14ac:dyDescent="0.3">
      <c r="B32" s="37"/>
      <c r="C32" s="9"/>
      <c r="D32" s="38"/>
      <c r="G32" s="2" t="s">
        <v>12</v>
      </c>
      <c r="L32" s="9" t="s">
        <v>13</v>
      </c>
      <c r="Q32" s="3" t="s">
        <v>14</v>
      </c>
      <c r="R32" s="3"/>
      <c r="S32" s="3"/>
      <c r="T32" s="3"/>
    </row>
    <row r="33" spans="2:20" s="55" customFormat="1" x14ac:dyDescent="0.3">
      <c r="B33" s="56" t="s">
        <v>15</v>
      </c>
      <c r="C33" s="54">
        <f>C26</f>
        <v>1040</v>
      </c>
      <c r="D33" s="57">
        <f>E24/C24</f>
        <v>21.508457220873787</v>
      </c>
      <c r="E33" s="55">
        <f>C33*D33</f>
        <v>22368.79550970874</v>
      </c>
      <c r="G33" s="53" t="s">
        <v>6</v>
      </c>
      <c r="H33" s="53">
        <v>2950</v>
      </c>
      <c r="I33" s="53">
        <v>35.75</v>
      </c>
      <c r="J33" s="53">
        <f>C39*D39</f>
        <v>105462.5</v>
      </c>
      <c r="L33" s="53" t="s">
        <v>6</v>
      </c>
      <c r="M33" s="53">
        <v>2950</v>
      </c>
      <c r="N33" s="53">
        <v>35.75</v>
      </c>
      <c r="O33" s="53">
        <f>M33*N33</f>
        <v>105462.5</v>
      </c>
      <c r="Q33" s="49" t="s">
        <v>6</v>
      </c>
      <c r="R33" s="49">
        <v>2950</v>
      </c>
      <c r="S33" s="49">
        <v>35.75</v>
      </c>
      <c r="T33" s="53">
        <f>R33*S33</f>
        <v>105462.5</v>
      </c>
    </row>
    <row r="34" spans="2:20" x14ac:dyDescent="0.3">
      <c r="B34" s="37" t="s">
        <v>7</v>
      </c>
      <c r="C34" s="9">
        <v>1000</v>
      </c>
      <c r="D34" s="38">
        <v>22.5</v>
      </c>
      <c r="E34" s="4">
        <f t="shared" ref="E34:E37" si="6">C34*D34</f>
        <v>22500</v>
      </c>
      <c r="G34" s="3" t="s">
        <v>8</v>
      </c>
      <c r="H34" s="5"/>
      <c r="I34" s="5"/>
      <c r="J34" s="3"/>
      <c r="L34" s="3" t="s">
        <v>8</v>
      </c>
      <c r="M34" s="5"/>
      <c r="N34" s="5"/>
      <c r="O34" s="3"/>
      <c r="Q34" s="5" t="s">
        <v>8</v>
      </c>
      <c r="R34" s="5"/>
      <c r="S34" s="5"/>
      <c r="T34" s="5"/>
    </row>
    <row r="35" spans="2:20" x14ac:dyDescent="0.3">
      <c r="B35" s="37"/>
      <c r="C35" s="9">
        <v>700</v>
      </c>
      <c r="D35" s="38">
        <v>22.75</v>
      </c>
      <c r="E35" s="4">
        <f t="shared" si="6"/>
        <v>15925</v>
      </c>
      <c r="G35" s="5">
        <v>40</v>
      </c>
      <c r="H35" s="5">
        <v>22</v>
      </c>
      <c r="I35" s="5">
        <f>G35*H35</f>
        <v>880</v>
      </c>
      <c r="J35" s="3"/>
      <c r="L35" s="5">
        <v>700</v>
      </c>
      <c r="M35" s="5">
        <v>23.5</v>
      </c>
      <c r="N35" s="5">
        <f>L35*M35</f>
        <v>16450</v>
      </c>
      <c r="O35" s="3"/>
      <c r="Q35" s="5"/>
      <c r="R35" s="5">
        <f>R33</f>
        <v>2950</v>
      </c>
      <c r="S35" s="5">
        <f>E38/C38</f>
        <v>22.546810509591484</v>
      </c>
      <c r="T35" s="5">
        <f>R35*S35</f>
        <v>66513.091003294874</v>
      </c>
    </row>
    <row r="36" spans="2:20" x14ac:dyDescent="0.3">
      <c r="B36" s="37"/>
      <c r="C36" s="9">
        <v>700</v>
      </c>
      <c r="D36" s="38">
        <v>23</v>
      </c>
      <c r="E36" s="4">
        <f t="shared" si="6"/>
        <v>16100</v>
      </c>
      <c r="G36" s="5">
        <v>1000</v>
      </c>
      <c r="H36" s="5">
        <v>22.25</v>
      </c>
      <c r="I36" s="5">
        <f>G36*H36</f>
        <v>22250</v>
      </c>
      <c r="J36" s="3"/>
      <c r="L36" s="5">
        <v>700</v>
      </c>
      <c r="M36" s="5">
        <v>23</v>
      </c>
      <c r="N36" s="5">
        <f>L36*M36</f>
        <v>16100</v>
      </c>
      <c r="O36" s="3"/>
      <c r="Q36" s="5"/>
      <c r="R36" s="5"/>
      <c r="S36" s="5"/>
      <c r="T36" s="5"/>
    </row>
    <row r="37" spans="2:20" x14ac:dyDescent="0.3">
      <c r="B37" s="37"/>
      <c r="C37" s="9">
        <v>700</v>
      </c>
      <c r="D37" s="38">
        <v>23.5</v>
      </c>
      <c r="E37" s="4">
        <f t="shared" si="6"/>
        <v>16450</v>
      </c>
      <c r="G37" s="5">
        <v>1000</v>
      </c>
      <c r="H37" s="5">
        <v>22.5</v>
      </c>
      <c r="I37" s="5">
        <f t="shared" ref="I37:I39" si="7">G37*H37</f>
        <v>22500</v>
      </c>
      <c r="J37" s="3"/>
      <c r="L37" s="5">
        <v>700</v>
      </c>
      <c r="M37" s="5">
        <v>22.75</v>
      </c>
      <c r="N37" s="5">
        <f t="shared" ref="N37:N38" si="8">L37*M37</f>
        <v>15925</v>
      </c>
      <c r="O37" s="3"/>
      <c r="Q37" s="5"/>
      <c r="R37" s="5"/>
      <c r="S37" s="5"/>
      <c r="T37" s="5"/>
    </row>
    <row r="38" spans="2:20" x14ac:dyDescent="0.3">
      <c r="B38" s="34" t="s">
        <v>9</v>
      </c>
      <c r="C38" s="2">
        <f>SUM(C33:C37)</f>
        <v>4140</v>
      </c>
      <c r="D38" s="38"/>
      <c r="E38" s="1">
        <f>SUM(E33:E37)</f>
        <v>93343.79550970874</v>
      </c>
      <c r="G38" s="5">
        <v>700</v>
      </c>
      <c r="H38" s="5">
        <v>22.75</v>
      </c>
      <c r="I38" s="5">
        <f t="shared" si="7"/>
        <v>15925</v>
      </c>
      <c r="J38" s="3"/>
      <c r="L38" s="5">
        <v>850</v>
      </c>
      <c r="M38" s="5">
        <v>22.5</v>
      </c>
      <c r="N38" s="5">
        <f t="shared" si="8"/>
        <v>19125</v>
      </c>
      <c r="O38" s="3"/>
      <c r="Q38" s="3"/>
      <c r="R38" s="3"/>
      <c r="S38" s="3"/>
      <c r="T38" s="3"/>
    </row>
    <row r="39" spans="2:20" ht="16.2" x14ac:dyDescent="0.45">
      <c r="B39" s="37" t="s">
        <v>6</v>
      </c>
      <c r="C39" s="9">
        <v>2950</v>
      </c>
      <c r="D39" s="38">
        <v>35.75</v>
      </c>
      <c r="G39" s="5">
        <v>210</v>
      </c>
      <c r="H39" s="5">
        <v>23</v>
      </c>
      <c r="I39" s="5">
        <f t="shared" si="7"/>
        <v>4830</v>
      </c>
      <c r="J39" s="3"/>
      <c r="L39" s="5"/>
      <c r="M39" s="5"/>
      <c r="N39" s="5"/>
      <c r="O39" s="3"/>
      <c r="Q39" s="7"/>
      <c r="R39" s="7"/>
      <c r="S39" s="7"/>
      <c r="T39" s="7"/>
    </row>
    <row r="40" spans="2:20" s="61" customFormat="1" ht="16.2" x14ac:dyDescent="0.45">
      <c r="B40" s="62" t="s">
        <v>43</v>
      </c>
      <c r="C40" s="63">
        <f>C38-C39</f>
        <v>1190</v>
      </c>
      <c r="D40" s="64">
        <f>E38/C38</f>
        <v>22.546810509591484</v>
      </c>
      <c r="G40" s="65">
        <f>G35+G36+G37+G38+G39</f>
        <v>2950</v>
      </c>
      <c r="H40" s="66"/>
      <c r="I40" s="66"/>
      <c r="J40" s="65">
        <f>SUM(I35:I39)</f>
        <v>66385</v>
      </c>
      <c r="L40" s="66"/>
      <c r="M40" s="66"/>
      <c r="N40" s="66"/>
      <c r="O40" s="65">
        <f>SUM(N35:N39)</f>
        <v>67600</v>
      </c>
      <c r="Q40" s="53" t="s">
        <v>45</v>
      </c>
      <c r="R40" s="53"/>
      <c r="S40" s="53"/>
      <c r="T40" s="53">
        <f>T33-T35</f>
        <v>38949.408996705126</v>
      </c>
    </row>
    <row r="41" spans="2:20" s="55" customFormat="1" x14ac:dyDescent="0.3">
      <c r="B41" s="58" t="s">
        <v>16</v>
      </c>
      <c r="C41" s="59"/>
      <c r="D41" s="60"/>
      <c r="G41" s="53" t="s">
        <v>45</v>
      </c>
      <c r="H41" s="53"/>
      <c r="I41" s="53"/>
      <c r="J41" s="53">
        <f>J33-J40</f>
        <v>39077.5</v>
      </c>
      <c r="L41" s="53" t="s">
        <v>45</v>
      </c>
      <c r="M41" s="53"/>
      <c r="N41" s="53"/>
      <c r="O41" s="53">
        <f>O33-O40</f>
        <v>37862.5</v>
      </c>
      <c r="Q41" s="53" t="s">
        <v>43</v>
      </c>
      <c r="R41" s="53"/>
      <c r="S41" s="53"/>
      <c r="T41" s="53"/>
    </row>
    <row r="42" spans="2:20" x14ac:dyDescent="0.3">
      <c r="G42" s="3" t="s">
        <v>43</v>
      </c>
      <c r="H42" s="5"/>
      <c r="I42" s="5"/>
      <c r="J42" s="3"/>
      <c r="L42" s="3" t="s">
        <v>43</v>
      </c>
      <c r="M42" s="5"/>
      <c r="N42" s="5"/>
      <c r="O42" s="3"/>
      <c r="Q42" s="5"/>
      <c r="R42" s="5">
        <f>1190</f>
        <v>1190</v>
      </c>
      <c r="S42" s="5">
        <f>S35</f>
        <v>22.546810509591484</v>
      </c>
      <c r="T42" s="5">
        <f>R42*S42</f>
        <v>26830.704506413866</v>
      </c>
    </row>
    <row r="43" spans="2:20" x14ac:dyDescent="0.3">
      <c r="F43" s="25" t="s">
        <v>50</v>
      </c>
      <c r="G43" s="5">
        <v>490</v>
      </c>
      <c r="H43" s="5">
        <f>H39</f>
        <v>23</v>
      </c>
      <c r="I43" s="5">
        <f>G43*H43</f>
        <v>11270</v>
      </c>
      <c r="J43" s="3"/>
      <c r="K43" s="25" t="s">
        <v>51</v>
      </c>
      <c r="L43" s="10">
        <v>150</v>
      </c>
      <c r="M43" s="10">
        <v>22.5</v>
      </c>
      <c r="N43" s="10">
        <f t="shared" ref="N43" si="9">L43*M43</f>
        <v>3375</v>
      </c>
    </row>
    <row r="44" spans="2:20" x14ac:dyDescent="0.3">
      <c r="G44" s="5">
        <v>700</v>
      </c>
      <c r="H44" s="5">
        <f>D37</f>
        <v>23.5</v>
      </c>
      <c r="I44" s="5">
        <f>G44*H44</f>
        <v>16450</v>
      </c>
      <c r="J44" s="3"/>
      <c r="L44" s="5">
        <v>20</v>
      </c>
      <c r="M44" s="5">
        <v>21.5</v>
      </c>
      <c r="N44" s="5">
        <f>L44*M44</f>
        <v>430</v>
      </c>
    </row>
    <row r="45" spans="2:20" x14ac:dyDescent="0.3">
      <c r="G45" s="5"/>
      <c r="H45" s="5"/>
      <c r="I45" s="5"/>
      <c r="J45" s="3">
        <f>SUM(I43:I44)</f>
        <v>27720</v>
      </c>
      <c r="L45" s="5">
        <v>1020</v>
      </c>
      <c r="M45" s="5">
        <v>20</v>
      </c>
      <c r="N45" s="5">
        <f>L45*M45</f>
        <v>20400</v>
      </c>
      <c r="O45" s="11">
        <f>SUM(N43+N44+N45)</f>
        <v>24205</v>
      </c>
    </row>
    <row r="46" spans="2:20" ht="15" thickBot="1" x14ac:dyDescent="0.35"/>
    <row r="47" spans="2:20" x14ac:dyDescent="0.3">
      <c r="B47" s="1" t="s">
        <v>17</v>
      </c>
      <c r="G47" s="12" t="s">
        <v>18</v>
      </c>
      <c r="H47" s="13" t="s">
        <v>45</v>
      </c>
      <c r="I47" s="14" t="s">
        <v>19</v>
      </c>
      <c r="J47" s="15" t="s">
        <v>20</v>
      </c>
      <c r="L47" s="12" t="s">
        <v>18</v>
      </c>
      <c r="M47" s="13" t="s">
        <v>45</v>
      </c>
      <c r="N47" s="14" t="s">
        <v>19</v>
      </c>
      <c r="O47" s="15" t="s">
        <v>20</v>
      </c>
      <c r="Q47" s="12" t="s">
        <v>18</v>
      </c>
      <c r="R47" s="13" t="s">
        <v>45</v>
      </c>
      <c r="S47" s="14" t="s">
        <v>19</v>
      </c>
      <c r="T47" s="15" t="s">
        <v>20</v>
      </c>
    </row>
    <row r="48" spans="2:20" x14ac:dyDescent="0.3">
      <c r="G48" s="16">
        <v>2009</v>
      </c>
      <c r="H48" s="9">
        <f>J12</f>
        <v>38950</v>
      </c>
      <c r="I48" s="17">
        <f>H48*0.4</f>
        <v>15580</v>
      </c>
      <c r="J48" s="18">
        <f>H48-I48</f>
        <v>23370</v>
      </c>
      <c r="L48" s="16">
        <v>2009</v>
      </c>
      <c r="M48" s="9">
        <f>O12</f>
        <v>37730</v>
      </c>
      <c r="N48" s="17">
        <f>M48*0.4</f>
        <v>15092</v>
      </c>
      <c r="O48" s="18">
        <f>M48-N48</f>
        <v>22638</v>
      </c>
      <c r="Q48" s="16">
        <v>2009</v>
      </c>
      <c r="R48" s="9">
        <f>T12</f>
        <v>38194.84375</v>
      </c>
      <c r="S48" s="17">
        <f>R48*0.4</f>
        <v>15277.9375</v>
      </c>
      <c r="T48" s="18">
        <f>R48-S48</f>
        <v>22916.90625</v>
      </c>
    </row>
    <row r="49" spans="2:20" x14ac:dyDescent="0.3">
      <c r="G49" s="16">
        <v>2010</v>
      </c>
      <c r="H49" s="9">
        <f>J27</f>
        <v>43870</v>
      </c>
      <c r="I49" s="17">
        <f t="shared" ref="I49:I50" si="10">H49*0.4</f>
        <v>17548</v>
      </c>
      <c r="J49" s="18">
        <f t="shared" ref="J49:J50" si="11">H49-I49</f>
        <v>26322</v>
      </c>
      <c r="L49" s="16">
        <v>2010</v>
      </c>
      <c r="M49" s="9">
        <f>O27</f>
        <v>42790</v>
      </c>
      <c r="N49" s="17">
        <f t="shared" ref="N49:N50" si="12">M49*0.4</f>
        <v>17116</v>
      </c>
      <c r="O49" s="18">
        <f t="shared" ref="O49:O50" si="13">M49-N49</f>
        <v>25674</v>
      </c>
      <c r="Q49" s="16">
        <v>2010</v>
      </c>
      <c r="R49" s="9">
        <f>T27</f>
        <v>43863.95175970874</v>
      </c>
      <c r="S49" s="17">
        <f t="shared" ref="S49:S50" si="14">R49*0.4</f>
        <v>17545.580703883497</v>
      </c>
      <c r="T49" s="18">
        <f t="shared" ref="T49:T50" si="15">R49-S49</f>
        <v>26318.371055825242</v>
      </c>
    </row>
    <row r="50" spans="2:20" ht="15" thickBot="1" x14ac:dyDescent="0.35">
      <c r="G50" s="19">
        <v>2011</v>
      </c>
      <c r="H50" s="20">
        <f>J41</f>
        <v>39077.5</v>
      </c>
      <c r="I50" s="21">
        <f t="shared" si="10"/>
        <v>15631</v>
      </c>
      <c r="J50" s="22">
        <f t="shared" si="11"/>
        <v>23446.5</v>
      </c>
      <c r="L50" s="19">
        <v>2011</v>
      </c>
      <c r="M50" s="20">
        <f>O41</f>
        <v>37862.5</v>
      </c>
      <c r="N50" s="21">
        <f t="shared" si="12"/>
        <v>15145</v>
      </c>
      <c r="O50" s="22">
        <f t="shared" si="13"/>
        <v>22717.5</v>
      </c>
      <c r="Q50" s="19">
        <v>2011</v>
      </c>
      <c r="R50" s="20">
        <f>T40</f>
        <v>38949.408996705126</v>
      </c>
      <c r="S50" s="21">
        <f t="shared" si="14"/>
        <v>15579.763598682051</v>
      </c>
      <c r="T50" s="22">
        <f t="shared" si="15"/>
        <v>23369.645398023073</v>
      </c>
    </row>
    <row r="51" spans="2:20" ht="15" thickBot="1" x14ac:dyDescent="0.35"/>
    <row r="52" spans="2:20" x14ac:dyDescent="0.3">
      <c r="G52" s="12" t="s">
        <v>18</v>
      </c>
      <c r="H52" s="13" t="s">
        <v>2</v>
      </c>
      <c r="I52" s="14" t="s">
        <v>21</v>
      </c>
      <c r="J52" s="2" t="s">
        <v>22</v>
      </c>
    </row>
    <row r="53" spans="2:20" x14ac:dyDescent="0.3">
      <c r="G53" s="16">
        <v>2009</v>
      </c>
      <c r="H53" s="9">
        <f>I48</f>
        <v>15580</v>
      </c>
      <c r="I53" s="17">
        <f>N48</f>
        <v>15092</v>
      </c>
      <c r="J53" s="2">
        <f>H53-I53</f>
        <v>488</v>
      </c>
    </row>
    <row r="54" spans="2:20" x14ac:dyDescent="0.3">
      <c r="G54" s="16">
        <v>2010</v>
      </c>
      <c r="H54" s="9">
        <f>I49</f>
        <v>17548</v>
      </c>
      <c r="I54" s="17">
        <f>N49</f>
        <v>17116</v>
      </c>
      <c r="J54" s="2">
        <f t="shared" ref="J54:J55" si="16">H54-I54</f>
        <v>432</v>
      </c>
    </row>
    <row r="55" spans="2:20" ht="16.8" thickBot="1" x14ac:dyDescent="0.5">
      <c r="G55" s="19">
        <v>2011</v>
      </c>
      <c r="H55" s="20">
        <f>I50</f>
        <v>15631</v>
      </c>
      <c r="I55" s="21">
        <f>N50</f>
        <v>15145</v>
      </c>
      <c r="J55" s="23">
        <f t="shared" si="16"/>
        <v>486</v>
      </c>
    </row>
    <row r="56" spans="2:20" x14ac:dyDescent="0.3">
      <c r="J56" s="2">
        <f>SUM(J53:J55)</f>
        <v>1406</v>
      </c>
    </row>
    <row r="57" spans="2:20" x14ac:dyDescent="0.3">
      <c r="B57" s="1" t="s">
        <v>23</v>
      </c>
    </row>
    <row r="58" spans="2:20" x14ac:dyDescent="0.3">
      <c r="B58" s="1" t="s">
        <v>24</v>
      </c>
      <c r="C58" s="1" t="s">
        <v>2</v>
      </c>
      <c r="F58" s="1" t="s">
        <v>21</v>
      </c>
      <c r="J58" s="2" t="s">
        <v>14</v>
      </c>
    </row>
    <row r="59" spans="2:20" x14ac:dyDescent="0.3">
      <c r="B59" s="1" t="s">
        <v>43</v>
      </c>
      <c r="F59" s="1" t="s">
        <v>57</v>
      </c>
    </row>
    <row r="60" spans="2:20" x14ac:dyDescent="0.3">
      <c r="B60" s="4">
        <v>490</v>
      </c>
      <c r="C60" s="4">
        <v>23</v>
      </c>
      <c r="D60" s="4">
        <v>11270</v>
      </c>
      <c r="F60" s="4">
        <v>1020</v>
      </c>
      <c r="G60" s="9">
        <v>20</v>
      </c>
      <c r="H60" s="9">
        <v>20400</v>
      </c>
      <c r="J60" s="2" t="s">
        <v>44</v>
      </c>
    </row>
    <row r="61" spans="2:20" x14ac:dyDescent="0.3">
      <c r="B61" s="4">
        <v>700</v>
      </c>
      <c r="C61" s="4">
        <v>23.5</v>
      </c>
      <c r="D61" s="4">
        <v>16450</v>
      </c>
      <c r="F61" s="4">
        <v>20</v>
      </c>
      <c r="G61" s="9">
        <v>21.5</v>
      </c>
      <c r="H61" s="9">
        <v>430</v>
      </c>
      <c r="K61" s="1">
        <v>1190</v>
      </c>
      <c r="L61" s="2">
        <v>22.546810509591484</v>
      </c>
      <c r="M61" s="2">
        <f>K61*L61</f>
        <v>26830.704506413866</v>
      </c>
    </row>
    <row r="62" spans="2:20" x14ac:dyDescent="0.3">
      <c r="F62" s="4">
        <v>150</v>
      </c>
      <c r="G62" s="9">
        <v>22.5</v>
      </c>
      <c r="H62" s="9">
        <v>3375</v>
      </c>
      <c r="J62" s="2" t="s">
        <v>7</v>
      </c>
      <c r="K62" s="4">
        <v>1910</v>
      </c>
      <c r="L62" s="9">
        <v>24</v>
      </c>
      <c r="M62" s="9">
        <f>K62*L62</f>
        <v>45840</v>
      </c>
    </row>
    <row r="63" spans="2:20" x14ac:dyDescent="0.3">
      <c r="B63" s="1">
        <f>SUM(B60:B62)</f>
        <v>1190</v>
      </c>
      <c r="C63" s="1"/>
      <c r="D63" s="1">
        <f>SUM(D60:D62)</f>
        <v>27720</v>
      </c>
      <c r="F63" s="1">
        <f>F60+F61+F62</f>
        <v>1190</v>
      </c>
      <c r="G63" s="1"/>
      <c r="H63" s="1">
        <f>H60+H61+H62</f>
        <v>24205</v>
      </c>
      <c r="J63" s="2" t="s">
        <v>14</v>
      </c>
      <c r="K63" s="1">
        <f>SUM(K60:K62)</f>
        <v>3100</v>
      </c>
      <c r="L63" s="1">
        <f>M63/K63</f>
        <v>23.442162744004474</v>
      </c>
      <c r="M63" s="1">
        <f t="shared" ref="M63" si="17">SUM(M60:M62)</f>
        <v>72670.704506413866</v>
      </c>
    </row>
    <row r="64" spans="2:20" x14ac:dyDescent="0.3">
      <c r="B64" s="1"/>
    </row>
    <row r="65" spans="2:20" x14ac:dyDescent="0.3">
      <c r="B65" s="31" t="s">
        <v>25</v>
      </c>
      <c r="C65" s="68">
        <v>2700</v>
      </c>
      <c r="D65" s="68"/>
      <c r="E65" s="33"/>
      <c r="L65" s="4"/>
      <c r="M65" s="4"/>
      <c r="N65" s="4"/>
      <c r="O65" s="4"/>
      <c r="P65" s="1"/>
      <c r="Q65" s="1"/>
      <c r="R65" s="1"/>
      <c r="S65" s="1"/>
      <c r="T65" s="1"/>
    </row>
    <row r="66" spans="2:20" x14ac:dyDescent="0.3">
      <c r="B66" s="37" t="s">
        <v>46</v>
      </c>
      <c r="C66" s="9">
        <v>400</v>
      </c>
      <c r="D66" s="9"/>
      <c r="E66" s="38"/>
      <c r="L66" s="4"/>
      <c r="M66" s="4"/>
      <c r="N66" s="4"/>
      <c r="O66" s="4"/>
    </row>
    <row r="67" spans="2:20" x14ac:dyDescent="0.3">
      <c r="B67" s="37" t="s">
        <v>47</v>
      </c>
      <c r="C67" s="9">
        <v>-1190</v>
      </c>
      <c r="D67" s="9"/>
      <c r="E67" s="38"/>
      <c r="L67" s="4"/>
      <c r="M67" s="4"/>
      <c r="N67" s="4"/>
      <c r="O67" s="4"/>
    </row>
    <row r="68" spans="2:20" x14ac:dyDescent="0.3">
      <c r="B68" s="46" t="s">
        <v>7</v>
      </c>
      <c r="C68" s="47">
        <f>SUM(C65:C67)</f>
        <v>1910</v>
      </c>
      <c r="D68" s="47">
        <v>24</v>
      </c>
      <c r="E68" s="48">
        <f>C68*D68</f>
        <v>45840</v>
      </c>
      <c r="L68" s="4"/>
      <c r="M68" s="4"/>
      <c r="N68" s="4"/>
      <c r="O68" s="4"/>
    </row>
    <row r="69" spans="2:20" s="1" customFormat="1" x14ac:dyDescent="0.3">
      <c r="B69" s="1" t="s">
        <v>2</v>
      </c>
      <c r="G69" s="2" t="s">
        <v>21</v>
      </c>
      <c r="H69" s="2"/>
      <c r="I69" s="2"/>
      <c r="J69" s="2"/>
      <c r="L69" s="1" t="s">
        <v>14</v>
      </c>
    </row>
    <row r="70" spans="2:20" s="1" customFormat="1" x14ac:dyDescent="0.3">
      <c r="B70" s="3" t="s">
        <v>26</v>
      </c>
      <c r="C70" s="3">
        <v>2700</v>
      </c>
      <c r="D70" s="3">
        <v>35.75</v>
      </c>
      <c r="E70" s="3">
        <f>C70*D70</f>
        <v>96525</v>
      </c>
      <c r="G70" s="3" t="s">
        <v>26</v>
      </c>
      <c r="H70" s="3">
        <v>2700</v>
      </c>
      <c r="I70" s="3">
        <v>35.75</v>
      </c>
      <c r="J70" s="3">
        <f>H70*I70</f>
        <v>96525</v>
      </c>
      <c r="L70" s="3" t="s">
        <v>26</v>
      </c>
      <c r="M70" s="3">
        <v>2700</v>
      </c>
      <c r="N70" s="3">
        <v>35.75</v>
      </c>
      <c r="O70" s="3">
        <f>M70*N70</f>
        <v>96525</v>
      </c>
    </row>
    <row r="71" spans="2:20" x14ac:dyDescent="0.3">
      <c r="B71" s="5" t="s">
        <v>8</v>
      </c>
      <c r="C71" s="5"/>
      <c r="D71" s="5"/>
      <c r="E71" s="5"/>
      <c r="G71" s="5" t="s">
        <v>8</v>
      </c>
      <c r="H71" s="5"/>
      <c r="I71" s="5"/>
      <c r="J71" s="5"/>
      <c r="M71" s="5"/>
      <c r="N71" s="5"/>
      <c r="O71" s="5"/>
      <c r="P71" s="1"/>
      <c r="Q71" s="1"/>
      <c r="R71" s="1"/>
      <c r="S71" s="1"/>
      <c r="T71" s="1"/>
    </row>
    <row r="72" spans="2:20" x14ac:dyDescent="0.3">
      <c r="B72" s="5">
        <v>490</v>
      </c>
      <c r="C72" s="5">
        <v>23</v>
      </c>
      <c r="D72" s="5">
        <v>11270</v>
      </c>
      <c r="E72" s="5"/>
      <c r="G72" s="3">
        <v>1910</v>
      </c>
      <c r="H72" s="3">
        <v>24</v>
      </c>
      <c r="I72" s="3">
        <f>G72*H72</f>
        <v>45840</v>
      </c>
      <c r="J72" s="5"/>
      <c r="L72" s="5" t="s">
        <v>8</v>
      </c>
      <c r="M72" s="5">
        <v>2700</v>
      </c>
      <c r="N72" s="5">
        <f>L63</f>
        <v>23.442162744004474</v>
      </c>
      <c r="O72" s="5">
        <f>M72*N72</f>
        <v>63293.839408812077</v>
      </c>
    </row>
    <row r="73" spans="2:20" x14ac:dyDescent="0.3">
      <c r="B73" s="5">
        <v>700</v>
      </c>
      <c r="C73" s="5">
        <v>23.5</v>
      </c>
      <c r="D73" s="5">
        <v>16450</v>
      </c>
      <c r="E73" s="5"/>
      <c r="G73" s="4">
        <v>150</v>
      </c>
      <c r="H73" s="9">
        <f>G62</f>
        <v>22.5</v>
      </c>
      <c r="I73" s="3">
        <f t="shared" ref="I73:I75" si="18">G73*H73</f>
        <v>3375</v>
      </c>
      <c r="J73" s="5"/>
      <c r="L73" s="5"/>
      <c r="M73" s="5"/>
      <c r="N73" s="5"/>
      <c r="O73" s="5"/>
    </row>
    <row r="74" spans="2:20" ht="16.2" x14ac:dyDescent="0.45">
      <c r="B74" s="5">
        <v>1510</v>
      </c>
      <c r="C74" s="5">
        <v>24</v>
      </c>
      <c r="D74" s="5">
        <f>B74*C74</f>
        <v>36240</v>
      </c>
      <c r="E74" s="7">
        <f>D72+D73+D74</f>
        <v>63960</v>
      </c>
      <c r="G74" s="4">
        <v>20</v>
      </c>
      <c r="H74" s="9">
        <f>G61</f>
        <v>21.5</v>
      </c>
      <c r="I74" s="3">
        <f t="shared" si="18"/>
        <v>430</v>
      </c>
      <c r="J74" s="7"/>
      <c r="L74" s="5"/>
      <c r="M74" s="5"/>
      <c r="N74" s="5"/>
      <c r="O74" s="7"/>
    </row>
    <row r="75" spans="2:20" ht="16.2" x14ac:dyDescent="0.45">
      <c r="B75" s="3">
        <f>B72+B73+B74</f>
        <v>2700</v>
      </c>
      <c r="C75" s="5"/>
      <c r="D75" s="5"/>
      <c r="E75" s="7"/>
      <c r="G75" s="4">
        <v>620</v>
      </c>
      <c r="H75" s="9">
        <v>20</v>
      </c>
      <c r="I75" s="3">
        <f t="shared" si="18"/>
        <v>12400</v>
      </c>
      <c r="J75" s="7">
        <f>SUM(I72:I75)</f>
        <v>62045</v>
      </c>
      <c r="L75" s="5"/>
      <c r="M75" s="5"/>
      <c r="N75" s="5"/>
      <c r="O75" s="7"/>
    </row>
    <row r="76" spans="2:20" s="1" customFormat="1" x14ac:dyDescent="0.3">
      <c r="B76" s="3" t="s">
        <v>45</v>
      </c>
      <c r="C76" s="3"/>
      <c r="D76" s="3"/>
      <c r="E76" s="3">
        <f>E70-E74</f>
        <v>32565</v>
      </c>
      <c r="G76" s="3" t="s">
        <v>45</v>
      </c>
      <c r="H76" s="3"/>
      <c r="I76" s="3"/>
      <c r="J76" s="3">
        <f>J70-J75</f>
        <v>34480</v>
      </c>
      <c r="L76" s="3" t="s">
        <v>45</v>
      </c>
      <c r="M76" s="3"/>
      <c r="N76" s="3"/>
      <c r="O76" s="3">
        <f>O70-O72</f>
        <v>33231.160591187923</v>
      </c>
      <c r="P76" s="4"/>
      <c r="Q76" s="4"/>
      <c r="R76" s="4"/>
      <c r="S76" s="4"/>
      <c r="T76" s="4"/>
    </row>
    <row r="77" spans="2:20" s="1" customFormat="1" ht="16.2" x14ac:dyDescent="0.45">
      <c r="B77" s="3" t="s">
        <v>27</v>
      </c>
      <c r="C77" s="3"/>
      <c r="D77" s="3"/>
      <c r="E77" s="8">
        <f>E76*0.4</f>
        <v>13026</v>
      </c>
      <c r="G77" s="3" t="s">
        <v>27</v>
      </c>
      <c r="H77" s="3"/>
      <c r="I77" s="3"/>
      <c r="J77" s="8">
        <f>J76*0.4</f>
        <v>13792</v>
      </c>
      <c r="L77" s="3" t="s">
        <v>27</v>
      </c>
      <c r="M77" s="3"/>
      <c r="N77" s="3"/>
      <c r="O77" s="8">
        <f>O76*0.4</f>
        <v>13292.464236475171</v>
      </c>
      <c r="P77" s="4"/>
      <c r="Q77" s="4"/>
      <c r="R77" s="4"/>
      <c r="S77" s="4"/>
      <c r="T77" s="4"/>
    </row>
    <row r="78" spans="2:20" x14ac:dyDescent="0.3">
      <c r="B78" s="5" t="s">
        <v>20</v>
      </c>
      <c r="C78" s="5"/>
      <c r="D78" s="5"/>
      <c r="E78" s="5">
        <f>E76-E77</f>
        <v>19539</v>
      </c>
      <c r="G78" s="5" t="s">
        <v>20</v>
      </c>
      <c r="H78" s="5"/>
      <c r="I78" s="5"/>
      <c r="J78" s="5">
        <f>J76-J77</f>
        <v>20688</v>
      </c>
      <c r="L78" s="5" t="s">
        <v>20</v>
      </c>
      <c r="M78" s="5"/>
      <c r="N78" s="5"/>
      <c r="O78" s="5">
        <f>O76-O77</f>
        <v>19938.696354712753</v>
      </c>
    </row>
    <row r="79" spans="2:20" x14ac:dyDescent="0.3">
      <c r="L79" s="4"/>
      <c r="M79" s="4"/>
      <c r="N79" s="4"/>
      <c r="O79" s="4"/>
    </row>
    <row r="80" spans="2:20" x14ac:dyDescent="0.3">
      <c r="B80" s="3" t="s">
        <v>43</v>
      </c>
      <c r="C80" s="3">
        <v>400</v>
      </c>
      <c r="D80" s="69">
        <v>24</v>
      </c>
      <c r="E80" s="3">
        <f>C80*D80</f>
        <v>9600</v>
      </c>
      <c r="G80" s="3" t="s">
        <v>43</v>
      </c>
      <c r="H80" s="3">
        <v>400</v>
      </c>
      <c r="I80" s="3">
        <v>20</v>
      </c>
      <c r="J80" s="11">
        <f>H80*I80</f>
        <v>8000</v>
      </c>
      <c r="L80" s="11" t="s">
        <v>43</v>
      </c>
      <c r="M80" s="11">
        <v>400</v>
      </c>
      <c r="N80" s="11">
        <f>N72</f>
        <v>23.442162744004474</v>
      </c>
      <c r="O80" s="11">
        <f>M80*N80</f>
        <v>9376.8650976017889</v>
      </c>
    </row>
    <row r="81" spans="2:15" x14ac:dyDescent="0.3">
      <c r="C81" s="28" t="s">
        <v>41</v>
      </c>
      <c r="F81" s="25" t="s">
        <v>49</v>
      </c>
      <c r="G81" s="4"/>
      <c r="H81" s="4"/>
      <c r="I81" s="4"/>
      <c r="J81" s="67"/>
      <c r="L81" s="68"/>
      <c r="M81" s="68"/>
      <c r="N81" s="68"/>
      <c r="O81" s="68"/>
    </row>
    <row r="82" spans="2:15" x14ac:dyDescent="0.3">
      <c r="B82" s="70" t="s">
        <v>52</v>
      </c>
      <c r="C82" s="70"/>
      <c r="D82" s="70">
        <f>J77-E77</f>
        <v>766</v>
      </c>
      <c r="J82" s="9"/>
      <c r="L82" s="4"/>
      <c r="M82" s="4"/>
      <c r="N82" s="4"/>
      <c r="O82" s="4"/>
    </row>
    <row r="83" spans="2:15" x14ac:dyDescent="0.3">
      <c r="L83" s="4"/>
      <c r="M83" s="4"/>
      <c r="N83" s="4"/>
      <c r="O83" s="4"/>
    </row>
    <row r="84" spans="2:15" x14ac:dyDescent="0.3">
      <c r="L84" s="4"/>
      <c r="M84" s="4"/>
      <c r="N84" s="4"/>
      <c r="O84" s="4"/>
    </row>
    <row r="85" spans="2:15" x14ac:dyDescent="0.3">
      <c r="B85" s="1" t="s">
        <v>28</v>
      </c>
      <c r="L85" s="4"/>
      <c r="M85" s="4"/>
      <c r="N85" s="4"/>
      <c r="O85" s="4"/>
    </row>
    <row r="86" spans="2:15" x14ac:dyDescent="0.3">
      <c r="B86" s="1" t="s">
        <v>29</v>
      </c>
      <c r="C86" s="1" t="s">
        <v>30</v>
      </c>
      <c r="D86" s="29" t="s">
        <v>31</v>
      </c>
      <c r="E86" s="1" t="s">
        <v>32</v>
      </c>
      <c r="L86" s="4"/>
      <c r="M86" s="4"/>
      <c r="N86" s="4"/>
      <c r="O86" s="4"/>
    </row>
    <row r="87" spans="2:15" x14ac:dyDescent="0.3">
      <c r="B87" s="1"/>
      <c r="L87" s="4"/>
      <c r="M87" s="4"/>
      <c r="N87" s="4"/>
      <c r="O87" s="4"/>
    </row>
    <row r="88" spans="2:15" x14ac:dyDescent="0.3">
      <c r="C88" s="4" t="s">
        <v>2</v>
      </c>
      <c r="D88" s="4" t="s">
        <v>21</v>
      </c>
      <c r="E88" s="2" t="s">
        <v>33</v>
      </c>
      <c r="F88" s="24" t="s">
        <v>30</v>
      </c>
      <c r="G88" s="4"/>
      <c r="J88" s="9"/>
      <c r="K88" s="2"/>
    </row>
    <row r="89" spans="2:15" x14ac:dyDescent="0.3">
      <c r="B89" s="9" t="s">
        <v>34</v>
      </c>
      <c r="C89" s="9" t="s">
        <v>35</v>
      </c>
      <c r="D89" s="9" t="s">
        <v>35</v>
      </c>
      <c r="F89" s="25" t="s">
        <v>48</v>
      </c>
      <c r="G89" s="4"/>
      <c r="H89" s="4"/>
      <c r="I89" s="4"/>
      <c r="J89" s="4"/>
    </row>
    <row r="90" spans="2:15" x14ac:dyDescent="0.3">
      <c r="B90" s="26">
        <v>2009</v>
      </c>
      <c r="C90" s="9">
        <f>J16</f>
        <v>21620</v>
      </c>
      <c r="D90" s="9">
        <f>O16</f>
        <v>20400</v>
      </c>
      <c r="E90" s="4">
        <f>C90-D90</f>
        <v>1220</v>
      </c>
      <c r="F90" s="25">
        <f>D90+E90</f>
        <v>21620</v>
      </c>
      <c r="G90" s="4"/>
      <c r="H90" s="4"/>
      <c r="I90" s="4"/>
      <c r="J90" s="4"/>
    </row>
    <row r="91" spans="2:15" x14ac:dyDescent="0.3">
      <c r="B91" s="26">
        <v>2010</v>
      </c>
      <c r="C91" s="9">
        <f>J31</f>
        <v>23130</v>
      </c>
      <c r="D91" s="9">
        <f>O31</f>
        <v>20830</v>
      </c>
      <c r="E91" s="4">
        <f t="shared" ref="E91:E92" si="19">C91-D91</f>
        <v>2300</v>
      </c>
      <c r="F91" s="25">
        <f t="shared" ref="F91:F92" si="20">D91+E91</f>
        <v>23130</v>
      </c>
      <c r="G91" s="4"/>
      <c r="H91" s="4"/>
      <c r="I91" s="4"/>
      <c r="J91" s="4"/>
    </row>
    <row r="92" spans="2:15" x14ac:dyDescent="0.3">
      <c r="B92" s="26">
        <v>2011</v>
      </c>
      <c r="C92" s="9">
        <f>J45</f>
        <v>27720</v>
      </c>
      <c r="D92" s="9">
        <f>O45</f>
        <v>24205</v>
      </c>
      <c r="E92" s="4">
        <f t="shared" si="19"/>
        <v>3515</v>
      </c>
      <c r="F92" s="25">
        <f t="shared" si="20"/>
        <v>27720</v>
      </c>
      <c r="G92" s="4"/>
      <c r="H92" s="4"/>
      <c r="I92" s="4"/>
      <c r="J92" s="4"/>
    </row>
    <row r="94" spans="2:15" x14ac:dyDescent="0.3">
      <c r="C94" s="4" t="s">
        <v>8</v>
      </c>
    </row>
    <row r="95" spans="2:15" x14ac:dyDescent="0.3">
      <c r="B95" s="9" t="s">
        <v>34</v>
      </c>
      <c r="C95" s="4" t="s">
        <v>2</v>
      </c>
      <c r="D95" s="4" t="s">
        <v>21</v>
      </c>
      <c r="E95" s="2" t="s">
        <v>33</v>
      </c>
      <c r="F95" s="4" t="s">
        <v>36</v>
      </c>
    </row>
    <row r="96" spans="2:15" x14ac:dyDescent="0.3">
      <c r="B96" s="26">
        <v>2009</v>
      </c>
      <c r="C96" s="4">
        <f>J11</f>
        <v>56930</v>
      </c>
      <c r="D96" s="4">
        <f>O11</f>
        <v>58150</v>
      </c>
      <c r="E96" s="4">
        <f>D96-C96</f>
        <v>1220</v>
      </c>
    </row>
    <row r="97" spans="2:6" x14ac:dyDescent="0.3">
      <c r="B97" s="26">
        <v>2010</v>
      </c>
      <c r="C97" s="4">
        <f>J26</f>
        <v>66240</v>
      </c>
      <c r="D97" s="4">
        <f>O26</f>
        <v>67320</v>
      </c>
      <c r="E97" s="4">
        <f>D97-C97</f>
        <v>1080</v>
      </c>
      <c r="F97" s="4">
        <f>E96+E97</f>
        <v>2300</v>
      </c>
    </row>
    <row r="98" spans="2:6" x14ac:dyDescent="0.3">
      <c r="B98" s="26">
        <v>2011</v>
      </c>
      <c r="C98" s="4">
        <f>J40</f>
        <v>66385</v>
      </c>
      <c r="D98" s="4">
        <f>O40</f>
        <v>67600</v>
      </c>
      <c r="E98" s="4">
        <f>D98-C98</f>
        <v>1215</v>
      </c>
      <c r="F98" s="4">
        <f>E96+E97+E98</f>
        <v>3515</v>
      </c>
    </row>
    <row r="101" spans="2:6" x14ac:dyDescent="0.3">
      <c r="B101" s="9"/>
    </row>
    <row r="102" spans="2:6" x14ac:dyDescent="0.3">
      <c r="B102" s="26"/>
    </row>
    <row r="103" spans="2:6" x14ac:dyDescent="0.3">
      <c r="B103" s="26"/>
    </row>
    <row r="104" spans="2:6" x14ac:dyDescent="0.3">
      <c r="B104" s="26"/>
    </row>
  </sheetData>
  <pageMargins left="0.7" right="0.7" top="0.75" bottom="0.75" header="0.3" footer="0.3"/>
  <pageSetup paperSize="9" orientation="portrait" r:id="rId1"/>
  <ignoredErrors>
    <ignoredError sqref="L6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Q6-5</vt:lpstr>
      <vt:lpstr>Lewis Case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ROHIT GHOSH</cp:lastModifiedBy>
  <dcterms:created xsi:type="dcterms:W3CDTF">2019-08-29T07:27:21Z</dcterms:created>
  <dcterms:modified xsi:type="dcterms:W3CDTF">2025-09-22T04:10:30Z</dcterms:modified>
</cp:coreProperties>
</file>