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MBA\MBA\Courses\FRA\Lectures\"/>
    </mc:Choice>
  </mc:AlternateContent>
  <xr:revisionPtr revIDLastSave="0" documentId="13_ncr:1_{0113C14A-DC07-4578-A8BD-1E45D8C60E9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9" i="1" l="1"/>
  <c r="C119" i="1"/>
  <c r="D119" i="1"/>
  <c r="D121" i="1" s="1"/>
  <c r="C121" i="1"/>
  <c r="E120" i="1"/>
  <c r="C124" i="1" s="1"/>
  <c r="C125" i="1" s="1"/>
  <c r="D125" i="1" s="1"/>
  <c r="E97" i="1"/>
  <c r="C100" i="1" s="1"/>
  <c r="E89" i="1"/>
  <c r="G89" i="1" s="1"/>
  <c r="D92" i="1" s="1"/>
  <c r="D93" i="1" s="1"/>
  <c r="E85" i="1"/>
  <c r="E86" i="1"/>
  <c r="E87" i="1"/>
  <c r="E88" i="1"/>
  <c r="E84" i="1"/>
  <c r="F87" i="1" s="1"/>
  <c r="C92" i="1" s="1"/>
  <c r="C93" i="1" s="1"/>
  <c r="H86" i="1"/>
  <c r="C89" i="1"/>
  <c r="K70" i="1"/>
  <c r="J70" i="1"/>
  <c r="H71" i="1"/>
  <c r="H73" i="1" s="1"/>
  <c r="D77" i="1"/>
  <c r="E77" i="1"/>
  <c r="C70" i="1"/>
  <c r="E70" i="1" s="1"/>
  <c r="C76" i="1" s="1"/>
  <c r="C77" i="1" s="1"/>
  <c r="C63" i="1"/>
  <c r="E63" i="1" s="1"/>
  <c r="G63" i="1" s="1"/>
  <c r="C56" i="1"/>
  <c r="C54" i="1"/>
  <c r="C47" i="1"/>
  <c r="D49" i="1" s="1"/>
  <c r="K38" i="1"/>
  <c r="C46" i="1" s="1"/>
  <c r="D48" i="1" s="1"/>
  <c r="G38" i="1"/>
  <c r="C53" i="1" s="1"/>
  <c r="G41" i="1"/>
  <c r="G40" i="1"/>
  <c r="C25" i="1"/>
  <c r="D27" i="1" s="1"/>
  <c r="D28" i="1" s="1"/>
  <c r="E30" i="1" s="1"/>
  <c r="E31" i="1" s="1"/>
  <c r="E33" i="1" s="1"/>
  <c r="D11" i="1"/>
  <c r="C10" i="1"/>
  <c r="C11" i="1" s="1"/>
  <c r="C13" i="1" s="1"/>
  <c r="C43" i="1" l="1"/>
  <c r="C55" i="1"/>
  <c r="C57" i="1" s="1"/>
  <c r="I82" i="1"/>
  <c r="K82" i="1" s="1"/>
  <c r="E92" i="1" s="1"/>
  <c r="E93" i="1" s="1"/>
  <c r="D100" i="1"/>
  <c r="E100" i="1"/>
  <c r="G42" i="1"/>
  <c r="C101" i="1"/>
  <c r="C102" i="1" s="1"/>
  <c r="C95" i="1"/>
  <c r="E101" i="1"/>
  <c r="E95" i="1"/>
  <c r="E102" i="1"/>
  <c r="E34" i="1"/>
  <c r="E35" i="1" s="1"/>
  <c r="D95" i="1"/>
  <c r="D101" i="1"/>
  <c r="D102" i="1" s="1"/>
</calcChain>
</file>

<file path=xl/sharedStrings.xml><?xml version="1.0" encoding="utf-8"?>
<sst xmlns="http://schemas.openxmlformats.org/spreadsheetml/2006/main" count="198" uniqueCount="158">
  <si>
    <t>Co. W</t>
  </si>
  <si>
    <t>Co. X</t>
  </si>
  <si>
    <t>Co. Y</t>
  </si>
  <si>
    <t>Co. Z</t>
  </si>
  <si>
    <t xml:space="preserve">Sales </t>
  </si>
  <si>
    <t>Cost of goods sold:</t>
  </si>
  <si>
    <t>Gross margin</t>
  </si>
  <si>
    <t>$  150</t>
  </si>
  <si>
    <t>$ (50)</t>
  </si>
  <si>
    <t xml:space="preserve">     Beginning inventory</t>
  </si>
  <si>
    <t xml:space="preserve">     Plus: Purchases</t>
  </si>
  <si>
    <t xml:space="preserve">     Less: Ending inventory</t>
  </si>
  <si>
    <t xml:space="preserve">          Cost of good sold</t>
  </si>
  <si>
    <t xml:space="preserve">     Gross margin</t>
  </si>
  <si>
    <t xml:space="preserve">     Less : Period expenses</t>
  </si>
  <si>
    <t xml:space="preserve">     Net income / (Loss)</t>
  </si>
  <si>
    <t>Problem 6-1</t>
  </si>
  <si>
    <t>Problem 6-2</t>
  </si>
  <si>
    <t>Sales</t>
  </si>
  <si>
    <t>Cost of goods sold</t>
  </si>
  <si>
    <t>Income before taxes</t>
  </si>
  <si>
    <t xml:space="preserve">                                                   GARDNER PHARMACY</t>
  </si>
  <si>
    <t xml:space="preserve">                                          Income Statement for the Year ----.</t>
  </si>
  <si>
    <t xml:space="preserve">     Cost of goods sold:</t>
  </si>
  <si>
    <t xml:space="preserve">     Plus:  Purchase, gross</t>
  </si>
  <si>
    <t xml:space="preserve">     Freight-in</t>
  </si>
  <si>
    <t xml:space="preserve">     Less:  Purchase returns</t>
  </si>
  <si>
    <t xml:space="preserve">     Net purchases</t>
  </si>
  <si>
    <t xml:space="preserve">     Goods available for sale</t>
  </si>
  <si>
    <t xml:space="preserve">     Less:  Ending inventory</t>
  </si>
  <si>
    <t xml:space="preserve">          Cost of goods sold</t>
  </si>
  <si>
    <t xml:space="preserve">     Less: Other expenses</t>
  </si>
  <si>
    <t xml:space="preserve">          Net income</t>
  </si>
  <si>
    <t>Problem 6-3</t>
  </si>
  <si>
    <t>dr. Inventory</t>
  </si>
  <si>
    <t>cr. Cash (or Payables)</t>
  </si>
  <si>
    <t>dr. Cash (or Receivables)</t>
  </si>
  <si>
    <t>cr. Sales</t>
  </si>
  <si>
    <t>dr. Sales Returns</t>
  </si>
  <si>
    <t>cr. Cash (or Receivables)</t>
  </si>
  <si>
    <t>Cost of Goods Sold</t>
  </si>
  <si>
    <t>a)</t>
  </si>
  <si>
    <t>Gross sales</t>
  </si>
  <si>
    <t>Net sales</t>
  </si>
  <si>
    <t xml:space="preserve">                                  GOULD’S COMPANY</t>
  </si>
  <si>
    <t xml:space="preserve">                                    Income Statement</t>
  </si>
  <si>
    <t xml:space="preserve">     Less: Sales returns</t>
  </si>
  <si>
    <t xml:space="preserve">     Cost of goods sold</t>
  </si>
  <si>
    <t>b)</t>
  </si>
  <si>
    <t>c)</t>
  </si>
  <si>
    <t>Problem 6-4</t>
  </si>
  <si>
    <t>Purchases:</t>
  </si>
  <si>
    <t>75 units @ $12 =</t>
  </si>
  <si>
    <t>Sales:  100 units</t>
  </si>
  <si>
    <t>Ending inventory:  25 units</t>
  </si>
  <si>
    <t>Avg. Cost</t>
  </si>
  <si>
    <t>Available for sale</t>
  </si>
  <si>
    <t>FIFO</t>
  </si>
  <si>
    <t>LIFO</t>
  </si>
  <si>
    <t>Problem 6-5</t>
  </si>
  <si>
    <t>Purchase Date</t>
  </si>
  <si>
    <t>Units</t>
  </si>
  <si>
    <t>Cost/-unit</t>
  </si>
  <si>
    <t>Purchase records indicate the following on the amounts purchased and prices by Electronic Heaven:</t>
  </si>
  <si>
    <t>Gross margin percentage</t>
  </si>
  <si>
    <t>Net Cash Flow</t>
  </si>
  <si>
    <t>Pretax cash flow</t>
  </si>
  <si>
    <t>After-tax cash flow</t>
  </si>
  <si>
    <t>d)</t>
  </si>
  <si>
    <t>Problem 6-6</t>
  </si>
  <si>
    <t>Beginning balance</t>
  </si>
  <si>
    <t>Purchases</t>
  </si>
  <si>
    <t>Delivery charge</t>
  </si>
  <si>
    <t>Direct labor</t>
  </si>
  <si>
    <t>Materials transfer</t>
  </si>
  <si>
    <t>Indirect labor</t>
  </si>
  <si>
    <t>Factory supplies</t>
  </si>
  <si>
    <t>Depreciation–factory</t>
  </si>
  <si>
    <t>Factory utilities</t>
  </si>
  <si>
    <t>Depreciation–Mfg</t>
  </si>
  <si>
    <t>Property taxes</t>
  </si>
  <si>
    <t>Finished goods–transfers</t>
  </si>
  <si>
    <t>Ending balance</t>
  </si>
  <si>
    <t>Materials Inventory</t>
  </si>
  <si>
    <t>Work in Process</t>
  </si>
  <si>
    <t>Finished Goods</t>
  </si>
  <si>
    <t>less: Cost of goods sold</t>
  </si>
  <si>
    <t>Problem 6-7</t>
  </si>
  <si>
    <t>$500</t>
  </si>
  <si>
    <t xml:space="preserve">     Less: Income tax expense (30%)</t>
  </si>
  <si>
    <t>Beginning Inv</t>
  </si>
  <si>
    <t>Sales Returns</t>
  </si>
  <si>
    <t>units</t>
  </si>
  <si>
    <t>Inventory 80 units @15</t>
  </si>
  <si>
    <t>15 per unit</t>
  </si>
  <si>
    <t>Beg Inventory</t>
  </si>
  <si>
    <t>Add Purchases</t>
  </si>
  <si>
    <t>Less: Sales</t>
  </si>
  <si>
    <t>Plus Sales Returns</t>
  </si>
  <si>
    <t>Ending Inventory</t>
  </si>
  <si>
    <t>Difference</t>
  </si>
  <si>
    <t>43X15</t>
  </si>
  <si>
    <t>Cost</t>
  </si>
  <si>
    <t>Dr. Inventory shrinkage</t>
  </si>
  <si>
    <t xml:space="preserve">   Inventory</t>
  </si>
  <si>
    <t xml:space="preserve">50 units @ $14 = </t>
  </si>
  <si>
    <t>1600/125</t>
  </si>
  <si>
    <t>Avg: 125 units @ ____ =12.8</t>
  </si>
  <si>
    <t>25 units X12.8</t>
  </si>
  <si>
    <t>25 units X 12</t>
  </si>
  <si>
    <t>25 units X14</t>
  </si>
  <si>
    <t>Avg</t>
  </si>
  <si>
    <t>75X12</t>
  </si>
  <si>
    <t>25X14</t>
  </si>
  <si>
    <t>14X50</t>
  </si>
  <si>
    <t>July 31 inventory (End)</t>
  </si>
  <si>
    <t>2 X370</t>
  </si>
  <si>
    <t>Less: Tax payment 30%</t>
  </si>
  <si>
    <t>Cost of goods sold (b/f)</t>
  </si>
  <si>
    <t>Upper Range</t>
  </si>
  <si>
    <t>Lower Range</t>
  </si>
  <si>
    <t>Valuation Basis/Unit</t>
  </si>
  <si>
    <t>Lower of Cost or Market</t>
  </si>
  <si>
    <t>Not higher than Net Realizable Value</t>
  </si>
  <si>
    <t>Not lower than Net Realizable value less Normal Profit margin</t>
  </si>
  <si>
    <t>Historical Cost/Unit</t>
  </si>
  <si>
    <t>Total Adjustment</t>
  </si>
  <si>
    <t>Item</t>
  </si>
  <si>
    <t xml:space="preserve">Units </t>
  </si>
  <si>
    <t>A</t>
  </si>
  <si>
    <t>$145</t>
  </si>
  <si>
    <t xml:space="preserve">$150 or $145 = $145 </t>
  </si>
  <si>
    <t>It can't be higher than 150 and lower than 143</t>
  </si>
  <si>
    <t>$150</t>
  </si>
  <si>
    <t>$143</t>
  </si>
  <si>
    <t>(5*30)</t>
  </si>
  <si>
    <t>B</t>
  </si>
  <si>
    <t xml:space="preserve">$183 or $177 = $177 </t>
  </si>
  <si>
    <t xml:space="preserve">It is higher than 173  </t>
  </si>
  <si>
    <t>$173</t>
  </si>
  <si>
    <t>$165</t>
  </si>
  <si>
    <t>$400</t>
  </si>
  <si>
    <t>(10*40)</t>
  </si>
  <si>
    <t>C</t>
  </si>
  <si>
    <t xml:space="preserve">$134 or $126 = $126 </t>
  </si>
  <si>
    <t>$126  is lower than 131, which we can't take.</t>
  </si>
  <si>
    <t>$134</t>
  </si>
  <si>
    <t>$131</t>
  </si>
  <si>
    <t>$60</t>
  </si>
  <si>
    <t>(3*20)</t>
  </si>
  <si>
    <t>D</t>
  </si>
  <si>
    <t xml:space="preserve">$113 or $116 = $113                     It can’t be higher than 128 and lower than 112 </t>
  </si>
  <si>
    <t>$128</t>
  </si>
  <si>
    <t>$112</t>
  </si>
  <si>
    <t>(0*40)</t>
  </si>
  <si>
    <t>Total adjustment</t>
  </si>
  <si>
    <t>$610</t>
  </si>
  <si>
    <t>on Sheet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</si>
</sst>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 val="double"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 val="double"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70C0"/>
      <name val="Calibri"/>
      <family val="2"/>
    </font>
    <font>
      <b/>
      <sz val="11"/>
      <color rgb="FFFF0000"/>
      <name val="Calibri"/>
      <family val="2"/>
    </font>
    <font>
      <b/>
      <sz val="11"/>
      <color rgb="FF00B05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3" fontId="0" fillId="0" borderId="0" xfId="0" applyNumberFormat="1"/>
    <xf numFmtId="0" fontId="1" fillId="0" borderId="0" xfId="0" applyFont="1"/>
    <xf numFmtId="3" fontId="2" fillId="0" borderId="0" xfId="0" applyNumberFormat="1" applyFont="1"/>
    <xf numFmtId="0" fontId="1" fillId="0" borderId="2" xfId="0" applyFont="1" applyBorder="1"/>
    <xf numFmtId="0" fontId="0" fillId="0" borderId="1" xfId="0" applyBorder="1"/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wrapText="1"/>
    </xf>
    <xf numFmtId="0" fontId="1" fillId="0" borderId="3" xfId="0" applyFont="1" applyBorder="1"/>
    <xf numFmtId="0" fontId="0" fillId="0" borderId="3" xfId="0" applyBorder="1"/>
    <xf numFmtId="3" fontId="0" fillId="0" borderId="3" xfId="0" applyNumberFormat="1" applyBorder="1"/>
    <xf numFmtId="0" fontId="0" fillId="0" borderId="2" xfId="0" applyBorder="1"/>
    <xf numFmtId="17" fontId="0" fillId="0" borderId="0" xfId="0" applyNumberFormat="1" applyAlignment="1">
      <alignment horizontal="left"/>
    </xf>
    <xf numFmtId="17" fontId="0" fillId="0" borderId="1" xfId="0" applyNumberFormat="1" applyBorder="1" applyAlignment="1">
      <alignment horizontal="left"/>
    </xf>
    <xf numFmtId="0" fontId="2" fillId="0" borderId="1" xfId="0" applyFont="1" applyBorder="1"/>
    <xf numFmtId="3" fontId="2" fillId="0" borderId="1" xfId="0" applyNumberFormat="1" applyFont="1" applyBorder="1"/>
    <xf numFmtId="0" fontId="2" fillId="0" borderId="0" xfId="0" applyFont="1"/>
    <xf numFmtId="0" fontId="0" fillId="0" borderId="4" xfId="0" applyBorder="1"/>
    <xf numFmtId="0" fontId="0" fillId="0" borderId="5" xfId="0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3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0" fontId="0" fillId="0" borderId="0" xfId="0" applyNumberForma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3" fontId="2" fillId="2" borderId="0" xfId="0" applyNumberFormat="1" applyFont="1" applyFill="1" applyAlignment="1">
      <alignment horizontal="center"/>
    </xf>
    <xf numFmtId="3" fontId="4" fillId="0" borderId="0" xfId="0" applyNumberFormat="1" applyFont="1" applyAlignment="1">
      <alignment horizontal="center"/>
    </xf>
    <xf numFmtId="3" fontId="3" fillId="0" borderId="1" xfId="0" applyNumberFormat="1" applyFont="1" applyBorder="1" applyAlignment="1">
      <alignment horizontal="center"/>
    </xf>
    <xf numFmtId="0" fontId="0" fillId="2" borderId="0" xfId="0" applyFill="1" applyAlignment="1">
      <alignment horizontal="center"/>
    </xf>
    <xf numFmtId="0" fontId="4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/>
    <xf numFmtId="3" fontId="5" fillId="2" borderId="0" xfId="0" applyNumberFormat="1" applyFont="1" applyFill="1"/>
    <xf numFmtId="3" fontId="0" fillId="2" borderId="0" xfId="0" applyNumberFormat="1" applyFill="1"/>
    <xf numFmtId="0" fontId="6" fillId="2" borderId="0" xfId="0" applyFont="1" applyFill="1"/>
    <xf numFmtId="3" fontId="0" fillId="2" borderId="3" xfId="0" applyNumberFormat="1" applyFill="1" applyBorder="1"/>
    <xf numFmtId="17" fontId="2" fillId="0" borderId="0" xfId="0" applyNumberFormat="1" applyFont="1" applyAlignment="1">
      <alignment horizontal="left"/>
    </xf>
    <xf numFmtId="2" fontId="0" fillId="0" borderId="0" xfId="0" applyNumberFormat="1"/>
    <xf numFmtId="0" fontId="6" fillId="2" borderId="0" xfId="0" applyFont="1" applyFill="1" applyAlignment="1">
      <alignment horizontal="center"/>
    </xf>
    <xf numFmtId="3" fontId="1" fillId="2" borderId="0" xfId="0" applyNumberFormat="1" applyFont="1" applyFill="1" applyAlignment="1">
      <alignment horizontal="center"/>
    </xf>
    <xf numFmtId="3" fontId="6" fillId="2" borderId="0" xfId="0" applyNumberFormat="1" applyFont="1" applyFill="1"/>
    <xf numFmtId="10" fontId="0" fillId="0" borderId="0" xfId="0" applyNumberFormat="1"/>
    <xf numFmtId="0" fontId="7" fillId="0" borderId="6" xfId="0" applyFont="1" applyBorder="1" applyAlignment="1">
      <alignment horizontal="center" wrapText="1" readingOrder="1"/>
    </xf>
    <xf numFmtId="0" fontId="8" fillId="0" borderId="6" xfId="0" applyFont="1" applyBorder="1" applyAlignment="1">
      <alignment horizontal="center" wrapText="1" readingOrder="1"/>
    </xf>
    <xf numFmtId="0" fontId="7" fillId="0" borderId="7" xfId="0" applyFont="1" applyBorder="1" applyAlignment="1">
      <alignment horizontal="center" wrapText="1" readingOrder="1"/>
    </xf>
    <xf numFmtId="0" fontId="7" fillId="0" borderId="8" xfId="0" applyFont="1" applyBorder="1" applyAlignment="1">
      <alignment horizontal="center" wrapText="1" readingOrder="1"/>
    </xf>
    <xf numFmtId="0" fontId="10" fillId="0" borderId="7" xfId="0" applyFont="1" applyBorder="1" applyAlignment="1">
      <alignment horizontal="center" wrapText="1" readingOrder="1"/>
    </xf>
    <xf numFmtId="0" fontId="10" fillId="0" borderId="8" xfId="0" applyFont="1" applyBorder="1" applyAlignment="1">
      <alignment horizontal="center" wrapText="1" readingOrder="1"/>
    </xf>
    <xf numFmtId="0" fontId="7" fillId="0" borderId="7" xfId="0" applyFont="1" applyBorder="1" applyAlignment="1">
      <alignment horizontal="center" wrapText="1" readingOrder="1"/>
    </xf>
    <xf numFmtId="0" fontId="7" fillId="0" borderId="8" xfId="0" applyFont="1" applyBorder="1" applyAlignment="1">
      <alignment horizontal="center" wrapText="1" readingOrder="1"/>
    </xf>
    <xf numFmtId="0" fontId="9" fillId="0" borderId="7" xfId="0" applyFont="1" applyBorder="1" applyAlignment="1">
      <alignment horizontal="center" wrapText="1" readingOrder="1"/>
    </xf>
    <xf numFmtId="0" fontId="9" fillId="0" borderId="8" xfId="0" applyFont="1" applyBorder="1" applyAlignment="1">
      <alignment horizont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27"/>
  <sheetViews>
    <sheetView topLeftCell="A124" zoomScale="150" zoomScaleNormal="150" workbookViewId="0">
      <selection activeCell="E120" sqref="E120"/>
    </sheetView>
  </sheetViews>
  <sheetFormatPr defaultRowHeight="14.4" x14ac:dyDescent="0.3"/>
  <cols>
    <col min="2" max="2" width="30.21875" bestFit="1" customWidth="1"/>
    <col min="3" max="3" width="17.21875" bestFit="1" customWidth="1"/>
    <col min="4" max="4" width="14.21875" bestFit="1" customWidth="1"/>
    <col min="5" max="5" width="13.5546875" bestFit="1" customWidth="1"/>
    <col min="6" max="6" width="10" bestFit="1" customWidth="1"/>
    <col min="7" max="7" width="10.77734375" bestFit="1" customWidth="1"/>
  </cols>
  <sheetData>
    <row r="2" spans="2:6" x14ac:dyDescent="0.3">
      <c r="B2" s="6" t="s">
        <v>16</v>
      </c>
    </row>
    <row r="4" spans="2:6" x14ac:dyDescent="0.3">
      <c r="B4" s="4"/>
      <c r="C4" s="4" t="s">
        <v>0</v>
      </c>
      <c r="D4" s="4" t="s">
        <v>1</v>
      </c>
      <c r="E4" s="4" t="s">
        <v>2</v>
      </c>
      <c r="F4" s="4" t="s">
        <v>3</v>
      </c>
    </row>
    <row r="5" spans="2:6" x14ac:dyDescent="0.3">
      <c r="B5" t="s">
        <v>4</v>
      </c>
      <c r="C5" s="23">
        <v>2250</v>
      </c>
      <c r="D5" s="23">
        <v>1800</v>
      </c>
      <c r="E5" s="23">
        <v>1350</v>
      </c>
      <c r="F5" s="23">
        <v>2100</v>
      </c>
    </row>
    <row r="6" spans="2:6" x14ac:dyDescent="0.3">
      <c r="B6" t="s">
        <v>5</v>
      </c>
      <c r="C6" s="21"/>
      <c r="D6" s="21"/>
      <c r="E6" s="21"/>
      <c r="F6" s="21"/>
    </row>
    <row r="7" spans="2:6" x14ac:dyDescent="0.3">
      <c r="B7" t="s">
        <v>9</v>
      </c>
      <c r="C7" s="21">
        <v>300</v>
      </c>
      <c r="D7" s="21">
        <v>225</v>
      </c>
      <c r="E7" s="33">
        <v>500</v>
      </c>
      <c r="F7" s="21">
        <v>300</v>
      </c>
    </row>
    <row r="8" spans="2:6" x14ac:dyDescent="0.3">
      <c r="B8" t="s">
        <v>10</v>
      </c>
      <c r="C8" s="21">
        <v>975</v>
      </c>
      <c r="D8" s="33">
        <v>975</v>
      </c>
      <c r="E8" s="21">
        <v>850</v>
      </c>
      <c r="F8" s="22">
        <v>1200</v>
      </c>
    </row>
    <row r="9" spans="2:6" x14ac:dyDescent="0.3">
      <c r="B9" t="s">
        <v>11</v>
      </c>
      <c r="C9" s="20">
        <v>225</v>
      </c>
      <c r="D9" s="20">
        <v>300</v>
      </c>
      <c r="E9" s="20">
        <v>300</v>
      </c>
      <c r="F9" s="35">
        <v>150</v>
      </c>
    </row>
    <row r="10" spans="2:6" x14ac:dyDescent="0.3">
      <c r="B10" t="s">
        <v>12</v>
      </c>
      <c r="C10" s="30">
        <f>C7+C8-C9</f>
        <v>1050</v>
      </c>
      <c r="D10" s="20">
        <v>900</v>
      </c>
      <c r="E10" s="30">
        <v>1050</v>
      </c>
      <c r="F10" s="30">
        <v>1350</v>
      </c>
    </row>
    <row r="11" spans="2:6" x14ac:dyDescent="0.3">
      <c r="B11" t="s">
        <v>13</v>
      </c>
      <c r="C11" s="31">
        <f>C5-C10</f>
        <v>1200</v>
      </c>
      <c r="D11" s="31">
        <f>D5-D10</f>
        <v>900</v>
      </c>
      <c r="E11" s="34">
        <v>300</v>
      </c>
      <c r="F11" s="34">
        <v>750</v>
      </c>
    </row>
    <row r="12" spans="2:6" x14ac:dyDescent="0.3">
      <c r="B12" t="s">
        <v>14</v>
      </c>
      <c r="C12" s="20">
        <v>300</v>
      </c>
      <c r="D12" s="20">
        <v>400</v>
      </c>
      <c r="E12" s="20">
        <v>150</v>
      </c>
      <c r="F12" s="20">
        <v>-800</v>
      </c>
    </row>
    <row r="13" spans="2:6" x14ac:dyDescent="0.3">
      <c r="B13" s="5" t="s">
        <v>15</v>
      </c>
      <c r="C13" s="32">
        <f>C11-C12</f>
        <v>900</v>
      </c>
      <c r="D13" s="24" t="s">
        <v>88</v>
      </c>
      <c r="E13" s="24" t="s">
        <v>7</v>
      </c>
      <c r="F13" s="24" t="s">
        <v>8</v>
      </c>
    </row>
    <row r="16" spans="2:6" x14ac:dyDescent="0.3">
      <c r="B16" s="6" t="s">
        <v>17</v>
      </c>
    </row>
    <row r="18" spans="1:5" x14ac:dyDescent="0.3">
      <c r="B18" t="s">
        <v>21</v>
      </c>
    </row>
    <row r="19" spans="1:5" x14ac:dyDescent="0.3">
      <c r="B19" t="s">
        <v>22</v>
      </c>
    </row>
    <row r="20" spans="1:5" x14ac:dyDescent="0.3">
      <c r="B20" t="s">
        <v>18</v>
      </c>
      <c r="E20">
        <v>325000</v>
      </c>
    </row>
    <row r="21" spans="1:5" x14ac:dyDescent="0.3">
      <c r="B21" s="36" t="s">
        <v>23</v>
      </c>
    </row>
    <row r="22" spans="1:5" x14ac:dyDescent="0.3">
      <c r="A22">
        <v>1</v>
      </c>
      <c r="B22" t="s">
        <v>9</v>
      </c>
      <c r="D22">
        <v>50000</v>
      </c>
    </row>
    <row r="23" spans="1:5" x14ac:dyDescent="0.3">
      <c r="B23" t="s">
        <v>24</v>
      </c>
      <c r="C23">
        <v>167000</v>
      </c>
    </row>
    <row r="24" spans="1:5" x14ac:dyDescent="0.3">
      <c r="B24" t="s">
        <v>25</v>
      </c>
      <c r="C24" s="3">
        <v>4000</v>
      </c>
    </row>
    <row r="25" spans="1:5" x14ac:dyDescent="0.3">
      <c r="C25" s="1">
        <f>C23+C24</f>
        <v>171000</v>
      </c>
      <c r="D25" s="1"/>
    </row>
    <row r="26" spans="1:5" x14ac:dyDescent="0.3">
      <c r="B26" t="s">
        <v>26</v>
      </c>
      <c r="C26" s="3">
        <v>8000</v>
      </c>
    </row>
    <row r="27" spans="1:5" x14ac:dyDescent="0.3">
      <c r="A27">
        <v>2</v>
      </c>
      <c r="B27" t="s">
        <v>27</v>
      </c>
      <c r="D27" s="3">
        <f>C25-C26</f>
        <v>163000</v>
      </c>
    </row>
    <row r="28" spans="1:5" x14ac:dyDescent="0.3">
      <c r="B28" s="36" t="s">
        <v>28</v>
      </c>
      <c r="D28" s="1">
        <f>D22+D27</f>
        <v>213000</v>
      </c>
    </row>
    <row r="29" spans="1:5" x14ac:dyDescent="0.3">
      <c r="A29">
        <v>3</v>
      </c>
      <c r="B29" t="s">
        <v>29</v>
      </c>
      <c r="D29" s="3">
        <v>77500</v>
      </c>
    </row>
    <row r="30" spans="1:5" x14ac:dyDescent="0.3">
      <c r="B30" t="s">
        <v>30</v>
      </c>
      <c r="E30" s="3">
        <f>D28-D29</f>
        <v>135500</v>
      </c>
    </row>
    <row r="31" spans="1:5" x14ac:dyDescent="0.3">
      <c r="B31" t="s">
        <v>6</v>
      </c>
      <c r="E31" s="1">
        <f>E20-E30</f>
        <v>189500</v>
      </c>
    </row>
    <row r="32" spans="1:5" x14ac:dyDescent="0.3">
      <c r="B32" t="s">
        <v>31</v>
      </c>
      <c r="E32" s="3">
        <v>95000</v>
      </c>
    </row>
    <row r="33" spans="1:11" x14ac:dyDescent="0.3">
      <c r="B33" t="s">
        <v>20</v>
      </c>
      <c r="E33" s="1">
        <f>E31-E32</f>
        <v>94500</v>
      </c>
    </row>
    <row r="34" spans="1:11" x14ac:dyDescent="0.3">
      <c r="B34" t="s">
        <v>89</v>
      </c>
      <c r="E34" s="3">
        <f>E33*30%</f>
        <v>28350</v>
      </c>
    </row>
    <row r="35" spans="1:11" x14ac:dyDescent="0.3">
      <c r="B35" t="s">
        <v>32</v>
      </c>
      <c r="E35" s="37">
        <f>E33-E34</f>
        <v>66150</v>
      </c>
    </row>
    <row r="37" spans="1:11" x14ac:dyDescent="0.3">
      <c r="G37">
        <v>23</v>
      </c>
      <c r="J37" t="s">
        <v>92</v>
      </c>
      <c r="K37">
        <v>23</v>
      </c>
    </row>
    <row r="38" spans="1:11" x14ac:dyDescent="0.3">
      <c r="B38" s="6" t="s">
        <v>33</v>
      </c>
      <c r="E38" t="s">
        <v>18</v>
      </c>
      <c r="F38">
        <v>5800</v>
      </c>
      <c r="G38">
        <f>F38*G37</f>
        <v>133400</v>
      </c>
      <c r="H38" t="s">
        <v>91</v>
      </c>
      <c r="J38">
        <v>80</v>
      </c>
      <c r="K38">
        <f>J38*K37</f>
        <v>1840</v>
      </c>
    </row>
    <row r="39" spans="1:11" x14ac:dyDescent="0.3">
      <c r="A39" s="7" t="s">
        <v>41</v>
      </c>
      <c r="F39" t="s">
        <v>61</v>
      </c>
      <c r="G39">
        <v>15</v>
      </c>
    </row>
    <row r="40" spans="1:11" x14ac:dyDescent="0.3">
      <c r="B40" t="s">
        <v>34</v>
      </c>
      <c r="C40">
        <v>85500</v>
      </c>
      <c r="E40" s="1" t="s">
        <v>90</v>
      </c>
      <c r="F40">
        <v>673</v>
      </c>
      <c r="G40">
        <f>F40*G39</f>
        <v>10095</v>
      </c>
    </row>
    <row r="41" spans="1:11" x14ac:dyDescent="0.3">
      <c r="B41" t="s">
        <v>35</v>
      </c>
      <c r="D41">
        <v>85500</v>
      </c>
      <c r="E41" t="s">
        <v>71</v>
      </c>
      <c r="F41" s="38">
        <v>5700</v>
      </c>
      <c r="G41" s="36">
        <f>F41*G39</f>
        <v>85500</v>
      </c>
    </row>
    <row r="42" spans="1:11" x14ac:dyDescent="0.3">
      <c r="F42" s="1"/>
      <c r="G42">
        <f>G40+G41</f>
        <v>95595</v>
      </c>
    </row>
    <row r="43" spans="1:11" x14ac:dyDescent="0.3">
      <c r="B43" t="s">
        <v>36</v>
      </c>
      <c r="C43">
        <f>G38</f>
        <v>133400</v>
      </c>
      <c r="E43" s="1"/>
    </row>
    <row r="44" spans="1:11" x14ac:dyDescent="0.3">
      <c r="B44" t="s">
        <v>37</v>
      </c>
      <c r="D44">
        <v>133400</v>
      </c>
      <c r="F44" s="1"/>
    </row>
    <row r="45" spans="1:11" x14ac:dyDescent="0.3">
      <c r="F45" s="1"/>
    </row>
    <row r="46" spans="1:11" x14ac:dyDescent="0.3">
      <c r="B46" t="s">
        <v>38</v>
      </c>
      <c r="C46">
        <f>K38</f>
        <v>1840</v>
      </c>
      <c r="E46" s="1"/>
    </row>
    <row r="47" spans="1:11" x14ac:dyDescent="0.3">
      <c r="B47" t="s">
        <v>93</v>
      </c>
      <c r="C47">
        <f>80*15</f>
        <v>1200</v>
      </c>
      <c r="E47" s="1"/>
    </row>
    <row r="48" spans="1:11" x14ac:dyDescent="0.3">
      <c r="B48" t="s">
        <v>39</v>
      </c>
      <c r="D48">
        <f>C46</f>
        <v>1840</v>
      </c>
      <c r="F48" s="1"/>
    </row>
    <row r="49" spans="1:11" x14ac:dyDescent="0.3">
      <c r="B49" t="s">
        <v>40</v>
      </c>
      <c r="D49">
        <f>C47</f>
        <v>1200</v>
      </c>
      <c r="F49" s="1"/>
    </row>
    <row r="51" spans="1:11" x14ac:dyDescent="0.3">
      <c r="A51" s="7" t="s">
        <v>48</v>
      </c>
      <c r="B51" s="2" t="s">
        <v>44</v>
      </c>
      <c r="C51" s="2"/>
    </row>
    <row r="52" spans="1:11" x14ac:dyDescent="0.3">
      <c r="B52" s="2" t="s">
        <v>45</v>
      </c>
      <c r="C52" s="2"/>
      <c r="D52" t="s">
        <v>61</v>
      </c>
    </row>
    <row r="53" spans="1:11" x14ac:dyDescent="0.3">
      <c r="B53" t="s">
        <v>42</v>
      </c>
      <c r="C53">
        <f>G38</f>
        <v>133400</v>
      </c>
      <c r="D53">
        <v>5800</v>
      </c>
    </row>
    <row r="54" spans="1:11" x14ac:dyDescent="0.3">
      <c r="B54" t="s">
        <v>46</v>
      </c>
      <c r="C54">
        <f>K38</f>
        <v>1840</v>
      </c>
      <c r="D54">
        <v>80</v>
      </c>
      <c r="E54" s="1"/>
      <c r="G54" t="s">
        <v>103</v>
      </c>
      <c r="J54">
        <v>645</v>
      </c>
    </row>
    <row r="55" spans="1:11" x14ac:dyDescent="0.3">
      <c r="B55" t="s">
        <v>43</v>
      </c>
      <c r="C55" s="36">
        <f>C53-C54</f>
        <v>131560</v>
      </c>
      <c r="G55" t="s">
        <v>104</v>
      </c>
      <c r="K55">
        <v>645</v>
      </c>
    </row>
    <row r="56" spans="1:11" x14ac:dyDescent="0.3">
      <c r="B56" t="s">
        <v>47</v>
      </c>
      <c r="C56">
        <f>D56*15</f>
        <v>85800</v>
      </c>
      <c r="D56">
        <v>5720</v>
      </c>
      <c r="E56" s="1" t="s">
        <v>94</v>
      </c>
    </row>
    <row r="57" spans="1:11" x14ac:dyDescent="0.3">
      <c r="B57" t="s">
        <v>6</v>
      </c>
      <c r="C57" s="39">
        <f>C55-C56</f>
        <v>45760</v>
      </c>
    </row>
    <row r="58" spans="1:11" x14ac:dyDescent="0.3">
      <c r="C58" s="2" t="s">
        <v>61</v>
      </c>
    </row>
    <row r="59" spans="1:11" x14ac:dyDescent="0.3">
      <c r="A59" s="7" t="s">
        <v>49</v>
      </c>
      <c r="B59" t="s">
        <v>95</v>
      </c>
      <c r="C59">
        <v>673</v>
      </c>
    </row>
    <row r="60" spans="1:11" x14ac:dyDescent="0.3">
      <c r="B60" t="s">
        <v>96</v>
      </c>
      <c r="C60">
        <v>5700</v>
      </c>
    </row>
    <row r="61" spans="1:11" x14ac:dyDescent="0.3">
      <c r="B61" t="s">
        <v>97</v>
      </c>
      <c r="C61">
        <v>-5800</v>
      </c>
      <c r="E61" t="s">
        <v>61</v>
      </c>
      <c r="G61" t="s">
        <v>102</v>
      </c>
    </row>
    <row r="62" spans="1:11" x14ac:dyDescent="0.3">
      <c r="B62" t="s">
        <v>98</v>
      </c>
      <c r="C62">
        <v>80</v>
      </c>
      <c r="E62" t="s">
        <v>100</v>
      </c>
    </row>
    <row r="63" spans="1:11" x14ac:dyDescent="0.3">
      <c r="B63" t="s">
        <v>99</v>
      </c>
      <c r="C63" s="6">
        <f>SUM(C59:C62)</f>
        <v>653</v>
      </c>
      <c r="D63">
        <v>610</v>
      </c>
      <c r="E63" s="39">
        <f>C63-D63</f>
        <v>43</v>
      </c>
      <c r="F63" t="s">
        <v>101</v>
      </c>
      <c r="G63" s="6">
        <f>E63*15</f>
        <v>645</v>
      </c>
    </row>
    <row r="65" spans="1:12" x14ac:dyDescent="0.3">
      <c r="B65" s="6" t="s">
        <v>50</v>
      </c>
    </row>
    <row r="66" spans="1:12" x14ac:dyDescent="0.3">
      <c r="J66" t="s">
        <v>114</v>
      </c>
    </row>
    <row r="67" spans="1:12" x14ac:dyDescent="0.3">
      <c r="B67" t="s">
        <v>51</v>
      </c>
      <c r="G67" t="s">
        <v>61</v>
      </c>
      <c r="I67" t="s">
        <v>111</v>
      </c>
      <c r="J67" t="s">
        <v>57</v>
      </c>
      <c r="K67" t="s">
        <v>58</v>
      </c>
    </row>
    <row r="68" spans="1:12" x14ac:dyDescent="0.3">
      <c r="A68">
        <v>50</v>
      </c>
      <c r="B68" t="s">
        <v>105</v>
      </c>
      <c r="C68">
        <v>700</v>
      </c>
      <c r="G68">
        <v>50</v>
      </c>
      <c r="H68" s="36">
        <v>12.8</v>
      </c>
      <c r="J68">
        <v>700</v>
      </c>
      <c r="K68">
        <v>900</v>
      </c>
      <c r="L68" t="s">
        <v>112</v>
      </c>
    </row>
    <row r="69" spans="1:12" x14ac:dyDescent="0.3">
      <c r="A69">
        <v>75</v>
      </c>
      <c r="B69" t="s">
        <v>52</v>
      </c>
      <c r="C69" s="17">
        <v>900</v>
      </c>
      <c r="G69">
        <v>50</v>
      </c>
      <c r="J69">
        <v>600</v>
      </c>
      <c r="K69">
        <v>350</v>
      </c>
      <c r="L69" t="s">
        <v>113</v>
      </c>
    </row>
    <row r="70" spans="1:12" x14ac:dyDescent="0.3">
      <c r="B70" t="s">
        <v>107</v>
      </c>
      <c r="C70">
        <f>C68+C69</f>
        <v>1600</v>
      </c>
      <c r="D70" t="s">
        <v>106</v>
      </c>
      <c r="E70">
        <f>C70/125</f>
        <v>12.8</v>
      </c>
      <c r="J70" s="36">
        <f>J68+J69</f>
        <v>1300</v>
      </c>
      <c r="K70" s="36">
        <f>K68+K69</f>
        <v>1250</v>
      </c>
    </row>
    <row r="71" spans="1:12" x14ac:dyDescent="0.3">
      <c r="H71">
        <f>G68*H68</f>
        <v>640</v>
      </c>
    </row>
    <row r="72" spans="1:12" x14ac:dyDescent="0.3">
      <c r="B72" s="8" t="s">
        <v>53</v>
      </c>
      <c r="H72">
        <v>640</v>
      </c>
    </row>
    <row r="73" spans="1:12" x14ac:dyDescent="0.3">
      <c r="B73" t="s">
        <v>54</v>
      </c>
      <c r="H73" s="36">
        <f>H71+H72</f>
        <v>1280</v>
      </c>
    </row>
    <row r="74" spans="1:12" x14ac:dyDescent="0.3">
      <c r="C74" t="s">
        <v>108</v>
      </c>
      <c r="D74" t="s">
        <v>109</v>
      </c>
      <c r="E74" t="s">
        <v>110</v>
      </c>
    </row>
    <row r="75" spans="1:12" x14ac:dyDescent="0.3">
      <c r="B75" s="9"/>
      <c r="C75" s="9" t="s">
        <v>55</v>
      </c>
      <c r="D75" s="9" t="s">
        <v>57</v>
      </c>
      <c r="E75" s="9" t="s">
        <v>58</v>
      </c>
    </row>
    <row r="76" spans="1:12" x14ac:dyDescent="0.3">
      <c r="B76" s="10" t="s">
        <v>115</v>
      </c>
      <c r="C76" s="10">
        <f>25*E70</f>
        <v>320</v>
      </c>
      <c r="D76" s="10">
        <v>300</v>
      </c>
      <c r="E76" s="10">
        <v>350</v>
      </c>
    </row>
    <row r="77" spans="1:12" x14ac:dyDescent="0.3">
      <c r="B77" s="10" t="s">
        <v>19</v>
      </c>
      <c r="C77" s="40">
        <f>C78-C76</f>
        <v>1280</v>
      </c>
      <c r="D77" s="11">
        <f>D78-D76</f>
        <v>1300</v>
      </c>
      <c r="E77" s="11">
        <f>E78-E76</f>
        <v>1250</v>
      </c>
    </row>
    <row r="78" spans="1:12" x14ac:dyDescent="0.3">
      <c r="B78" s="10" t="s">
        <v>56</v>
      </c>
      <c r="C78" s="11">
        <v>1600</v>
      </c>
      <c r="D78" s="11">
        <v>1600</v>
      </c>
      <c r="E78" s="11">
        <v>1600</v>
      </c>
    </row>
    <row r="80" spans="1:12" x14ac:dyDescent="0.3">
      <c r="B80" s="6" t="s">
        <v>59</v>
      </c>
    </row>
    <row r="82" spans="1:11" x14ac:dyDescent="0.3">
      <c r="B82" t="s">
        <v>63</v>
      </c>
      <c r="H82" t="s">
        <v>58</v>
      </c>
      <c r="I82">
        <f>E88+E87+E86+E85</f>
        <v>26220</v>
      </c>
      <c r="J82" t="s">
        <v>116</v>
      </c>
      <c r="K82">
        <f>I82+(2*370)</f>
        <v>26960</v>
      </c>
    </row>
    <row r="83" spans="1:11" x14ac:dyDescent="0.3">
      <c r="B83" s="12" t="s">
        <v>60</v>
      </c>
      <c r="C83" s="25" t="s">
        <v>61</v>
      </c>
      <c r="D83" s="25" t="s">
        <v>62</v>
      </c>
      <c r="E83" t="s">
        <v>102</v>
      </c>
      <c r="F83" t="s">
        <v>57</v>
      </c>
    </row>
    <row r="84" spans="1:11" x14ac:dyDescent="0.3">
      <c r="B84" s="13">
        <v>37135</v>
      </c>
      <c r="C84" s="21">
        <v>12</v>
      </c>
      <c r="D84" s="21">
        <v>370</v>
      </c>
      <c r="E84">
        <f>C84*D84</f>
        <v>4440</v>
      </c>
    </row>
    <row r="85" spans="1:11" x14ac:dyDescent="0.3">
      <c r="B85" s="13">
        <v>42278</v>
      </c>
      <c r="C85" s="21">
        <v>20</v>
      </c>
      <c r="D85" s="21">
        <v>375</v>
      </c>
      <c r="E85">
        <f>C85*D85</f>
        <v>7500</v>
      </c>
      <c r="H85" s="36" t="s">
        <v>61</v>
      </c>
    </row>
    <row r="86" spans="1:11" x14ac:dyDescent="0.3">
      <c r="B86" s="13">
        <v>37561</v>
      </c>
      <c r="C86" s="21">
        <v>32</v>
      </c>
      <c r="D86" s="21">
        <v>360</v>
      </c>
      <c r="E86">
        <f>C86*D86</f>
        <v>11520</v>
      </c>
      <c r="G86">
        <v>52125</v>
      </c>
      <c r="H86">
        <f>G86/G87</f>
        <v>75</v>
      </c>
    </row>
    <row r="87" spans="1:11" x14ac:dyDescent="0.3">
      <c r="B87" s="41">
        <v>40513</v>
      </c>
      <c r="C87" s="21">
        <v>11</v>
      </c>
      <c r="D87" s="21">
        <v>350</v>
      </c>
      <c r="E87">
        <f>C87*D87</f>
        <v>3850</v>
      </c>
      <c r="F87">
        <f>E84+E85+E86+E87</f>
        <v>27310</v>
      </c>
      <c r="G87">
        <v>695</v>
      </c>
    </row>
    <row r="88" spans="1:11" x14ac:dyDescent="0.3">
      <c r="B88" s="14">
        <v>37653</v>
      </c>
      <c r="C88" s="26">
        <v>10</v>
      </c>
      <c r="D88" s="26">
        <v>335</v>
      </c>
      <c r="E88">
        <f>C88*D88</f>
        <v>3350</v>
      </c>
    </row>
    <row r="89" spans="1:11" x14ac:dyDescent="0.3">
      <c r="C89" s="33">
        <f>SUM(C84:C88)</f>
        <v>85</v>
      </c>
      <c r="E89" s="36">
        <f>SUM(E84:E88)</f>
        <v>30660</v>
      </c>
      <c r="F89" t="s">
        <v>55</v>
      </c>
      <c r="G89" s="42">
        <f>E89/C89</f>
        <v>360.70588235294116</v>
      </c>
    </row>
    <row r="90" spans="1:11" x14ac:dyDescent="0.3">
      <c r="A90" s="7" t="s">
        <v>41</v>
      </c>
      <c r="B90" s="12"/>
      <c r="C90" s="28" t="s">
        <v>57</v>
      </c>
      <c r="D90" s="28" t="s">
        <v>55</v>
      </c>
      <c r="E90" s="28" t="s">
        <v>58</v>
      </c>
    </row>
    <row r="91" spans="1:11" x14ac:dyDescent="0.3">
      <c r="B91" t="s">
        <v>18</v>
      </c>
      <c r="C91" s="22">
        <v>52125</v>
      </c>
      <c r="D91" s="22">
        <v>52125</v>
      </c>
      <c r="E91" s="22">
        <v>52125</v>
      </c>
    </row>
    <row r="92" spans="1:11" x14ac:dyDescent="0.3">
      <c r="B92" t="s">
        <v>19</v>
      </c>
      <c r="C92" s="22">
        <f>F87</f>
        <v>27310</v>
      </c>
      <c r="D92" s="22">
        <f>G89*75</f>
        <v>27052.941176470587</v>
      </c>
      <c r="E92" s="22">
        <f>K82</f>
        <v>26960</v>
      </c>
    </row>
    <row r="93" spans="1:11" x14ac:dyDescent="0.3">
      <c r="B93" t="s">
        <v>6</v>
      </c>
      <c r="C93" s="31">
        <f>C91-C92</f>
        <v>24815</v>
      </c>
      <c r="D93" s="31">
        <f>D91-D92</f>
        <v>25072.058823529413</v>
      </c>
      <c r="E93" s="31">
        <f>E91-E92</f>
        <v>25165</v>
      </c>
    </row>
    <row r="94" spans="1:11" x14ac:dyDescent="0.3">
      <c r="A94" s="7" t="s">
        <v>48</v>
      </c>
      <c r="C94" s="29" t="s">
        <v>57</v>
      </c>
      <c r="D94" s="29" t="s">
        <v>55</v>
      </c>
      <c r="E94" s="29" t="s">
        <v>58</v>
      </c>
    </row>
    <row r="95" spans="1:11" x14ac:dyDescent="0.3">
      <c r="B95" t="s">
        <v>64</v>
      </c>
      <c r="C95" s="27">
        <f>C93/C91</f>
        <v>0.47606714628297364</v>
      </c>
      <c r="D95" s="27">
        <f>D93/D91</f>
        <v>0.4809987304274228</v>
      </c>
      <c r="E95" s="27">
        <f>E93/E91</f>
        <v>0.48278177458033572</v>
      </c>
    </row>
    <row r="96" spans="1:11" x14ac:dyDescent="0.3">
      <c r="C96" s="33" t="s">
        <v>18</v>
      </c>
      <c r="D96" s="33" t="s">
        <v>102</v>
      </c>
      <c r="E96" s="21"/>
    </row>
    <row r="97" spans="1:5" x14ac:dyDescent="0.3">
      <c r="A97" s="7" t="s">
        <v>49</v>
      </c>
      <c r="B97" t="s">
        <v>65</v>
      </c>
      <c r="C97" s="21">
        <v>52125</v>
      </c>
      <c r="D97" s="21">
        <v>-30660</v>
      </c>
      <c r="E97" s="43">
        <f>C97+D97</f>
        <v>21465</v>
      </c>
    </row>
    <row r="98" spans="1:5" x14ac:dyDescent="0.3">
      <c r="C98" s="21"/>
      <c r="D98" s="21"/>
      <c r="E98" s="21"/>
    </row>
    <row r="99" spans="1:5" x14ac:dyDescent="0.3">
      <c r="A99" s="7" t="s">
        <v>68</v>
      </c>
      <c r="C99" s="29" t="s">
        <v>57</v>
      </c>
      <c r="D99" s="29" t="s">
        <v>55</v>
      </c>
      <c r="E99" s="29" t="s">
        <v>58</v>
      </c>
    </row>
    <row r="100" spans="1:5" x14ac:dyDescent="0.3">
      <c r="B100" t="s">
        <v>66</v>
      </c>
      <c r="C100" s="21">
        <f>E97</f>
        <v>21465</v>
      </c>
      <c r="D100" s="21">
        <f>E97</f>
        <v>21465</v>
      </c>
      <c r="E100" s="21">
        <f>E97</f>
        <v>21465</v>
      </c>
    </row>
    <row r="101" spans="1:5" x14ac:dyDescent="0.3">
      <c r="B101" t="s">
        <v>117</v>
      </c>
      <c r="C101" s="22">
        <f>C93*30%</f>
        <v>7444.5</v>
      </c>
      <c r="D101" s="22">
        <f>D93*30%</f>
        <v>7521.6176470588234</v>
      </c>
      <c r="E101" s="22">
        <f>E93*30%</f>
        <v>7549.5</v>
      </c>
    </row>
    <row r="102" spans="1:5" x14ac:dyDescent="0.3">
      <c r="B102" t="s">
        <v>67</v>
      </c>
      <c r="C102" s="44">
        <f>C100-C101</f>
        <v>14020.5</v>
      </c>
      <c r="D102" s="44">
        <f>D100-D101</f>
        <v>13943.382352941177</v>
      </c>
      <c r="E102" s="44">
        <f>E100-E101</f>
        <v>13915.5</v>
      </c>
    </row>
    <row r="104" spans="1:5" x14ac:dyDescent="0.3">
      <c r="B104" s="6" t="s">
        <v>69</v>
      </c>
    </row>
    <row r="106" spans="1:5" x14ac:dyDescent="0.3">
      <c r="A106" s="7" t="s">
        <v>41</v>
      </c>
      <c r="B106" s="18"/>
      <c r="C106" s="2" t="s">
        <v>83</v>
      </c>
      <c r="D106" s="2" t="s">
        <v>84</v>
      </c>
      <c r="E106" s="2" t="s">
        <v>85</v>
      </c>
    </row>
    <row r="107" spans="1:5" x14ac:dyDescent="0.3">
      <c r="B107" s="18" t="s">
        <v>70</v>
      </c>
      <c r="C107" s="1">
        <v>100000</v>
      </c>
      <c r="D107" s="1">
        <v>370000</v>
      </c>
      <c r="E107" s="1">
        <v>60000</v>
      </c>
    </row>
    <row r="108" spans="1:5" x14ac:dyDescent="0.3">
      <c r="A108">
        <v>1</v>
      </c>
      <c r="B108" s="18" t="s">
        <v>71</v>
      </c>
      <c r="C108" s="1">
        <v>872000</v>
      </c>
    </row>
    <row r="109" spans="1:5" x14ac:dyDescent="0.3">
      <c r="B109" s="18" t="s">
        <v>72</v>
      </c>
      <c r="C109" s="1">
        <v>22000</v>
      </c>
    </row>
    <row r="110" spans="1:5" x14ac:dyDescent="0.3">
      <c r="A110">
        <v>2</v>
      </c>
      <c r="B110" s="18" t="s">
        <v>73</v>
      </c>
      <c r="D110" s="1">
        <v>565000</v>
      </c>
    </row>
    <row r="111" spans="1:5" x14ac:dyDescent="0.3">
      <c r="A111">
        <v>3</v>
      </c>
      <c r="B111" s="18" t="s">
        <v>74</v>
      </c>
      <c r="C111" s="1">
        <v>-900000</v>
      </c>
      <c r="D111" s="1">
        <v>900000</v>
      </c>
    </row>
    <row r="112" spans="1:5" x14ac:dyDescent="0.3">
      <c r="A112">
        <v>4</v>
      </c>
      <c r="B112" s="18" t="s">
        <v>75</v>
      </c>
      <c r="D112" s="1">
        <v>27000</v>
      </c>
    </row>
    <row r="113" spans="1:7" x14ac:dyDescent="0.3">
      <c r="B113" s="18" t="s">
        <v>76</v>
      </c>
      <c r="D113" s="1">
        <v>46000</v>
      </c>
    </row>
    <row r="114" spans="1:7" x14ac:dyDescent="0.3">
      <c r="B114" s="18" t="s">
        <v>77</v>
      </c>
      <c r="D114" s="1">
        <v>54000</v>
      </c>
    </row>
    <row r="115" spans="1:7" x14ac:dyDescent="0.3">
      <c r="B115" s="18" t="s">
        <v>78</v>
      </c>
      <c r="D115" s="1">
        <v>147000</v>
      </c>
    </row>
    <row r="116" spans="1:7" x14ac:dyDescent="0.3">
      <c r="B116" s="18" t="s">
        <v>79</v>
      </c>
      <c r="D116" s="1">
        <v>46000</v>
      </c>
    </row>
    <row r="117" spans="1:7" x14ac:dyDescent="0.3">
      <c r="B117" s="18" t="s">
        <v>80</v>
      </c>
      <c r="D117" s="1">
        <v>14000</v>
      </c>
    </row>
    <row r="118" spans="1:7" x14ac:dyDescent="0.3">
      <c r="A118">
        <v>5</v>
      </c>
      <c r="B118" s="19" t="s">
        <v>81</v>
      </c>
      <c r="C118" s="15"/>
      <c r="D118" s="16">
        <v>-2035000</v>
      </c>
      <c r="E118" s="15">
        <v>2035000</v>
      </c>
      <c r="F118" s="17"/>
      <c r="G118" s="3"/>
    </row>
    <row r="119" spans="1:7" x14ac:dyDescent="0.3">
      <c r="B119" s="18"/>
      <c r="C119" s="1">
        <f>C107+C108+C109+C111</f>
        <v>94000</v>
      </c>
      <c r="D119" s="1">
        <f>SUM(D107:D118)</f>
        <v>134000</v>
      </c>
      <c r="E119" s="1">
        <f>E107+E118</f>
        <v>2095000</v>
      </c>
      <c r="F119" s="1"/>
    </row>
    <row r="120" spans="1:7" x14ac:dyDescent="0.3">
      <c r="B120" s="18" t="s">
        <v>118</v>
      </c>
      <c r="C120" s="15"/>
      <c r="D120" s="15"/>
      <c r="E120" s="16">
        <f>E119-E121</f>
        <v>2002000</v>
      </c>
      <c r="F120" s="3"/>
    </row>
    <row r="121" spans="1:7" x14ac:dyDescent="0.3">
      <c r="B121" s="18" t="s">
        <v>82</v>
      </c>
      <c r="C121" s="1">
        <f>C119</f>
        <v>94000</v>
      </c>
      <c r="D121" s="1">
        <f>D119</f>
        <v>134000</v>
      </c>
      <c r="E121">
        <v>93000</v>
      </c>
    </row>
    <row r="123" spans="1:7" x14ac:dyDescent="0.3">
      <c r="A123" s="7" t="s">
        <v>48</v>
      </c>
      <c r="B123" t="s">
        <v>18</v>
      </c>
      <c r="C123">
        <v>2600000</v>
      </c>
    </row>
    <row r="124" spans="1:7" x14ac:dyDescent="0.3">
      <c r="B124" t="s">
        <v>86</v>
      </c>
      <c r="C124" s="1">
        <f>E120</f>
        <v>2002000</v>
      </c>
    </row>
    <row r="125" spans="1:7" x14ac:dyDescent="0.3">
      <c r="B125" t="s">
        <v>6</v>
      </c>
      <c r="C125" s="45">
        <f>C123-C124</f>
        <v>598000</v>
      </c>
      <c r="D125" s="46">
        <f>C125/C123</f>
        <v>0.23</v>
      </c>
    </row>
    <row r="127" spans="1:7" x14ac:dyDescent="0.3">
      <c r="B127" s="6" t="s">
        <v>87</v>
      </c>
      <c r="C127" t="s">
        <v>157</v>
      </c>
    </row>
  </sheetData>
  <pageMargins left="0.7" right="0.7" top="0.75" bottom="0.75" header="0.3" footer="0.3"/>
  <pageSetup orientation="portrait" r:id="rId1"/>
  <ignoredErrors>
    <ignoredError sqref="E3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B275D-FB41-45B7-96FA-C5CB3191594B}">
  <dimension ref="B2:I14"/>
  <sheetViews>
    <sheetView tabSelected="1" workbookViewId="0">
      <selection activeCell="K4" sqref="K4"/>
    </sheetView>
  </sheetViews>
  <sheetFormatPr defaultRowHeight="14.4" x14ac:dyDescent="0.3"/>
  <cols>
    <col min="2" max="2" width="12.33203125" customWidth="1"/>
    <col min="4" max="4" width="9.33203125" customWidth="1"/>
    <col min="5" max="5" width="21.44140625" customWidth="1"/>
    <col min="6" max="6" width="12.21875" customWidth="1"/>
    <col min="7" max="7" width="15.21875" customWidth="1"/>
    <col min="8" max="8" width="10.88671875" customWidth="1"/>
    <col min="9" max="9" width="13.21875" customWidth="1"/>
  </cols>
  <sheetData>
    <row r="2" spans="2:9" x14ac:dyDescent="0.3">
      <c r="B2" s="6" t="s">
        <v>87</v>
      </c>
    </row>
    <row r="3" spans="2:9" x14ac:dyDescent="0.3">
      <c r="B3" s="47"/>
      <c r="C3" s="47"/>
      <c r="D3" s="47"/>
      <c r="E3" s="47"/>
      <c r="F3" s="48" t="s">
        <v>119</v>
      </c>
      <c r="G3" s="48" t="s">
        <v>120</v>
      </c>
      <c r="H3" s="47"/>
      <c r="I3" s="47"/>
    </row>
    <row r="4" spans="2:9" ht="72" x14ac:dyDescent="0.3">
      <c r="B4" s="47"/>
      <c r="C4" s="47"/>
      <c r="D4" s="47" t="s">
        <v>121</v>
      </c>
      <c r="E4" s="47" t="s">
        <v>122</v>
      </c>
      <c r="F4" s="47" t="s">
        <v>123</v>
      </c>
      <c r="G4" s="47" t="s">
        <v>124</v>
      </c>
      <c r="H4" s="47" t="s">
        <v>125</v>
      </c>
      <c r="I4" s="47" t="s">
        <v>126</v>
      </c>
    </row>
    <row r="5" spans="2:9" x14ac:dyDescent="0.3">
      <c r="B5" s="47" t="s">
        <v>127</v>
      </c>
      <c r="C5" s="47" t="s">
        <v>128</v>
      </c>
      <c r="D5" s="47"/>
      <c r="E5" s="47"/>
      <c r="F5" s="47"/>
      <c r="G5" s="47"/>
      <c r="H5" s="47"/>
      <c r="I5" s="47"/>
    </row>
    <row r="6" spans="2:9" x14ac:dyDescent="0.3">
      <c r="B6" s="53" t="s">
        <v>129</v>
      </c>
      <c r="C6" s="53">
        <v>30</v>
      </c>
      <c r="D6" s="55" t="s">
        <v>130</v>
      </c>
      <c r="E6" s="49" t="s">
        <v>131</v>
      </c>
      <c r="F6" s="53" t="s">
        <v>133</v>
      </c>
      <c r="G6" s="53" t="s">
        <v>134</v>
      </c>
      <c r="H6" s="51" t="s">
        <v>133</v>
      </c>
      <c r="I6" s="49" t="s">
        <v>133</v>
      </c>
    </row>
    <row r="7" spans="2:9" ht="28.8" x14ac:dyDescent="0.3">
      <c r="B7" s="54"/>
      <c r="C7" s="54"/>
      <c r="D7" s="56"/>
      <c r="E7" s="50" t="s">
        <v>132</v>
      </c>
      <c r="F7" s="54"/>
      <c r="G7" s="54"/>
      <c r="H7" s="52"/>
      <c r="I7" s="50" t="s">
        <v>135</v>
      </c>
    </row>
    <row r="8" spans="2:9" x14ac:dyDescent="0.3">
      <c r="B8" s="53" t="s">
        <v>136</v>
      </c>
      <c r="C8" s="53">
        <v>40</v>
      </c>
      <c r="D8" s="55">
        <v>173</v>
      </c>
      <c r="E8" s="49" t="s">
        <v>137</v>
      </c>
      <c r="F8" s="53" t="s">
        <v>139</v>
      </c>
      <c r="G8" s="53" t="s">
        <v>140</v>
      </c>
      <c r="H8" s="51">
        <v>183</v>
      </c>
      <c r="I8" s="49" t="s">
        <v>141</v>
      </c>
    </row>
    <row r="9" spans="2:9" x14ac:dyDescent="0.3">
      <c r="B9" s="54"/>
      <c r="C9" s="54"/>
      <c r="D9" s="56"/>
      <c r="E9" s="50" t="s">
        <v>138</v>
      </c>
      <c r="F9" s="54"/>
      <c r="G9" s="54"/>
      <c r="H9" s="52"/>
      <c r="I9" s="50" t="s">
        <v>142</v>
      </c>
    </row>
    <row r="10" spans="2:9" x14ac:dyDescent="0.3">
      <c r="B10" s="53" t="s">
        <v>143</v>
      </c>
      <c r="C10" s="53">
        <v>20</v>
      </c>
      <c r="D10" s="55">
        <v>131</v>
      </c>
      <c r="E10" s="49" t="s">
        <v>144</v>
      </c>
      <c r="F10" s="53" t="s">
        <v>146</v>
      </c>
      <c r="G10" s="53" t="s">
        <v>147</v>
      </c>
      <c r="H10" s="51">
        <v>134</v>
      </c>
      <c r="I10" s="49" t="s">
        <v>148</v>
      </c>
    </row>
    <row r="11" spans="2:9" ht="28.8" x14ac:dyDescent="0.3">
      <c r="B11" s="54"/>
      <c r="C11" s="54"/>
      <c r="D11" s="56"/>
      <c r="E11" s="50" t="s">
        <v>145</v>
      </c>
      <c r="F11" s="54"/>
      <c r="G11" s="54"/>
      <c r="H11" s="52"/>
      <c r="I11" s="50" t="s">
        <v>149</v>
      </c>
    </row>
    <row r="12" spans="2:9" x14ac:dyDescent="0.3">
      <c r="B12" s="53" t="s">
        <v>150</v>
      </c>
      <c r="C12" s="53">
        <v>40</v>
      </c>
      <c r="D12" s="55">
        <v>113</v>
      </c>
      <c r="E12" s="53" t="s">
        <v>151</v>
      </c>
      <c r="F12" s="53" t="s">
        <v>152</v>
      </c>
      <c r="G12" s="53" t="s">
        <v>153</v>
      </c>
      <c r="H12" s="51">
        <v>113</v>
      </c>
      <c r="I12" s="49">
        <v>0</v>
      </c>
    </row>
    <row r="13" spans="2:9" x14ac:dyDescent="0.3">
      <c r="B13" s="54"/>
      <c r="C13" s="54"/>
      <c r="D13" s="56"/>
      <c r="E13" s="54"/>
      <c r="F13" s="54"/>
      <c r="G13" s="54"/>
      <c r="H13" s="52"/>
      <c r="I13" s="50" t="s">
        <v>154</v>
      </c>
    </row>
    <row r="14" spans="2:9" ht="28.8" x14ac:dyDescent="0.3">
      <c r="B14" s="47" t="s">
        <v>155</v>
      </c>
      <c r="C14" s="47"/>
      <c r="D14" s="47"/>
      <c r="E14" s="47"/>
      <c r="F14" s="47"/>
      <c r="G14" s="47"/>
      <c r="H14" s="47"/>
      <c r="I14" s="47" t="s">
        <v>156</v>
      </c>
    </row>
  </sheetData>
  <mergeCells count="25">
    <mergeCell ref="H6:H7"/>
    <mergeCell ref="B6:B7"/>
    <mergeCell ref="C6:C7"/>
    <mergeCell ref="D6:D7"/>
    <mergeCell ref="F6:F7"/>
    <mergeCell ref="G6:G7"/>
    <mergeCell ref="H10:H11"/>
    <mergeCell ref="B8:B9"/>
    <mergeCell ref="C8:C9"/>
    <mergeCell ref="D8:D9"/>
    <mergeCell ref="F8:F9"/>
    <mergeCell ref="G8:G9"/>
    <mergeCell ref="H8:H9"/>
    <mergeCell ref="B10:B11"/>
    <mergeCell ref="C10:C11"/>
    <mergeCell ref="D10:D11"/>
    <mergeCell ref="F10:F11"/>
    <mergeCell ref="G10:G11"/>
    <mergeCell ref="H12:H13"/>
    <mergeCell ref="B12:B13"/>
    <mergeCell ref="C12:C13"/>
    <mergeCell ref="D12:D13"/>
    <mergeCell ref="E12:E13"/>
    <mergeCell ref="F12:F13"/>
    <mergeCell ref="G12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Amrinder Singh</dc:creator>
  <cp:lastModifiedBy>ROHIT GHOSH</cp:lastModifiedBy>
  <dcterms:created xsi:type="dcterms:W3CDTF">2015-06-05T18:17:20Z</dcterms:created>
  <dcterms:modified xsi:type="dcterms:W3CDTF">2025-09-21T13:37:38Z</dcterms:modified>
</cp:coreProperties>
</file>