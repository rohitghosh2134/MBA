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E7982FA6-C94C-4E25-ABCC-475F622730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H34" i="1"/>
  <c r="H29" i="1"/>
  <c r="H27" i="1"/>
  <c r="M25" i="1"/>
  <c r="L25" i="1"/>
  <c r="H21" i="1" s="1"/>
  <c r="H24" i="1" s="1"/>
  <c r="L24" i="1"/>
  <c r="L23" i="1"/>
  <c r="H20" i="1"/>
  <c r="H15" i="1"/>
  <c r="H14" i="1"/>
  <c r="H13" i="1"/>
  <c r="H12" i="1"/>
  <c r="H11" i="1"/>
  <c r="H7" i="1"/>
  <c r="H31" i="1"/>
  <c r="L12" i="1"/>
  <c r="L9" i="1"/>
  <c r="L11" i="1" s="1"/>
  <c r="L13" i="1" s="1"/>
  <c r="L16" i="1" s="1"/>
  <c r="L17" i="1" s="1"/>
  <c r="L20" i="1" s="1"/>
  <c r="L21" i="1" s="1"/>
  <c r="H10" i="1" s="1"/>
  <c r="H17" i="1" s="1"/>
  <c r="D27" i="1"/>
  <c r="C27" i="1"/>
  <c r="D24" i="1"/>
  <c r="D28" i="1" s="1"/>
  <c r="D22" i="1"/>
  <c r="C22" i="1"/>
  <c r="C24" i="1" s="1"/>
  <c r="D15" i="1"/>
  <c r="C15" i="1"/>
  <c r="D11" i="1"/>
  <c r="C11" i="1"/>
  <c r="H35" i="1" l="1"/>
  <c r="C16" i="1"/>
  <c r="C28" i="1"/>
  <c r="D16" i="1"/>
</calcChain>
</file>

<file path=xl/sharedStrings.xml><?xml version="1.0" encoding="utf-8"?>
<sst xmlns="http://schemas.openxmlformats.org/spreadsheetml/2006/main" count="77" uniqueCount="72">
  <si>
    <t xml:space="preserve">                                     Balance Sheets</t>
  </si>
  <si>
    <t>Year 9</t>
  </si>
  <si>
    <t>Year 10</t>
  </si>
  <si>
    <t>Assets</t>
  </si>
  <si>
    <t>($)</t>
  </si>
  <si>
    <t>Cash</t>
  </si>
  <si>
    <t>Accounts Receivable</t>
  </si>
  <si>
    <t>Inventory</t>
  </si>
  <si>
    <t>Total current assets</t>
  </si>
  <si>
    <t>Land</t>
  </si>
  <si>
    <t>Building and machinery</t>
  </si>
  <si>
    <t>Less Acc. Depreciation</t>
  </si>
  <si>
    <t>Total assets</t>
  </si>
  <si>
    <t>Net building &amp; Machinery</t>
  </si>
  <si>
    <t>Liabilities &amp; Shareholders Equity</t>
  </si>
  <si>
    <t>Accounts payable</t>
  </si>
  <si>
    <t>Taxes Payable</t>
  </si>
  <si>
    <t>Other Short-term payables</t>
  </si>
  <si>
    <t>Total current liabilities</t>
  </si>
  <si>
    <t>Bonds payable</t>
  </si>
  <si>
    <t>Total liabilities</t>
  </si>
  <si>
    <t>Common Stock</t>
  </si>
  <si>
    <t>Retained Earnings</t>
  </si>
  <si>
    <t>Total Shareholders equity</t>
  </si>
  <si>
    <t>Total liabilities &amp; Equity</t>
  </si>
  <si>
    <t xml:space="preserve">                     December 31, Year 10 and Year 9</t>
  </si>
  <si>
    <t xml:space="preserve">                             WYATT CORPORATION</t>
  </si>
  <si>
    <t>Supplementary information:</t>
  </si>
  <si>
    <t>1. Dividends declared and paid in Year 10 were $74,000</t>
  </si>
  <si>
    <t>2. Depreciation Expense for Year 10 was $246000</t>
  </si>
  <si>
    <t>3. Machinery originally costing $61000 was sold for $34000 in Year 10</t>
  </si>
  <si>
    <t xml:space="preserve">                                     Cash Flow Statement</t>
  </si>
  <si>
    <t>Amt. ($)</t>
  </si>
  <si>
    <t>Net Income</t>
  </si>
  <si>
    <t>(R.E. + Dividends)</t>
  </si>
  <si>
    <t>Add/Less</t>
  </si>
  <si>
    <t>Depreciation</t>
  </si>
  <si>
    <t xml:space="preserve">                                   December 31, Year 10 </t>
  </si>
  <si>
    <t>Acc. Dep. (Year 9)</t>
  </si>
  <si>
    <t>Add: Dep. For Yr. 10</t>
  </si>
  <si>
    <t>Less: Acc. Dep (10)</t>
  </si>
  <si>
    <t>Orginal Cost of Mach. Sold</t>
  </si>
  <si>
    <t>Acc. Dep. On Mach. Sold</t>
  </si>
  <si>
    <t>less: Acc. Dep. On Mach.</t>
  </si>
  <si>
    <t>Value of the Mch. Sold</t>
  </si>
  <si>
    <t>Proceeds from Sale</t>
  </si>
  <si>
    <t>less : the value of mach.</t>
  </si>
  <si>
    <t>Gain on sale of mach.</t>
  </si>
  <si>
    <t>Less: Inc. in A/R</t>
  </si>
  <si>
    <t>less: Inc. in Inventory</t>
  </si>
  <si>
    <t>Add: Inc. in A/P</t>
  </si>
  <si>
    <t>less: Dec. in Taxes Payable</t>
  </si>
  <si>
    <t>Add: Inc. in Short-term Payables</t>
  </si>
  <si>
    <t>Cash from Operating Activities</t>
  </si>
  <si>
    <t>Investing Activities</t>
  </si>
  <si>
    <t>Purchase of Land</t>
  </si>
  <si>
    <t>Building &amp; Mach. (Year 9)</t>
  </si>
  <si>
    <t>less: original cost Mach. Sold</t>
  </si>
  <si>
    <t>Yr. 10</t>
  </si>
  <si>
    <t>Purchase of Building &amp; Mach.</t>
  </si>
  <si>
    <t>Proceeds from Sale of Mach.</t>
  </si>
  <si>
    <t>Cash flow from Investing Act.</t>
  </si>
  <si>
    <t>Financing Activities</t>
  </si>
  <si>
    <t>Issuance of Stock</t>
  </si>
  <si>
    <t>Bonds Paid</t>
  </si>
  <si>
    <t>Cash flow from Financing Activities</t>
  </si>
  <si>
    <t>Net inc. in Cash</t>
  </si>
  <si>
    <t>Add: Cash in Year 9</t>
  </si>
  <si>
    <t>Cash at Year 10 end</t>
  </si>
  <si>
    <t>less: gain on sale of machinery</t>
  </si>
  <si>
    <t>(Sup. Inf.)</t>
  </si>
  <si>
    <t>Dividends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</si>
</sst>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5"/>
  <sheetViews>
    <sheetView tabSelected="1" zoomScale="110" zoomScaleNormal="110" workbookViewId="0">
      <selection activeCell="H34" sqref="H34"/>
    </sheetView>
  </sheetViews>
  <sheetFormatPr defaultRowHeight="14.5" x14ac:dyDescent="0.35"/>
  <cols>
    <col min="1" max="1" width="3.54296875" customWidth="1"/>
    <col min="2" max="2" width="29.1796875" customWidth="1"/>
    <col min="7" max="7" width="30.1796875" customWidth="1"/>
    <col min="11" max="11" width="17.54296875" customWidth="1"/>
  </cols>
  <sheetData>
    <row r="3" spans="2:13" x14ac:dyDescent="0.35">
      <c r="B3" s="1" t="s">
        <v>26</v>
      </c>
      <c r="C3" s="1"/>
      <c r="F3" s="1" t="s">
        <v>26</v>
      </c>
      <c r="G3" s="1"/>
    </row>
    <row r="4" spans="2:13" x14ac:dyDescent="0.35">
      <c r="B4" s="1" t="s">
        <v>0</v>
      </c>
      <c r="C4" s="1"/>
      <c r="F4" s="1" t="s">
        <v>31</v>
      </c>
      <c r="G4" s="1"/>
    </row>
    <row r="5" spans="2:13" x14ac:dyDescent="0.35">
      <c r="B5" s="1" t="s">
        <v>25</v>
      </c>
      <c r="F5" s="1" t="s">
        <v>37</v>
      </c>
    </row>
    <row r="6" spans="2:13" x14ac:dyDescent="0.35">
      <c r="B6" s="2"/>
      <c r="C6" s="2" t="s">
        <v>1</v>
      </c>
      <c r="D6" s="2" t="s">
        <v>2</v>
      </c>
      <c r="G6" s="13"/>
      <c r="H6" s="2" t="s">
        <v>32</v>
      </c>
    </row>
    <row r="7" spans="2:13" x14ac:dyDescent="0.35">
      <c r="B7" s="2" t="s">
        <v>3</v>
      </c>
      <c r="C7" s="2" t="s">
        <v>4</v>
      </c>
      <c r="D7" s="2" t="s">
        <v>4</v>
      </c>
      <c r="G7" s="2" t="s">
        <v>33</v>
      </c>
      <c r="H7" s="13">
        <f>(D26-C26)+74000</f>
        <v>186000</v>
      </c>
      <c r="I7" t="s">
        <v>34</v>
      </c>
    </row>
    <row r="8" spans="2:13" x14ac:dyDescent="0.35">
      <c r="B8" s="2" t="s">
        <v>5</v>
      </c>
      <c r="C8" s="2">
        <v>175000</v>
      </c>
      <c r="D8" s="2">
        <v>192000</v>
      </c>
      <c r="G8" s="13" t="s">
        <v>35</v>
      </c>
      <c r="H8" s="13"/>
    </row>
    <row r="9" spans="2:13" x14ac:dyDescent="0.35">
      <c r="B9" s="2" t="s">
        <v>6</v>
      </c>
      <c r="C9" s="2">
        <v>248000</v>
      </c>
      <c r="D9" s="2">
        <v>359000</v>
      </c>
      <c r="G9" s="13" t="s">
        <v>36</v>
      </c>
      <c r="H9" s="13">
        <v>246000</v>
      </c>
      <c r="I9" t="s">
        <v>70</v>
      </c>
      <c r="J9" t="s">
        <v>38</v>
      </c>
      <c r="L9">
        <f>-C14</f>
        <v>916000</v>
      </c>
    </row>
    <row r="10" spans="2:13" x14ac:dyDescent="0.35">
      <c r="B10" s="2" t="s">
        <v>7</v>
      </c>
      <c r="C10" s="3">
        <v>465000</v>
      </c>
      <c r="D10" s="3">
        <v>683000</v>
      </c>
      <c r="G10" s="13" t="s">
        <v>69</v>
      </c>
      <c r="H10" s="13">
        <f>-L21</f>
        <v>-4000</v>
      </c>
      <c r="J10" t="s">
        <v>39</v>
      </c>
      <c r="L10" s="5">
        <v>246000</v>
      </c>
    </row>
    <row r="11" spans="2:13" x14ac:dyDescent="0.35">
      <c r="B11" s="2" t="s">
        <v>8</v>
      </c>
      <c r="C11" s="2">
        <f>C8+C9+C10</f>
        <v>888000</v>
      </c>
      <c r="D11" s="2">
        <f>D8+D9+D10</f>
        <v>1234000</v>
      </c>
      <c r="G11" s="13" t="s">
        <v>48</v>
      </c>
      <c r="H11" s="13">
        <f>C9-D9</f>
        <v>-111000</v>
      </c>
      <c r="L11">
        <f>L9+L10</f>
        <v>1162000</v>
      </c>
    </row>
    <row r="12" spans="2:13" x14ac:dyDescent="0.35">
      <c r="B12" s="9" t="s">
        <v>9</v>
      </c>
      <c r="C12" s="9">
        <v>126000</v>
      </c>
      <c r="D12" s="9">
        <v>138000</v>
      </c>
      <c r="G12" s="13" t="s">
        <v>49</v>
      </c>
      <c r="H12" s="13">
        <f>C10-D10</f>
        <v>-218000</v>
      </c>
      <c r="J12" t="s">
        <v>40</v>
      </c>
      <c r="L12" s="6">
        <f>-D14</f>
        <v>1131000</v>
      </c>
    </row>
    <row r="13" spans="2:13" x14ac:dyDescent="0.35">
      <c r="B13" s="9" t="s">
        <v>10</v>
      </c>
      <c r="C13" s="9">
        <v>3746000</v>
      </c>
      <c r="D13" s="9">
        <v>3885000</v>
      </c>
      <c r="G13" s="13" t="s">
        <v>50</v>
      </c>
      <c r="H13" s="13">
        <f>D19-C19</f>
        <v>103000</v>
      </c>
      <c r="J13" s="1" t="s">
        <v>42</v>
      </c>
      <c r="K13" s="1"/>
      <c r="L13" s="8">
        <f>L11-L12</f>
        <v>31000</v>
      </c>
    </row>
    <row r="14" spans="2:13" x14ac:dyDescent="0.35">
      <c r="B14" s="2" t="s">
        <v>11</v>
      </c>
      <c r="C14" s="2">
        <v>-916000</v>
      </c>
      <c r="D14" s="2">
        <v>-1131000</v>
      </c>
      <c r="G14" s="13" t="s">
        <v>51</v>
      </c>
      <c r="H14" s="13">
        <f>D20-C20</f>
        <v>-25000</v>
      </c>
    </row>
    <row r="15" spans="2:13" x14ac:dyDescent="0.35">
      <c r="B15" s="2" t="s">
        <v>13</v>
      </c>
      <c r="C15" s="3">
        <f>C13+C14</f>
        <v>2830000</v>
      </c>
      <c r="D15" s="3">
        <f>D13+D14</f>
        <v>2754000</v>
      </c>
      <c r="G15" s="13" t="s">
        <v>52</v>
      </c>
      <c r="H15" s="13">
        <f>D21-C21</f>
        <v>92000</v>
      </c>
      <c r="J15" t="s">
        <v>41</v>
      </c>
      <c r="L15">
        <v>61000</v>
      </c>
      <c r="M15" t="s">
        <v>70</v>
      </c>
    </row>
    <row r="16" spans="2:13" x14ac:dyDescent="0.35">
      <c r="B16" s="2" t="s">
        <v>12</v>
      </c>
      <c r="C16" s="4">
        <f>C11+C12+C15</f>
        <v>3844000</v>
      </c>
      <c r="D16" s="4">
        <f>D11+D12+D15</f>
        <v>4126000</v>
      </c>
      <c r="G16" s="13"/>
      <c r="H16" s="13"/>
      <c r="J16" t="s">
        <v>43</v>
      </c>
      <c r="L16" s="5">
        <f>L13</f>
        <v>31000</v>
      </c>
    </row>
    <row r="17" spans="2:13" x14ac:dyDescent="0.35">
      <c r="B17" s="2"/>
      <c r="C17" s="2"/>
      <c r="D17" s="2"/>
      <c r="G17" s="2" t="s">
        <v>53</v>
      </c>
      <c r="H17" s="2">
        <f>H7+H9+H10+H11+H12+H13+H14+H15</f>
        <v>269000</v>
      </c>
      <c r="J17" s="1" t="s">
        <v>44</v>
      </c>
      <c r="K17" s="1"/>
      <c r="L17" s="1">
        <f>L15-L16</f>
        <v>30000</v>
      </c>
    </row>
    <row r="18" spans="2:13" x14ac:dyDescent="0.35">
      <c r="B18" s="2" t="s">
        <v>14</v>
      </c>
      <c r="C18" s="2"/>
      <c r="D18" s="2"/>
      <c r="G18" s="13"/>
      <c r="H18" s="13"/>
    </row>
    <row r="19" spans="2:13" x14ac:dyDescent="0.35">
      <c r="B19" s="2" t="s">
        <v>15</v>
      </c>
      <c r="C19" s="2">
        <v>156000</v>
      </c>
      <c r="D19" s="2">
        <v>259000</v>
      </c>
      <c r="G19" s="3" t="s">
        <v>54</v>
      </c>
      <c r="H19" s="13"/>
      <c r="J19" t="s">
        <v>45</v>
      </c>
      <c r="L19">
        <v>34000</v>
      </c>
    </row>
    <row r="20" spans="2:13" x14ac:dyDescent="0.35">
      <c r="B20" s="2" t="s">
        <v>16</v>
      </c>
      <c r="C20" s="2">
        <v>149000</v>
      </c>
      <c r="D20" s="2">
        <v>124000</v>
      </c>
      <c r="G20" s="13" t="s">
        <v>55</v>
      </c>
      <c r="H20" s="13">
        <f>-(D12-C12)</f>
        <v>-12000</v>
      </c>
      <c r="J20" t="s">
        <v>46</v>
      </c>
      <c r="L20" s="5">
        <f>L17</f>
        <v>30000</v>
      </c>
    </row>
    <row r="21" spans="2:13" x14ac:dyDescent="0.35">
      <c r="B21" s="2" t="s">
        <v>17</v>
      </c>
      <c r="C21" s="3">
        <v>325000</v>
      </c>
      <c r="D21" s="3">
        <v>417000</v>
      </c>
      <c r="G21" s="13" t="s">
        <v>59</v>
      </c>
      <c r="H21" s="13">
        <f>-(M25-L25)</f>
        <v>-200000</v>
      </c>
      <c r="J21" s="1" t="s">
        <v>47</v>
      </c>
      <c r="K21" s="1"/>
      <c r="L21" s="7">
        <f>L19-L20</f>
        <v>4000</v>
      </c>
    </row>
    <row r="22" spans="2:13" x14ac:dyDescent="0.35">
      <c r="B22" s="2" t="s">
        <v>18</v>
      </c>
      <c r="C22" s="2">
        <f>C19+C20+C21</f>
        <v>630000</v>
      </c>
      <c r="D22" s="2">
        <f>D19+D20+D21</f>
        <v>800000</v>
      </c>
      <c r="G22" s="13" t="s">
        <v>60</v>
      </c>
      <c r="H22" s="13">
        <v>34000</v>
      </c>
      <c r="I22" t="s">
        <v>70</v>
      </c>
    </row>
    <row r="23" spans="2:13" x14ac:dyDescent="0.35">
      <c r="B23" s="9" t="s">
        <v>19</v>
      </c>
      <c r="C23" s="12">
        <v>842000</v>
      </c>
      <c r="D23" s="12">
        <v>825000</v>
      </c>
      <c r="G23" s="13"/>
      <c r="H23" s="13"/>
      <c r="J23" s="10" t="s">
        <v>56</v>
      </c>
      <c r="K23" s="10"/>
      <c r="L23" s="10">
        <f>C13</f>
        <v>3746000</v>
      </c>
      <c r="M23" s="10" t="s">
        <v>58</v>
      </c>
    </row>
    <row r="24" spans="2:13" x14ac:dyDescent="0.35">
      <c r="B24" s="2" t="s">
        <v>20</v>
      </c>
      <c r="C24" s="2">
        <f>C22+C23</f>
        <v>1472000</v>
      </c>
      <c r="D24" s="2">
        <f>D22+D23</f>
        <v>1625000</v>
      </c>
      <c r="G24" s="2" t="s">
        <v>61</v>
      </c>
      <c r="H24" s="2">
        <f>H20+H21+H22</f>
        <v>-178000</v>
      </c>
      <c r="J24" s="10" t="s">
        <v>57</v>
      </c>
      <c r="K24" s="10"/>
      <c r="L24" s="11">
        <f>L15</f>
        <v>61000</v>
      </c>
      <c r="M24" s="10"/>
    </row>
    <row r="25" spans="2:13" x14ac:dyDescent="0.35">
      <c r="B25" s="9" t="s">
        <v>21</v>
      </c>
      <c r="C25" s="9">
        <v>846000</v>
      </c>
      <c r="D25" s="9">
        <v>863000</v>
      </c>
      <c r="G25" s="13"/>
      <c r="H25" s="13"/>
      <c r="J25" s="10"/>
      <c r="K25" s="10"/>
      <c r="L25" s="10">
        <f>L23-L24</f>
        <v>3685000</v>
      </c>
      <c r="M25" s="10">
        <f>D13</f>
        <v>3885000</v>
      </c>
    </row>
    <row r="26" spans="2:13" x14ac:dyDescent="0.35">
      <c r="B26" s="2" t="s">
        <v>22</v>
      </c>
      <c r="C26" s="3">
        <v>1526000</v>
      </c>
      <c r="D26" s="3">
        <v>1638000</v>
      </c>
      <c r="G26" s="3" t="s">
        <v>62</v>
      </c>
      <c r="H26" s="13"/>
    </row>
    <row r="27" spans="2:13" x14ac:dyDescent="0.35">
      <c r="B27" s="2" t="s">
        <v>23</v>
      </c>
      <c r="C27" s="3">
        <f>C25+C26</f>
        <v>2372000</v>
      </c>
      <c r="D27" s="3">
        <f>D25+D26</f>
        <v>2501000</v>
      </c>
      <c r="G27" s="13" t="s">
        <v>63</v>
      </c>
      <c r="H27" s="13">
        <f>D25-C25</f>
        <v>17000</v>
      </c>
    </row>
    <row r="28" spans="2:13" x14ac:dyDescent="0.35">
      <c r="B28" s="2" t="s">
        <v>24</v>
      </c>
      <c r="C28" s="4">
        <f>C24+C27</f>
        <v>3844000</v>
      </c>
      <c r="D28" s="4">
        <f>D24+D27</f>
        <v>4126000</v>
      </c>
      <c r="G28" s="13" t="s">
        <v>71</v>
      </c>
      <c r="H28" s="13">
        <v>-74000</v>
      </c>
      <c r="I28" t="s">
        <v>70</v>
      </c>
    </row>
    <row r="29" spans="2:13" x14ac:dyDescent="0.35">
      <c r="G29" s="13" t="s">
        <v>64</v>
      </c>
      <c r="H29" s="13">
        <f>D23-C23</f>
        <v>-17000</v>
      </c>
    </row>
    <row r="30" spans="2:13" x14ac:dyDescent="0.35">
      <c r="B30" s="1" t="s">
        <v>27</v>
      </c>
      <c r="G30" s="13"/>
      <c r="H30" s="13"/>
    </row>
    <row r="31" spans="2:13" x14ac:dyDescent="0.35">
      <c r="B31" s="1" t="s">
        <v>28</v>
      </c>
      <c r="G31" s="2" t="s">
        <v>65</v>
      </c>
      <c r="H31" s="2">
        <f>H27+H28+H29</f>
        <v>-74000</v>
      </c>
    </row>
    <row r="32" spans="2:13" x14ac:dyDescent="0.35">
      <c r="B32" s="1" t="s">
        <v>29</v>
      </c>
      <c r="G32" s="13"/>
      <c r="H32" s="13"/>
    </row>
    <row r="33" spans="2:8" x14ac:dyDescent="0.35">
      <c r="B33" s="1" t="s">
        <v>30</v>
      </c>
      <c r="G33" s="2" t="s">
        <v>66</v>
      </c>
      <c r="H33" s="2">
        <f>H17+H24+H31</f>
        <v>17000</v>
      </c>
    </row>
    <row r="34" spans="2:8" x14ac:dyDescent="0.35">
      <c r="G34" s="2" t="s">
        <v>67</v>
      </c>
      <c r="H34" s="2">
        <f>C8</f>
        <v>175000</v>
      </c>
    </row>
    <row r="35" spans="2:8" x14ac:dyDescent="0.35">
      <c r="G35" s="2" t="s">
        <v>68</v>
      </c>
      <c r="H35" s="2">
        <f>H33+H34</f>
        <v>192000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2024-06-07T01:24:58Z</dcterms:modified>
</cp:coreProperties>
</file>