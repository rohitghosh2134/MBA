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MBA\MBA\Courses\FRA\Lectures\"/>
    </mc:Choice>
  </mc:AlternateContent>
  <xr:revisionPtr revIDLastSave="0" documentId="13_ncr:1_{57E662B5-257E-40E6-9C28-17872A0FD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S &amp; Trend Analysis" sheetId="1" r:id="rId1"/>
    <sheet name="Common Size FS" sheetId="7" r:id="rId2"/>
    <sheet name="Comparative FS" sheetId="16" r:id="rId3"/>
    <sheet name="Cash Flow Statement" sheetId="2" r:id="rId4"/>
    <sheet name="Shareholding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7" l="1"/>
  <c r="H84" i="7"/>
  <c r="G84" i="7"/>
  <c r="F84" i="7"/>
  <c r="E84" i="7"/>
  <c r="D84" i="7"/>
  <c r="C84" i="7"/>
  <c r="B84" i="7"/>
  <c r="I83" i="7"/>
  <c r="H83" i="7"/>
  <c r="G83" i="7"/>
  <c r="F83" i="7"/>
  <c r="E83" i="7"/>
  <c r="D83" i="7"/>
  <c r="C83" i="7"/>
  <c r="B83" i="7"/>
  <c r="I82" i="7"/>
  <c r="H82" i="7"/>
  <c r="G82" i="7"/>
  <c r="F82" i="7"/>
  <c r="E82" i="7"/>
  <c r="D82" i="7"/>
  <c r="C82" i="7"/>
  <c r="B82" i="7"/>
  <c r="I81" i="7"/>
  <c r="H81" i="7"/>
  <c r="G81" i="7"/>
  <c r="F81" i="7"/>
  <c r="E81" i="7"/>
  <c r="D81" i="7"/>
  <c r="C81" i="7"/>
  <c r="B81" i="7"/>
  <c r="I80" i="7"/>
  <c r="H80" i="7"/>
  <c r="G80" i="7"/>
  <c r="F80" i="7"/>
  <c r="E80" i="7"/>
  <c r="D80" i="7"/>
  <c r="C80" i="7"/>
  <c r="B80" i="7"/>
  <c r="I79" i="7"/>
  <c r="H79" i="7"/>
  <c r="G79" i="7"/>
  <c r="F79" i="7"/>
  <c r="E79" i="7"/>
  <c r="D79" i="7"/>
  <c r="C79" i="7"/>
  <c r="B79" i="7"/>
  <c r="I78" i="7"/>
  <c r="H78" i="7"/>
  <c r="G78" i="7"/>
  <c r="F78" i="7"/>
  <c r="E78" i="7"/>
  <c r="D78" i="7"/>
  <c r="C78" i="7"/>
  <c r="B78" i="7"/>
  <c r="I77" i="7"/>
  <c r="H77" i="7"/>
  <c r="G77" i="7"/>
  <c r="F77" i="7"/>
  <c r="E77" i="7"/>
  <c r="D77" i="7"/>
  <c r="C77" i="7"/>
  <c r="B77" i="7"/>
  <c r="I76" i="7"/>
  <c r="H76" i="7"/>
  <c r="G76" i="7"/>
  <c r="F76" i="7"/>
  <c r="E76" i="7"/>
  <c r="D76" i="7"/>
  <c r="C76" i="7"/>
  <c r="B76" i="7"/>
  <c r="B63" i="7"/>
  <c r="C63" i="7"/>
  <c r="D63" i="7"/>
  <c r="E63" i="7"/>
  <c r="F63" i="7"/>
  <c r="G63" i="7"/>
  <c r="H63" i="7"/>
  <c r="I63" i="7"/>
  <c r="B64" i="7"/>
  <c r="C64" i="7"/>
  <c r="D64" i="7"/>
  <c r="E64" i="7"/>
  <c r="F64" i="7"/>
  <c r="G64" i="7"/>
  <c r="H64" i="7"/>
  <c r="I64" i="7"/>
  <c r="B65" i="7"/>
  <c r="C65" i="7"/>
  <c r="D65" i="7"/>
  <c r="E65" i="7"/>
  <c r="F65" i="7"/>
  <c r="G65" i="7"/>
  <c r="H65" i="7"/>
  <c r="I65" i="7"/>
  <c r="B66" i="7"/>
  <c r="C66" i="7"/>
  <c r="D66" i="7"/>
  <c r="E66" i="7"/>
  <c r="F66" i="7"/>
  <c r="G66" i="7"/>
  <c r="H66" i="7"/>
  <c r="I66" i="7"/>
  <c r="B67" i="7"/>
  <c r="C67" i="7"/>
  <c r="D67" i="7"/>
  <c r="E67" i="7"/>
  <c r="F67" i="7"/>
  <c r="G67" i="7"/>
  <c r="H67" i="7"/>
  <c r="I67" i="7"/>
  <c r="B68" i="7"/>
  <c r="C68" i="7"/>
  <c r="D68" i="7"/>
  <c r="E68" i="7"/>
  <c r="F68" i="7"/>
  <c r="G68" i="7"/>
  <c r="H68" i="7"/>
  <c r="I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72" i="7"/>
  <c r="C72" i="7"/>
  <c r="D72" i="7"/>
  <c r="E72" i="7"/>
  <c r="F72" i="7"/>
  <c r="G72" i="7"/>
  <c r="H72" i="7"/>
  <c r="I72" i="7"/>
  <c r="B73" i="7"/>
  <c r="C73" i="7"/>
  <c r="D73" i="7"/>
  <c r="E73" i="7"/>
  <c r="F73" i="7"/>
  <c r="G73" i="7"/>
  <c r="H73" i="7"/>
  <c r="I73" i="7"/>
  <c r="C62" i="7"/>
  <c r="D62" i="7"/>
  <c r="E62" i="7"/>
  <c r="F62" i="7"/>
  <c r="G62" i="7"/>
  <c r="H62" i="7"/>
  <c r="I62" i="7"/>
  <c r="B62" i="7"/>
  <c r="G52" i="7"/>
  <c r="H52" i="7"/>
  <c r="I52" i="7"/>
  <c r="G53" i="7"/>
  <c r="H53" i="7"/>
  <c r="I53" i="7"/>
  <c r="G54" i="7"/>
  <c r="H54" i="7"/>
  <c r="I54" i="7"/>
  <c r="G55" i="7"/>
  <c r="H55" i="7"/>
  <c r="I55" i="7"/>
  <c r="G56" i="7"/>
  <c r="H56" i="7"/>
  <c r="I56" i="7"/>
  <c r="G57" i="7"/>
  <c r="H57" i="7"/>
  <c r="I57" i="7"/>
  <c r="G58" i="7"/>
  <c r="H58" i="7"/>
  <c r="I58" i="7"/>
  <c r="H51" i="7"/>
  <c r="I51" i="7"/>
  <c r="H59" i="7"/>
  <c r="I59" i="7"/>
  <c r="C51" i="7"/>
  <c r="D51" i="7"/>
  <c r="E51" i="7"/>
  <c r="F51" i="7"/>
  <c r="G51" i="7"/>
  <c r="C52" i="7"/>
  <c r="D52" i="7"/>
  <c r="E52" i="7"/>
  <c r="F52" i="7"/>
  <c r="C53" i="7"/>
  <c r="D53" i="7"/>
  <c r="E53" i="7"/>
  <c r="F53" i="7"/>
  <c r="C54" i="7"/>
  <c r="D54" i="7"/>
  <c r="E54" i="7"/>
  <c r="F54" i="7"/>
  <c r="C55" i="7"/>
  <c r="D55" i="7"/>
  <c r="E55" i="7"/>
  <c r="F55" i="7"/>
  <c r="C56" i="7"/>
  <c r="D56" i="7"/>
  <c r="E56" i="7"/>
  <c r="F56" i="7"/>
  <c r="C57" i="7"/>
  <c r="D57" i="7"/>
  <c r="E57" i="7"/>
  <c r="F57" i="7"/>
  <c r="C58" i="7"/>
  <c r="D58" i="7"/>
  <c r="E58" i="7"/>
  <c r="F58" i="7"/>
  <c r="C59" i="7"/>
  <c r="D59" i="7"/>
  <c r="E59" i="7"/>
  <c r="F59" i="7"/>
  <c r="G59" i="7"/>
  <c r="B58" i="7"/>
  <c r="B59" i="7"/>
  <c r="B57" i="7"/>
  <c r="B56" i="7"/>
  <c r="B55" i="7"/>
  <c r="B54" i="7"/>
  <c r="B53" i="7"/>
  <c r="B52" i="7"/>
  <c r="B51" i="7"/>
  <c r="B46" i="7"/>
  <c r="C46" i="7"/>
  <c r="D46" i="7"/>
  <c r="E46" i="7"/>
  <c r="F46" i="7"/>
  <c r="G46" i="7"/>
  <c r="H46" i="7"/>
  <c r="I46" i="7"/>
  <c r="B47" i="7"/>
  <c r="C47" i="7"/>
  <c r="D47" i="7"/>
  <c r="E47" i="7"/>
  <c r="F47" i="7"/>
  <c r="G47" i="7"/>
  <c r="H47" i="7"/>
  <c r="I47" i="7"/>
  <c r="B48" i="7"/>
  <c r="C48" i="7"/>
  <c r="D48" i="7"/>
  <c r="E48" i="7"/>
  <c r="F48" i="7"/>
  <c r="G48" i="7"/>
  <c r="H48" i="7"/>
  <c r="I48" i="7"/>
  <c r="I45" i="7"/>
  <c r="H45" i="7"/>
  <c r="G45" i="7"/>
  <c r="F45" i="7"/>
  <c r="E45" i="7"/>
  <c r="D45" i="7"/>
  <c r="C45" i="7"/>
  <c r="B45" i="7"/>
  <c r="I44" i="7"/>
  <c r="H44" i="7"/>
  <c r="G44" i="7"/>
  <c r="F44" i="7"/>
  <c r="E44" i="7"/>
  <c r="D44" i="7"/>
  <c r="C44" i="7"/>
  <c r="B44" i="7"/>
  <c r="I43" i="7"/>
  <c r="H43" i="7"/>
  <c r="G43" i="7"/>
  <c r="F43" i="7"/>
  <c r="E43" i="7"/>
  <c r="D43" i="7"/>
  <c r="C43" i="7"/>
  <c r="B43" i="7"/>
  <c r="I42" i="7"/>
  <c r="H42" i="7"/>
  <c r="G42" i="7"/>
  <c r="F42" i="7"/>
  <c r="E42" i="7"/>
  <c r="D42" i="7"/>
  <c r="C42" i="7"/>
  <c r="B42" i="7"/>
  <c r="C36" i="7"/>
  <c r="D36" i="7"/>
  <c r="E36" i="7"/>
  <c r="F36" i="7"/>
  <c r="G36" i="7"/>
  <c r="H36" i="7"/>
  <c r="I36" i="7"/>
  <c r="C37" i="7"/>
  <c r="D37" i="7"/>
  <c r="E37" i="7"/>
  <c r="F37" i="7"/>
  <c r="G37" i="7"/>
  <c r="H37" i="7"/>
  <c r="I37" i="7"/>
  <c r="C38" i="7"/>
  <c r="D38" i="7"/>
  <c r="E38" i="7"/>
  <c r="F38" i="7"/>
  <c r="G38" i="7"/>
  <c r="H38" i="7"/>
  <c r="I38" i="7"/>
  <c r="C39" i="7"/>
  <c r="D39" i="7"/>
  <c r="E39" i="7"/>
  <c r="F39" i="7"/>
  <c r="G39" i="7"/>
  <c r="H39" i="7"/>
  <c r="I39" i="7"/>
  <c r="B37" i="7"/>
  <c r="B38" i="7"/>
  <c r="B39" i="7"/>
  <c r="B36" i="7"/>
  <c r="B11" i="7"/>
  <c r="C11" i="7"/>
  <c r="D11" i="7"/>
  <c r="E11" i="7"/>
  <c r="F11" i="7"/>
  <c r="G11" i="7"/>
  <c r="H11" i="7"/>
  <c r="I11" i="7"/>
  <c r="B12" i="7"/>
  <c r="C12" i="7"/>
  <c r="D12" i="7"/>
  <c r="E12" i="7"/>
  <c r="F12" i="7"/>
  <c r="G12" i="7"/>
  <c r="H12" i="7"/>
  <c r="I12" i="7"/>
  <c r="B13" i="7"/>
  <c r="C13" i="7"/>
  <c r="D13" i="7"/>
  <c r="E13" i="7"/>
  <c r="F13" i="7"/>
  <c r="G13" i="7"/>
  <c r="H13" i="7"/>
  <c r="I13" i="7"/>
  <c r="B14" i="7"/>
  <c r="C14" i="7"/>
  <c r="D14" i="7"/>
  <c r="E14" i="7"/>
  <c r="F14" i="7"/>
  <c r="G14" i="7"/>
  <c r="H14" i="7"/>
  <c r="I14" i="7"/>
  <c r="B15" i="7"/>
  <c r="C15" i="7"/>
  <c r="D15" i="7"/>
  <c r="E15" i="7"/>
  <c r="F15" i="7"/>
  <c r="G15" i="7"/>
  <c r="H15" i="7"/>
  <c r="I15" i="7"/>
  <c r="B17" i="7"/>
  <c r="C17" i="7"/>
  <c r="D17" i="7"/>
  <c r="E17" i="7"/>
  <c r="F17" i="7"/>
  <c r="G17" i="7"/>
  <c r="H17" i="7"/>
  <c r="I17" i="7"/>
  <c r="B18" i="7"/>
  <c r="C18" i="7"/>
  <c r="D18" i="7"/>
  <c r="E18" i="7"/>
  <c r="F18" i="7"/>
  <c r="G18" i="7"/>
  <c r="H18" i="7"/>
  <c r="I18" i="7"/>
  <c r="B19" i="7"/>
  <c r="C19" i="7"/>
  <c r="D19" i="7"/>
  <c r="E19" i="7"/>
  <c r="F19" i="7"/>
  <c r="G19" i="7"/>
  <c r="H19" i="7"/>
  <c r="I19" i="7"/>
  <c r="B20" i="7"/>
  <c r="C20" i="7"/>
  <c r="D20" i="7"/>
  <c r="E20" i="7"/>
  <c r="F20" i="7"/>
  <c r="G20" i="7"/>
  <c r="H20" i="7"/>
  <c r="I20" i="7"/>
  <c r="B21" i="7"/>
  <c r="C21" i="7"/>
  <c r="D21" i="7"/>
  <c r="E21" i="7"/>
  <c r="F21" i="7"/>
  <c r="G21" i="7"/>
  <c r="H21" i="7"/>
  <c r="I21" i="7"/>
  <c r="B22" i="7"/>
  <c r="C22" i="7"/>
  <c r="D22" i="7"/>
  <c r="E22" i="7"/>
  <c r="F22" i="7"/>
  <c r="G22" i="7"/>
  <c r="H22" i="7"/>
  <c r="I22" i="7"/>
  <c r="B23" i="7"/>
  <c r="C23" i="7"/>
  <c r="D23" i="7"/>
  <c r="E23" i="7"/>
  <c r="F23" i="7"/>
  <c r="G23" i="7"/>
  <c r="H23" i="7"/>
  <c r="I23" i="7"/>
  <c r="B24" i="7"/>
  <c r="C24" i="7"/>
  <c r="D24" i="7"/>
  <c r="E24" i="7"/>
  <c r="F24" i="7"/>
  <c r="G24" i="7"/>
  <c r="H24" i="7"/>
  <c r="I24" i="7"/>
  <c r="B25" i="7"/>
  <c r="C25" i="7"/>
  <c r="D25" i="7"/>
  <c r="E25" i="7"/>
  <c r="F25" i="7"/>
  <c r="G25" i="7"/>
  <c r="H25" i="7"/>
  <c r="I25" i="7"/>
  <c r="B26" i="7"/>
  <c r="C26" i="7"/>
  <c r="D26" i="7"/>
  <c r="E26" i="7"/>
  <c r="F26" i="7"/>
  <c r="G26" i="7"/>
  <c r="H26" i="7"/>
  <c r="I26" i="7"/>
  <c r="B27" i="7"/>
  <c r="C27" i="7"/>
  <c r="D27" i="7"/>
  <c r="E27" i="7"/>
  <c r="F27" i="7"/>
  <c r="G27" i="7"/>
  <c r="H27" i="7"/>
  <c r="I27" i="7"/>
  <c r="B28" i="7"/>
  <c r="C28" i="7"/>
  <c r="D28" i="7"/>
  <c r="E28" i="7"/>
  <c r="F28" i="7"/>
  <c r="G28" i="7"/>
  <c r="H28" i="7"/>
  <c r="I28" i="7"/>
  <c r="B29" i="7"/>
  <c r="C29" i="7"/>
  <c r="D29" i="7"/>
  <c r="E29" i="7"/>
  <c r="F29" i="7"/>
  <c r="G29" i="7"/>
  <c r="H29" i="7"/>
  <c r="I29" i="7"/>
  <c r="B30" i="7"/>
  <c r="C30" i="7"/>
  <c r="D30" i="7"/>
  <c r="E30" i="7"/>
  <c r="F30" i="7"/>
  <c r="G30" i="7"/>
  <c r="H30" i="7"/>
  <c r="I30" i="7"/>
  <c r="B7" i="7"/>
  <c r="C7" i="7"/>
  <c r="D7" i="7"/>
  <c r="E7" i="7"/>
  <c r="F7" i="7"/>
  <c r="G7" i="7"/>
  <c r="H7" i="7"/>
  <c r="I7" i="7"/>
  <c r="B8" i="7"/>
  <c r="C8" i="7"/>
  <c r="D8" i="7"/>
  <c r="E8" i="7"/>
  <c r="F8" i="7"/>
  <c r="G8" i="7"/>
  <c r="H8" i="7"/>
  <c r="I8" i="7"/>
  <c r="C6" i="7"/>
  <c r="D6" i="7"/>
  <c r="E6" i="7"/>
  <c r="F6" i="7"/>
  <c r="G6" i="7"/>
  <c r="H6" i="7"/>
  <c r="I6" i="7"/>
  <c r="B6" i="7"/>
  <c r="S85" i="1"/>
  <c r="S84" i="1"/>
  <c r="S83" i="1"/>
  <c r="S82" i="1"/>
  <c r="S81" i="1"/>
  <c r="S80" i="1"/>
  <c r="S79" i="1"/>
  <c r="S78" i="1"/>
  <c r="S77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49" i="1"/>
  <c r="S48" i="1"/>
  <c r="S47" i="1"/>
  <c r="S46" i="1"/>
  <c r="S45" i="1"/>
  <c r="S44" i="1"/>
  <c r="S43" i="1"/>
  <c r="S40" i="1"/>
  <c r="S39" i="1"/>
  <c r="S38" i="1"/>
  <c r="S37" i="1"/>
  <c r="R85" i="1"/>
  <c r="R84" i="1"/>
  <c r="R83" i="1"/>
  <c r="R82" i="1"/>
  <c r="R81" i="1"/>
  <c r="R80" i="1"/>
  <c r="R79" i="1"/>
  <c r="R78" i="1"/>
  <c r="R77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49" i="1"/>
  <c r="R48" i="1"/>
  <c r="R47" i="1"/>
  <c r="R46" i="1"/>
  <c r="R45" i="1"/>
  <c r="R44" i="1"/>
  <c r="R43" i="1"/>
  <c r="R40" i="1"/>
  <c r="R39" i="1"/>
  <c r="R38" i="1"/>
  <c r="R37" i="1"/>
  <c r="Q85" i="1"/>
  <c r="Q84" i="1"/>
  <c r="Q83" i="1"/>
  <c r="Q82" i="1"/>
  <c r="Q81" i="1"/>
  <c r="Q80" i="1"/>
  <c r="Q79" i="1"/>
  <c r="Q78" i="1"/>
  <c r="Q77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49" i="1"/>
  <c r="Q48" i="1"/>
  <c r="Q47" i="1"/>
  <c r="Q46" i="1"/>
  <c r="Q45" i="1"/>
  <c r="Q44" i="1"/>
  <c r="Q43" i="1"/>
  <c r="Q40" i="1"/>
  <c r="Q39" i="1"/>
  <c r="Q38" i="1"/>
  <c r="Q37" i="1"/>
  <c r="P85" i="1"/>
  <c r="P84" i="1"/>
  <c r="P83" i="1"/>
  <c r="P82" i="1"/>
  <c r="P81" i="1"/>
  <c r="P80" i="1"/>
  <c r="P79" i="1"/>
  <c r="P78" i="1"/>
  <c r="P77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49" i="1"/>
  <c r="P48" i="1"/>
  <c r="P47" i="1"/>
  <c r="P46" i="1"/>
  <c r="P45" i="1"/>
  <c r="P44" i="1"/>
  <c r="P43" i="1"/>
  <c r="P40" i="1"/>
  <c r="P39" i="1"/>
  <c r="P38" i="1"/>
  <c r="P37" i="1"/>
  <c r="O85" i="1"/>
  <c r="O84" i="1"/>
  <c r="O83" i="1"/>
  <c r="O82" i="1"/>
  <c r="O81" i="1"/>
  <c r="O80" i="1"/>
  <c r="O79" i="1"/>
  <c r="O78" i="1"/>
  <c r="O77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49" i="1"/>
  <c r="O48" i="1"/>
  <c r="O47" i="1"/>
  <c r="O46" i="1"/>
  <c r="O45" i="1"/>
  <c r="O44" i="1"/>
  <c r="O43" i="1"/>
  <c r="O40" i="1"/>
  <c r="O39" i="1"/>
  <c r="O38" i="1"/>
  <c r="O37" i="1"/>
  <c r="N85" i="1"/>
  <c r="N84" i="1"/>
  <c r="N83" i="1"/>
  <c r="N82" i="1"/>
  <c r="N81" i="1"/>
  <c r="N80" i="1"/>
  <c r="N79" i="1"/>
  <c r="N78" i="1"/>
  <c r="N77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49" i="1"/>
  <c r="N48" i="1"/>
  <c r="N47" i="1"/>
  <c r="N46" i="1"/>
  <c r="N45" i="1"/>
  <c r="N44" i="1"/>
  <c r="N43" i="1"/>
  <c r="N40" i="1"/>
  <c r="N39" i="1"/>
  <c r="N38" i="1"/>
  <c r="N37" i="1"/>
  <c r="M85" i="1"/>
  <c r="M84" i="1"/>
  <c r="M83" i="1"/>
  <c r="M82" i="1"/>
  <c r="M81" i="1"/>
  <c r="M80" i="1"/>
  <c r="M79" i="1"/>
  <c r="M78" i="1"/>
  <c r="M77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49" i="1"/>
  <c r="M48" i="1"/>
  <c r="M47" i="1"/>
  <c r="M46" i="1"/>
  <c r="M45" i="1"/>
  <c r="M44" i="1"/>
  <c r="M43" i="1"/>
  <c r="M40" i="1"/>
  <c r="M39" i="1"/>
  <c r="M38" i="1"/>
  <c r="M37" i="1"/>
  <c r="L78" i="1"/>
  <c r="L79" i="1"/>
  <c r="L80" i="1"/>
  <c r="L81" i="1"/>
  <c r="L82" i="1"/>
  <c r="L83" i="1"/>
  <c r="L84" i="1"/>
  <c r="L85" i="1"/>
  <c r="L77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58" i="1"/>
  <c r="L57" i="1"/>
  <c r="L56" i="1"/>
  <c r="L55" i="1"/>
  <c r="L54" i="1"/>
  <c r="L53" i="1"/>
  <c r="L52" i="1"/>
  <c r="L47" i="1"/>
  <c r="L48" i="1"/>
  <c r="L49" i="1"/>
  <c r="L45" i="1"/>
  <c r="L46" i="1"/>
  <c r="L44" i="1"/>
  <c r="L43" i="1"/>
  <c r="L38" i="1"/>
  <c r="L39" i="1"/>
  <c r="L40" i="1"/>
  <c r="L37" i="1"/>
  <c r="L26" i="1"/>
  <c r="L27" i="1"/>
  <c r="L28" i="1"/>
  <c r="L29" i="1"/>
  <c r="L30" i="1"/>
  <c r="L25" i="1"/>
  <c r="L18" i="1"/>
  <c r="L19" i="1"/>
  <c r="L20" i="1"/>
  <c r="L21" i="1"/>
  <c r="L22" i="1"/>
  <c r="L23" i="1"/>
  <c r="L17" i="1"/>
  <c r="L14" i="1"/>
  <c r="L15" i="1"/>
  <c r="L13" i="1"/>
  <c r="L12" i="1"/>
  <c r="L11" i="1"/>
  <c r="L7" i="1"/>
  <c r="L8" i="1"/>
  <c r="L6" i="1"/>
  <c r="S30" i="1"/>
  <c r="S29" i="1"/>
  <c r="S28" i="1"/>
  <c r="S27" i="1"/>
  <c r="S26" i="1"/>
  <c r="S25" i="1"/>
  <c r="S23" i="1"/>
  <c r="S22" i="1"/>
  <c r="S21" i="1"/>
  <c r="S20" i="1"/>
  <c r="S19" i="1"/>
  <c r="S18" i="1"/>
  <c r="S17" i="1"/>
  <c r="S15" i="1"/>
  <c r="S14" i="1"/>
  <c r="S13" i="1"/>
  <c r="S12" i="1"/>
  <c r="S11" i="1"/>
  <c r="S8" i="1"/>
  <c r="S7" i="1"/>
  <c r="S6" i="1"/>
  <c r="R30" i="1"/>
  <c r="R29" i="1"/>
  <c r="R28" i="1"/>
  <c r="R27" i="1"/>
  <c r="R26" i="1"/>
  <c r="R25" i="1"/>
  <c r="R23" i="1"/>
  <c r="R22" i="1"/>
  <c r="R21" i="1"/>
  <c r="R20" i="1"/>
  <c r="R19" i="1"/>
  <c r="R18" i="1"/>
  <c r="R17" i="1"/>
  <c r="R15" i="1"/>
  <c r="R14" i="1"/>
  <c r="R13" i="1"/>
  <c r="R12" i="1"/>
  <c r="R11" i="1"/>
  <c r="R8" i="1"/>
  <c r="R7" i="1"/>
  <c r="R6" i="1"/>
  <c r="Q30" i="1"/>
  <c r="Q29" i="1"/>
  <c r="Q28" i="1"/>
  <c r="Q27" i="1"/>
  <c r="Q26" i="1"/>
  <c r="Q25" i="1"/>
  <c r="Q23" i="1"/>
  <c r="Q22" i="1"/>
  <c r="Q21" i="1"/>
  <c r="Q20" i="1"/>
  <c r="Q19" i="1"/>
  <c r="Q18" i="1"/>
  <c r="Q17" i="1"/>
  <c r="Q15" i="1"/>
  <c r="Q14" i="1"/>
  <c r="Q13" i="1"/>
  <c r="Q12" i="1"/>
  <c r="Q11" i="1"/>
  <c r="Q8" i="1"/>
  <c r="Q7" i="1"/>
  <c r="Q6" i="1"/>
  <c r="P30" i="1"/>
  <c r="P29" i="1"/>
  <c r="P28" i="1"/>
  <c r="P27" i="1"/>
  <c r="P26" i="1"/>
  <c r="P25" i="1"/>
  <c r="P23" i="1"/>
  <c r="P22" i="1"/>
  <c r="P21" i="1"/>
  <c r="P20" i="1"/>
  <c r="P19" i="1"/>
  <c r="P18" i="1"/>
  <c r="P17" i="1"/>
  <c r="P15" i="1"/>
  <c r="P14" i="1"/>
  <c r="P13" i="1"/>
  <c r="P12" i="1"/>
  <c r="P11" i="1"/>
  <c r="P8" i="1"/>
  <c r="P7" i="1"/>
  <c r="P6" i="1"/>
  <c r="O30" i="1"/>
  <c r="O29" i="1"/>
  <c r="O28" i="1"/>
  <c r="O27" i="1"/>
  <c r="O26" i="1"/>
  <c r="O25" i="1"/>
  <c r="O23" i="1"/>
  <c r="O22" i="1"/>
  <c r="O21" i="1"/>
  <c r="O20" i="1"/>
  <c r="O19" i="1"/>
  <c r="O18" i="1"/>
  <c r="O17" i="1"/>
  <c r="O15" i="1"/>
  <c r="O14" i="1"/>
  <c r="O13" i="1"/>
  <c r="O12" i="1"/>
  <c r="O11" i="1"/>
  <c r="O8" i="1"/>
  <c r="O7" i="1"/>
  <c r="O6" i="1"/>
  <c r="N30" i="1"/>
  <c r="N29" i="1"/>
  <c r="N28" i="1"/>
  <c r="N27" i="1"/>
  <c r="N26" i="1"/>
  <c r="N25" i="1"/>
  <c r="N23" i="1"/>
  <c r="N22" i="1"/>
  <c r="N21" i="1"/>
  <c r="N20" i="1"/>
  <c r="N19" i="1"/>
  <c r="N18" i="1"/>
  <c r="N17" i="1"/>
  <c r="N15" i="1"/>
  <c r="N14" i="1"/>
  <c r="N13" i="1"/>
  <c r="N12" i="1"/>
  <c r="N11" i="1"/>
  <c r="N8" i="1"/>
  <c r="N7" i="1"/>
  <c r="N6" i="1"/>
  <c r="M30" i="1"/>
  <c r="M29" i="1"/>
  <c r="M28" i="1"/>
  <c r="M27" i="1"/>
  <c r="M26" i="1"/>
  <c r="M25" i="1"/>
  <c r="M23" i="1"/>
  <c r="M22" i="1"/>
  <c r="M21" i="1"/>
  <c r="M20" i="1"/>
  <c r="M19" i="1"/>
  <c r="M18" i="1"/>
  <c r="M17" i="1"/>
  <c r="M15" i="1"/>
  <c r="M14" i="1"/>
  <c r="M13" i="1"/>
  <c r="M12" i="1"/>
  <c r="M11" i="1"/>
  <c r="M8" i="1"/>
  <c r="M7" i="1"/>
  <c r="M6" i="1"/>
  <c r="C89" i="1"/>
  <c r="I30" i="1"/>
  <c r="E87" i="1"/>
  <c r="C8" i="1" l="1"/>
  <c r="D8" i="1"/>
  <c r="E8" i="1"/>
  <c r="F8" i="1"/>
  <c r="G8" i="1"/>
  <c r="H8" i="1"/>
  <c r="I8" i="1"/>
  <c r="I91" i="1" l="1"/>
  <c r="H91" i="1"/>
  <c r="G91" i="1"/>
  <c r="F91" i="1"/>
  <c r="E91" i="1"/>
  <c r="D91" i="1"/>
  <c r="C91" i="1"/>
  <c r="B91" i="1"/>
  <c r="I97" i="2" l="1"/>
  <c r="I88" i="2"/>
  <c r="I77" i="2"/>
  <c r="I55" i="2"/>
  <c r="I47" i="2"/>
  <c r="I34" i="2"/>
  <c r="I21" i="2"/>
  <c r="I35" i="2" s="1"/>
  <c r="I56" i="2" s="1"/>
  <c r="I58" i="2" s="1"/>
  <c r="H97" i="2"/>
  <c r="H88" i="2"/>
  <c r="H77" i="2"/>
  <c r="H55" i="2"/>
  <c r="H47" i="2"/>
  <c r="H34" i="2"/>
  <c r="H21" i="2"/>
  <c r="G97" i="2"/>
  <c r="G88" i="2"/>
  <c r="G77" i="2"/>
  <c r="G55" i="2"/>
  <c r="G47" i="2"/>
  <c r="G34" i="2"/>
  <c r="G21" i="2"/>
  <c r="F97" i="2"/>
  <c r="F88" i="2"/>
  <c r="F77" i="2"/>
  <c r="F55" i="2"/>
  <c r="F47" i="2"/>
  <c r="F34" i="2"/>
  <c r="F21" i="2"/>
  <c r="E97" i="2"/>
  <c r="D97" i="2"/>
  <c r="E88" i="2"/>
  <c r="E77" i="2"/>
  <c r="E55" i="2"/>
  <c r="E47" i="2"/>
  <c r="E34" i="2"/>
  <c r="E21" i="2"/>
  <c r="C97" i="2"/>
  <c r="D88" i="2"/>
  <c r="D77" i="2"/>
  <c r="D55" i="2"/>
  <c r="D47" i="2"/>
  <c r="C47" i="2"/>
  <c r="D34" i="2"/>
  <c r="D21" i="2"/>
  <c r="C88" i="2"/>
  <c r="C77" i="2"/>
  <c r="C55" i="2"/>
  <c r="C34" i="2"/>
  <c r="C21" i="2"/>
  <c r="B97" i="2"/>
  <c r="B88" i="2"/>
  <c r="B77" i="2"/>
  <c r="B55" i="2"/>
  <c r="B47" i="2"/>
  <c r="B34" i="2"/>
  <c r="B21" i="2"/>
  <c r="I90" i="2" l="1"/>
  <c r="I93" i="2" s="1"/>
  <c r="H35" i="2"/>
  <c r="H56" i="2" s="1"/>
  <c r="H58" i="2" s="1"/>
  <c r="G35" i="2"/>
  <c r="G56" i="2" s="1"/>
  <c r="G58" i="2" s="1"/>
  <c r="E35" i="2"/>
  <c r="E56" i="2" s="1"/>
  <c r="E58" i="2" s="1"/>
  <c r="F35" i="2"/>
  <c r="F56" i="2"/>
  <c r="F58" i="2" s="1"/>
  <c r="D35" i="2"/>
  <c r="D56" i="2" s="1"/>
  <c r="D58" i="2" s="1"/>
  <c r="C35" i="2"/>
  <c r="C56" i="2" s="1"/>
  <c r="C58" i="2" s="1"/>
  <c r="B35" i="2"/>
  <c r="B56" i="2" s="1"/>
  <c r="B58" i="2" s="1"/>
  <c r="C90" i="2" l="1"/>
  <c r="C93" i="2" s="1"/>
  <c r="D90" i="2"/>
  <c r="D93" i="2" s="1"/>
  <c r="G90" i="2"/>
  <c r="G93" i="2" s="1"/>
  <c r="B90" i="2"/>
  <c r="B93" i="2" s="1"/>
  <c r="E90" i="2"/>
  <c r="E93" i="2" s="1"/>
  <c r="H90" i="2"/>
  <c r="H93" i="2" s="1"/>
  <c r="F90" i="2"/>
  <c r="F93" i="2" s="1"/>
  <c r="G90" i="1"/>
  <c r="D90" i="1"/>
  <c r="E90" i="1"/>
  <c r="F90" i="1"/>
  <c r="H90" i="1"/>
  <c r="I90" i="1"/>
  <c r="C90" i="1"/>
  <c r="H89" i="1"/>
  <c r="E89" i="1"/>
  <c r="D89" i="1"/>
  <c r="F89" i="1"/>
  <c r="G89" i="1"/>
  <c r="I89" i="1"/>
  <c r="B90" i="1"/>
  <c r="B89" i="1"/>
  <c r="B84" i="1" l="1"/>
  <c r="C84" i="1"/>
  <c r="D84" i="1"/>
  <c r="E84" i="1"/>
  <c r="F84" i="1"/>
  <c r="G84" i="1"/>
  <c r="H84" i="1"/>
  <c r="B74" i="1"/>
  <c r="C74" i="1"/>
  <c r="D74" i="1"/>
  <c r="E74" i="1"/>
  <c r="F74" i="1"/>
  <c r="G74" i="1"/>
  <c r="H74" i="1"/>
  <c r="B59" i="1"/>
  <c r="C59" i="1"/>
  <c r="D59" i="1"/>
  <c r="E59" i="1"/>
  <c r="F59" i="1"/>
  <c r="G59" i="1"/>
  <c r="H59" i="1"/>
  <c r="B49" i="1"/>
  <c r="C49" i="1"/>
  <c r="D49" i="1"/>
  <c r="E49" i="1"/>
  <c r="F49" i="1"/>
  <c r="G49" i="1"/>
  <c r="H49" i="1"/>
  <c r="B39" i="1"/>
  <c r="C39" i="1"/>
  <c r="D39" i="1"/>
  <c r="E39" i="1"/>
  <c r="F39" i="1"/>
  <c r="G39" i="1"/>
  <c r="H95" i="1" s="1"/>
  <c r="H39" i="1"/>
  <c r="C15" i="1"/>
  <c r="D15" i="1"/>
  <c r="E15" i="1"/>
  <c r="F15" i="1"/>
  <c r="G15" i="1"/>
  <c r="H15" i="1"/>
  <c r="I15" i="1"/>
  <c r="B15" i="1"/>
  <c r="G95" i="1" l="1"/>
  <c r="E95" i="1"/>
  <c r="F95" i="1"/>
  <c r="D95" i="1"/>
  <c r="B95" i="1"/>
  <c r="C95" i="1"/>
  <c r="E93" i="1"/>
  <c r="D17" i="1"/>
  <c r="F85" i="1"/>
  <c r="B85" i="1"/>
  <c r="C85" i="1"/>
  <c r="G85" i="1"/>
  <c r="I17" i="1"/>
  <c r="E17" i="1"/>
  <c r="H93" i="1"/>
  <c r="D93" i="1"/>
  <c r="H17" i="1"/>
  <c r="F17" i="1"/>
  <c r="G17" i="1"/>
  <c r="C17" i="1"/>
  <c r="G93" i="1"/>
  <c r="C93" i="1"/>
  <c r="F93" i="1"/>
  <c r="B93" i="1"/>
  <c r="H85" i="1"/>
  <c r="D85" i="1"/>
  <c r="H60" i="1"/>
  <c r="D60" i="1"/>
  <c r="G60" i="1"/>
  <c r="C60" i="1"/>
  <c r="F60" i="1"/>
  <c r="B60" i="1"/>
  <c r="E60" i="1"/>
  <c r="E85" i="1"/>
  <c r="B92" i="1" l="1"/>
  <c r="C19" i="1"/>
  <c r="E94" i="1"/>
  <c r="G92" i="1"/>
  <c r="C92" i="1"/>
  <c r="E19" i="1"/>
  <c r="D19" i="1"/>
  <c r="D92" i="1"/>
  <c r="D94" i="1"/>
  <c r="H19" i="1"/>
  <c r="H94" i="1"/>
  <c r="G94" i="1"/>
  <c r="F19" i="1"/>
  <c r="G19" i="1"/>
  <c r="F94" i="1"/>
  <c r="F92" i="1"/>
  <c r="C94" i="1"/>
  <c r="B94" i="1"/>
  <c r="H92" i="1"/>
  <c r="E92" i="1"/>
  <c r="G21" i="1" l="1"/>
  <c r="D21" i="1"/>
  <c r="C21" i="1"/>
  <c r="H21" i="1"/>
  <c r="E21" i="1"/>
  <c r="F21" i="1"/>
  <c r="H23" i="1" l="1"/>
  <c r="D23" i="1"/>
  <c r="G23" i="1"/>
  <c r="C23" i="1"/>
  <c r="E23" i="1"/>
  <c r="F23" i="1"/>
  <c r="E25" i="1" l="1"/>
  <c r="E31" i="1" s="1"/>
  <c r="H25" i="1"/>
  <c r="H31" i="1" s="1"/>
  <c r="C25" i="1"/>
  <c r="C31" i="1" s="1"/>
  <c r="G25" i="1"/>
  <c r="G31" i="1" s="1"/>
  <c r="D25" i="1"/>
  <c r="D31" i="1" s="1"/>
  <c r="F25" i="1"/>
  <c r="F31" i="1" s="1"/>
  <c r="I84" i="1"/>
  <c r="I74" i="1"/>
  <c r="I59" i="1"/>
  <c r="I49" i="1"/>
  <c r="I39" i="1"/>
  <c r="I95" i="1" s="1"/>
  <c r="E27" i="1" l="1"/>
  <c r="H27" i="1"/>
  <c r="D27" i="1"/>
  <c r="F27" i="1"/>
  <c r="G27" i="1"/>
  <c r="C27" i="1"/>
  <c r="I93" i="1"/>
  <c r="I94" i="1" s="1"/>
  <c r="I60" i="1"/>
  <c r="I85" i="1"/>
  <c r="I19" i="1"/>
  <c r="H29" i="1" l="1"/>
  <c r="D29" i="1"/>
  <c r="F29" i="1"/>
  <c r="E29" i="1"/>
  <c r="G29" i="1"/>
  <c r="C29" i="1"/>
  <c r="I92" i="1"/>
  <c r="I21" i="1"/>
  <c r="I23" i="1" l="1"/>
  <c r="I25" i="1" l="1"/>
  <c r="I31" i="1" s="1"/>
  <c r="I27" i="1" l="1"/>
  <c r="I29" i="1" l="1"/>
  <c r="B8" i="1"/>
  <c r="B17" i="1" s="1"/>
  <c r="B19" i="1" s="1"/>
  <c r="B21" i="1" s="1"/>
  <c r="B23" i="1" s="1"/>
  <c r="B25" i="1" s="1"/>
  <c r="B31" i="1" l="1"/>
  <c r="B27" i="1"/>
  <c r="B29" i="1" s="1"/>
</calcChain>
</file>

<file path=xl/sharedStrings.xml><?xml version="1.0" encoding="utf-8"?>
<sst xmlns="http://schemas.openxmlformats.org/spreadsheetml/2006/main" count="453" uniqueCount="225">
  <si>
    <t>Income Statement</t>
  </si>
  <si>
    <t>Particulars</t>
  </si>
  <si>
    <t>Revenue from Operations</t>
  </si>
  <si>
    <t>Other Income</t>
  </si>
  <si>
    <t>Total Income</t>
  </si>
  <si>
    <t>Expenses</t>
  </si>
  <si>
    <t>Raw Material</t>
  </si>
  <si>
    <t>Excise Duty</t>
  </si>
  <si>
    <t>Employee Costs</t>
  </si>
  <si>
    <t>Other Expenses</t>
  </si>
  <si>
    <t>Total Expenses</t>
  </si>
  <si>
    <t>EBITDA</t>
  </si>
  <si>
    <t>Depreciation &amp; Amortization</t>
  </si>
  <si>
    <t>EBIT</t>
  </si>
  <si>
    <t>Finance Expenses</t>
  </si>
  <si>
    <t>PBT before profits of JVs</t>
  </si>
  <si>
    <t>Add: Share of Profits of JVs</t>
  </si>
  <si>
    <t>PBT &amp; Exceptional Items</t>
  </si>
  <si>
    <t>Exceptional Items</t>
  </si>
  <si>
    <t>PBT</t>
  </si>
  <si>
    <t>Tax</t>
  </si>
  <si>
    <t>PAT</t>
  </si>
  <si>
    <t>Less: Share of Minority Interest</t>
  </si>
  <si>
    <t>PAT for Equity Shareholders</t>
  </si>
  <si>
    <t>Dividend</t>
  </si>
  <si>
    <t>Balance Sheet</t>
  </si>
  <si>
    <t>Equity &amp; Liabilities</t>
  </si>
  <si>
    <t>Equity Share Capital</t>
  </si>
  <si>
    <t>Other Equity</t>
  </si>
  <si>
    <t>Total Equity</t>
  </si>
  <si>
    <t>Non-Controlling Interest</t>
  </si>
  <si>
    <t>Non-Current Liabilities</t>
  </si>
  <si>
    <t>Borrowings</t>
  </si>
  <si>
    <t>Lease Liabilities</t>
  </si>
  <si>
    <t>Other financial liabilities</t>
  </si>
  <si>
    <t>Provisions</t>
  </si>
  <si>
    <t xml:space="preserve">Deferred Tax Liabilities </t>
  </si>
  <si>
    <t>Other Non-Current Liabilities</t>
  </si>
  <si>
    <t>Total Non-Current Liabilities</t>
  </si>
  <si>
    <t>Current Liabilities</t>
  </si>
  <si>
    <t>Short Term Borrowings</t>
  </si>
  <si>
    <t>Trade Payables</t>
  </si>
  <si>
    <t>Other Financial Liabilities</t>
  </si>
  <si>
    <t xml:space="preserve"> - Current Maturities' of LTB</t>
  </si>
  <si>
    <t>Other Current Liabilities</t>
  </si>
  <si>
    <t>Total Current Liabilities</t>
  </si>
  <si>
    <t>TOTAL EQUITIES &amp; LIABILITIES</t>
  </si>
  <si>
    <t>Assets</t>
  </si>
  <si>
    <t>Non-Current Assets</t>
  </si>
  <si>
    <t>Property, Plant &amp; Equipment</t>
  </si>
  <si>
    <t>Intangible Assets</t>
  </si>
  <si>
    <t>Capital-Work in Progress</t>
  </si>
  <si>
    <t>Right of use of assets</t>
  </si>
  <si>
    <t>Other Intangible assets</t>
  </si>
  <si>
    <t>Intangible Assets under Development</t>
  </si>
  <si>
    <t>Equity accounted investments in associates</t>
  </si>
  <si>
    <t>Investment</t>
  </si>
  <si>
    <t>Financial Assets</t>
  </si>
  <si>
    <t>Income tax assets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</si>
  <si>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</si>
  <si>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</si>
  <si>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</si>
  <si>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</si>
  <si>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</si>
  <si>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</si>
  <si>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Cash, Bank &amp; Cash Equivalents</t>
  </si>
  <si>
    <t>Loans</t>
  </si>
  <si>
    <t>Other Financial Assets</t>
  </si>
  <si>
    <t>Other Current Assets</t>
  </si>
  <si>
    <t>Total Current Assets</t>
  </si>
  <si>
    <t>TOTAL ASSETS</t>
  </si>
  <si>
    <t>Ratios</t>
  </si>
  <si>
    <t>Common Size statement</t>
  </si>
  <si>
    <t>Trend Analysis</t>
  </si>
  <si>
    <t>-</t>
  </si>
  <si>
    <t>Other current liabilities</t>
  </si>
  <si>
    <t>Other current assets</t>
  </si>
  <si>
    <t>Liquidity Measures</t>
  </si>
  <si>
    <t>Leverage Measures</t>
  </si>
  <si>
    <t>Interest Coverage Measures</t>
  </si>
  <si>
    <t>Activity Ratios</t>
  </si>
  <si>
    <t>Profitablity Ratios</t>
  </si>
  <si>
    <t>Cash Performance Ratios</t>
  </si>
  <si>
    <t>Avg. inventory</t>
  </si>
  <si>
    <t>Working Capital</t>
  </si>
  <si>
    <t>Avg. Working Capital</t>
  </si>
  <si>
    <t>March 31, 2015</t>
  </si>
  <si>
    <t>Cash Flow from Operating Activities</t>
  </si>
  <si>
    <t>Adjustments for:</t>
  </si>
  <si>
    <t>Add: Depreciation and amortisation</t>
  </si>
  <si>
    <t>Loss on fixed assets sold/discarded</t>
  </si>
  <si>
    <t>Loss on sale of non-trade current investments</t>
  </si>
  <si>
    <t>Provision for diminution in value of investment:</t>
  </si>
  <si>
    <t>Exceptional item: Long term trade investment - non current</t>
  </si>
  <si>
    <t>Long term non trade investment</t>
  </si>
  <si>
    <t>Finance cost</t>
  </si>
  <si>
    <t>Exchange differences</t>
  </si>
  <si>
    <t>Impairment of goodwill on consolidation</t>
  </si>
  <si>
    <t>Provision for doubtful debts</t>
  </si>
  <si>
    <t>Less: Interest on long term and current non-trade investments</t>
  </si>
  <si>
    <t>Interest on loans, deposits etc.</t>
  </si>
  <si>
    <t>Profit on sale of fixed assets</t>
  </si>
  <si>
    <t>Foreign currency translation (net)</t>
  </si>
  <si>
    <t>Dividend income:</t>
  </si>
  <si>
    <t>On current Investments - Non-Trade</t>
  </si>
  <si>
    <t>On long-term investments- Non trade</t>
  </si>
  <si>
    <t>Profit on sale of non-trade current investments</t>
  </si>
  <si>
    <t>Operating profit before working capital changes</t>
  </si>
  <si>
    <t>Changes in working capital:</t>
  </si>
  <si>
    <t>Adjustment for (increase)/decrease in operating assets:</t>
  </si>
  <si>
    <t>Add: Inventories</t>
  </si>
  <si>
    <t>Trade receivables</t>
  </si>
  <si>
    <t>Short-term loans and advances</t>
  </si>
  <si>
    <t>Long-term loans and advances</t>
  </si>
  <si>
    <t>Adjustment for increase/(decrease) in operating liabilities:</t>
  </si>
  <si>
    <t>Less: Trade payables</t>
  </si>
  <si>
    <t>Other long-term liabilities</t>
  </si>
  <si>
    <t>Short-term provisions</t>
  </si>
  <si>
    <t>Long-term provisions</t>
  </si>
  <si>
    <t>Cash generated from operations</t>
  </si>
  <si>
    <t>Less: Direct taxes paid</t>
  </si>
  <si>
    <t>Net cash from operating activities</t>
  </si>
  <si>
    <t>Cash Flow from Investing Activities</t>
  </si>
  <si>
    <t>Proceeds from sale of fixed assets</t>
  </si>
  <si>
    <t>Investment in Associates</t>
  </si>
  <si>
    <t>Inter corporate deposits received back</t>
  </si>
  <si>
    <t>Inter corporate deposits paid</t>
  </si>
  <si>
    <t>Interest received on long term and current non-trade investments</t>
  </si>
  <si>
    <t>Interest received on loans, deposits etc.</t>
  </si>
  <si>
    <t>Dividend income</t>
  </si>
  <si>
    <t>On long-term investments-Trade and Non trade</t>
  </si>
  <si>
    <t>Capital expenditure on fixed assets, including capital advances</t>
  </si>
  <si>
    <t>Payment of deferred credits</t>
  </si>
  <si>
    <t>Net cash from / (used) in investing activities</t>
  </si>
  <si>
    <t>Cash Flow from Financing Activities</t>
  </si>
  <si>
    <t>Interest paid</t>
  </si>
  <si>
    <t>Dividends paid</t>
  </si>
  <si>
    <t>Tax on dividend</t>
  </si>
  <si>
    <t>Proceeds from issue of equity share capital</t>
  </si>
  <si>
    <t>Proceeds from long-term borrowings</t>
  </si>
  <si>
    <t>Proceeds from other short-term borrowings</t>
  </si>
  <si>
    <t>Net cash (used) in financing activities</t>
  </si>
  <si>
    <t>Increase/(Decrease) In Cash and Cash Equivalents</t>
  </si>
  <si>
    <t>Cash and cash equivalents at the beginning of the year</t>
  </si>
  <si>
    <t>Cash and cash equivalents at the end of the year</t>
  </si>
  <si>
    <t xml:space="preserve">Net profit before tax </t>
  </si>
  <si>
    <t xml:space="preserve">Add: on account of amalgamation </t>
  </si>
  <si>
    <t>Cash and Bank balances as per Balance Sheet</t>
  </si>
  <si>
    <t>Less: Unpaid dividend current account with Banks</t>
  </si>
  <si>
    <t>March 31, 2016</t>
  </si>
  <si>
    <t>March 31, 2017</t>
  </si>
  <si>
    <t>March 31, 2018</t>
  </si>
  <si>
    <t>March 31, 2019</t>
  </si>
  <si>
    <t>March 31, 2020</t>
  </si>
  <si>
    <t>March 31, 2021</t>
  </si>
  <si>
    <t>March 31, 2022</t>
  </si>
  <si>
    <t>Expense on employee stock option scheme</t>
  </si>
  <si>
    <t xml:space="preserve"> (Purchase) of investments </t>
  </si>
  <si>
    <t xml:space="preserve">Sale of investments </t>
  </si>
  <si>
    <t>Tax expense</t>
  </si>
  <si>
    <t>Profit on sale of investments</t>
  </si>
  <si>
    <t>Gain on investments carried at fair value through profit or loss</t>
  </si>
  <si>
    <t>Share of profit in associates</t>
  </si>
  <si>
    <t>Re-measurement loss on defined benefit plans</t>
  </si>
  <si>
    <t>Other financial assets-current</t>
  </si>
  <si>
    <t>Other financial assets-non-current</t>
  </si>
  <si>
    <t>Other non-current assets</t>
  </si>
  <si>
    <t>Other financial liabilities-Current</t>
  </si>
  <si>
    <t>Capital expenditure on property, plant &amp; equipment and intangible assets</t>
  </si>
  <si>
    <t>Additions to minority interest</t>
  </si>
  <si>
    <t xml:space="preserve">Bank balance </t>
  </si>
  <si>
    <t>Deposits more than 12 months and other than cash and cash</t>
  </si>
  <si>
    <t>Loss allowance on trade receivables</t>
  </si>
  <si>
    <t>Dividend income received from associates</t>
  </si>
  <si>
    <t>Payment of lease liabilities</t>
  </si>
  <si>
    <t>Loss allowance on advances</t>
  </si>
  <si>
    <t>Other financial assets</t>
  </si>
  <si>
    <t>Particulars (Amount in Crores of INR)</t>
  </si>
  <si>
    <t>Avg. payables</t>
  </si>
  <si>
    <t>Comparative Income Statement</t>
  </si>
  <si>
    <t>Comparative Balance Sheet</t>
  </si>
  <si>
    <t>Comparative Financial Statements (YoY)</t>
  </si>
  <si>
    <t>Avg. receivables</t>
  </si>
  <si>
    <t>Cash Flow Statement</t>
  </si>
  <si>
    <t>Promoter Group</t>
  </si>
  <si>
    <t>Foreign Institutional Investors (FII)</t>
  </si>
  <si>
    <t>Non Resident Indians (NRIs)</t>
  </si>
  <si>
    <t>Indian Public</t>
  </si>
  <si>
    <t>Insurance companies</t>
  </si>
  <si>
    <t>Mutual Funds / UTI</t>
  </si>
  <si>
    <t>Bodies Corporate</t>
  </si>
  <si>
    <t>Financial Institutions / Banks</t>
  </si>
  <si>
    <t>Others</t>
  </si>
  <si>
    <t>Avg. Total assets</t>
  </si>
  <si>
    <t>Current Ratio (CA/CL)</t>
  </si>
  <si>
    <t>Quick Ratio (CA-Invent.-Prepaid Exp/CL)</t>
  </si>
  <si>
    <t>Cash Ratio (Cash and equivalents/CL)</t>
  </si>
  <si>
    <t>Interest coverage (EBIT/Interest Exp.)</t>
  </si>
  <si>
    <t>Cash coverage (Cash from Operations/Int. Exp.)</t>
  </si>
  <si>
    <t>Net Profit Margin  (PAT/Sales)</t>
  </si>
  <si>
    <t>Gross Profit Margin (Sales - RM-Excise duty)/Sales</t>
  </si>
  <si>
    <t>Avg. Shareholder's Equity</t>
  </si>
  <si>
    <t>Return On Equity [PAT/Avg. SE]</t>
  </si>
  <si>
    <t>Dividend Payout Ratio (Dividend paid/PAT for SE)</t>
  </si>
  <si>
    <t>Cash Return On Equity (Cash from operations/Avg. SE)</t>
  </si>
  <si>
    <t>Cash Return On Assets (Cash from operations/Avg. TA)</t>
  </si>
  <si>
    <t>Cash Return  To Revenue (Cash from operations/Sales)</t>
  </si>
  <si>
    <t>Total Asset Turnover (Sales/Avg. TA)</t>
  </si>
  <si>
    <t>Fixed Asset Turnover (Sales/Total Non-Current Assets)</t>
  </si>
  <si>
    <t>Working Capital Turnover (Sales / Avg. WC)</t>
  </si>
  <si>
    <t>Inventory Turnover [COGS (RM+Excise duty)]/Avg. Inventory)</t>
  </si>
  <si>
    <t>Receivables Turnover (Sales / Avg. Receivables)</t>
  </si>
  <si>
    <t>Payable Turnover (RM+Excise Duty) / Avg. Ac Payables)</t>
  </si>
  <si>
    <t>Cash Conversion Cycle [Days Invent + Days Receiv. - Days Payable]</t>
  </si>
  <si>
    <t>Total Debt to Equity Ratio [(CL+LTD+OL)/Avg. SE]</t>
  </si>
  <si>
    <t>Long term Debt to Equity Ratio (LTD+OL)/Avg. SE)</t>
  </si>
  <si>
    <t>Total Debt  to Total Assets [(CL+LTD+OL)/Avg. TA]</t>
  </si>
  <si>
    <t>Days Inventory Outstanding [Avg. Inventory / COGS/365] or 365/ Inventory turnover</t>
  </si>
  <si>
    <t>Days Receivables Outstanding [Avg. Ac Receivables / Sales/365] or 365 / Receivable Turnover</t>
  </si>
  <si>
    <t>Days Payable Outstanding [Avg. Payables/(RM+Excise D)/365] or 365 / Payable Turnover</t>
  </si>
  <si>
    <t>Return On Total Assets                                                                      [PAT + Int. Exp. (1-tax rate)]/Total Average Assets</t>
  </si>
  <si>
    <t>Tax Rate (%)</t>
  </si>
  <si>
    <t>Financial Statements of Hero Motor Corporation Ltd.</t>
  </si>
  <si>
    <t>EPS (PAT / No. of Shares outstanding) 199,811,941 Shares in 2022</t>
  </si>
  <si>
    <t>PE (Market Price per share / EPS)  Market price = 2964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</si>
</sst>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[$-F800]dddd\,\ mmmm\ dd\,\ yyyy"/>
    <numFmt numFmtId="166" formatCode="_ * #,##0_ ;_ * \-#,##0_ ;_ * &quot;-&quot;??_ ;_ @_ "/>
    <numFmt numFmtId="167" formatCode="0.0%"/>
    <numFmt numFmtId="168" formatCode="#,##0.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0"/>
      <name val="Arial"/>
      <family val="2"/>
    </font>
    <font>
      <b/>
      <u/>
      <sz val="11"/>
      <color theme="1"/>
      <name val="Book Antiqua"/>
      <family val="1"/>
    </font>
    <font>
      <sz val="8"/>
      <name val="Calibri"/>
      <family val="2"/>
      <scheme val="minor"/>
    </font>
    <font>
      <sz val="11"/>
      <color rgb="FF221E20"/>
      <name val="Book Antiqua"/>
      <family val="1"/>
    </font>
    <font>
      <sz val="11"/>
      <name val="Book Antiqua"/>
      <family val="1"/>
    </font>
    <font>
      <sz val="11"/>
      <color rgb="FF2B2A29"/>
      <name val="Book Antiqua"/>
      <family val="1"/>
    </font>
    <font>
      <sz val="11"/>
      <color rgb="FF404042"/>
      <name val="Book Antiqua"/>
      <family val="1"/>
    </font>
    <font>
      <b/>
      <sz val="11"/>
      <color theme="0"/>
      <name val="Book Antiqua"/>
      <family val="1"/>
    </font>
    <font>
      <b/>
      <sz val="11"/>
      <color theme="5" tint="-0.499984740745262"/>
      <name val="Book Antiqua"/>
      <family val="1"/>
    </font>
    <font>
      <sz val="8"/>
      <color rgb="FF202122"/>
      <name val="Arial"/>
      <family val="2"/>
    </font>
    <font>
      <sz val="11"/>
      <color rgb="FFFF0000"/>
      <name val="Book Antiqua"/>
      <family val="1"/>
    </font>
    <font>
      <b/>
      <sz val="11"/>
      <color rgb="FFFF0000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/>
    <xf numFmtId="4" fontId="2" fillId="0" borderId="0" xfId="0" applyNumberFormat="1" applyFont="1"/>
    <xf numFmtId="0" fontId="4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2" xfId="0" applyFont="1" applyBorder="1"/>
    <xf numFmtId="2" fontId="2" fillId="0" borderId="0" xfId="0" applyNumberFormat="1" applyFont="1"/>
    <xf numFmtId="2" fontId="2" fillId="0" borderId="3" xfId="0" applyNumberFormat="1" applyFont="1" applyBorder="1"/>
    <xf numFmtId="164" fontId="2" fillId="0" borderId="1" xfId="0" applyNumberFormat="1" applyFont="1" applyBorder="1"/>
    <xf numFmtId="0" fontId="2" fillId="0" borderId="3" xfId="0" applyFont="1" applyBorder="1"/>
    <xf numFmtId="0" fontId="2" fillId="2" borderId="0" xfId="0" applyFont="1" applyFill="1"/>
    <xf numFmtId="9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0" fontId="2" fillId="0" borderId="1" xfId="1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0" fontId="2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vertical="center"/>
    </xf>
    <xf numFmtId="0" fontId="13" fillId="0" borderId="0" xfId="0" applyFont="1"/>
    <xf numFmtId="0" fontId="12" fillId="5" borderId="0" xfId="0" applyFont="1" applyFill="1"/>
    <xf numFmtId="0" fontId="2" fillId="6" borderId="1" xfId="0" applyFont="1" applyFill="1" applyBorder="1"/>
    <xf numFmtId="0" fontId="9" fillId="6" borderId="1" xfId="4" applyFont="1" applyFill="1" applyBorder="1"/>
    <xf numFmtId="0" fontId="8" fillId="6" borderId="1" xfId="4" applyFont="1" applyFill="1" applyBorder="1"/>
    <xf numFmtId="0" fontId="10" fillId="6" borderId="1" xfId="4" applyFont="1" applyFill="1" applyBorder="1"/>
    <xf numFmtId="0" fontId="9" fillId="6" borderId="1" xfId="0" applyFont="1" applyFill="1" applyBorder="1"/>
    <xf numFmtId="0" fontId="4" fillId="6" borderId="1" xfId="0" applyFont="1" applyFill="1" applyBorder="1"/>
    <xf numFmtId="0" fontId="11" fillId="6" borderId="1" xfId="4" applyFont="1" applyFill="1" applyBorder="1"/>
    <xf numFmtId="165" fontId="4" fillId="0" borderId="0" xfId="0" applyNumberFormat="1" applyFont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/>
    <xf numFmtId="9" fontId="2" fillId="0" borderId="1" xfId="1" applyFont="1" applyBorder="1"/>
    <xf numFmtId="167" fontId="2" fillId="0" borderId="1" xfId="1" applyNumberFormat="1" applyFont="1" applyBorder="1" applyAlignment="1">
      <alignment horizontal="center" vertical="center"/>
    </xf>
    <xf numFmtId="0" fontId="4" fillId="2" borderId="7" xfId="0" applyFont="1" applyFill="1" applyBorder="1"/>
    <xf numFmtId="168" fontId="2" fillId="0" borderId="1" xfId="0" applyNumberFormat="1" applyFont="1" applyBorder="1" applyAlignment="1">
      <alignment horizontal="center"/>
    </xf>
    <xf numFmtId="168" fontId="2" fillId="0" borderId="1" xfId="4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8" fontId="2" fillId="4" borderId="1" xfId="0" applyNumberFormat="1" applyFont="1" applyFill="1" applyBorder="1" applyAlignment="1">
      <alignment horizontal="center"/>
    </xf>
    <xf numFmtId="168" fontId="6" fillId="4" borderId="1" xfId="0" applyNumberFormat="1" applyFont="1" applyFill="1" applyBorder="1" applyAlignment="1">
      <alignment horizontal="center"/>
    </xf>
    <xf numFmtId="168" fontId="4" fillId="0" borderId="1" xfId="4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12" fillId="5" borderId="1" xfId="0" applyFont="1" applyFill="1" applyBorder="1"/>
    <xf numFmtId="0" fontId="4" fillId="4" borderId="8" xfId="0" applyFont="1" applyFill="1" applyBorder="1" applyAlignment="1">
      <alignment horizontal="left" vertical="center"/>
    </xf>
    <xf numFmtId="9" fontId="2" fillId="2" borderId="0" xfId="0" applyNumberFormat="1" applyFont="1" applyFill="1"/>
    <xf numFmtId="1" fontId="2" fillId="0" borderId="0" xfId="0" applyNumberFormat="1" applyFont="1"/>
    <xf numFmtId="10" fontId="0" fillId="0" borderId="0" xfId="0" applyNumberFormat="1"/>
    <xf numFmtId="164" fontId="2" fillId="0" borderId="0" xfId="0" applyNumberFormat="1" applyFont="1"/>
    <xf numFmtId="0" fontId="14" fillId="7" borderId="9" xfId="0" applyFont="1" applyFill="1" applyBorder="1" applyAlignment="1">
      <alignment vertical="center" wrapText="1"/>
    </xf>
    <xf numFmtId="10" fontId="14" fillId="7" borderId="9" xfId="0" applyNumberFormat="1" applyFont="1" applyFill="1" applyBorder="1" applyAlignment="1">
      <alignment vertical="center" wrapText="1"/>
    </xf>
    <xf numFmtId="9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2" fontId="2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9" fontId="2" fillId="0" borderId="0" xfId="1" applyFont="1" applyAlignment="1">
      <alignment horizontal="center" vertical="center"/>
    </xf>
    <xf numFmtId="0" fontId="2" fillId="3" borderId="1" xfId="0" applyFont="1" applyFill="1" applyBorder="1"/>
    <xf numFmtId="9" fontId="2" fillId="3" borderId="1" xfId="1" applyFont="1" applyFill="1" applyBorder="1"/>
    <xf numFmtId="0" fontId="1" fillId="0" borderId="0" xfId="5"/>
    <xf numFmtId="0" fontId="4" fillId="0" borderId="1" xfId="5" applyFont="1" applyBorder="1"/>
    <xf numFmtId="9" fontId="2" fillId="0" borderId="1" xfId="6" applyFont="1" applyBorder="1"/>
    <xf numFmtId="0" fontId="2" fillId="0" borderId="1" xfId="5" applyFont="1" applyBorder="1"/>
    <xf numFmtId="165" fontId="4" fillId="4" borderId="1" xfId="5" applyNumberFormat="1" applyFont="1" applyFill="1" applyBorder="1" applyAlignment="1">
      <alignment horizontal="center" vertical="center"/>
    </xf>
    <xf numFmtId="0" fontId="4" fillId="4" borderId="1" xfId="5" applyFont="1" applyFill="1" applyBorder="1" applyAlignment="1">
      <alignment horizontal="left" vertical="center"/>
    </xf>
    <xf numFmtId="0" fontId="1" fillId="2" borderId="0" xfId="5" applyFill="1"/>
    <xf numFmtId="0" fontId="4" fillId="3" borderId="1" xfId="5" applyFont="1" applyFill="1" applyBorder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4" xfId="5" applyFont="1" applyFill="1" applyBorder="1" applyAlignment="1">
      <alignment horizontal="center"/>
    </xf>
    <xf numFmtId="0" fontId="4" fillId="3" borderId="5" xfId="5" applyFont="1" applyFill="1" applyBorder="1" applyAlignment="1">
      <alignment horizontal="center"/>
    </xf>
    <xf numFmtId="0" fontId="4" fillId="3" borderId="6" xfId="5" applyFont="1" applyFill="1" applyBorder="1" applyAlignment="1">
      <alignment horizontal="center"/>
    </xf>
    <xf numFmtId="167" fontId="15" fillId="8" borderId="1" xfId="1" applyNumberFormat="1" applyFont="1" applyFill="1" applyBorder="1" applyAlignment="1">
      <alignment horizontal="center" vertical="center"/>
    </xf>
    <xf numFmtId="0" fontId="2" fillId="8" borderId="1" xfId="0" applyFont="1" applyFill="1" applyBorder="1"/>
    <xf numFmtId="10" fontId="4" fillId="4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/>
    <xf numFmtId="0" fontId="16" fillId="8" borderId="1" xfId="0" applyFont="1" applyFill="1" applyBorder="1"/>
    <xf numFmtId="9" fontId="15" fillId="8" borderId="1" xfId="1" applyFont="1" applyFill="1" applyBorder="1"/>
    <xf numFmtId="0" fontId="15" fillId="8" borderId="1" xfId="0" applyFont="1" applyFill="1" applyBorder="1"/>
    <xf numFmtId="10" fontId="15" fillId="8" borderId="1" xfId="1" applyNumberFormat="1" applyFont="1" applyFill="1" applyBorder="1" applyAlignment="1">
      <alignment horizontal="center" vertical="center"/>
    </xf>
    <xf numFmtId="10" fontId="2" fillId="0" borderId="0" xfId="1" applyNumberFormat="1" applyFont="1" applyBorder="1" applyAlignment="1">
      <alignment horizontal="center" vertical="center"/>
    </xf>
    <xf numFmtId="10" fontId="2" fillId="0" borderId="10" xfId="1" applyNumberFormat="1" applyFont="1" applyBorder="1" applyAlignment="1">
      <alignment horizontal="center" vertical="center"/>
    </xf>
  </cellXfs>
  <cellStyles count="7">
    <cellStyle name="Normal" xfId="0" builtinId="0"/>
    <cellStyle name="Normal 2" xfId="2" xr:uid="{9021EBAC-D097-4D6F-8246-939861B7DCB6}"/>
    <cellStyle name="Normal 3" xfId="3" xr:uid="{3536BC9A-D570-445D-8C62-4CF347612BC8}"/>
    <cellStyle name="Normal 4" xfId="4" xr:uid="{7D5A8F0F-8829-4AD8-99D8-CD6FCE61FF75}"/>
    <cellStyle name="Normal 5" xfId="5" xr:uid="{FD61F37C-470E-4BA7-AE94-2A9302973457}"/>
    <cellStyle name="Percent" xfId="1" builtinId="5"/>
    <cellStyle name="Percent 2" xfId="6" xr:uid="{6FEE5F8D-361F-4453-9472-5934D44F9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0"/>
              <a:t>Liquidity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Analysis'!$A$99</c:f>
              <c:strCache>
                <c:ptCount val="1"/>
                <c:pt idx="0">
                  <c:v>Current Ratio (CA/CL)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Analysis'!$B$98:$I$98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Analysis'!$B$99:$I$99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1-4BDB-909B-BFCF9DFD97DD}"/>
            </c:ext>
          </c:extLst>
        </c:ser>
        <c:ser>
          <c:idx val="1"/>
          <c:order val="1"/>
          <c:tx>
            <c:strRef>
              <c:f>'FS &amp; Trend Analysis'!$A$100</c:f>
              <c:strCache>
                <c:ptCount val="1"/>
                <c:pt idx="0">
                  <c:v>Quick Ratio (CA-Invent.-Prepaid Exp/CL)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Analysis'!$B$98:$I$98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Analysis'!$B$100:$I$100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F1-4BDB-909B-BFCF9DFD97DD}"/>
            </c:ext>
          </c:extLst>
        </c:ser>
        <c:ser>
          <c:idx val="2"/>
          <c:order val="2"/>
          <c:tx>
            <c:strRef>
              <c:f>'FS &amp; Trend Analysis'!$A$101</c:f>
              <c:strCache>
                <c:ptCount val="1"/>
                <c:pt idx="0">
                  <c:v>Cash Ratio (Cash and equivalents/CL)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Analysis'!$B$98:$I$98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Analysis'!$B$101:$I$101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F1-4BDB-909B-BFCF9DFD9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736848"/>
        <c:axId val="930740592"/>
      </c:lineChart>
      <c:catAx>
        <c:axId val="930736848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40592"/>
        <c:crosses val="autoZero"/>
        <c:auto val="0"/>
        <c:lblAlgn val="ctr"/>
        <c:lblOffset val="100"/>
        <c:noMultiLvlLbl val="0"/>
      </c:catAx>
      <c:valAx>
        <c:axId val="93074059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36848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Leverage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Analysis'!$A$104</c:f>
              <c:strCache>
                <c:ptCount val="1"/>
                <c:pt idx="0">
                  <c:v>Total Debt  to Total Assets [(CL+LTD+OL)/Avg. TA]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Analysis'!$B$103:$I$103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Analysis'!$B$104:$I$104</c:f>
              <c:numCache>
                <c:formatCode>_ * #,##0.00_ ;_ * \-#,##0.00_ ;_ * "-"??_ ;_ @_ 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9-41CE-9BE5-350435CBFBDA}"/>
            </c:ext>
          </c:extLst>
        </c:ser>
        <c:ser>
          <c:idx val="1"/>
          <c:order val="1"/>
          <c:tx>
            <c:strRef>
              <c:f>'FS &amp; Trend Analysis'!$A$105</c:f>
              <c:strCache>
                <c:ptCount val="1"/>
                <c:pt idx="0">
                  <c:v>Long term Debt to Equity Ratio (LTD+OL)/Avg. SE)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Analysis'!$B$103:$I$103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Analysis'!$B$105:$I$105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9-41CE-9BE5-350435CBFBDA}"/>
            </c:ext>
          </c:extLst>
        </c:ser>
        <c:ser>
          <c:idx val="2"/>
          <c:order val="2"/>
          <c:tx>
            <c:strRef>
              <c:f>'FS &amp; Trend Analysis'!$A$106</c:f>
              <c:strCache>
                <c:ptCount val="1"/>
                <c:pt idx="0">
                  <c:v>Total Debt to Equity Ratio [(CL+LTD+OL)/Avg. SE]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Analysis'!$B$103:$I$103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Analysis'!$B$106:$I$106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9-41CE-9BE5-350435CBF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Cash Performance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Analysis'!$A$134</c:f>
              <c:strCache>
                <c:ptCount val="1"/>
                <c:pt idx="0">
                  <c:v>Cash Return On Equity (Cash from operations/Avg. SE)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Analysis'!$B$133:$I$133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Analysis'!$B$134:$I$134</c:f>
              <c:numCache>
                <c:formatCode>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C-46E0-9E95-098162EA361B}"/>
            </c:ext>
          </c:extLst>
        </c:ser>
        <c:ser>
          <c:idx val="1"/>
          <c:order val="1"/>
          <c:tx>
            <c:strRef>
              <c:f>'FS &amp; Trend Analysis'!$A$135</c:f>
              <c:strCache>
                <c:ptCount val="1"/>
                <c:pt idx="0">
                  <c:v>Cash Return On Assets (Cash from operations/Avg. TA)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Analysis'!$B$133:$I$133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Analysis'!$B$135:$I$135</c:f>
              <c:numCache>
                <c:formatCode>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C-46E0-9E95-098162EA361B}"/>
            </c:ext>
          </c:extLst>
        </c:ser>
        <c:ser>
          <c:idx val="2"/>
          <c:order val="2"/>
          <c:tx>
            <c:strRef>
              <c:f>'FS &amp; Trend Analysis'!$A$136</c:f>
              <c:strCache>
                <c:ptCount val="1"/>
                <c:pt idx="0">
                  <c:v>Cash Return  To Revenue (Cash from operations/Sales)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Analysis'!$B$133:$I$133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Analysis'!$B$136:$I$136</c:f>
              <c:numCache>
                <c:formatCode>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8C-46E0-9E95-098162EA3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Interest Coverage Measures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Analysis'!$A$109</c:f>
              <c:strCache>
                <c:ptCount val="1"/>
                <c:pt idx="0">
                  <c:v>Cash coverage (Cash from Operations/Int. Exp.)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Analysis'!$B$108:$I$108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Analysis'!$B$109:$I$109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8-467D-9E23-07265660C41D}"/>
            </c:ext>
          </c:extLst>
        </c:ser>
        <c:ser>
          <c:idx val="1"/>
          <c:order val="1"/>
          <c:tx>
            <c:strRef>
              <c:f>'FS &amp; Trend Analysis'!$A$110</c:f>
              <c:strCache>
                <c:ptCount val="1"/>
                <c:pt idx="0">
                  <c:v>Interest coverage (EBIT/Interest Exp.)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Analysis'!$B$108:$I$108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Analysis'!$B$110:$I$110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8-467D-9E23-07265660C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Activity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Analysis'!$A$120</c:f>
              <c:strCache>
                <c:ptCount val="1"/>
                <c:pt idx="0">
                  <c:v>Working Capital Turnover (Sales / Avg. WC)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Analysis'!$B$112:$I$112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Analysis'!$B$120:$I$120</c:f>
              <c:numCache>
                <c:formatCode>_ * #,##0.00_ ;_ * \-#,##0.00_ ;_ * "-"??_ ;_ @_ 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F-44D5-93FA-10BF01E9EA30}"/>
            </c:ext>
          </c:extLst>
        </c:ser>
        <c:ser>
          <c:idx val="1"/>
          <c:order val="1"/>
          <c:tx>
            <c:strRef>
              <c:f>'FS &amp; Trend Analysis'!$A$121</c:f>
              <c:strCache>
                <c:ptCount val="1"/>
                <c:pt idx="0">
                  <c:v>Fixed Asset Turnover (Sales/Total Non-Current Assets)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Analysis'!$B$112:$I$112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Analysis'!$B$121:$I$121</c:f>
              <c:numCache>
                <c:formatCode>_ * #,##0.00_ ;_ * \-#,##0.00_ ;_ * "-"??_ ;_ @_ 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F-44D5-93FA-10BF01E9EA30}"/>
            </c:ext>
          </c:extLst>
        </c:ser>
        <c:ser>
          <c:idx val="2"/>
          <c:order val="2"/>
          <c:tx>
            <c:strRef>
              <c:f>'FS &amp; Trend Analysis'!$A$122</c:f>
              <c:strCache>
                <c:ptCount val="1"/>
                <c:pt idx="0">
                  <c:v>Total Asset Turnover (Sales/Avg. TA)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Analysis'!$B$112:$I$112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Analysis'!$B$122:$I$122</c:f>
              <c:numCache>
                <c:formatCode>_ * #,##0.00_ ;_ * \-#,##0.00_ ;_ * "-"??_ ;_ @_ 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3F-44D5-93FA-10BF01E9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Profitablity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Analysis'!$A$125</c:f>
              <c:strCache>
                <c:ptCount val="1"/>
                <c:pt idx="0">
                  <c:v>Net Profit Margin  (PAT/Sales)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Analysis'!$B$124:$I$124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Analysis'!$B$125:$I$125</c:f>
              <c:numCache>
                <c:formatCode>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DE-49A4-862A-0F29FB59022C}"/>
            </c:ext>
          </c:extLst>
        </c:ser>
        <c:ser>
          <c:idx val="1"/>
          <c:order val="1"/>
          <c:tx>
            <c:strRef>
              <c:f>'FS &amp; Trend Analysis'!$A$126</c:f>
              <c:strCache>
                <c:ptCount val="1"/>
                <c:pt idx="0">
                  <c:v>Gross Profit Margin (Sales - RM-Excise duty)/Sales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Analysis'!$B$124:$I$124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Analysis'!$B$126:$I$126</c:f>
              <c:numCache>
                <c:formatCode>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DE-49A4-862A-0F29FB59022C}"/>
            </c:ext>
          </c:extLst>
        </c:ser>
        <c:ser>
          <c:idx val="2"/>
          <c:order val="2"/>
          <c:tx>
            <c:strRef>
              <c:f>'FS &amp; Trend Analysis'!$A$127</c:f>
              <c:strCache>
                <c:ptCount val="1"/>
                <c:pt idx="0">
                  <c:v>Return On Total Assets                                                                      [PAT + Int. Exp. (1-tax rate)]/Total Average Assets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Analysis'!$B$124:$I$124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Analysis'!$B$127:$I$127</c:f>
              <c:numCache>
                <c:formatCode>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DE-49A4-862A-0F29FB59022C}"/>
            </c:ext>
          </c:extLst>
        </c:ser>
        <c:ser>
          <c:idx val="3"/>
          <c:order val="3"/>
          <c:tx>
            <c:strRef>
              <c:f>'FS &amp; Trend Analysis'!$A$128</c:f>
              <c:strCache>
                <c:ptCount val="1"/>
                <c:pt idx="0">
                  <c:v>Return On Equity [PAT/Avg. SE]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Analysis'!$B$124:$I$124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Analysis'!$B$128:$I$128</c:f>
              <c:numCache>
                <c:formatCode>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DE-49A4-862A-0F29FB59022C}"/>
            </c:ext>
          </c:extLst>
        </c:ser>
        <c:ser>
          <c:idx val="4"/>
          <c:order val="4"/>
          <c:tx>
            <c:strRef>
              <c:f>'FS &amp; Trend Analysis'!$A$129</c:f>
              <c:strCache>
                <c:ptCount val="1"/>
                <c:pt idx="0">
                  <c:v>Dividend Payout Ratio (Dividend paid/PAT for SE)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Analysis'!$B$124:$I$124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Analysis'!$B$129:$I$129</c:f>
              <c:numCache>
                <c:formatCode>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DE-49A4-862A-0F29FB590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Shareholding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3F-488C-90B9-B9BB7481D00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3F-488C-90B9-B9BB7481D00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3F-488C-90B9-B9BB7481D00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3F-488C-90B9-B9BB7481D00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03F-488C-90B9-B9BB7481D00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03F-488C-90B9-B9BB7481D00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03F-488C-90B9-B9BB7481D00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03F-488C-90B9-B9BB7481D00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03F-488C-90B9-B9BB7481D0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Shareholding!$A$2:$A$10</c:f>
              <c:strCache>
                <c:ptCount val="9"/>
                <c:pt idx="0">
                  <c:v>Promoter Group</c:v>
                </c:pt>
                <c:pt idx="1">
                  <c:v>Foreign Institutional Investors (FII)</c:v>
                </c:pt>
                <c:pt idx="2">
                  <c:v>Non Resident Indians (NRIs)</c:v>
                </c:pt>
                <c:pt idx="3">
                  <c:v>Indian Public</c:v>
                </c:pt>
                <c:pt idx="4">
                  <c:v>Insurance companies</c:v>
                </c:pt>
                <c:pt idx="5">
                  <c:v>Mutual Funds / UTI</c:v>
                </c:pt>
                <c:pt idx="6">
                  <c:v>Bodies Corporate</c:v>
                </c:pt>
                <c:pt idx="7">
                  <c:v>Financial Institutions / Banks</c:v>
                </c:pt>
                <c:pt idx="8">
                  <c:v>Others</c:v>
                </c:pt>
              </c:strCache>
            </c:strRef>
          </c:cat>
          <c:val>
            <c:numRef>
              <c:f>Shareholding!$B$2:$B$10</c:f>
              <c:numCache>
                <c:formatCode>0.00%</c:formatCode>
                <c:ptCount val="9"/>
                <c:pt idx="0">
                  <c:v>0.34599999999999997</c:v>
                </c:pt>
                <c:pt idx="1">
                  <c:v>0.34300000000000003</c:v>
                </c:pt>
                <c:pt idx="2">
                  <c:v>4.0000000000000001E-3</c:v>
                </c:pt>
                <c:pt idx="3">
                  <c:v>8.3000000000000004E-2</c:v>
                </c:pt>
                <c:pt idx="4">
                  <c:v>8.3000000000000004E-2</c:v>
                </c:pt>
                <c:pt idx="5">
                  <c:v>8.2000000000000003E-2</c:v>
                </c:pt>
                <c:pt idx="6">
                  <c:v>1.4E-2</c:v>
                </c:pt>
                <c:pt idx="7">
                  <c:v>0.02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8-4A37-BE1F-4B93929ACB3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1058739</xdr:colOff>
      <xdr:row>98</xdr:row>
      <xdr:rowOff>160019</xdr:rowOff>
    </xdr:from>
    <xdr:to>
      <xdr:col>13</xdr:col>
      <xdr:colOff>891540</xdr:colOff>
      <xdr:row>111</xdr:row>
      <xdr:rowOff>141642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DF056-AAA2-EB3C-11AE-F8816BF3C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114</xdr:row>
      <xdr:rowOff>160019</xdr:rowOff>
    </xdr:from>
    <xdr:to>
      <xdr:col>13</xdr:col>
      <xdr:colOff>502920</xdr:colOff>
      <xdr:row>133</xdr:row>
      <xdr:rowOff>167192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D23082-3153-F1CE-A863-049BE5CC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1318260</xdr:colOff>
      <xdr:row>136</xdr:row>
      <xdr:rowOff>144780</xdr:rowOff>
    </xdr:from>
    <xdr:to>
      <xdr:col>13</xdr:col>
      <xdr:colOff>373380</xdr:colOff>
      <xdr:row>149</xdr:row>
      <xdr:rowOff>174813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928B20-BECB-4F15-8BCF-B0718F98D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510540</xdr:colOff>
      <xdr:row>140</xdr:row>
      <xdr:rowOff>83820</xdr:rowOff>
    </xdr:from>
    <xdr:to>
      <xdr:col>10</xdr:col>
      <xdr:colOff>647700</xdr:colOff>
      <xdr:row>152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354965-A062-4CCB-9A00-4A6C2E479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632460</xdr:colOff>
      <xdr:row>141</xdr:row>
      <xdr:rowOff>152400</xdr:rowOff>
    </xdr:from>
    <xdr:to>
      <xdr:col>7</xdr:col>
      <xdr:colOff>175260</xdr:colOff>
      <xdr:row>147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F5B428-16D4-4E8D-96B3-1879733B6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141</xdr:row>
      <xdr:rowOff>0</xdr:rowOff>
    </xdr:from>
    <xdr:to>
      <xdr:col>6</xdr:col>
      <xdr:colOff>281940</xdr:colOff>
      <xdr:row>156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8656E7-01A9-46AD-A7B2-2195868FF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480060</xdr:rowOff>
    </xdr:from>
    <xdr:to>
      <xdr:col>15</xdr:col>
      <xdr:colOff>228600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7CD9C-324D-C18C-490D-8C858E451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1"/>
  <sheetViews>
    <sheetView showGridLines="0" tabSelected="1" topLeftCell="A90" zoomScaleNormal="100" workbookViewId="0">
      <pane xSplit="1" topLeftCell="F1" activePane="topRight" state="frozen"/>
      <selection pane="topRight" activeCell="K107" sqref="K107"/>
    </sheetView>
  </sheetViews>
  <sheetFormatPr defaultColWidth="14.44140625" defaultRowHeight="15" customHeight="1" x14ac:dyDescent="0.3"/>
  <cols>
    <col min="1" max="1" width="59.77734375" style="1" customWidth="1"/>
    <col min="2" max="8" width="15.6640625" style="3" customWidth="1"/>
    <col min="9" max="9" width="14.6640625" style="3" customWidth="1"/>
    <col min="10" max="10" width="8.88671875" style="1" customWidth="1"/>
    <col min="11" max="11" width="40.33203125" style="1" bestFit="1" customWidth="1"/>
    <col min="12" max="19" width="14.6640625" style="1" customWidth="1"/>
    <col min="20" max="16384" width="14.44140625" style="1"/>
  </cols>
  <sheetData>
    <row r="1" spans="1:19" ht="14.25" customHeight="1" x14ac:dyDescent="0.3"/>
    <row r="2" spans="1:19" ht="14.25" customHeight="1" x14ac:dyDescent="0.3">
      <c r="A2" s="56" t="s">
        <v>222</v>
      </c>
      <c r="K2" s="56" t="s">
        <v>73</v>
      </c>
      <c r="L2" s="5"/>
    </row>
    <row r="3" spans="1:19" ht="14.25" customHeight="1" x14ac:dyDescent="0.3"/>
    <row r="4" spans="1:19" ht="14.25" customHeight="1" x14ac:dyDescent="0.3">
      <c r="A4" s="24" t="s">
        <v>0</v>
      </c>
      <c r="K4" s="55" t="s">
        <v>0</v>
      </c>
    </row>
    <row r="5" spans="1:19" ht="14.25" customHeight="1" x14ac:dyDescent="0.3">
      <c r="A5" s="22" t="s">
        <v>177</v>
      </c>
      <c r="B5" s="23">
        <v>42094</v>
      </c>
      <c r="C5" s="23">
        <v>42460</v>
      </c>
      <c r="D5" s="23">
        <v>42825</v>
      </c>
      <c r="E5" s="23">
        <v>43190</v>
      </c>
      <c r="F5" s="23">
        <v>43555</v>
      </c>
      <c r="G5" s="23">
        <v>43921</v>
      </c>
      <c r="H5" s="23">
        <v>44286</v>
      </c>
      <c r="I5" s="23">
        <v>44651</v>
      </c>
      <c r="J5" s="2"/>
      <c r="K5" s="57" t="s">
        <v>1</v>
      </c>
      <c r="L5" s="23">
        <v>42094</v>
      </c>
      <c r="M5" s="23">
        <v>42460</v>
      </c>
      <c r="N5" s="23">
        <v>42825</v>
      </c>
      <c r="O5" s="23">
        <v>43190</v>
      </c>
      <c r="P5" s="23">
        <v>43555</v>
      </c>
      <c r="Q5" s="23">
        <v>43921</v>
      </c>
      <c r="R5" s="23">
        <v>44286</v>
      </c>
      <c r="S5" s="23">
        <v>44651</v>
      </c>
    </row>
    <row r="6" spans="1:19" ht="14.25" customHeight="1" x14ac:dyDescent="0.3">
      <c r="A6" s="86" t="s">
        <v>2</v>
      </c>
      <c r="B6" s="40">
        <v>29255.68</v>
      </c>
      <c r="C6" s="40">
        <v>30871.940000000002</v>
      </c>
      <c r="D6" s="40">
        <v>30983.66</v>
      </c>
      <c r="E6" s="40">
        <v>33100.94</v>
      </c>
      <c r="F6" s="40">
        <v>33972.230000000003</v>
      </c>
      <c r="G6" s="40">
        <v>29255.32</v>
      </c>
      <c r="H6" s="40">
        <v>30959.19</v>
      </c>
      <c r="I6" s="40">
        <v>29551.279999999999</v>
      </c>
      <c r="K6" s="8" t="s">
        <v>2</v>
      </c>
      <c r="L6" s="87">
        <f>B6/$B6</f>
        <v>1</v>
      </c>
      <c r="M6" s="85">
        <f>C6/$B6</f>
        <v>1.055246024019951</v>
      </c>
      <c r="N6" s="85">
        <f>D6/$B6</f>
        <v>1.0590647696447322</v>
      </c>
      <c r="O6" s="85">
        <f>E6/$B6</f>
        <v>1.1314363569740988</v>
      </c>
      <c r="P6" s="85">
        <f>F6/$B6</f>
        <v>1.1612182659914247</v>
      </c>
      <c r="Q6" s="85">
        <f>G6/$B6</f>
        <v>0.99998769469723481</v>
      </c>
      <c r="R6" s="85">
        <f>H6/$B6</f>
        <v>1.0582283508706685</v>
      </c>
      <c r="S6" s="85">
        <f>I6/$B6</f>
        <v>1.0101040208260412</v>
      </c>
    </row>
    <row r="7" spans="1:19" ht="14.25" customHeight="1" x14ac:dyDescent="0.3">
      <c r="A7" s="8" t="s">
        <v>3</v>
      </c>
      <c r="B7" s="40">
        <v>492.11</v>
      </c>
      <c r="C7" s="40">
        <v>389.08</v>
      </c>
      <c r="D7" s="40">
        <v>521.95000000000005</v>
      </c>
      <c r="E7" s="40">
        <v>523.16999999999996</v>
      </c>
      <c r="F7" s="40">
        <v>686.73</v>
      </c>
      <c r="G7" s="40">
        <v>730.56</v>
      </c>
      <c r="H7" s="40">
        <v>557.9</v>
      </c>
      <c r="I7" s="40">
        <v>555.01</v>
      </c>
      <c r="J7" s="59"/>
      <c r="K7" s="8" t="s">
        <v>3</v>
      </c>
      <c r="L7" s="87">
        <f t="shared" ref="L7:L8" si="0">B7/$B7</f>
        <v>1</v>
      </c>
      <c r="M7" s="44">
        <f t="shared" ref="L7:S8" si="1">C7/$B7</f>
        <v>0.79063623986507081</v>
      </c>
      <c r="N7" s="44">
        <f t="shared" si="1"/>
        <v>1.0606368494848712</v>
      </c>
      <c r="O7" s="44">
        <f t="shared" si="1"/>
        <v>1.0631159700067057</v>
      </c>
      <c r="P7" s="44">
        <f t="shared" si="1"/>
        <v>1.3954806852126558</v>
      </c>
      <c r="Q7" s="44">
        <f t="shared" si="1"/>
        <v>1.4845461380585641</v>
      </c>
      <c r="R7" s="44">
        <f t="shared" si="1"/>
        <v>1.1336896222389303</v>
      </c>
      <c r="S7" s="44">
        <f t="shared" si="1"/>
        <v>1.1278169514945844</v>
      </c>
    </row>
    <row r="8" spans="1:19" ht="14.25" customHeight="1" x14ac:dyDescent="0.3">
      <c r="A8" s="7" t="s">
        <v>4</v>
      </c>
      <c r="B8" s="41">
        <f t="shared" ref="B8:I8" si="2">SUM(B6:B7)</f>
        <v>29747.79</v>
      </c>
      <c r="C8" s="41">
        <f t="shared" si="2"/>
        <v>31261.020000000004</v>
      </c>
      <c r="D8" s="41">
        <f t="shared" si="2"/>
        <v>31505.61</v>
      </c>
      <c r="E8" s="41">
        <f t="shared" si="2"/>
        <v>33624.11</v>
      </c>
      <c r="F8" s="41">
        <f t="shared" si="2"/>
        <v>34658.960000000006</v>
      </c>
      <c r="G8" s="41">
        <f t="shared" si="2"/>
        <v>29985.88</v>
      </c>
      <c r="H8" s="41">
        <f t="shared" si="2"/>
        <v>31517.09</v>
      </c>
      <c r="I8" s="41">
        <f t="shared" si="2"/>
        <v>30106.289999999997</v>
      </c>
      <c r="K8" s="8" t="s">
        <v>4</v>
      </c>
      <c r="L8" s="87">
        <f t="shared" si="0"/>
        <v>1</v>
      </c>
      <c r="M8" s="44">
        <f t="shared" si="1"/>
        <v>1.0508686527637852</v>
      </c>
      <c r="N8" s="44">
        <f t="shared" si="1"/>
        <v>1.0590907761551362</v>
      </c>
      <c r="O8" s="44">
        <f t="shared" si="1"/>
        <v>1.1303061504736991</v>
      </c>
      <c r="P8" s="44">
        <f t="shared" si="1"/>
        <v>1.1650936086344568</v>
      </c>
      <c r="Q8" s="44">
        <f t="shared" si="1"/>
        <v>1.0080036197646951</v>
      </c>
      <c r="R8" s="44">
        <f t="shared" si="1"/>
        <v>1.0594766871757533</v>
      </c>
      <c r="S8" s="44">
        <f t="shared" si="1"/>
        <v>1.0120513154086404</v>
      </c>
    </row>
    <row r="9" spans="1:19" ht="14.25" customHeight="1" x14ac:dyDescent="0.3">
      <c r="A9" s="8"/>
      <c r="B9" s="40"/>
      <c r="C9" s="40"/>
      <c r="D9" s="40"/>
      <c r="E9" s="40"/>
      <c r="F9" s="40"/>
      <c r="G9" s="40"/>
      <c r="H9" s="40"/>
      <c r="I9" s="40"/>
      <c r="K9" s="8"/>
      <c r="L9" s="44"/>
      <c r="M9" s="44"/>
      <c r="N9" s="44"/>
      <c r="O9" s="44"/>
      <c r="P9" s="44"/>
      <c r="Q9" s="44"/>
      <c r="R9" s="44"/>
      <c r="S9" s="44"/>
    </row>
    <row r="10" spans="1:19" ht="14.25" customHeight="1" x14ac:dyDescent="0.3">
      <c r="A10" s="8" t="s">
        <v>5</v>
      </c>
      <c r="B10" s="40"/>
      <c r="C10" s="40"/>
      <c r="D10" s="40"/>
      <c r="E10" s="40"/>
      <c r="F10" s="40"/>
      <c r="G10" s="40"/>
      <c r="H10" s="40"/>
      <c r="I10" s="40"/>
      <c r="K10" s="8" t="s">
        <v>5</v>
      </c>
      <c r="L10" s="44"/>
      <c r="M10" s="44"/>
      <c r="N10" s="44"/>
      <c r="O10" s="44"/>
      <c r="P10" s="44"/>
      <c r="Q10" s="44"/>
      <c r="R10" s="44"/>
      <c r="S10" s="44"/>
    </row>
    <row r="11" spans="1:19" ht="14.25" customHeight="1" x14ac:dyDescent="0.3">
      <c r="A11" s="8" t="s">
        <v>6</v>
      </c>
      <c r="B11" s="40">
        <v>19715.300000000003</v>
      </c>
      <c r="C11" s="40">
        <v>19313.150000000001</v>
      </c>
      <c r="D11" s="40">
        <v>19116.080000000002</v>
      </c>
      <c r="E11" s="40">
        <v>21885.82</v>
      </c>
      <c r="F11" s="40">
        <v>23444.42</v>
      </c>
      <c r="G11" s="40">
        <v>19830.95</v>
      </c>
      <c r="H11" s="40">
        <v>21743.61</v>
      </c>
      <c r="I11" s="40">
        <v>20920.36</v>
      </c>
      <c r="K11" s="8" t="s">
        <v>6</v>
      </c>
      <c r="L11" s="87">
        <f>B11/$B11</f>
        <v>1</v>
      </c>
      <c r="M11" s="44">
        <f>C11/$B11</f>
        <v>0.97960213641182226</v>
      </c>
      <c r="N11" s="44">
        <f>D11/$B11</f>
        <v>0.96960634634015197</v>
      </c>
      <c r="O11" s="44">
        <f>E11/$B11</f>
        <v>1.1100931763655637</v>
      </c>
      <c r="P11" s="44">
        <f>F11/$B11</f>
        <v>1.1891485293147959</v>
      </c>
      <c r="Q11" s="44">
        <f>G11/$B11</f>
        <v>1.0058660025462458</v>
      </c>
      <c r="R11" s="44">
        <f>H11/$B11</f>
        <v>1.1028799967537901</v>
      </c>
      <c r="S11" s="44">
        <f>I11/$B11</f>
        <v>1.0611230871455164</v>
      </c>
    </row>
    <row r="12" spans="1:19" ht="14.25" customHeight="1" x14ac:dyDescent="0.3">
      <c r="A12" s="8" t="s">
        <v>7</v>
      </c>
      <c r="B12" s="40">
        <v>1717.65</v>
      </c>
      <c r="C12" s="40">
        <v>2258.21</v>
      </c>
      <c r="D12" s="40">
        <v>2373.23</v>
      </c>
      <c r="E12" s="40">
        <v>642.57000000000005</v>
      </c>
      <c r="F12" s="40">
        <v>1.41</v>
      </c>
      <c r="G12" s="40">
        <v>1.35</v>
      </c>
      <c r="H12" s="40">
        <v>0</v>
      </c>
      <c r="I12" s="40">
        <v>0</v>
      </c>
      <c r="K12" s="8" t="s">
        <v>7</v>
      </c>
      <c r="L12" s="87">
        <f t="shared" ref="L12:L15" si="3">B12/$B12</f>
        <v>1</v>
      </c>
      <c r="M12" s="44">
        <f t="shared" ref="L12:S13" si="4">C12/$B12</f>
        <v>1.3147090501557359</v>
      </c>
      <c r="N12" s="44">
        <f t="shared" si="4"/>
        <v>1.3816726341222019</v>
      </c>
      <c r="O12" s="44">
        <f t="shared" si="4"/>
        <v>0.37409833202340409</v>
      </c>
      <c r="P12" s="44">
        <f t="shared" si="4"/>
        <v>8.2088900532704555E-4</v>
      </c>
      <c r="Q12" s="44">
        <f t="shared" si="4"/>
        <v>7.859575582918522E-4</v>
      </c>
      <c r="R12" s="44">
        <f t="shared" si="4"/>
        <v>0</v>
      </c>
      <c r="S12" s="44">
        <f t="shared" si="4"/>
        <v>0</v>
      </c>
    </row>
    <row r="13" spans="1:19" ht="14.25" customHeight="1" x14ac:dyDescent="0.3">
      <c r="A13" s="8" t="s">
        <v>8</v>
      </c>
      <c r="B13" s="40">
        <v>1178.72</v>
      </c>
      <c r="C13" s="40">
        <v>1343.06</v>
      </c>
      <c r="D13" s="40">
        <v>1432.49</v>
      </c>
      <c r="E13" s="40">
        <v>1583.71</v>
      </c>
      <c r="F13" s="40">
        <v>1778.03</v>
      </c>
      <c r="G13" s="40">
        <v>1889.32</v>
      </c>
      <c r="H13" s="40">
        <v>1951.02</v>
      </c>
      <c r="I13" s="40">
        <v>1995.78</v>
      </c>
      <c r="K13" s="8" t="s">
        <v>8</v>
      </c>
      <c r="L13" s="87">
        <f t="shared" si="3"/>
        <v>1</v>
      </c>
      <c r="M13" s="44">
        <f t="shared" si="4"/>
        <v>1.1394224243246911</v>
      </c>
      <c r="N13" s="44">
        <f t="shared" si="4"/>
        <v>1.2152928600515813</v>
      </c>
      <c r="O13" s="44">
        <f t="shared" si="4"/>
        <v>1.3435845663092167</v>
      </c>
      <c r="P13" s="44">
        <f t="shared" si="4"/>
        <v>1.5084413601194515</v>
      </c>
      <c r="Q13" s="44">
        <f t="shared" si="4"/>
        <v>1.6028573367720917</v>
      </c>
      <c r="R13" s="44">
        <f t="shared" si="4"/>
        <v>1.6552022532917061</v>
      </c>
      <c r="S13" s="44">
        <f t="shared" si="4"/>
        <v>1.6931756481607168</v>
      </c>
    </row>
    <row r="14" spans="1:19" ht="14.25" customHeight="1" x14ac:dyDescent="0.3">
      <c r="A14" s="8" t="s">
        <v>9</v>
      </c>
      <c r="B14" s="40">
        <v>3292.01</v>
      </c>
      <c r="C14" s="40">
        <v>3575.27</v>
      </c>
      <c r="D14" s="40">
        <v>3485.89</v>
      </c>
      <c r="E14" s="40">
        <v>3663.79</v>
      </c>
      <c r="F14" s="40">
        <v>3729.94</v>
      </c>
      <c r="G14" s="40">
        <v>3472.78</v>
      </c>
      <c r="H14" s="40">
        <v>3165.05</v>
      </c>
      <c r="I14" s="40">
        <v>3190.37</v>
      </c>
      <c r="K14" s="8" t="s">
        <v>9</v>
      </c>
      <c r="L14" s="87">
        <f>B14/$B14</f>
        <v>1</v>
      </c>
      <c r="M14" s="44">
        <f>C14/$B14</f>
        <v>1.086044696097521</v>
      </c>
      <c r="N14" s="44">
        <f>D14/$B14</f>
        <v>1.0588941102852056</v>
      </c>
      <c r="O14" s="44">
        <f>E14/$B14</f>
        <v>1.1129340433352268</v>
      </c>
      <c r="P14" s="44">
        <f>F14/$B14</f>
        <v>1.133028149975243</v>
      </c>
      <c r="Q14" s="44">
        <f>G14/$B14</f>
        <v>1.054911740851334</v>
      </c>
      <c r="R14" s="44">
        <f>H14/$B14</f>
        <v>0.96143389600882134</v>
      </c>
      <c r="S14" s="44">
        <f>I14/$B14</f>
        <v>0.96912524567057801</v>
      </c>
    </row>
    <row r="15" spans="1:19" ht="14.25" customHeight="1" x14ac:dyDescent="0.3">
      <c r="A15" s="7" t="s">
        <v>10</v>
      </c>
      <c r="B15" s="41">
        <f t="shared" ref="B15:I15" si="5">SUM(B10:B14)</f>
        <v>25903.680000000008</v>
      </c>
      <c r="C15" s="41">
        <f t="shared" si="5"/>
        <v>26489.690000000002</v>
      </c>
      <c r="D15" s="41">
        <f t="shared" si="5"/>
        <v>26407.690000000002</v>
      </c>
      <c r="E15" s="41">
        <f t="shared" si="5"/>
        <v>27775.89</v>
      </c>
      <c r="F15" s="41">
        <f t="shared" si="5"/>
        <v>28953.799999999996</v>
      </c>
      <c r="G15" s="41">
        <f t="shared" si="5"/>
        <v>25194.399999999998</v>
      </c>
      <c r="H15" s="41">
        <f t="shared" si="5"/>
        <v>26859.68</v>
      </c>
      <c r="I15" s="41">
        <f t="shared" si="5"/>
        <v>26106.51</v>
      </c>
      <c r="K15" s="8" t="s">
        <v>10</v>
      </c>
      <c r="L15" s="87">
        <f t="shared" si="3"/>
        <v>1</v>
      </c>
      <c r="M15" s="44">
        <f t="shared" ref="L15:S16" si="6">C15/$B15</f>
        <v>1.02262265438733</v>
      </c>
      <c r="N15" s="44">
        <f t="shared" si="6"/>
        <v>1.0194570810016181</v>
      </c>
      <c r="O15" s="44">
        <f t="shared" si="6"/>
        <v>1.0722758310788272</v>
      </c>
      <c r="P15" s="44">
        <f t="shared" si="6"/>
        <v>1.11774852067351</v>
      </c>
      <c r="Q15" s="44">
        <f t="shared" si="6"/>
        <v>0.97261856230466059</v>
      </c>
      <c r="R15" s="44">
        <f t="shared" si="6"/>
        <v>1.0369059531309834</v>
      </c>
      <c r="S15" s="44">
        <f t="shared" si="6"/>
        <v>1.0078301615832188</v>
      </c>
    </row>
    <row r="16" spans="1:19" ht="14.25" customHeight="1" x14ac:dyDescent="0.3">
      <c r="A16" s="8"/>
      <c r="B16" s="40"/>
      <c r="C16" s="40"/>
      <c r="D16" s="40"/>
      <c r="E16" s="40"/>
      <c r="F16" s="40"/>
      <c r="G16" s="40"/>
      <c r="H16" s="40"/>
      <c r="I16" s="40"/>
      <c r="K16" s="8"/>
      <c r="L16" s="44"/>
      <c r="M16" s="44"/>
      <c r="N16" s="44"/>
      <c r="O16" s="44"/>
      <c r="P16" s="44"/>
      <c r="Q16" s="44"/>
      <c r="R16" s="44"/>
      <c r="S16" s="44"/>
    </row>
    <row r="17" spans="1:19" s="5" customFormat="1" ht="14.25" customHeight="1" x14ac:dyDescent="0.3">
      <c r="A17" s="7" t="s">
        <v>11</v>
      </c>
      <c r="B17" s="41">
        <f t="shared" ref="B17:I17" si="7">B8-B15</f>
        <v>3844.1099999999933</v>
      </c>
      <c r="C17" s="41">
        <f t="shared" si="7"/>
        <v>4771.3300000000017</v>
      </c>
      <c r="D17" s="41">
        <f t="shared" si="7"/>
        <v>5097.9199999999983</v>
      </c>
      <c r="E17" s="41">
        <f t="shared" si="7"/>
        <v>5848.2200000000012</v>
      </c>
      <c r="F17" s="41">
        <f t="shared" si="7"/>
        <v>5705.1600000000108</v>
      </c>
      <c r="G17" s="41">
        <f t="shared" si="7"/>
        <v>4791.4800000000032</v>
      </c>
      <c r="H17" s="41">
        <f t="shared" si="7"/>
        <v>4657.41</v>
      </c>
      <c r="I17" s="41">
        <f t="shared" si="7"/>
        <v>3999.7799999999988</v>
      </c>
      <c r="K17" s="7" t="s">
        <v>11</v>
      </c>
      <c r="L17" s="87">
        <f>B17/$B17</f>
        <v>1</v>
      </c>
      <c r="M17" s="44">
        <f>C17/$B17</f>
        <v>1.2412053765370945</v>
      </c>
      <c r="N17" s="44">
        <f>D17/$B17</f>
        <v>1.3261639235089546</v>
      </c>
      <c r="O17" s="44">
        <f>E17/$B17</f>
        <v>1.521345643074733</v>
      </c>
      <c r="P17" s="44">
        <f>F17/$B17</f>
        <v>1.4841302668237955</v>
      </c>
      <c r="Q17" s="44">
        <f>G17/$B17</f>
        <v>1.2464471620219015</v>
      </c>
      <c r="R17" s="44">
        <f>H17/$B17</f>
        <v>1.2115704285257207</v>
      </c>
      <c r="S17" s="44">
        <f>I17/$B17</f>
        <v>1.0404957194253042</v>
      </c>
    </row>
    <row r="18" spans="1:19" ht="14.25" customHeight="1" x14ac:dyDescent="0.3">
      <c r="A18" s="8" t="s">
        <v>12</v>
      </c>
      <c r="B18" s="40">
        <v>540.45000000000005</v>
      </c>
      <c r="C18" s="40">
        <v>447.01</v>
      </c>
      <c r="D18" s="40">
        <v>502.25</v>
      </c>
      <c r="E18" s="40">
        <v>574.98</v>
      </c>
      <c r="F18" s="40">
        <v>624.44000000000005</v>
      </c>
      <c r="G18" s="40">
        <v>845.76</v>
      </c>
      <c r="H18" s="40">
        <v>715.12</v>
      </c>
      <c r="I18" s="40">
        <v>689.52</v>
      </c>
      <c r="K18" s="8" t="s">
        <v>12</v>
      </c>
      <c r="L18" s="87">
        <f t="shared" ref="L18:L30" si="8">B18/$B18</f>
        <v>1</v>
      </c>
      <c r="M18" s="44">
        <f t="shared" ref="L18:S19" si="9">C18/$B18</f>
        <v>0.82710704042927186</v>
      </c>
      <c r="N18" s="44">
        <f t="shared" si="9"/>
        <v>0.92931816079193252</v>
      </c>
      <c r="O18" s="44">
        <f t="shared" si="9"/>
        <v>1.0638912017762974</v>
      </c>
      <c r="P18" s="44">
        <f t="shared" si="9"/>
        <v>1.1554075307614025</v>
      </c>
      <c r="Q18" s="44">
        <f t="shared" si="9"/>
        <v>1.5649181237857339</v>
      </c>
      <c r="R18" s="44">
        <f t="shared" si="9"/>
        <v>1.3231936349338513</v>
      </c>
      <c r="S18" s="44">
        <f t="shared" si="9"/>
        <v>1.2758257008048848</v>
      </c>
    </row>
    <row r="19" spans="1:19" s="5" customFormat="1" ht="14.25" customHeight="1" x14ac:dyDescent="0.3">
      <c r="A19" s="7" t="s">
        <v>13</v>
      </c>
      <c r="B19" s="41">
        <f t="shared" ref="B19:H19" si="10">B17-B18</f>
        <v>3303.6599999999935</v>
      </c>
      <c r="C19" s="41">
        <f t="shared" si="10"/>
        <v>4324.3200000000015</v>
      </c>
      <c r="D19" s="41">
        <f t="shared" si="10"/>
        <v>4595.6699999999983</v>
      </c>
      <c r="E19" s="41">
        <f t="shared" si="10"/>
        <v>5273.2400000000016</v>
      </c>
      <c r="F19" s="41">
        <f t="shared" si="10"/>
        <v>5080.7200000000103</v>
      </c>
      <c r="G19" s="41">
        <f t="shared" si="10"/>
        <v>3945.720000000003</v>
      </c>
      <c r="H19" s="41">
        <f t="shared" si="10"/>
        <v>3942.29</v>
      </c>
      <c r="I19" s="41">
        <f>I17-I18</f>
        <v>3310.2599999999989</v>
      </c>
      <c r="K19" s="7" t="s">
        <v>13</v>
      </c>
      <c r="L19" s="87">
        <f t="shared" si="8"/>
        <v>1</v>
      </c>
      <c r="M19" s="44">
        <f t="shared" si="9"/>
        <v>1.3089482573872644</v>
      </c>
      <c r="N19" s="44">
        <f t="shared" si="9"/>
        <v>1.39108443362816</v>
      </c>
      <c r="O19" s="44">
        <f t="shared" si="9"/>
        <v>1.5961812050876942</v>
      </c>
      <c r="P19" s="44">
        <f t="shared" si="9"/>
        <v>1.5379064431569895</v>
      </c>
      <c r="Q19" s="44">
        <f t="shared" si="9"/>
        <v>1.1943480866675176</v>
      </c>
      <c r="R19" s="44">
        <f t="shared" si="9"/>
        <v>1.1933098442333678</v>
      </c>
      <c r="S19" s="44">
        <f t="shared" si="9"/>
        <v>1.0019977842756231</v>
      </c>
    </row>
    <row r="20" spans="1:19" ht="14.25" customHeight="1" x14ac:dyDescent="0.3">
      <c r="A20" s="8" t="s">
        <v>14</v>
      </c>
      <c r="B20" s="40">
        <v>11.7</v>
      </c>
      <c r="C20" s="40">
        <v>11.87</v>
      </c>
      <c r="D20" s="40">
        <v>27.28</v>
      </c>
      <c r="E20" s="40">
        <v>30.8</v>
      </c>
      <c r="F20" s="40">
        <v>37.18</v>
      </c>
      <c r="G20" s="40">
        <v>46.64</v>
      </c>
      <c r="H20" s="40">
        <v>46.41</v>
      </c>
      <c r="I20" s="40">
        <v>53.1</v>
      </c>
      <c r="K20" s="8" t="s">
        <v>14</v>
      </c>
      <c r="L20" s="87">
        <f t="shared" si="8"/>
        <v>1</v>
      </c>
      <c r="M20" s="44">
        <f>C20/$B20</f>
        <v>1.0145299145299145</v>
      </c>
      <c r="N20" s="44">
        <f>D20/$B20</f>
        <v>2.3316239316239318</v>
      </c>
      <c r="O20" s="44">
        <f>E20/$B20</f>
        <v>2.6324786324786329</v>
      </c>
      <c r="P20" s="44">
        <f>F20/$B20</f>
        <v>3.177777777777778</v>
      </c>
      <c r="Q20" s="44">
        <f>G20/$B20</f>
        <v>3.9863247863247868</v>
      </c>
      <c r="R20" s="44">
        <f>H20/$B20</f>
        <v>3.9666666666666668</v>
      </c>
      <c r="S20" s="44">
        <f>I20/$B20</f>
        <v>4.5384615384615392</v>
      </c>
    </row>
    <row r="21" spans="1:19" ht="14.25" customHeight="1" x14ac:dyDescent="0.3">
      <c r="A21" s="8" t="s">
        <v>15</v>
      </c>
      <c r="B21" s="40">
        <f t="shared" ref="B21:H21" si="11">B19-B20</f>
        <v>3291.9599999999937</v>
      </c>
      <c r="C21" s="40">
        <f t="shared" si="11"/>
        <v>4312.4500000000016</v>
      </c>
      <c r="D21" s="40">
        <f t="shared" si="11"/>
        <v>4568.3899999999985</v>
      </c>
      <c r="E21" s="40">
        <f t="shared" si="11"/>
        <v>5242.4400000000014</v>
      </c>
      <c r="F21" s="40">
        <f t="shared" si="11"/>
        <v>5043.54000000001</v>
      </c>
      <c r="G21" s="40">
        <f t="shared" si="11"/>
        <v>3899.0800000000031</v>
      </c>
      <c r="H21" s="40">
        <f t="shared" si="11"/>
        <v>3895.88</v>
      </c>
      <c r="I21" s="40">
        <f>I19-I20</f>
        <v>3257.1599999999989</v>
      </c>
      <c r="K21" s="8" t="s">
        <v>15</v>
      </c>
      <c r="L21" s="87">
        <f t="shared" si="8"/>
        <v>1</v>
      </c>
      <c r="M21" s="44">
        <f t="shared" ref="L21:S23" si="12">C21/$B21</f>
        <v>1.309994653640995</v>
      </c>
      <c r="N21" s="44">
        <f t="shared" si="12"/>
        <v>1.3877416493517563</v>
      </c>
      <c r="O21" s="44">
        <f t="shared" si="12"/>
        <v>1.592498086246495</v>
      </c>
      <c r="P21" s="44">
        <f t="shared" si="12"/>
        <v>1.5320781540480504</v>
      </c>
      <c r="Q21" s="44">
        <f t="shared" si="12"/>
        <v>1.1844250841444035</v>
      </c>
      <c r="R21" s="44">
        <f t="shared" si="12"/>
        <v>1.1834530188702195</v>
      </c>
      <c r="S21" s="44">
        <f t="shared" si="12"/>
        <v>0.98942879014325968</v>
      </c>
    </row>
    <row r="22" spans="1:19" ht="14.25" customHeight="1" x14ac:dyDescent="0.3">
      <c r="A22" s="8" t="s">
        <v>16</v>
      </c>
      <c r="B22" s="40">
        <v>15.15</v>
      </c>
      <c r="C22" s="40">
        <v>39.46</v>
      </c>
      <c r="D22" s="40">
        <v>279.03999999999996</v>
      </c>
      <c r="E22" s="40">
        <v>51.43</v>
      </c>
      <c r="F22" s="40">
        <v>60.76</v>
      </c>
      <c r="G22" s="40">
        <v>34.630000000000003</v>
      </c>
      <c r="H22" s="40">
        <v>-46.56</v>
      </c>
      <c r="I22" s="40">
        <v>-199.05</v>
      </c>
      <c r="K22" s="8" t="s">
        <v>16</v>
      </c>
      <c r="L22" s="87">
        <f t="shared" si="8"/>
        <v>1</v>
      </c>
      <c r="M22" s="44">
        <f t="shared" si="12"/>
        <v>2.6046204620462046</v>
      </c>
      <c r="N22" s="44">
        <f t="shared" si="12"/>
        <v>18.418481848184815</v>
      </c>
      <c r="O22" s="44">
        <f t="shared" si="12"/>
        <v>3.3947194719471945</v>
      </c>
      <c r="P22" s="44">
        <f t="shared" si="12"/>
        <v>4.01056105610561</v>
      </c>
      <c r="Q22" s="44">
        <f t="shared" si="12"/>
        <v>2.2858085808580859</v>
      </c>
      <c r="R22" s="44">
        <f t="shared" si="12"/>
        <v>-3.0732673267326733</v>
      </c>
      <c r="S22" s="44">
        <f t="shared" si="12"/>
        <v>-13.138613861386139</v>
      </c>
    </row>
    <row r="23" spans="1:19" ht="14.25" customHeight="1" x14ac:dyDescent="0.3">
      <c r="A23" s="8" t="s">
        <v>17</v>
      </c>
      <c r="B23" s="40">
        <f t="shared" ref="B23:H23" si="13">SUM(B21:B22)</f>
        <v>3307.1099999999938</v>
      </c>
      <c r="C23" s="40">
        <f t="shared" si="13"/>
        <v>4351.9100000000017</v>
      </c>
      <c r="D23" s="40">
        <f t="shared" si="13"/>
        <v>4847.4299999999985</v>
      </c>
      <c r="E23" s="40">
        <f t="shared" si="13"/>
        <v>5293.8700000000017</v>
      </c>
      <c r="F23" s="40">
        <f t="shared" si="13"/>
        <v>5104.3000000000102</v>
      </c>
      <c r="G23" s="40">
        <f t="shared" si="13"/>
        <v>3933.7100000000032</v>
      </c>
      <c r="H23" s="40">
        <f t="shared" si="13"/>
        <v>3849.32</v>
      </c>
      <c r="I23" s="40">
        <f>SUM(I21:I22)</f>
        <v>3058.1099999999988</v>
      </c>
      <c r="K23" s="8" t="s">
        <v>17</v>
      </c>
      <c r="L23" s="87">
        <f t="shared" si="8"/>
        <v>1</v>
      </c>
      <c r="M23" s="44">
        <f t="shared" si="12"/>
        <v>1.3159253850038282</v>
      </c>
      <c r="N23" s="44">
        <f t="shared" si="12"/>
        <v>1.4657601349819049</v>
      </c>
      <c r="O23" s="44">
        <f t="shared" si="12"/>
        <v>1.6007541327624457</v>
      </c>
      <c r="P23" s="44">
        <f t="shared" si="12"/>
        <v>1.5434321809676788</v>
      </c>
      <c r="Q23" s="44">
        <f t="shared" si="12"/>
        <v>1.1894705649343416</v>
      </c>
      <c r="R23" s="44">
        <f t="shared" si="12"/>
        <v>1.1639528168098452</v>
      </c>
      <c r="S23" s="44">
        <f t="shared" si="12"/>
        <v>0.92470767528144049</v>
      </c>
    </row>
    <row r="24" spans="1:19" ht="14.25" customHeight="1" x14ac:dyDescent="0.3">
      <c r="A24" s="8" t="s">
        <v>18</v>
      </c>
      <c r="B24" s="40"/>
      <c r="C24" s="40"/>
      <c r="D24" s="40"/>
      <c r="E24" s="40"/>
      <c r="F24" s="40"/>
      <c r="G24" s="40">
        <v>677.37</v>
      </c>
      <c r="H24" s="40"/>
      <c r="I24" s="40"/>
      <c r="K24" s="8" t="s">
        <v>18</v>
      </c>
      <c r="L24" s="44"/>
      <c r="M24" s="44"/>
      <c r="N24" s="44"/>
      <c r="O24" s="44"/>
      <c r="P24" s="44"/>
      <c r="Q24" s="44"/>
      <c r="R24" s="44"/>
      <c r="S24" s="44"/>
    </row>
    <row r="25" spans="1:19" s="5" customFormat="1" ht="14.25" customHeight="1" x14ac:dyDescent="0.3">
      <c r="A25" s="7" t="s">
        <v>19</v>
      </c>
      <c r="B25" s="41">
        <f t="shared" ref="B25:H25" si="14">B23+B24</f>
        <v>3307.1099999999938</v>
      </c>
      <c r="C25" s="41">
        <f t="shared" si="14"/>
        <v>4351.9100000000017</v>
      </c>
      <c r="D25" s="41">
        <f t="shared" si="14"/>
        <v>4847.4299999999985</v>
      </c>
      <c r="E25" s="41">
        <f t="shared" si="14"/>
        <v>5293.8700000000017</v>
      </c>
      <c r="F25" s="41">
        <f t="shared" si="14"/>
        <v>5104.3000000000102</v>
      </c>
      <c r="G25" s="41">
        <f t="shared" si="14"/>
        <v>4611.0800000000036</v>
      </c>
      <c r="H25" s="41">
        <f t="shared" si="14"/>
        <v>3849.32</v>
      </c>
      <c r="I25" s="41">
        <f>I23+I24</f>
        <v>3058.1099999999988</v>
      </c>
      <c r="K25" s="7" t="s">
        <v>19</v>
      </c>
      <c r="L25" s="87">
        <f t="shared" si="8"/>
        <v>1</v>
      </c>
      <c r="M25" s="44">
        <f>C25/$B25</f>
        <v>1.3159253850038282</v>
      </c>
      <c r="N25" s="44">
        <f>D25/$B25</f>
        <v>1.4657601349819049</v>
      </c>
      <c r="O25" s="44">
        <f>E25/$B25</f>
        <v>1.6007541327624457</v>
      </c>
      <c r="P25" s="44">
        <f>F25/$B25</f>
        <v>1.5434321809676788</v>
      </c>
      <c r="Q25" s="44">
        <f>G25/$B25</f>
        <v>1.3942929022620996</v>
      </c>
      <c r="R25" s="44">
        <f>H25/$B25</f>
        <v>1.1639528168098452</v>
      </c>
      <c r="S25" s="44">
        <f>I25/$B25</f>
        <v>0.92470767528144049</v>
      </c>
    </row>
    <row r="26" spans="1:19" ht="14.25" customHeight="1" x14ac:dyDescent="0.3">
      <c r="A26" s="8" t="s">
        <v>20</v>
      </c>
      <c r="B26" s="40">
        <v>943.45</v>
      </c>
      <c r="C26" s="40">
        <v>1262.24</v>
      </c>
      <c r="D26" s="40">
        <v>1339.1</v>
      </c>
      <c r="E26" s="40">
        <v>1569.93</v>
      </c>
      <c r="F26" s="40">
        <v>1637.95</v>
      </c>
      <c r="G26" s="40">
        <v>951.67</v>
      </c>
      <c r="H26" s="40">
        <v>913.27</v>
      </c>
      <c r="I26" s="40">
        <v>729.06</v>
      </c>
      <c r="K26" s="8" t="s">
        <v>20</v>
      </c>
      <c r="L26" s="87">
        <f t="shared" si="8"/>
        <v>1</v>
      </c>
      <c r="M26" s="44">
        <f t="shared" ref="L26:S30" si="15">C26/$B26</f>
        <v>1.337898139806031</v>
      </c>
      <c r="N26" s="44">
        <f t="shared" si="15"/>
        <v>1.419365096189517</v>
      </c>
      <c r="O26" s="44">
        <f t="shared" si="15"/>
        <v>1.6640309502358366</v>
      </c>
      <c r="P26" s="44">
        <f t="shared" si="15"/>
        <v>1.7361280407016799</v>
      </c>
      <c r="Q26" s="44">
        <f t="shared" si="15"/>
        <v>1.0087127033759076</v>
      </c>
      <c r="R26" s="44">
        <f t="shared" si="15"/>
        <v>0.96801102337166778</v>
      </c>
      <c r="S26" s="44">
        <f t="shared" si="15"/>
        <v>0.77275955270549568</v>
      </c>
    </row>
    <row r="27" spans="1:19" s="5" customFormat="1" ht="14.25" customHeight="1" x14ac:dyDescent="0.3">
      <c r="A27" s="7" t="s">
        <v>21</v>
      </c>
      <c r="B27" s="41">
        <f t="shared" ref="B27:H27" si="16">B25-B26</f>
        <v>2363.6599999999935</v>
      </c>
      <c r="C27" s="41">
        <f t="shared" si="16"/>
        <v>3089.6700000000019</v>
      </c>
      <c r="D27" s="41">
        <f t="shared" si="16"/>
        <v>3508.3299999999986</v>
      </c>
      <c r="E27" s="41">
        <f t="shared" si="16"/>
        <v>3723.9400000000014</v>
      </c>
      <c r="F27" s="41">
        <f t="shared" si="16"/>
        <v>3466.3500000000104</v>
      </c>
      <c r="G27" s="41">
        <f t="shared" si="16"/>
        <v>3659.4100000000035</v>
      </c>
      <c r="H27" s="41">
        <f t="shared" si="16"/>
        <v>2936.05</v>
      </c>
      <c r="I27" s="41">
        <f>I25-I26</f>
        <v>2329.0499999999988</v>
      </c>
      <c r="K27" s="7" t="s">
        <v>21</v>
      </c>
      <c r="L27" s="87">
        <f t="shared" si="8"/>
        <v>1</v>
      </c>
      <c r="M27" s="44">
        <f t="shared" si="15"/>
        <v>1.3071550053730276</v>
      </c>
      <c r="N27" s="44">
        <f t="shared" si="15"/>
        <v>1.4842786187522774</v>
      </c>
      <c r="O27" s="44">
        <f t="shared" si="15"/>
        <v>1.5754973219498625</v>
      </c>
      <c r="P27" s="44">
        <f t="shared" si="15"/>
        <v>1.4665180271274294</v>
      </c>
      <c r="Q27" s="44">
        <f t="shared" si="15"/>
        <v>1.5481964411125178</v>
      </c>
      <c r="R27" s="44">
        <f t="shared" si="15"/>
        <v>1.2421625783742198</v>
      </c>
      <c r="S27" s="44">
        <f t="shared" si="15"/>
        <v>0.98535745411776876</v>
      </c>
    </row>
    <row r="28" spans="1:19" ht="14.25" customHeight="1" x14ac:dyDescent="0.3">
      <c r="A28" s="8" t="s">
        <v>22</v>
      </c>
      <c r="B28" s="40">
        <v>-1.04</v>
      </c>
      <c r="C28" s="40">
        <v>-4.1100000000000003</v>
      </c>
      <c r="D28" s="40">
        <v>-37.97</v>
      </c>
      <c r="E28" s="40">
        <v>1.77</v>
      </c>
      <c r="F28" s="40">
        <v>22.66</v>
      </c>
      <c r="G28" s="40">
        <v>21.3</v>
      </c>
      <c r="H28" s="40">
        <v>18.3</v>
      </c>
      <c r="I28" s="40">
        <v>12.17</v>
      </c>
      <c r="K28" s="8" t="s">
        <v>22</v>
      </c>
      <c r="L28" s="87">
        <f t="shared" si="8"/>
        <v>1</v>
      </c>
      <c r="M28" s="44">
        <f t="shared" si="15"/>
        <v>3.9519230769230771</v>
      </c>
      <c r="N28" s="44">
        <f t="shared" si="15"/>
        <v>36.50961538461538</v>
      </c>
      <c r="O28" s="44">
        <f t="shared" si="15"/>
        <v>-1.7019230769230769</v>
      </c>
      <c r="P28" s="44">
        <f t="shared" si="15"/>
        <v>-21.788461538461537</v>
      </c>
      <c r="Q28" s="44">
        <f t="shared" si="15"/>
        <v>-20.48076923076923</v>
      </c>
      <c r="R28" s="44">
        <f t="shared" si="15"/>
        <v>-17.596153846153847</v>
      </c>
      <c r="S28" s="44">
        <f t="shared" si="15"/>
        <v>-11.701923076923077</v>
      </c>
    </row>
    <row r="29" spans="1:19" ht="14.25" customHeight="1" x14ac:dyDescent="0.3">
      <c r="A29" s="7" t="s">
        <v>23</v>
      </c>
      <c r="B29" s="41">
        <f t="shared" ref="B29:H29" si="17">B27-B28</f>
        <v>2364.6999999999935</v>
      </c>
      <c r="C29" s="41">
        <f t="shared" si="17"/>
        <v>3093.780000000002</v>
      </c>
      <c r="D29" s="41">
        <f t="shared" si="17"/>
        <v>3546.2999999999984</v>
      </c>
      <c r="E29" s="41">
        <f t="shared" si="17"/>
        <v>3722.1700000000014</v>
      </c>
      <c r="F29" s="41">
        <f t="shared" si="17"/>
        <v>3443.6900000000105</v>
      </c>
      <c r="G29" s="41">
        <f t="shared" si="17"/>
        <v>3638.1100000000033</v>
      </c>
      <c r="H29" s="41">
        <f t="shared" si="17"/>
        <v>2917.75</v>
      </c>
      <c r="I29" s="41">
        <f>I27-I28</f>
        <v>2316.8799999999987</v>
      </c>
      <c r="K29" s="8" t="s">
        <v>23</v>
      </c>
      <c r="L29" s="87">
        <f t="shared" si="8"/>
        <v>1</v>
      </c>
      <c r="M29" s="44">
        <f t="shared" si="15"/>
        <v>1.3083181798959744</v>
      </c>
      <c r="N29" s="44">
        <f t="shared" si="15"/>
        <v>1.4996828350319313</v>
      </c>
      <c r="O29" s="44">
        <f t="shared" si="15"/>
        <v>1.5740559056117105</v>
      </c>
      <c r="P29" s="44">
        <f t="shared" si="15"/>
        <v>1.4562904385334376</v>
      </c>
      <c r="Q29" s="44">
        <f t="shared" si="15"/>
        <v>1.5385080559901947</v>
      </c>
      <c r="R29" s="44">
        <f t="shared" si="15"/>
        <v>1.2338774474563403</v>
      </c>
      <c r="S29" s="44">
        <f t="shared" si="15"/>
        <v>0.9797775616357276</v>
      </c>
    </row>
    <row r="30" spans="1:19" ht="14.25" customHeight="1" x14ac:dyDescent="0.3">
      <c r="A30" s="8" t="s">
        <v>24</v>
      </c>
      <c r="B30" s="40">
        <v>1198.1199999999999</v>
      </c>
      <c r="C30" s="40">
        <v>1397.81</v>
      </c>
      <c r="D30" s="40">
        <v>1737.34</v>
      </c>
      <c r="E30" s="40">
        <v>1697.5</v>
      </c>
      <c r="F30" s="40">
        <v>1897.35</v>
      </c>
      <c r="G30" s="40">
        <v>1937</v>
      </c>
      <c r="H30" s="40">
        <v>1398.46</v>
      </c>
      <c r="I30" s="40">
        <f>85*I37/2</f>
        <v>1698.3</v>
      </c>
      <c r="K30" s="8" t="s">
        <v>24</v>
      </c>
      <c r="L30" s="87">
        <f t="shared" si="8"/>
        <v>1</v>
      </c>
      <c r="M30" s="44">
        <f t="shared" si="15"/>
        <v>1.1666694488031251</v>
      </c>
      <c r="N30" s="44">
        <f t="shared" si="15"/>
        <v>1.4500550863018731</v>
      </c>
      <c r="O30" s="44">
        <f t="shared" si="15"/>
        <v>1.4168029913531199</v>
      </c>
      <c r="P30" s="44">
        <f t="shared" si="15"/>
        <v>1.5836059827062399</v>
      </c>
      <c r="Q30" s="44">
        <f t="shared" si="15"/>
        <v>1.6166994958768739</v>
      </c>
      <c r="R30" s="44">
        <f t="shared" si="15"/>
        <v>1.1672119654124797</v>
      </c>
      <c r="S30" s="44">
        <f t="shared" si="15"/>
        <v>1.4174707041030949</v>
      </c>
    </row>
    <row r="31" spans="1:19" ht="14.25" customHeight="1" x14ac:dyDescent="0.3">
      <c r="A31" s="1" t="s">
        <v>221</v>
      </c>
      <c r="B31" s="68">
        <f>B26/B25</f>
        <v>0.28527929219167242</v>
      </c>
      <c r="C31" s="68">
        <f t="shared" ref="C31:I31" si="18">C26/C25</f>
        <v>0.29004276283287095</v>
      </c>
      <c r="D31" s="68">
        <f t="shared" si="18"/>
        <v>0.27624947652673693</v>
      </c>
      <c r="E31" s="68">
        <f t="shared" si="18"/>
        <v>0.29655620557361617</v>
      </c>
      <c r="F31" s="68">
        <f t="shared" si="18"/>
        <v>0.32089610720372957</v>
      </c>
      <c r="G31" s="68">
        <f t="shared" si="18"/>
        <v>0.20638765755527971</v>
      </c>
      <c r="H31" s="68">
        <f t="shared" si="18"/>
        <v>0.23725489177309236</v>
      </c>
      <c r="I31" s="68">
        <f t="shared" si="18"/>
        <v>0.23840215034776388</v>
      </c>
    </row>
    <row r="32" spans="1:19" ht="14.25" customHeight="1" x14ac:dyDescent="0.3"/>
    <row r="33" spans="1:19" ht="14.25" customHeight="1" x14ac:dyDescent="0.3"/>
    <row r="34" spans="1:19" ht="14.25" customHeight="1" x14ac:dyDescent="0.3">
      <c r="A34" s="24" t="s">
        <v>25</v>
      </c>
      <c r="B34" s="45"/>
      <c r="C34" s="45"/>
      <c r="D34" s="45"/>
      <c r="E34" s="45"/>
      <c r="F34" s="45"/>
      <c r="G34" s="45"/>
      <c r="H34" s="45"/>
      <c r="I34" s="45"/>
      <c r="K34" s="55" t="s">
        <v>25</v>
      </c>
    </row>
    <row r="35" spans="1:19" ht="14.25" customHeight="1" x14ac:dyDescent="0.3">
      <c r="A35" s="22" t="s">
        <v>1</v>
      </c>
      <c r="B35" s="23">
        <v>42094</v>
      </c>
      <c r="C35" s="23">
        <v>42460</v>
      </c>
      <c r="D35" s="23">
        <v>42825</v>
      </c>
      <c r="E35" s="23">
        <v>43190</v>
      </c>
      <c r="F35" s="23">
        <v>43555</v>
      </c>
      <c r="G35" s="23">
        <v>43921</v>
      </c>
      <c r="H35" s="23">
        <v>44286</v>
      </c>
      <c r="I35" s="23">
        <v>44651</v>
      </c>
      <c r="K35" s="22" t="s">
        <v>1</v>
      </c>
      <c r="L35" s="23">
        <v>42094</v>
      </c>
      <c r="M35" s="23">
        <v>42460</v>
      </c>
      <c r="N35" s="23">
        <v>42825</v>
      </c>
      <c r="O35" s="23">
        <v>43190</v>
      </c>
      <c r="P35" s="23">
        <v>43555</v>
      </c>
      <c r="Q35" s="23">
        <v>43921</v>
      </c>
      <c r="R35" s="23">
        <v>44286</v>
      </c>
      <c r="S35" s="23">
        <v>44651</v>
      </c>
    </row>
    <row r="36" spans="1:19" ht="14.25" customHeight="1" x14ac:dyDescent="0.3">
      <c r="A36" s="79" t="s">
        <v>26</v>
      </c>
      <c r="B36" s="80"/>
      <c r="C36" s="80"/>
      <c r="D36" s="80"/>
      <c r="E36" s="80"/>
      <c r="F36" s="80"/>
      <c r="G36" s="80"/>
      <c r="H36" s="80"/>
      <c r="I36" s="81"/>
      <c r="K36" s="69" t="s">
        <v>26</v>
      </c>
      <c r="L36" s="70"/>
      <c r="M36" s="70"/>
      <c r="N36" s="70"/>
      <c r="O36" s="70"/>
      <c r="P36" s="70"/>
      <c r="Q36" s="70"/>
      <c r="R36" s="70"/>
      <c r="S36" s="70"/>
    </row>
    <row r="37" spans="1:19" ht="14.25" customHeight="1" x14ac:dyDescent="0.3">
      <c r="A37" s="8" t="s">
        <v>27</v>
      </c>
      <c r="B37" s="40">
        <v>39.94</v>
      </c>
      <c r="C37" s="40">
        <v>39.94</v>
      </c>
      <c r="D37" s="40">
        <v>39.94</v>
      </c>
      <c r="E37" s="40">
        <v>39.94</v>
      </c>
      <c r="F37" s="40">
        <v>39.950000000000003</v>
      </c>
      <c r="G37" s="40">
        <v>39.950000000000003</v>
      </c>
      <c r="H37" s="40">
        <v>39.96</v>
      </c>
      <c r="I37" s="40">
        <v>39.96</v>
      </c>
      <c r="K37" s="8" t="s">
        <v>27</v>
      </c>
      <c r="L37" s="43">
        <f>B37/$B37</f>
        <v>1</v>
      </c>
      <c r="M37" s="43">
        <f>C37/$B37</f>
        <v>1</v>
      </c>
      <c r="N37" s="43">
        <f>D37/$B37</f>
        <v>1</v>
      </c>
      <c r="O37" s="43">
        <f>E37/$B37</f>
        <v>1</v>
      </c>
      <c r="P37" s="43">
        <f>F37/$B37</f>
        <v>1.0002503755633452</v>
      </c>
      <c r="Q37" s="43">
        <f>G37/$B37</f>
        <v>1.0002503755633452</v>
      </c>
      <c r="R37" s="43">
        <f>H37/$B37</f>
        <v>1.0005007511266901</v>
      </c>
      <c r="S37" s="43">
        <f>I37/$B37</f>
        <v>1.0005007511266901</v>
      </c>
    </row>
    <row r="38" spans="1:19" ht="14.25" customHeight="1" x14ac:dyDescent="0.3">
      <c r="A38" s="8" t="s">
        <v>28</v>
      </c>
      <c r="B38" s="40">
        <v>6500.06</v>
      </c>
      <c r="C38" s="40">
        <v>7912.74</v>
      </c>
      <c r="D38" s="40">
        <v>10275.57</v>
      </c>
      <c r="E38" s="40">
        <v>11931.52</v>
      </c>
      <c r="F38" s="40">
        <v>13080.46</v>
      </c>
      <c r="G38" s="40">
        <v>14366.33</v>
      </c>
      <c r="H38" s="40">
        <v>15376.46</v>
      </c>
      <c r="I38" s="40">
        <v>15806.69</v>
      </c>
      <c r="K38" s="8" t="s">
        <v>28</v>
      </c>
      <c r="L38" s="43">
        <f t="shared" ref="L38:S40" si="19">B38/$B38</f>
        <v>1</v>
      </c>
      <c r="M38" s="43">
        <f t="shared" si="19"/>
        <v>1.2173333784611218</v>
      </c>
      <c r="N38" s="43">
        <f t="shared" si="19"/>
        <v>1.5808423306861781</v>
      </c>
      <c r="O38" s="43">
        <f t="shared" si="19"/>
        <v>1.8356015175244536</v>
      </c>
      <c r="P38" s="43">
        <f t="shared" si="19"/>
        <v>2.012359885908745</v>
      </c>
      <c r="Q38" s="43">
        <f t="shared" si="19"/>
        <v>2.2101842136841814</v>
      </c>
      <c r="R38" s="43">
        <f t="shared" si="19"/>
        <v>2.3655873945778958</v>
      </c>
      <c r="S38" s="43">
        <f t="shared" si="19"/>
        <v>2.4317760143752518</v>
      </c>
    </row>
    <row r="39" spans="1:19" ht="14.25" customHeight="1" x14ac:dyDescent="0.3">
      <c r="A39" s="88" t="s">
        <v>29</v>
      </c>
      <c r="B39" s="41">
        <f t="shared" ref="B39:H39" si="20">SUM(B37:B38)</f>
        <v>6540</v>
      </c>
      <c r="C39" s="41">
        <f t="shared" si="20"/>
        <v>7952.6799999999994</v>
      </c>
      <c r="D39" s="41">
        <f t="shared" si="20"/>
        <v>10315.51</v>
      </c>
      <c r="E39" s="41">
        <f t="shared" si="20"/>
        <v>11971.460000000001</v>
      </c>
      <c r="F39" s="41">
        <f t="shared" si="20"/>
        <v>13120.41</v>
      </c>
      <c r="G39" s="41">
        <f t="shared" si="20"/>
        <v>14406.28</v>
      </c>
      <c r="H39" s="41">
        <f t="shared" si="20"/>
        <v>15416.419999999998</v>
      </c>
      <c r="I39" s="41">
        <f>SUM(I37:I38)</f>
        <v>15846.65</v>
      </c>
      <c r="K39" s="89" t="s">
        <v>29</v>
      </c>
      <c r="L39" s="90">
        <f t="shared" si="19"/>
        <v>1</v>
      </c>
      <c r="M39" s="90">
        <f t="shared" si="19"/>
        <v>1.216006116207951</v>
      </c>
      <c r="N39" s="90">
        <f t="shared" si="19"/>
        <v>1.5772951070336392</v>
      </c>
      <c r="O39" s="90">
        <f t="shared" si="19"/>
        <v>1.8304984709480123</v>
      </c>
      <c r="P39" s="90">
        <f t="shared" si="19"/>
        <v>2.0061788990825686</v>
      </c>
      <c r="Q39" s="90">
        <f t="shared" si="19"/>
        <v>2.2027951070336393</v>
      </c>
      <c r="R39" s="90">
        <f t="shared" si="19"/>
        <v>2.3572507645259937</v>
      </c>
      <c r="S39" s="90">
        <f t="shared" si="19"/>
        <v>2.4230351681957187</v>
      </c>
    </row>
    <row r="40" spans="1:19" ht="14.25" customHeight="1" x14ac:dyDescent="0.3">
      <c r="A40" s="8" t="s">
        <v>30</v>
      </c>
      <c r="B40" s="40">
        <v>18.54</v>
      </c>
      <c r="C40" s="40">
        <v>53.62</v>
      </c>
      <c r="D40" s="40">
        <v>67.38</v>
      </c>
      <c r="E40" s="40">
        <v>93.21</v>
      </c>
      <c r="F40" s="40">
        <v>116.11</v>
      </c>
      <c r="G40" s="40">
        <v>140.6</v>
      </c>
      <c r="H40" s="40">
        <v>143.19</v>
      </c>
      <c r="I40" s="40">
        <v>148.05000000000001</v>
      </c>
      <c r="K40" s="8" t="s">
        <v>30</v>
      </c>
      <c r="L40" s="43">
        <f t="shared" si="19"/>
        <v>1</v>
      </c>
      <c r="M40" s="43">
        <f t="shared" si="19"/>
        <v>2.8921251348435812</v>
      </c>
      <c r="N40" s="43">
        <f t="shared" si="19"/>
        <v>3.6343042071197411</v>
      </c>
      <c r="O40" s="43">
        <f t="shared" si="19"/>
        <v>5.0275080906148863</v>
      </c>
      <c r="P40" s="43">
        <f t="shared" si="19"/>
        <v>6.2626752966558792</v>
      </c>
      <c r="Q40" s="43">
        <f t="shared" si="19"/>
        <v>7.5836030204962244</v>
      </c>
      <c r="R40" s="43">
        <f t="shared" si="19"/>
        <v>7.7233009708737868</v>
      </c>
      <c r="S40" s="43">
        <f t="shared" si="19"/>
        <v>7.9854368932038842</v>
      </c>
    </row>
    <row r="41" spans="1:19" ht="14.25" customHeight="1" x14ac:dyDescent="0.3">
      <c r="A41" s="8"/>
      <c r="B41" s="64"/>
      <c r="C41" s="40"/>
      <c r="D41" s="40"/>
      <c r="E41" s="40"/>
      <c r="F41" s="40"/>
      <c r="G41" s="40"/>
      <c r="H41" s="40"/>
      <c r="I41" s="40"/>
      <c r="K41" s="8"/>
      <c r="L41" s="43"/>
      <c r="M41" s="43"/>
      <c r="N41" s="43"/>
      <c r="O41" s="43"/>
      <c r="P41" s="43"/>
      <c r="Q41" s="43"/>
      <c r="R41" s="43"/>
      <c r="S41" s="43"/>
    </row>
    <row r="42" spans="1:19" ht="14.25" customHeight="1" x14ac:dyDescent="0.3">
      <c r="A42" s="7" t="s">
        <v>31</v>
      </c>
      <c r="B42" s="40"/>
      <c r="C42" s="40"/>
      <c r="D42" s="40"/>
      <c r="E42" s="40"/>
      <c r="F42" s="40"/>
      <c r="G42" s="40"/>
      <c r="H42" s="40"/>
      <c r="I42" s="40"/>
      <c r="K42" s="7" t="s">
        <v>31</v>
      </c>
      <c r="L42" s="43"/>
      <c r="M42" s="43"/>
      <c r="N42" s="43"/>
      <c r="O42" s="43"/>
      <c r="P42" s="43"/>
      <c r="Q42" s="43"/>
      <c r="R42" s="43"/>
      <c r="S42" s="43"/>
    </row>
    <row r="43" spans="1:19" ht="14.25" customHeight="1" x14ac:dyDescent="0.3">
      <c r="A43" s="8" t="s">
        <v>32</v>
      </c>
      <c r="B43" s="40">
        <v>12</v>
      </c>
      <c r="C43" s="40">
        <v>145.97999999999999</v>
      </c>
      <c r="D43" s="40">
        <v>207.9</v>
      </c>
      <c r="E43" s="40">
        <v>149.63</v>
      </c>
      <c r="F43" s="40">
        <v>124.84</v>
      </c>
      <c r="G43" s="40">
        <v>44.02</v>
      </c>
      <c r="H43" s="40">
        <v>45.18</v>
      </c>
      <c r="I43" s="40">
        <v>36.17</v>
      </c>
      <c r="K43" s="8" t="s">
        <v>32</v>
      </c>
      <c r="L43" s="43">
        <f>B43/$B43</f>
        <v>1</v>
      </c>
      <c r="M43" s="43">
        <f>C43/$B43</f>
        <v>12.164999999999999</v>
      </c>
      <c r="N43" s="43">
        <f>D43/$B43</f>
        <v>17.324999999999999</v>
      </c>
      <c r="O43" s="43">
        <f>E43/$B43</f>
        <v>12.469166666666666</v>
      </c>
      <c r="P43" s="43">
        <f>F43/$B43</f>
        <v>10.403333333333334</v>
      </c>
      <c r="Q43" s="43">
        <f>G43/$B43</f>
        <v>3.6683333333333334</v>
      </c>
      <c r="R43" s="43">
        <f>H43/$B43</f>
        <v>3.7650000000000001</v>
      </c>
      <c r="S43" s="43">
        <f>I43/$B43</f>
        <v>3.0141666666666667</v>
      </c>
    </row>
    <row r="44" spans="1:19" ht="14.25" customHeight="1" x14ac:dyDescent="0.3">
      <c r="A44" s="8" t="s">
        <v>33</v>
      </c>
      <c r="B44" s="40">
        <v>0</v>
      </c>
      <c r="C44" s="40">
        <v>0</v>
      </c>
      <c r="D44" s="40">
        <v>0</v>
      </c>
      <c r="E44" s="40">
        <v>0</v>
      </c>
      <c r="F44" s="40">
        <v>0</v>
      </c>
      <c r="G44" s="40">
        <v>207.62</v>
      </c>
      <c r="H44" s="40">
        <v>212.42</v>
      </c>
      <c r="I44" s="40">
        <v>215.51</v>
      </c>
      <c r="K44" s="8" t="s">
        <v>33</v>
      </c>
      <c r="L44" s="43" t="e">
        <f t="shared" ref="L44:S49" si="21">B44/$B44</f>
        <v>#DIV/0!</v>
      </c>
      <c r="M44" s="43" t="e">
        <f t="shared" si="21"/>
        <v>#DIV/0!</v>
      </c>
      <c r="N44" s="43" t="e">
        <f t="shared" si="21"/>
        <v>#DIV/0!</v>
      </c>
      <c r="O44" s="43" t="e">
        <f t="shared" si="21"/>
        <v>#DIV/0!</v>
      </c>
      <c r="P44" s="43" t="e">
        <f t="shared" si="21"/>
        <v>#DIV/0!</v>
      </c>
      <c r="Q44" s="43" t="e">
        <f t="shared" si="21"/>
        <v>#DIV/0!</v>
      </c>
      <c r="R44" s="43" t="e">
        <f t="shared" si="21"/>
        <v>#DIV/0!</v>
      </c>
      <c r="S44" s="43" t="e">
        <f t="shared" si="21"/>
        <v>#DIV/0!</v>
      </c>
    </row>
    <row r="45" spans="1:19" ht="14.25" customHeight="1" x14ac:dyDescent="0.3">
      <c r="A45" s="8" t="s">
        <v>34</v>
      </c>
      <c r="B45" s="40">
        <v>0</v>
      </c>
      <c r="C45" s="40">
        <v>0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155.04</v>
      </c>
      <c r="K45" s="8" t="s">
        <v>34</v>
      </c>
      <c r="L45" s="43" t="e">
        <f t="shared" si="21"/>
        <v>#DIV/0!</v>
      </c>
      <c r="M45" s="43" t="e">
        <f t="shared" si="21"/>
        <v>#DIV/0!</v>
      </c>
      <c r="N45" s="43" t="e">
        <f t="shared" si="21"/>
        <v>#DIV/0!</v>
      </c>
      <c r="O45" s="43" t="e">
        <f t="shared" si="21"/>
        <v>#DIV/0!</v>
      </c>
      <c r="P45" s="43" t="e">
        <f t="shared" si="21"/>
        <v>#DIV/0!</v>
      </c>
      <c r="Q45" s="43" t="e">
        <f t="shared" si="21"/>
        <v>#DIV/0!</v>
      </c>
      <c r="R45" s="43" t="e">
        <f t="shared" si="21"/>
        <v>#DIV/0!</v>
      </c>
      <c r="S45" s="43" t="e">
        <f t="shared" si="21"/>
        <v>#DIV/0!</v>
      </c>
    </row>
    <row r="46" spans="1:19" ht="13.8" customHeight="1" x14ac:dyDescent="0.3">
      <c r="A46" s="8" t="s">
        <v>35</v>
      </c>
      <c r="B46" s="40">
        <v>0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181.13</v>
      </c>
      <c r="K46" s="8" t="s">
        <v>35</v>
      </c>
      <c r="L46" s="43" t="e">
        <f t="shared" si="21"/>
        <v>#DIV/0!</v>
      </c>
      <c r="M46" s="43" t="e">
        <f t="shared" si="21"/>
        <v>#DIV/0!</v>
      </c>
      <c r="N46" s="43" t="e">
        <f t="shared" si="21"/>
        <v>#DIV/0!</v>
      </c>
      <c r="O46" s="43" t="e">
        <f t="shared" si="21"/>
        <v>#DIV/0!</v>
      </c>
      <c r="P46" s="43" t="e">
        <f t="shared" si="21"/>
        <v>#DIV/0!</v>
      </c>
      <c r="Q46" s="43" t="e">
        <f t="shared" si="21"/>
        <v>#DIV/0!</v>
      </c>
      <c r="R46" s="43" t="e">
        <f t="shared" si="21"/>
        <v>#DIV/0!</v>
      </c>
      <c r="S46" s="43" t="e">
        <f t="shared" si="21"/>
        <v>#DIV/0!</v>
      </c>
    </row>
    <row r="47" spans="1:19" ht="14.25" customHeight="1" x14ac:dyDescent="0.3">
      <c r="A47" s="8" t="s">
        <v>36</v>
      </c>
      <c r="B47" s="40">
        <v>0</v>
      </c>
      <c r="C47" s="40">
        <v>227.79</v>
      </c>
      <c r="D47" s="40">
        <v>468.9</v>
      </c>
      <c r="E47" s="40">
        <v>581.89</v>
      </c>
      <c r="F47" s="40">
        <v>612.88</v>
      </c>
      <c r="G47" s="40">
        <v>472.58</v>
      </c>
      <c r="H47" s="40">
        <v>452.74</v>
      </c>
      <c r="I47" s="40">
        <v>378.21</v>
      </c>
      <c r="K47" s="8" t="s">
        <v>36</v>
      </c>
      <c r="L47" s="43" t="e">
        <f t="shared" si="21"/>
        <v>#DIV/0!</v>
      </c>
      <c r="M47" s="43" t="e">
        <f t="shared" si="21"/>
        <v>#DIV/0!</v>
      </c>
      <c r="N47" s="43" t="e">
        <f t="shared" si="21"/>
        <v>#DIV/0!</v>
      </c>
      <c r="O47" s="43" t="e">
        <f t="shared" si="21"/>
        <v>#DIV/0!</v>
      </c>
      <c r="P47" s="43" t="e">
        <f t="shared" si="21"/>
        <v>#DIV/0!</v>
      </c>
      <c r="Q47" s="43" t="e">
        <f t="shared" si="21"/>
        <v>#DIV/0!</v>
      </c>
      <c r="R47" s="43" t="e">
        <f t="shared" si="21"/>
        <v>#DIV/0!</v>
      </c>
      <c r="S47" s="43" t="e">
        <f t="shared" si="21"/>
        <v>#DIV/0!</v>
      </c>
    </row>
    <row r="48" spans="1:19" ht="14.25" customHeight="1" x14ac:dyDescent="0.3">
      <c r="A48" s="8" t="s">
        <v>37</v>
      </c>
      <c r="B48" s="40">
        <v>97.58</v>
      </c>
      <c r="C48" s="40">
        <v>119.53</v>
      </c>
      <c r="D48" s="40">
        <v>75.62</v>
      </c>
      <c r="E48" s="40">
        <v>119.18</v>
      </c>
      <c r="F48" s="40">
        <v>120.94</v>
      </c>
      <c r="G48" s="40">
        <v>123.9</v>
      </c>
      <c r="H48" s="40">
        <v>321.61</v>
      </c>
      <c r="I48" s="40">
        <v>0</v>
      </c>
      <c r="K48" s="8" t="s">
        <v>37</v>
      </c>
      <c r="L48" s="43">
        <f t="shared" si="21"/>
        <v>1</v>
      </c>
      <c r="M48" s="43">
        <f t="shared" si="21"/>
        <v>1.2249436359909818</v>
      </c>
      <c r="N48" s="43">
        <f t="shared" si="21"/>
        <v>0.77495388399262155</v>
      </c>
      <c r="O48" s="43">
        <f t="shared" si="21"/>
        <v>1.2213568354170938</v>
      </c>
      <c r="P48" s="43">
        <f t="shared" si="21"/>
        <v>1.2393933183029309</v>
      </c>
      <c r="Q48" s="43">
        <f t="shared" si="21"/>
        <v>1.2697274031563845</v>
      </c>
      <c r="R48" s="43">
        <f t="shared" si="21"/>
        <v>3.2958598073375693</v>
      </c>
      <c r="S48" s="43">
        <f t="shared" si="21"/>
        <v>0</v>
      </c>
    </row>
    <row r="49" spans="1:19" s="5" customFormat="1" ht="14.25" customHeight="1" x14ac:dyDescent="0.3">
      <c r="A49" s="89" t="s">
        <v>38</v>
      </c>
      <c r="B49" s="41">
        <f t="shared" ref="B49:H49" si="22">SUM(B43:B48)</f>
        <v>109.58</v>
      </c>
      <c r="C49" s="41">
        <f t="shared" si="22"/>
        <v>493.29999999999995</v>
      </c>
      <c r="D49" s="41">
        <f t="shared" si="22"/>
        <v>752.42</v>
      </c>
      <c r="E49" s="41">
        <f t="shared" si="22"/>
        <v>850.7</v>
      </c>
      <c r="F49" s="41">
        <f t="shared" si="22"/>
        <v>858.66000000000008</v>
      </c>
      <c r="G49" s="41">
        <f t="shared" si="22"/>
        <v>848.12</v>
      </c>
      <c r="H49" s="41">
        <f t="shared" si="22"/>
        <v>1031.9499999999998</v>
      </c>
      <c r="I49" s="41">
        <f>SUM(I43:I48)</f>
        <v>966.06</v>
      </c>
      <c r="K49" s="89" t="s">
        <v>38</v>
      </c>
      <c r="L49" s="90">
        <f t="shared" si="21"/>
        <v>1</v>
      </c>
      <c r="M49" s="90">
        <f t="shared" si="21"/>
        <v>4.5017338930461763</v>
      </c>
      <c r="N49" s="90">
        <f t="shared" si="21"/>
        <v>6.8663989779156775</v>
      </c>
      <c r="O49" s="90">
        <f t="shared" si="21"/>
        <v>7.7632779704325614</v>
      </c>
      <c r="P49" s="90">
        <f t="shared" si="21"/>
        <v>7.8359189633144739</v>
      </c>
      <c r="Q49" s="90">
        <f t="shared" si="21"/>
        <v>7.7397335280160613</v>
      </c>
      <c r="R49" s="90">
        <f t="shared" si="21"/>
        <v>9.4173206789560115</v>
      </c>
      <c r="S49" s="90">
        <f t="shared" si="21"/>
        <v>8.8160248220478188</v>
      </c>
    </row>
    <row r="50" spans="1:19" ht="14.25" customHeight="1" x14ac:dyDescent="0.3">
      <c r="A50" s="8"/>
      <c r="B50" s="40"/>
      <c r="C50" s="40"/>
      <c r="D50" s="40"/>
      <c r="E50" s="40"/>
      <c r="F50" s="40"/>
      <c r="G50" s="40"/>
      <c r="H50" s="40"/>
      <c r="I50" s="40"/>
      <c r="K50" s="8"/>
      <c r="L50" s="43"/>
      <c r="M50" s="43"/>
      <c r="N50" s="43"/>
      <c r="O50" s="43"/>
      <c r="P50" s="43"/>
      <c r="Q50" s="43"/>
      <c r="R50" s="43"/>
      <c r="S50" s="43"/>
    </row>
    <row r="51" spans="1:19" ht="14.25" customHeight="1" x14ac:dyDescent="0.3">
      <c r="A51" s="7" t="s">
        <v>39</v>
      </c>
      <c r="B51" s="40"/>
      <c r="C51" s="40"/>
      <c r="D51" s="40"/>
      <c r="E51" s="40"/>
      <c r="F51" s="40"/>
      <c r="G51" s="40"/>
      <c r="H51" s="40"/>
      <c r="I51" s="40"/>
      <c r="K51" s="7" t="s">
        <v>39</v>
      </c>
      <c r="L51" s="43"/>
      <c r="M51" s="43"/>
      <c r="N51" s="43"/>
      <c r="O51" s="43"/>
      <c r="P51" s="43"/>
      <c r="Q51" s="43"/>
      <c r="R51" s="43"/>
      <c r="S51" s="43"/>
    </row>
    <row r="52" spans="1:19" ht="14.25" customHeight="1" x14ac:dyDescent="0.3">
      <c r="A52" s="8" t="s">
        <v>40</v>
      </c>
      <c r="B52" s="40">
        <v>88</v>
      </c>
      <c r="C52" s="40">
        <v>84.06</v>
      </c>
      <c r="D52" s="40">
        <v>40.08</v>
      </c>
      <c r="E52" s="40">
        <v>75.37</v>
      </c>
      <c r="F52" s="40">
        <v>183.68</v>
      </c>
      <c r="G52" s="40">
        <v>165.88</v>
      </c>
      <c r="H52" s="40">
        <v>285.16000000000003</v>
      </c>
      <c r="I52" s="40">
        <v>317.31</v>
      </c>
      <c r="K52" s="8" t="s">
        <v>40</v>
      </c>
      <c r="L52" s="43">
        <f>B52/$B52</f>
        <v>1</v>
      </c>
      <c r="M52" s="43">
        <f>C52/$B52</f>
        <v>0.9552272727272727</v>
      </c>
      <c r="N52" s="43">
        <f>D52/$B52</f>
        <v>0.45545454545454545</v>
      </c>
      <c r="O52" s="43">
        <f>E52/$B52</f>
        <v>0.85647727272727281</v>
      </c>
      <c r="P52" s="43">
        <f>F52/$B52</f>
        <v>2.0872727272727274</v>
      </c>
      <c r="Q52" s="43">
        <f>G52/$B52</f>
        <v>1.885</v>
      </c>
      <c r="R52" s="43">
        <f>H52/$B52</f>
        <v>3.2404545454545457</v>
      </c>
      <c r="S52" s="43">
        <f>I52/$B52</f>
        <v>3.6057954545454547</v>
      </c>
    </row>
    <row r="53" spans="1:19" ht="14.25" customHeight="1" x14ac:dyDescent="0.3">
      <c r="A53" s="8" t="s">
        <v>33</v>
      </c>
      <c r="B53" s="40">
        <v>0</v>
      </c>
      <c r="C53" s="40">
        <v>0</v>
      </c>
      <c r="D53" s="40">
        <v>0</v>
      </c>
      <c r="E53" s="40">
        <v>0</v>
      </c>
      <c r="F53" s="40">
        <v>0</v>
      </c>
      <c r="G53" s="40">
        <v>33.46</v>
      </c>
      <c r="H53" s="40">
        <v>29.57</v>
      </c>
      <c r="I53" s="40">
        <v>36.18</v>
      </c>
      <c r="J53" s="6"/>
      <c r="K53" s="8" t="s">
        <v>33</v>
      </c>
      <c r="L53" s="43" t="e">
        <f t="shared" ref="L53:S74" si="23">B53/$B53</f>
        <v>#DIV/0!</v>
      </c>
      <c r="M53" s="43" t="e">
        <f t="shared" si="23"/>
        <v>#DIV/0!</v>
      </c>
      <c r="N53" s="43" t="e">
        <f t="shared" si="23"/>
        <v>#DIV/0!</v>
      </c>
      <c r="O53" s="43" t="e">
        <f t="shared" si="23"/>
        <v>#DIV/0!</v>
      </c>
      <c r="P53" s="43" t="e">
        <f t="shared" si="23"/>
        <v>#DIV/0!</v>
      </c>
      <c r="Q53" s="43" t="e">
        <f t="shared" si="23"/>
        <v>#DIV/0!</v>
      </c>
      <c r="R53" s="43" t="e">
        <f t="shared" si="23"/>
        <v>#DIV/0!</v>
      </c>
      <c r="S53" s="43" t="e">
        <f t="shared" si="23"/>
        <v>#DIV/0!</v>
      </c>
    </row>
    <row r="54" spans="1:19" ht="14.25" customHeight="1" x14ac:dyDescent="0.3">
      <c r="A54" s="8" t="s">
        <v>41</v>
      </c>
      <c r="B54" s="40">
        <v>2713.09</v>
      </c>
      <c r="C54" s="40">
        <v>2791.7</v>
      </c>
      <c r="D54" s="40">
        <v>3266.2</v>
      </c>
      <c r="E54" s="40">
        <v>3375.26</v>
      </c>
      <c r="F54" s="40">
        <v>3438.24</v>
      </c>
      <c r="G54" s="40">
        <v>3127.62</v>
      </c>
      <c r="H54" s="40">
        <v>5264.18</v>
      </c>
      <c r="I54" s="40">
        <v>4343.0899999999992</v>
      </c>
      <c r="K54" s="8" t="s">
        <v>41</v>
      </c>
      <c r="L54" s="43">
        <f t="shared" si="23"/>
        <v>1</v>
      </c>
      <c r="M54" s="43">
        <f t="shared" si="23"/>
        <v>1.0289743429079019</v>
      </c>
      <c r="N54" s="43">
        <f t="shared" si="23"/>
        <v>1.2038671772775691</v>
      </c>
      <c r="O54" s="43">
        <f t="shared" si="23"/>
        <v>1.2440648854258429</v>
      </c>
      <c r="P54" s="43">
        <f t="shared" si="23"/>
        <v>1.2672782694271105</v>
      </c>
      <c r="Q54" s="43">
        <f t="shared" si="23"/>
        <v>1.1527888864726197</v>
      </c>
      <c r="R54" s="43">
        <f t="shared" si="23"/>
        <v>1.9402894854206827</v>
      </c>
      <c r="S54" s="43">
        <f t="shared" si="23"/>
        <v>1.6007909800264639</v>
      </c>
    </row>
    <row r="55" spans="1:19" ht="14.25" customHeight="1" x14ac:dyDescent="0.3">
      <c r="A55" s="8" t="s">
        <v>42</v>
      </c>
      <c r="B55" s="40">
        <v>0</v>
      </c>
      <c r="C55" s="40">
        <v>0</v>
      </c>
      <c r="D55" s="40">
        <v>358.58</v>
      </c>
      <c r="E55" s="40">
        <v>202.60000000000002</v>
      </c>
      <c r="F55" s="40">
        <v>223.84</v>
      </c>
      <c r="G55" s="40">
        <v>258.69</v>
      </c>
      <c r="H55" s="40">
        <v>167.52</v>
      </c>
      <c r="I55" s="40">
        <v>145.58000000000001</v>
      </c>
      <c r="K55" s="8" t="s">
        <v>42</v>
      </c>
      <c r="L55" s="43" t="e">
        <f t="shared" si="23"/>
        <v>#DIV/0!</v>
      </c>
      <c r="M55" s="43" t="e">
        <f t="shared" si="23"/>
        <v>#DIV/0!</v>
      </c>
      <c r="N55" s="43" t="e">
        <f t="shared" si="23"/>
        <v>#DIV/0!</v>
      </c>
      <c r="O55" s="43" t="e">
        <f t="shared" si="23"/>
        <v>#DIV/0!</v>
      </c>
      <c r="P55" s="43" t="e">
        <f t="shared" si="23"/>
        <v>#DIV/0!</v>
      </c>
      <c r="Q55" s="43" t="e">
        <f t="shared" si="23"/>
        <v>#DIV/0!</v>
      </c>
      <c r="R55" s="43" t="e">
        <f t="shared" si="23"/>
        <v>#DIV/0!</v>
      </c>
      <c r="S55" s="43" t="e">
        <f t="shared" si="23"/>
        <v>#DIV/0!</v>
      </c>
    </row>
    <row r="56" spans="1:19" ht="14.25" customHeight="1" x14ac:dyDescent="0.3">
      <c r="A56" s="8" t="s">
        <v>43</v>
      </c>
      <c r="B56" s="40">
        <v>0</v>
      </c>
      <c r="C56" s="40">
        <v>0</v>
      </c>
      <c r="D56" s="40">
        <v>12.63</v>
      </c>
      <c r="E56" s="40">
        <v>2.89</v>
      </c>
      <c r="F56" s="40">
        <v>2.89</v>
      </c>
      <c r="G56" s="40">
        <v>2.27</v>
      </c>
      <c r="H56" s="40">
        <v>11.69</v>
      </c>
      <c r="I56" s="40">
        <v>0</v>
      </c>
      <c r="K56" s="8" t="s">
        <v>43</v>
      </c>
      <c r="L56" s="43" t="e">
        <f t="shared" si="23"/>
        <v>#DIV/0!</v>
      </c>
      <c r="M56" s="43" t="e">
        <f t="shared" si="23"/>
        <v>#DIV/0!</v>
      </c>
      <c r="N56" s="43" t="e">
        <f t="shared" si="23"/>
        <v>#DIV/0!</v>
      </c>
      <c r="O56" s="43" t="e">
        <f t="shared" si="23"/>
        <v>#DIV/0!</v>
      </c>
      <c r="P56" s="43" t="e">
        <f t="shared" si="23"/>
        <v>#DIV/0!</v>
      </c>
      <c r="Q56" s="43" t="e">
        <f t="shared" si="23"/>
        <v>#DIV/0!</v>
      </c>
      <c r="R56" s="43" t="e">
        <f t="shared" si="23"/>
        <v>#DIV/0!</v>
      </c>
      <c r="S56" s="43" t="e">
        <f t="shared" si="23"/>
        <v>#DIV/0!</v>
      </c>
    </row>
    <row r="57" spans="1:19" ht="14.25" customHeight="1" x14ac:dyDescent="0.3">
      <c r="A57" s="8" t="s">
        <v>44</v>
      </c>
      <c r="B57" s="40">
        <v>1185.1399999999999</v>
      </c>
      <c r="C57" s="40">
        <v>1296.3399999999999</v>
      </c>
      <c r="D57" s="40">
        <v>499.2</v>
      </c>
      <c r="E57" s="40">
        <v>825.24</v>
      </c>
      <c r="F57" s="40">
        <v>560.53</v>
      </c>
      <c r="G57" s="40">
        <v>691.15000000000009</v>
      </c>
      <c r="H57" s="40">
        <v>746.41000000000008</v>
      </c>
      <c r="I57" s="40">
        <v>496.32</v>
      </c>
      <c r="K57" s="8" t="s">
        <v>44</v>
      </c>
      <c r="L57" s="43">
        <f t="shared" si="23"/>
        <v>1</v>
      </c>
      <c r="M57" s="43">
        <f t="shared" si="23"/>
        <v>1.0938285772145064</v>
      </c>
      <c r="N57" s="43">
        <f t="shared" si="23"/>
        <v>0.42121605886224417</v>
      </c>
      <c r="O57" s="43">
        <f t="shared" si="23"/>
        <v>0.69632279730664737</v>
      </c>
      <c r="P57" s="43">
        <f t="shared" si="23"/>
        <v>0.47296521929898583</v>
      </c>
      <c r="Q57" s="43">
        <f t="shared" si="23"/>
        <v>0.58318004623926301</v>
      </c>
      <c r="R57" s="43">
        <f t="shared" si="23"/>
        <v>0.62980744890898976</v>
      </c>
      <c r="S57" s="43">
        <f t="shared" si="23"/>
        <v>0.418785966214962</v>
      </c>
    </row>
    <row r="58" spans="1:19" ht="14.25" customHeight="1" x14ac:dyDescent="0.3">
      <c r="A58" s="8" t="s">
        <v>35</v>
      </c>
      <c r="B58" s="40">
        <v>0</v>
      </c>
      <c r="C58" s="40">
        <v>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179.15</v>
      </c>
      <c r="K58" s="8" t="s">
        <v>35</v>
      </c>
      <c r="L58" s="43" t="e">
        <f t="shared" si="23"/>
        <v>#DIV/0!</v>
      </c>
      <c r="M58" s="43" t="e">
        <f t="shared" si="23"/>
        <v>#DIV/0!</v>
      </c>
      <c r="N58" s="43" t="e">
        <f t="shared" si="23"/>
        <v>#DIV/0!</v>
      </c>
      <c r="O58" s="43" t="e">
        <f t="shared" si="23"/>
        <v>#DIV/0!</v>
      </c>
      <c r="P58" s="43" t="e">
        <f t="shared" si="23"/>
        <v>#DIV/0!</v>
      </c>
      <c r="Q58" s="43" t="e">
        <f t="shared" si="23"/>
        <v>#DIV/0!</v>
      </c>
      <c r="R58" s="43" t="e">
        <f t="shared" si="23"/>
        <v>#DIV/0!</v>
      </c>
      <c r="S58" s="43" t="e">
        <f t="shared" si="23"/>
        <v>#DIV/0!</v>
      </c>
    </row>
    <row r="59" spans="1:19" s="5" customFormat="1" ht="14.25" customHeight="1" x14ac:dyDescent="0.3">
      <c r="A59" s="89" t="s">
        <v>45</v>
      </c>
      <c r="B59" s="41">
        <f t="shared" ref="B59:H59" si="24">SUM(B52:B58)</f>
        <v>3986.23</v>
      </c>
      <c r="C59" s="41">
        <f t="shared" si="24"/>
        <v>4172.0999999999995</v>
      </c>
      <c r="D59" s="41">
        <f t="shared" si="24"/>
        <v>4176.6899999999996</v>
      </c>
      <c r="E59" s="41">
        <f t="shared" si="24"/>
        <v>4481.3599999999997</v>
      </c>
      <c r="F59" s="41">
        <f t="shared" si="24"/>
        <v>4409.1799999999994</v>
      </c>
      <c r="G59" s="41">
        <f t="shared" si="24"/>
        <v>4279.07</v>
      </c>
      <c r="H59" s="41">
        <f t="shared" si="24"/>
        <v>6504.53</v>
      </c>
      <c r="I59" s="41">
        <f>SUM(I52:I58)</f>
        <v>5517.6299999999983</v>
      </c>
      <c r="K59" s="7" t="s">
        <v>45</v>
      </c>
      <c r="L59" s="90">
        <f t="shared" si="23"/>
        <v>1</v>
      </c>
      <c r="M59" s="90">
        <f t="shared" si="23"/>
        <v>1.0466280169483446</v>
      </c>
      <c r="N59" s="90">
        <f t="shared" si="23"/>
        <v>1.0477794808628704</v>
      </c>
      <c r="O59" s="90">
        <f t="shared" si="23"/>
        <v>1.1242100932459993</v>
      </c>
      <c r="P59" s="90">
        <f t="shared" si="23"/>
        <v>1.1061027587469863</v>
      </c>
      <c r="Q59" s="90">
        <f t="shared" si="23"/>
        <v>1.0734628960195471</v>
      </c>
      <c r="R59" s="90">
        <f t="shared" si="23"/>
        <v>1.6317497986819627</v>
      </c>
      <c r="S59" s="90">
        <f t="shared" si="23"/>
        <v>1.3841725138790282</v>
      </c>
    </row>
    <row r="60" spans="1:19" s="5" customFormat="1" ht="14.25" customHeight="1" x14ac:dyDescent="0.3">
      <c r="A60" s="7" t="s">
        <v>46</v>
      </c>
      <c r="B60" s="41">
        <f t="shared" ref="B60:H60" si="25">SUM(B39+B40+B49+B59)</f>
        <v>10654.35</v>
      </c>
      <c r="C60" s="41">
        <f t="shared" si="25"/>
        <v>12671.699999999997</v>
      </c>
      <c r="D60" s="41">
        <f t="shared" si="25"/>
        <v>15312</v>
      </c>
      <c r="E60" s="41">
        <f t="shared" si="25"/>
        <v>17396.73</v>
      </c>
      <c r="F60" s="41">
        <f t="shared" si="25"/>
        <v>18504.36</v>
      </c>
      <c r="G60" s="41">
        <f t="shared" si="25"/>
        <v>19674.07</v>
      </c>
      <c r="H60" s="41">
        <f t="shared" si="25"/>
        <v>23096.089999999997</v>
      </c>
      <c r="I60" s="41">
        <f>SUM(I39+I40+I49+I59)</f>
        <v>22478.389999999996</v>
      </c>
      <c r="K60" s="7" t="s">
        <v>46</v>
      </c>
      <c r="L60" s="43">
        <f t="shared" si="23"/>
        <v>1</v>
      </c>
      <c r="M60" s="43">
        <f t="shared" si="23"/>
        <v>1.1893451970321978</v>
      </c>
      <c r="N60" s="43">
        <f t="shared" si="23"/>
        <v>1.437159470075603</v>
      </c>
      <c r="O60" s="43">
        <f t="shared" si="23"/>
        <v>1.6328288445564487</v>
      </c>
      <c r="P60" s="43">
        <f t="shared" si="23"/>
        <v>1.736789198777964</v>
      </c>
      <c r="Q60" s="43">
        <f t="shared" si="23"/>
        <v>1.8465762810495243</v>
      </c>
      <c r="R60" s="43">
        <f t="shared" si="23"/>
        <v>2.1677615246354773</v>
      </c>
      <c r="S60" s="43">
        <f t="shared" si="23"/>
        <v>2.1097852051040182</v>
      </c>
    </row>
    <row r="61" spans="1:19" ht="14.25" customHeight="1" x14ac:dyDescent="0.3">
      <c r="A61" s="79" t="s">
        <v>47</v>
      </c>
      <c r="B61" s="80"/>
      <c r="C61" s="80"/>
      <c r="D61" s="80"/>
      <c r="E61" s="80"/>
      <c r="F61" s="80"/>
      <c r="G61" s="80"/>
      <c r="H61" s="80"/>
      <c r="I61" s="81"/>
      <c r="K61" s="8" t="s">
        <v>47</v>
      </c>
      <c r="L61" s="43" t="e">
        <f t="shared" si="23"/>
        <v>#DIV/0!</v>
      </c>
      <c r="M61" s="43" t="e">
        <f t="shared" si="23"/>
        <v>#DIV/0!</v>
      </c>
      <c r="N61" s="43" t="e">
        <f t="shared" si="23"/>
        <v>#DIV/0!</v>
      </c>
      <c r="O61" s="43" t="e">
        <f t="shared" si="23"/>
        <v>#DIV/0!</v>
      </c>
      <c r="P61" s="43" t="e">
        <f t="shared" si="23"/>
        <v>#DIV/0!</v>
      </c>
      <c r="Q61" s="43" t="e">
        <f t="shared" si="23"/>
        <v>#DIV/0!</v>
      </c>
      <c r="R61" s="43" t="e">
        <f t="shared" si="23"/>
        <v>#DIV/0!</v>
      </c>
      <c r="S61" s="43" t="e">
        <f t="shared" si="23"/>
        <v>#DIV/0!</v>
      </c>
    </row>
    <row r="62" spans="1:19" ht="14.25" customHeight="1" x14ac:dyDescent="0.3">
      <c r="A62" s="7" t="s">
        <v>48</v>
      </c>
      <c r="B62" s="40"/>
      <c r="C62" s="40"/>
      <c r="D62" s="40"/>
      <c r="E62" s="40"/>
      <c r="F62" s="40"/>
      <c r="G62" s="40"/>
      <c r="H62" s="40"/>
      <c r="I62" s="40"/>
      <c r="K62" s="7" t="s">
        <v>48</v>
      </c>
      <c r="L62" s="43" t="e">
        <f t="shared" si="23"/>
        <v>#DIV/0!</v>
      </c>
      <c r="M62" s="43" t="e">
        <f t="shared" si="23"/>
        <v>#DIV/0!</v>
      </c>
      <c r="N62" s="43" t="e">
        <f t="shared" si="23"/>
        <v>#DIV/0!</v>
      </c>
      <c r="O62" s="43" t="e">
        <f t="shared" si="23"/>
        <v>#DIV/0!</v>
      </c>
      <c r="P62" s="43" t="e">
        <f t="shared" si="23"/>
        <v>#DIV/0!</v>
      </c>
      <c r="Q62" s="43" t="e">
        <f t="shared" si="23"/>
        <v>#DIV/0!</v>
      </c>
      <c r="R62" s="43" t="e">
        <f t="shared" si="23"/>
        <v>#DIV/0!</v>
      </c>
      <c r="S62" s="43" t="e">
        <f t="shared" si="23"/>
        <v>#DIV/0!</v>
      </c>
    </row>
    <row r="63" spans="1:19" ht="14.25" customHeight="1" x14ac:dyDescent="0.3">
      <c r="A63" s="8" t="s">
        <v>49</v>
      </c>
      <c r="B63" s="40">
        <v>2850.86</v>
      </c>
      <c r="C63" s="40">
        <v>3907.02</v>
      </c>
      <c r="D63" s="40">
        <v>4495.03</v>
      </c>
      <c r="E63" s="40">
        <v>4771.3900000000003</v>
      </c>
      <c r="F63" s="40">
        <v>4792.5</v>
      </c>
      <c r="G63" s="40">
        <v>5786.24</v>
      </c>
      <c r="H63" s="40">
        <v>5550.67</v>
      </c>
      <c r="I63" s="40">
        <v>5354.34</v>
      </c>
      <c r="K63" s="8" t="s">
        <v>49</v>
      </c>
      <c r="L63" s="43">
        <f t="shared" si="23"/>
        <v>1</v>
      </c>
      <c r="M63" s="43">
        <f t="shared" si="23"/>
        <v>1.370470664992318</v>
      </c>
      <c r="N63" s="43">
        <f t="shared" si="23"/>
        <v>1.5767277242656601</v>
      </c>
      <c r="O63" s="43">
        <f t="shared" si="23"/>
        <v>1.6736668934988039</v>
      </c>
      <c r="P63" s="43">
        <f t="shared" si="23"/>
        <v>1.6810716766168805</v>
      </c>
      <c r="Q63" s="43">
        <f t="shared" si="23"/>
        <v>2.0296471941800016</v>
      </c>
      <c r="R63" s="43">
        <f t="shared" si="23"/>
        <v>1.9470159881579594</v>
      </c>
      <c r="S63" s="43">
        <f t="shared" si="23"/>
        <v>1.8781490497604232</v>
      </c>
    </row>
    <row r="64" spans="1:19" ht="14.25" customHeight="1" x14ac:dyDescent="0.3">
      <c r="A64" s="8" t="s">
        <v>50</v>
      </c>
      <c r="B64" s="40">
        <v>101.42</v>
      </c>
      <c r="C64" s="40">
        <v>129.07</v>
      </c>
      <c r="D64" s="40">
        <v>386.5</v>
      </c>
      <c r="E64" s="40">
        <v>239.02</v>
      </c>
      <c r="F64" s="40">
        <v>384.85</v>
      </c>
      <c r="G64" s="40">
        <v>686.68999999999994</v>
      </c>
      <c r="H64" s="40">
        <v>829.72</v>
      </c>
      <c r="I64" s="40">
        <v>0</v>
      </c>
      <c r="K64" s="8" t="s">
        <v>50</v>
      </c>
      <c r="L64" s="43">
        <f t="shared" si="23"/>
        <v>1</v>
      </c>
      <c r="M64" s="43">
        <f t="shared" si="23"/>
        <v>1.2726286728455924</v>
      </c>
      <c r="N64" s="43">
        <f t="shared" si="23"/>
        <v>3.8108854269374874</v>
      </c>
      <c r="O64" s="43">
        <f t="shared" si="23"/>
        <v>2.3567343719187539</v>
      </c>
      <c r="P64" s="43">
        <f t="shared" si="23"/>
        <v>3.7946164464602643</v>
      </c>
      <c r="Q64" s="43">
        <f t="shared" si="23"/>
        <v>6.770755275093669</v>
      </c>
      <c r="R64" s="43">
        <f t="shared" si="23"/>
        <v>8.1810293827647413</v>
      </c>
      <c r="S64" s="43">
        <f t="shared" si="23"/>
        <v>0</v>
      </c>
    </row>
    <row r="65" spans="1:19" ht="14.25" customHeight="1" x14ac:dyDescent="0.3">
      <c r="A65" s="8" t="s">
        <v>51</v>
      </c>
      <c r="B65" s="40">
        <v>315.12</v>
      </c>
      <c r="C65" s="40">
        <v>330.78</v>
      </c>
      <c r="D65" s="40">
        <v>103.82</v>
      </c>
      <c r="E65" s="40">
        <v>189.57</v>
      </c>
      <c r="F65" s="40">
        <v>159.86000000000001</v>
      </c>
      <c r="G65" s="40">
        <v>204.64</v>
      </c>
      <c r="H65" s="40">
        <v>236.4</v>
      </c>
      <c r="I65" s="40">
        <v>149.13</v>
      </c>
      <c r="K65" s="8" t="s">
        <v>51</v>
      </c>
      <c r="L65" s="43">
        <f t="shared" si="23"/>
        <v>1</v>
      </c>
      <c r="M65" s="43">
        <f t="shared" si="23"/>
        <v>1.0496953541507996</v>
      </c>
      <c r="N65" s="43">
        <f t="shared" si="23"/>
        <v>0.32946179233307943</v>
      </c>
      <c r="O65" s="43">
        <f t="shared" si="23"/>
        <v>0.6015803503427265</v>
      </c>
      <c r="P65" s="43">
        <f t="shared" si="23"/>
        <v>0.50729880680375738</v>
      </c>
      <c r="Q65" s="43">
        <f t="shared" si="23"/>
        <v>0.64940340187864931</v>
      </c>
      <c r="R65" s="43">
        <f t="shared" si="23"/>
        <v>0.75019040365575018</v>
      </c>
      <c r="S65" s="43">
        <f t="shared" si="23"/>
        <v>0.4732482863670982</v>
      </c>
    </row>
    <row r="66" spans="1:19" ht="14.25" customHeight="1" x14ac:dyDescent="0.3">
      <c r="A66" s="8" t="s">
        <v>52</v>
      </c>
      <c r="B66" s="40">
        <v>0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517.9</v>
      </c>
      <c r="K66" s="8" t="s">
        <v>52</v>
      </c>
      <c r="L66" s="43" t="e">
        <f t="shared" si="23"/>
        <v>#DIV/0!</v>
      </c>
      <c r="M66" s="43" t="e">
        <f t="shared" si="23"/>
        <v>#DIV/0!</v>
      </c>
      <c r="N66" s="43" t="e">
        <f t="shared" si="23"/>
        <v>#DIV/0!</v>
      </c>
      <c r="O66" s="43" t="e">
        <f t="shared" si="23"/>
        <v>#DIV/0!</v>
      </c>
      <c r="P66" s="43" t="e">
        <f t="shared" si="23"/>
        <v>#DIV/0!</v>
      </c>
      <c r="Q66" s="43" t="e">
        <f t="shared" si="23"/>
        <v>#DIV/0!</v>
      </c>
      <c r="R66" s="43" t="e">
        <f t="shared" si="23"/>
        <v>#DIV/0!</v>
      </c>
      <c r="S66" s="43" t="e">
        <f t="shared" si="23"/>
        <v>#DIV/0!</v>
      </c>
    </row>
    <row r="67" spans="1:19" ht="14.25" customHeight="1" x14ac:dyDescent="0.3">
      <c r="A67" s="8" t="s">
        <v>53</v>
      </c>
      <c r="B67" s="40">
        <v>0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321.3</v>
      </c>
      <c r="K67" s="8" t="s">
        <v>53</v>
      </c>
      <c r="L67" s="43" t="e">
        <f t="shared" si="23"/>
        <v>#DIV/0!</v>
      </c>
      <c r="M67" s="43" t="e">
        <f t="shared" si="23"/>
        <v>#DIV/0!</v>
      </c>
      <c r="N67" s="43" t="e">
        <f t="shared" si="23"/>
        <v>#DIV/0!</v>
      </c>
      <c r="O67" s="43" t="e">
        <f t="shared" si="23"/>
        <v>#DIV/0!</v>
      </c>
      <c r="P67" s="43" t="e">
        <f t="shared" si="23"/>
        <v>#DIV/0!</v>
      </c>
      <c r="Q67" s="43" t="e">
        <f t="shared" si="23"/>
        <v>#DIV/0!</v>
      </c>
      <c r="R67" s="43" t="e">
        <f t="shared" si="23"/>
        <v>#DIV/0!</v>
      </c>
      <c r="S67" s="43" t="e">
        <f t="shared" si="23"/>
        <v>#DIV/0!</v>
      </c>
    </row>
    <row r="68" spans="1:19" ht="14.25" customHeight="1" x14ac:dyDescent="0.3">
      <c r="A68" s="8" t="s">
        <v>54</v>
      </c>
      <c r="B68" s="40">
        <v>404.08</v>
      </c>
      <c r="C68" s="40">
        <v>322.58999999999997</v>
      </c>
      <c r="D68" s="40">
        <v>194.46</v>
      </c>
      <c r="E68" s="40">
        <v>116.46</v>
      </c>
      <c r="F68" s="40">
        <v>187.97</v>
      </c>
      <c r="G68" s="40">
        <v>186.69</v>
      </c>
      <c r="H68" s="40">
        <v>258.73</v>
      </c>
      <c r="I68" s="40">
        <v>368.09</v>
      </c>
      <c r="K68" s="8" t="s">
        <v>54</v>
      </c>
      <c r="L68" s="43">
        <f t="shared" si="23"/>
        <v>1</v>
      </c>
      <c r="M68" s="43">
        <f t="shared" si="23"/>
        <v>0.79833201346268068</v>
      </c>
      <c r="N68" s="43">
        <f t="shared" si="23"/>
        <v>0.48124133834884186</v>
      </c>
      <c r="O68" s="43">
        <f t="shared" si="23"/>
        <v>0.2882102553949713</v>
      </c>
      <c r="P68" s="43">
        <f t="shared" si="23"/>
        <v>0.46518016234409032</v>
      </c>
      <c r="Q68" s="43">
        <f t="shared" si="23"/>
        <v>0.46201247277766783</v>
      </c>
      <c r="R68" s="43">
        <f t="shared" si="23"/>
        <v>0.64029400118788371</v>
      </c>
      <c r="S68" s="43">
        <f t="shared" si="23"/>
        <v>0.91093347851910511</v>
      </c>
    </row>
    <row r="69" spans="1:19" ht="14.25" customHeight="1" x14ac:dyDescent="0.3">
      <c r="A69" s="8" t="s">
        <v>55</v>
      </c>
      <c r="B69" s="40">
        <v>0</v>
      </c>
      <c r="C69" s="40">
        <v>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2202.5100000000002</v>
      </c>
      <c r="K69" s="8" t="s">
        <v>55</v>
      </c>
      <c r="L69" s="43" t="e">
        <f t="shared" si="23"/>
        <v>#DIV/0!</v>
      </c>
      <c r="M69" s="43" t="e">
        <f t="shared" si="23"/>
        <v>#DIV/0!</v>
      </c>
      <c r="N69" s="43" t="e">
        <f t="shared" si="23"/>
        <v>#DIV/0!</v>
      </c>
      <c r="O69" s="43" t="e">
        <f t="shared" si="23"/>
        <v>#DIV/0!</v>
      </c>
      <c r="P69" s="43" t="e">
        <f t="shared" si="23"/>
        <v>#DIV/0!</v>
      </c>
      <c r="Q69" s="43" t="e">
        <f t="shared" si="23"/>
        <v>#DIV/0!</v>
      </c>
      <c r="R69" s="43" t="e">
        <f t="shared" si="23"/>
        <v>#DIV/0!</v>
      </c>
      <c r="S69" s="43" t="e">
        <f t="shared" si="23"/>
        <v>#DIV/0!</v>
      </c>
    </row>
    <row r="70" spans="1:19" ht="14.25" customHeight="1" x14ac:dyDescent="0.3">
      <c r="A70" s="8" t="s">
        <v>56</v>
      </c>
      <c r="B70" s="40">
        <v>821.15</v>
      </c>
      <c r="C70" s="40">
        <v>945.26</v>
      </c>
      <c r="D70" s="40">
        <v>1025.3699999999999</v>
      </c>
      <c r="E70" s="40">
        <v>1159.6300000000001</v>
      </c>
      <c r="F70" s="40">
        <v>1705.89</v>
      </c>
      <c r="G70" s="40">
        <v>2098.34</v>
      </c>
      <c r="H70" s="40">
        <v>2407.69</v>
      </c>
      <c r="I70" s="40">
        <v>2455.0500000000002</v>
      </c>
      <c r="K70" s="8" t="s">
        <v>56</v>
      </c>
      <c r="L70" s="43">
        <f t="shared" si="23"/>
        <v>1</v>
      </c>
      <c r="M70" s="43">
        <f t="shared" si="23"/>
        <v>1.1511416915301711</v>
      </c>
      <c r="N70" s="43">
        <f t="shared" si="23"/>
        <v>1.2486999939109784</v>
      </c>
      <c r="O70" s="43">
        <f t="shared" si="23"/>
        <v>1.412202399074469</v>
      </c>
      <c r="P70" s="43">
        <f t="shared" si="23"/>
        <v>2.0774401753638192</v>
      </c>
      <c r="Q70" s="43">
        <f t="shared" si="23"/>
        <v>2.5553674724471778</v>
      </c>
      <c r="R70" s="43">
        <f t="shared" si="23"/>
        <v>2.9320952322961702</v>
      </c>
      <c r="S70" s="43">
        <f t="shared" si="23"/>
        <v>2.9897704438896673</v>
      </c>
    </row>
    <row r="71" spans="1:19" ht="14.25" customHeight="1" x14ac:dyDescent="0.3">
      <c r="A71" s="8" t="s">
        <v>57</v>
      </c>
      <c r="B71" s="40">
        <v>721.81</v>
      </c>
      <c r="C71" s="40">
        <v>876.39</v>
      </c>
      <c r="D71" s="40">
        <v>545.46</v>
      </c>
      <c r="E71" s="40">
        <v>964.34</v>
      </c>
      <c r="F71" s="40">
        <v>1327.9999999999998</v>
      </c>
      <c r="G71" s="40">
        <v>1618.8600000000001</v>
      </c>
      <c r="H71" s="40">
        <v>2001.28</v>
      </c>
      <c r="I71" s="40">
        <v>59.44</v>
      </c>
      <c r="K71" s="8" t="s">
        <v>57</v>
      </c>
      <c r="L71" s="43">
        <f t="shared" si="23"/>
        <v>1</v>
      </c>
      <c r="M71" s="43">
        <f t="shared" si="23"/>
        <v>1.2141560798548094</v>
      </c>
      <c r="N71" s="43">
        <f t="shared" si="23"/>
        <v>0.75568362865574057</v>
      </c>
      <c r="O71" s="43">
        <f t="shared" si="23"/>
        <v>1.3360025491472827</v>
      </c>
      <c r="P71" s="43">
        <f t="shared" si="23"/>
        <v>1.8398193430404122</v>
      </c>
      <c r="Q71" s="43">
        <f t="shared" si="23"/>
        <v>2.2427785705379537</v>
      </c>
      <c r="R71" s="43">
        <f t="shared" si="23"/>
        <v>2.7725855834637927</v>
      </c>
      <c r="S71" s="43">
        <f t="shared" si="23"/>
        <v>8.2348540474640144E-2</v>
      </c>
    </row>
    <row r="72" spans="1:19" ht="14.25" customHeight="1" x14ac:dyDescent="0.3">
      <c r="A72" s="8" t="s">
        <v>58</v>
      </c>
      <c r="B72" s="40">
        <v>0</v>
      </c>
      <c r="C72" s="40">
        <v>0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358.07</v>
      </c>
      <c r="K72" s="8" t="s">
        <v>58</v>
      </c>
      <c r="L72" s="43" t="e">
        <f t="shared" si="23"/>
        <v>#DIV/0!</v>
      </c>
      <c r="M72" s="43" t="e">
        <f t="shared" si="23"/>
        <v>#DIV/0!</v>
      </c>
      <c r="N72" s="43" t="e">
        <f t="shared" si="23"/>
        <v>#DIV/0!</v>
      </c>
      <c r="O72" s="43" t="e">
        <f t="shared" si="23"/>
        <v>#DIV/0!</v>
      </c>
      <c r="P72" s="43" t="e">
        <f t="shared" si="23"/>
        <v>#DIV/0!</v>
      </c>
      <c r="Q72" s="43" t="e">
        <f t="shared" si="23"/>
        <v>#DIV/0!</v>
      </c>
      <c r="R72" s="43" t="e">
        <f t="shared" si="23"/>
        <v>#DIV/0!</v>
      </c>
      <c r="S72" s="43" t="e">
        <f t="shared" si="23"/>
        <v>#DIV/0!</v>
      </c>
    </row>
    <row r="73" spans="1:19" ht="14.25" customHeight="1" x14ac:dyDescent="0.3">
      <c r="A73" s="8" t="s">
        <v>59</v>
      </c>
      <c r="B73" s="40">
        <v>60.19</v>
      </c>
      <c r="C73" s="40">
        <v>73.680000000000007</v>
      </c>
      <c r="D73" s="40">
        <v>990.85</v>
      </c>
      <c r="E73" s="40">
        <v>954.09</v>
      </c>
      <c r="F73" s="40">
        <v>1532.08</v>
      </c>
      <c r="G73" s="40">
        <v>443.41</v>
      </c>
      <c r="H73" s="40">
        <v>441.17</v>
      </c>
      <c r="I73" s="40">
        <v>120.34</v>
      </c>
      <c r="K73" s="8" t="s">
        <v>59</v>
      </c>
      <c r="L73" s="43">
        <f t="shared" si="23"/>
        <v>1</v>
      </c>
      <c r="M73" s="43">
        <f t="shared" si="23"/>
        <v>1.2241236085728529</v>
      </c>
      <c r="N73" s="43">
        <f t="shared" si="23"/>
        <v>16.46203688320319</v>
      </c>
      <c r="O73" s="43">
        <f t="shared" si="23"/>
        <v>15.85130420335604</v>
      </c>
      <c r="P73" s="43">
        <f t="shared" si="23"/>
        <v>25.454062136567536</v>
      </c>
      <c r="Q73" s="43">
        <f t="shared" si="23"/>
        <v>7.3668383452400734</v>
      </c>
      <c r="R73" s="43">
        <f t="shared" si="23"/>
        <v>7.329622860940356</v>
      </c>
      <c r="S73" s="43">
        <f t="shared" si="23"/>
        <v>1.9993354377803623</v>
      </c>
    </row>
    <row r="74" spans="1:19" s="5" customFormat="1" ht="14.25" customHeight="1" x14ac:dyDescent="0.3">
      <c r="A74" s="7" t="s">
        <v>60</v>
      </c>
      <c r="B74" s="41">
        <f>SUM(B63:B73)</f>
        <v>5274.63</v>
      </c>
      <c r="C74" s="41">
        <f t="shared" ref="C74:H74" si="26">SUM(C63:C73)</f>
        <v>6584.7900000000009</v>
      </c>
      <c r="D74" s="41">
        <f t="shared" si="26"/>
        <v>7741.49</v>
      </c>
      <c r="E74" s="41">
        <f t="shared" si="26"/>
        <v>8394.5</v>
      </c>
      <c r="F74" s="41">
        <f t="shared" si="26"/>
        <v>10091.15</v>
      </c>
      <c r="G74" s="41">
        <f t="shared" si="26"/>
        <v>11024.869999999999</v>
      </c>
      <c r="H74" s="41">
        <f t="shared" si="26"/>
        <v>11725.660000000002</v>
      </c>
      <c r="I74" s="41">
        <f>SUM(I63:I73)</f>
        <v>11906.17</v>
      </c>
      <c r="K74" s="7" t="s">
        <v>60</v>
      </c>
      <c r="L74" s="43">
        <f t="shared" si="23"/>
        <v>1</v>
      </c>
      <c r="M74" s="43">
        <f t="shared" si="23"/>
        <v>1.2483889865260693</v>
      </c>
      <c r="N74" s="43">
        <f t="shared" si="23"/>
        <v>1.4676839892087217</v>
      </c>
      <c r="O74" s="43">
        <f t="shared" si="23"/>
        <v>1.5914860378832258</v>
      </c>
      <c r="P74" s="43">
        <f t="shared" si="23"/>
        <v>1.9131484104098295</v>
      </c>
      <c r="Q74" s="43">
        <f t="shared" si="23"/>
        <v>2.0901693578506926</v>
      </c>
      <c r="R74" s="43">
        <f t="shared" si="23"/>
        <v>2.2230298618102124</v>
      </c>
      <c r="S74" s="43">
        <f t="shared" si="23"/>
        <v>2.2572521674506079</v>
      </c>
    </row>
    <row r="75" spans="1:19" ht="14.25" customHeight="1" x14ac:dyDescent="0.3">
      <c r="A75" s="8"/>
      <c r="B75" s="40"/>
      <c r="C75" s="40"/>
      <c r="D75" s="40"/>
      <c r="E75" s="40"/>
      <c r="F75" s="40"/>
      <c r="G75" s="40"/>
      <c r="H75" s="40"/>
      <c r="I75" s="40"/>
      <c r="K75" s="8"/>
      <c r="L75" s="43"/>
      <c r="M75" s="43"/>
      <c r="N75" s="43"/>
      <c r="O75" s="43"/>
      <c r="P75" s="43"/>
      <c r="Q75" s="43"/>
      <c r="R75" s="43"/>
      <c r="S75" s="43"/>
    </row>
    <row r="76" spans="1:19" ht="14.25" customHeight="1" x14ac:dyDescent="0.3">
      <c r="A76" s="7" t="s">
        <v>61</v>
      </c>
      <c r="B76" s="40"/>
      <c r="C76" s="40"/>
      <c r="D76" s="40"/>
      <c r="E76" s="40"/>
      <c r="F76" s="40"/>
      <c r="G76" s="40"/>
      <c r="H76" s="40"/>
      <c r="I76" s="40"/>
      <c r="K76" s="7" t="s">
        <v>61</v>
      </c>
      <c r="L76" s="43"/>
      <c r="M76" s="43"/>
      <c r="N76" s="43"/>
      <c r="O76" s="43"/>
      <c r="P76" s="43"/>
      <c r="Q76" s="43"/>
      <c r="R76" s="43"/>
      <c r="S76" s="43"/>
    </row>
    <row r="77" spans="1:19" ht="14.25" customHeight="1" x14ac:dyDescent="0.3">
      <c r="A77" s="8" t="s">
        <v>62</v>
      </c>
      <c r="B77" s="40">
        <v>2297.35</v>
      </c>
      <c r="C77" s="40">
        <v>3249.15</v>
      </c>
      <c r="D77" s="40">
        <v>4544.0600000000004</v>
      </c>
      <c r="E77" s="40">
        <v>5591.12</v>
      </c>
      <c r="F77" s="40">
        <v>3173.88</v>
      </c>
      <c r="G77" s="40">
        <v>4709.12</v>
      </c>
      <c r="H77" s="40">
        <v>6225.34</v>
      </c>
      <c r="I77" s="40">
        <v>5870.31</v>
      </c>
      <c r="K77" s="8" t="s">
        <v>62</v>
      </c>
      <c r="L77" s="43">
        <f t="shared" ref="L77:S85" si="27">B77/$B77</f>
        <v>1</v>
      </c>
      <c r="M77" s="43">
        <f t="shared" si="27"/>
        <v>1.4143034365682201</v>
      </c>
      <c r="N77" s="43">
        <f t="shared" si="27"/>
        <v>1.9779572115698525</v>
      </c>
      <c r="O77" s="43">
        <f t="shared" si="27"/>
        <v>2.4337258145254315</v>
      </c>
      <c r="P77" s="43">
        <f t="shared" si="27"/>
        <v>1.3815395999738831</v>
      </c>
      <c r="Q77" s="43">
        <f t="shared" si="27"/>
        <v>2.0498052103510567</v>
      </c>
      <c r="R77" s="43">
        <f t="shared" si="27"/>
        <v>2.7097917165429735</v>
      </c>
      <c r="S77" s="43">
        <f t="shared" si="27"/>
        <v>2.5552527912594951</v>
      </c>
    </row>
    <row r="78" spans="1:19" ht="14.25" customHeight="1" x14ac:dyDescent="0.3">
      <c r="A78" s="8" t="s">
        <v>63</v>
      </c>
      <c r="B78" s="40">
        <v>861.39</v>
      </c>
      <c r="C78" s="40">
        <v>761.99</v>
      </c>
      <c r="D78" s="40">
        <v>708.58</v>
      </c>
      <c r="E78" s="40">
        <v>962.68</v>
      </c>
      <c r="F78" s="40">
        <v>1249.53</v>
      </c>
      <c r="G78" s="40">
        <v>1282.32</v>
      </c>
      <c r="H78" s="40">
        <v>1789.27</v>
      </c>
      <c r="I78" s="40">
        <v>1472.41</v>
      </c>
      <c r="K78" s="8" t="s">
        <v>63</v>
      </c>
      <c r="L78" s="43">
        <f t="shared" si="27"/>
        <v>1</v>
      </c>
      <c r="M78" s="43">
        <f t="shared" si="27"/>
        <v>0.88460511498856498</v>
      </c>
      <c r="N78" s="43">
        <f t="shared" si="27"/>
        <v>0.82260068029580102</v>
      </c>
      <c r="O78" s="43">
        <f t="shared" si="27"/>
        <v>1.1175890131067228</v>
      </c>
      <c r="P78" s="43">
        <f t="shared" si="27"/>
        <v>1.4505972904259394</v>
      </c>
      <c r="Q78" s="43">
        <f t="shared" si="27"/>
        <v>1.4886636715076793</v>
      </c>
      <c r="R78" s="43">
        <f t="shared" si="27"/>
        <v>2.0771891942093594</v>
      </c>
      <c r="S78" s="43">
        <f t="shared" si="27"/>
        <v>1.7093418776628473</v>
      </c>
    </row>
    <row r="79" spans="1:19" ht="14.25" customHeight="1" x14ac:dyDescent="0.3">
      <c r="A79" s="8" t="s">
        <v>64</v>
      </c>
      <c r="B79" s="40">
        <v>1371.82</v>
      </c>
      <c r="C79" s="40">
        <v>1282.08</v>
      </c>
      <c r="D79" s="40">
        <v>1551.75</v>
      </c>
      <c r="E79" s="40">
        <v>1426.97</v>
      </c>
      <c r="F79" s="40">
        <v>2745.11</v>
      </c>
      <c r="G79" s="40">
        <v>1511.91</v>
      </c>
      <c r="H79" s="40">
        <v>2274.6799999999998</v>
      </c>
      <c r="I79" s="40">
        <v>2158.4899999999998</v>
      </c>
      <c r="K79" s="8" t="s">
        <v>64</v>
      </c>
      <c r="L79" s="43">
        <f t="shared" si="27"/>
        <v>1</v>
      </c>
      <c r="M79" s="43">
        <f t="shared" si="27"/>
        <v>0.93458325436281731</v>
      </c>
      <c r="N79" s="43">
        <f t="shared" si="27"/>
        <v>1.1311615226487441</v>
      </c>
      <c r="O79" s="43">
        <f t="shared" si="27"/>
        <v>1.0402020673266172</v>
      </c>
      <c r="P79" s="43">
        <f t="shared" si="27"/>
        <v>2.0010715691563035</v>
      </c>
      <c r="Q79" s="43">
        <f t="shared" si="27"/>
        <v>1.1021198116370954</v>
      </c>
      <c r="R79" s="43">
        <f t="shared" si="27"/>
        <v>1.6581475703809536</v>
      </c>
      <c r="S79" s="43">
        <f t="shared" si="27"/>
        <v>1.5734498695164088</v>
      </c>
    </row>
    <row r="80" spans="1:19" ht="14.25" customHeight="1" x14ac:dyDescent="0.3">
      <c r="A80" s="8" t="s">
        <v>65</v>
      </c>
      <c r="B80" s="40">
        <v>215.78</v>
      </c>
      <c r="C80" s="40">
        <v>179.09</v>
      </c>
      <c r="D80" s="40">
        <v>195.39</v>
      </c>
      <c r="E80" s="40">
        <v>237.57</v>
      </c>
      <c r="F80" s="40">
        <v>303.88</v>
      </c>
      <c r="G80" s="40">
        <v>435.43</v>
      </c>
      <c r="H80" s="40">
        <v>396.24</v>
      </c>
      <c r="I80" s="40">
        <v>299.74</v>
      </c>
      <c r="K80" s="8" t="s">
        <v>65</v>
      </c>
      <c r="L80" s="43">
        <f t="shared" si="27"/>
        <v>1</v>
      </c>
      <c r="M80" s="43">
        <f t="shared" si="27"/>
        <v>0.82996570581147466</v>
      </c>
      <c r="N80" s="43">
        <f t="shared" si="27"/>
        <v>0.90550560756325882</v>
      </c>
      <c r="O80" s="43">
        <f t="shared" si="27"/>
        <v>1.1009824821577532</v>
      </c>
      <c r="P80" s="43">
        <f t="shared" si="27"/>
        <v>1.4082862174436925</v>
      </c>
      <c r="Q80" s="43">
        <f t="shared" si="27"/>
        <v>2.0179349337287977</v>
      </c>
      <c r="R80" s="43">
        <f t="shared" si="27"/>
        <v>1.8363147650384652</v>
      </c>
      <c r="S80" s="43">
        <f t="shared" si="27"/>
        <v>1.3891000092686996</v>
      </c>
    </row>
    <row r="81" spans="1:19" ht="14.25" customHeight="1" x14ac:dyDescent="0.3">
      <c r="A81" s="8" t="s">
        <v>66</v>
      </c>
      <c r="B81" s="40">
        <v>0</v>
      </c>
      <c r="C81" s="40">
        <v>0</v>
      </c>
      <c r="D81" s="40">
        <v>0</v>
      </c>
      <c r="E81" s="40">
        <v>0</v>
      </c>
      <c r="F81" s="40">
        <v>0</v>
      </c>
      <c r="G81" s="40">
        <v>0</v>
      </c>
      <c r="H81" s="40">
        <v>0</v>
      </c>
      <c r="I81" s="40">
        <v>22.81</v>
      </c>
      <c r="K81" s="8" t="s">
        <v>66</v>
      </c>
      <c r="L81" s="43" t="e">
        <f t="shared" si="27"/>
        <v>#DIV/0!</v>
      </c>
      <c r="M81" s="43" t="e">
        <f t="shared" si="27"/>
        <v>#DIV/0!</v>
      </c>
      <c r="N81" s="43" t="e">
        <f t="shared" si="27"/>
        <v>#DIV/0!</v>
      </c>
      <c r="O81" s="43" t="e">
        <f t="shared" si="27"/>
        <v>#DIV/0!</v>
      </c>
      <c r="P81" s="43" t="e">
        <f t="shared" si="27"/>
        <v>#DIV/0!</v>
      </c>
      <c r="Q81" s="43" t="e">
        <f t="shared" si="27"/>
        <v>#DIV/0!</v>
      </c>
      <c r="R81" s="43" t="e">
        <f t="shared" si="27"/>
        <v>#DIV/0!</v>
      </c>
      <c r="S81" s="43" t="e">
        <f t="shared" si="27"/>
        <v>#DIV/0!</v>
      </c>
    </row>
    <row r="82" spans="1:19" ht="14.25" customHeight="1" x14ac:dyDescent="0.3">
      <c r="A82" s="8" t="s">
        <v>67</v>
      </c>
      <c r="B82" s="40">
        <v>0</v>
      </c>
      <c r="C82" s="40">
        <v>0</v>
      </c>
      <c r="D82" s="40">
        <v>0</v>
      </c>
      <c r="E82" s="40">
        <v>0</v>
      </c>
      <c r="F82" s="40">
        <v>0</v>
      </c>
      <c r="G82" s="40">
        <v>0</v>
      </c>
      <c r="H82" s="40">
        <v>0</v>
      </c>
      <c r="I82" s="40">
        <v>475</v>
      </c>
      <c r="K82" s="8" t="s">
        <v>67</v>
      </c>
      <c r="L82" s="43" t="e">
        <f t="shared" si="27"/>
        <v>#DIV/0!</v>
      </c>
      <c r="M82" s="43" t="e">
        <f t="shared" si="27"/>
        <v>#DIV/0!</v>
      </c>
      <c r="N82" s="43" t="e">
        <f t="shared" si="27"/>
        <v>#DIV/0!</v>
      </c>
      <c r="O82" s="43" t="e">
        <f t="shared" si="27"/>
        <v>#DIV/0!</v>
      </c>
      <c r="P82" s="43" t="e">
        <f t="shared" si="27"/>
        <v>#DIV/0!</v>
      </c>
      <c r="Q82" s="43" t="e">
        <f t="shared" si="27"/>
        <v>#DIV/0!</v>
      </c>
      <c r="R82" s="43" t="e">
        <f t="shared" si="27"/>
        <v>#DIV/0!</v>
      </c>
      <c r="S82" s="43" t="e">
        <f t="shared" si="27"/>
        <v>#DIV/0!</v>
      </c>
    </row>
    <row r="83" spans="1:19" ht="14.25" customHeight="1" x14ac:dyDescent="0.3">
      <c r="A83" s="8" t="s">
        <v>68</v>
      </c>
      <c r="B83" s="40">
        <v>633.38</v>
      </c>
      <c r="C83" s="40">
        <v>614.6</v>
      </c>
      <c r="D83" s="40">
        <v>570.73</v>
      </c>
      <c r="E83" s="40">
        <v>783.89</v>
      </c>
      <c r="F83" s="40">
        <v>940.79000000000008</v>
      </c>
      <c r="G83" s="40">
        <v>710.44</v>
      </c>
      <c r="H83" s="40">
        <v>684.95</v>
      </c>
      <c r="I83" s="40">
        <v>273.45999999999998</v>
      </c>
      <c r="K83" s="8" t="s">
        <v>68</v>
      </c>
      <c r="L83" s="43">
        <f t="shared" si="27"/>
        <v>1</v>
      </c>
      <c r="M83" s="43">
        <f t="shared" si="27"/>
        <v>0.97034955319081762</v>
      </c>
      <c r="N83" s="43">
        <f t="shared" si="27"/>
        <v>0.90108623575104996</v>
      </c>
      <c r="O83" s="43">
        <f t="shared" si="27"/>
        <v>1.2376298588525056</v>
      </c>
      <c r="P83" s="43">
        <f t="shared" si="27"/>
        <v>1.4853484480090942</v>
      </c>
      <c r="Q83" s="43">
        <f t="shared" si="27"/>
        <v>1.1216647194417255</v>
      </c>
      <c r="R83" s="43">
        <f t="shared" si="27"/>
        <v>1.0814203163977392</v>
      </c>
      <c r="S83" s="43">
        <f t="shared" si="27"/>
        <v>0.43174713442167417</v>
      </c>
    </row>
    <row r="84" spans="1:19" s="5" customFormat="1" ht="14.25" customHeight="1" x14ac:dyDescent="0.3">
      <c r="A84" s="7" t="s">
        <v>69</v>
      </c>
      <c r="B84" s="41">
        <f t="shared" ref="B84:H84" si="28">SUM(B77:B83)</f>
        <v>5379.7199999999993</v>
      </c>
      <c r="C84" s="41">
        <f t="shared" si="28"/>
        <v>6086.9100000000008</v>
      </c>
      <c r="D84" s="41">
        <f t="shared" si="28"/>
        <v>7570.51</v>
      </c>
      <c r="E84" s="41">
        <f t="shared" si="28"/>
        <v>9002.23</v>
      </c>
      <c r="F84" s="41">
        <f t="shared" si="28"/>
        <v>8413.19</v>
      </c>
      <c r="G84" s="41">
        <f t="shared" si="28"/>
        <v>8649.2199999999993</v>
      </c>
      <c r="H84" s="41">
        <f t="shared" si="28"/>
        <v>11370.480000000001</v>
      </c>
      <c r="I84" s="41">
        <f>SUM(I77:I83)</f>
        <v>10572.219999999998</v>
      </c>
      <c r="K84" s="7" t="s">
        <v>69</v>
      </c>
      <c r="L84" s="43">
        <f t="shared" si="27"/>
        <v>1</v>
      </c>
      <c r="M84" s="43">
        <f t="shared" si="27"/>
        <v>1.1314547969039284</v>
      </c>
      <c r="N84" s="43">
        <f t="shared" si="27"/>
        <v>1.4072312313652013</v>
      </c>
      <c r="O84" s="43">
        <f t="shared" si="27"/>
        <v>1.6733640412512176</v>
      </c>
      <c r="P84" s="43">
        <f t="shared" si="27"/>
        <v>1.5638713538994597</v>
      </c>
      <c r="Q84" s="43">
        <f t="shared" si="27"/>
        <v>1.6077453845181535</v>
      </c>
      <c r="R84" s="43">
        <f t="shared" si="27"/>
        <v>2.1135821195155144</v>
      </c>
      <c r="S84" s="43">
        <f t="shared" si="27"/>
        <v>1.9651989322864385</v>
      </c>
    </row>
    <row r="85" spans="1:19" s="5" customFormat="1" ht="14.25" customHeight="1" x14ac:dyDescent="0.3">
      <c r="A85" s="7" t="s">
        <v>70</v>
      </c>
      <c r="B85" s="41">
        <f t="shared" ref="B85:H85" si="29">SUM(B74,B84)</f>
        <v>10654.349999999999</v>
      </c>
      <c r="C85" s="41">
        <f t="shared" si="29"/>
        <v>12671.7</v>
      </c>
      <c r="D85" s="41">
        <f t="shared" si="29"/>
        <v>15312</v>
      </c>
      <c r="E85" s="41">
        <f t="shared" si="29"/>
        <v>17396.73</v>
      </c>
      <c r="F85" s="41">
        <f t="shared" si="29"/>
        <v>18504.34</v>
      </c>
      <c r="G85" s="41">
        <f t="shared" si="29"/>
        <v>19674.089999999997</v>
      </c>
      <c r="H85" s="41">
        <f t="shared" si="29"/>
        <v>23096.140000000003</v>
      </c>
      <c r="I85" s="41">
        <f>SUM(I74,I84)</f>
        <v>22478.39</v>
      </c>
      <c r="K85" s="7" t="s">
        <v>70</v>
      </c>
      <c r="L85" s="43">
        <f t="shared" si="27"/>
        <v>1</v>
      </c>
      <c r="M85" s="43">
        <f t="shared" si="27"/>
        <v>1.1893451970321984</v>
      </c>
      <c r="N85" s="43">
        <f t="shared" si="27"/>
        <v>1.4371594700756032</v>
      </c>
      <c r="O85" s="43">
        <f t="shared" si="27"/>
        <v>1.6328288445564489</v>
      </c>
      <c r="P85" s="43">
        <f t="shared" si="27"/>
        <v>1.7367873216104224</v>
      </c>
      <c r="Q85" s="43">
        <f t="shared" si="27"/>
        <v>1.8465781582170662</v>
      </c>
      <c r="R85" s="43">
        <f t="shared" si="27"/>
        <v>2.1677662175543326</v>
      </c>
      <c r="S85" s="43">
        <f t="shared" si="27"/>
        <v>2.1097852051040187</v>
      </c>
    </row>
    <row r="86" spans="1:19" ht="14.25" customHeight="1" x14ac:dyDescent="0.3"/>
    <row r="87" spans="1:19" ht="14.25" customHeight="1" x14ac:dyDescent="0.3">
      <c r="E87" s="3">
        <f>105*20</f>
        <v>2100</v>
      </c>
    </row>
    <row r="88" spans="1:19" ht="14.25" customHeight="1" x14ac:dyDescent="0.3">
      <c r="B88" s="38"/>
      <c r="C88" s="38"/>
      <c r="D88" s="38"/>
      <c r="E88" s="38"/>
      <c r="F88" s="38"/>
      <c r="G88" s="38"/>
      <c r="H88" s="38"/>
      <c r="I88" s="38"/>
    </row>
    <row r="89" spans="1:19" ht="14.25" customHeight="1" x14ac:dyDescent="0.3">
      <c r="A89" s="25" t="s">
        <v>182</v>
      </c>
      <c r="B89" s="40">
        <f>B79</f>
        <v>1371.82</v>
      </c>
      <c r="C89" s="40">
        <f>(B79+C79)/2</f>
        <v>1326.9499999999998</v>
      </c>
      <c r="D89" s="40">
        <f t="shared" ref="D89:I89" si="30">(C79+D79)/2</f>
        <v>1416.915</v>
      </c>
      <c r="E89" s="40">
        <f t="shared" si="30"/>
        <v>1489.3600000000001</v>
      </c>
      <c r="F89" s="40">
        <f t="shared" si="30"/>
        <v>2086.04</v>
      </c>
      <c r="G89" s="40">
        <f t="shared" si="30"/>
        <v>2128.5100000000002</v>
      </c>
      <c r="H89" s="40">
        <f t="shared" si="30"/>
        <v>1893.2950000000001</v>
      </c>
      <c r="I89" s="40">
        <f t="shared" si="30"/>
        <v>2216.585</v>
      </c>
    </row>
    <row r="90" spans="1:19" ht="14.25" customHeight="1" x14ac:dyDescent="0.3">
      <c r="A90" s="25" t="s">
        <v>83</v>
      </c>
      <c r="B90" s="40">
        <f>B78</f>
        <v>861.39</v>
      </c>
      <c r="C90" s="40">
        <f t="shared" ref="C90:I90" si="31">(B78+C78)/2</f>
        <v>811.69</v>
      </c>
      <c r="D90" s="40">
        <f t="shared" si="31"/>
        <v>735.28500000000008</v>
      </c>
      <c r="E90" s="40">
        <f t="shared" si="31"/>
        <v>835.63</v>
      </c>
      <c r="F90" s="40">
        <f t="shared" si="31"/>
        <v>1106.105</v>
      </c>
      <c r="G90" s="40">
        <f t="shared" si="31"/>
        <v>1265.925</v>
      </c>
      <c r="H90" s="40">
        <f t="shared" si="31"/>
        <v>1535.7950000000001</v>
      </c>
      <c r="I90" s="40">
        <f t="shared" si="31"/>
        <v>1630.8400000000001</v>
      </c>
    </row>
    <row r="91" spans="1:19" ht="14.25" customHeight="1" x14ac:dyDescent="0.3">
      <c r="A91" s="25" t="s">
        <v>178</v>
      </c>
      <c r="B91" s="40">
        <f>B54</f>
        <v>2713.09</v>
      </c>
      <c r="C91" s="40">
        <f>(C54+B54)/2</f>
        <v>2752.395</v>
      </c>
      <c r="D91" s="40">
        <f t="shared" ref="D91:I91" si="32">(D54+C54)/2</f>
        <v>3028.95</v>
      </c>
      <c r="E91" s="40">
        <f t="shared" si="32"/>
        <v>3320.73</v>
      </c>
      <c r="F91" s="40">
        <f t="shared" si="32"/>
        <v>3406.75</v>
      </c>
      <c r="G91" s="40">
        <f t="shared" si="32"/>
        <v>3282.93</v>
      </c>
      <c r="H91" s="40">
        <f t="shared" si="32"/>
        <v>4195.8999999999996</v>
      </c>
      <c r="I91" s="40">
        <f t="shared" si="32"/>
        <v>4803.6350000000002</v>
      </c>
    </row>
    <row r="92" spans="1:19" ht="14.25" customHeight="1" x14ac:dyDescent="0.3">
      <c r="A92" s="25" t="s">
        <v>193</v>
      </c>
      <c r="B92" s="40">
        <f>B85</f>
        <v>10654.349999999999</v>
      </c>
      <c r="C92" s="40">
        <f t="shared" ref="C92:I92" si="33">(B85+C85)/2</f>
        <v>11663.025</v>
      </c>
      <c r="D92" s="40">
        <f t="shared" si="33"/>
        <v>13991.85</v>
      </c>
      <c r="E92" s="40">
        <f t="shared" si="33"/>
        <v>16354.365</v>
      </c>
      <c r="F92" s="40">
        <f t="shared" si="33"/>
        <v>17950.535</v>
      </c>
      <c r="G92" s="40">
        <f t="shared" si="33"/>
        <v>19089.214999999997</v>
      </c>
      <c r="H92" s="40">
        <f t="shared" si="33"/>
        <v>21385.114999999998</v>
      </c>
      <c r="I92" s="40">
        <f t="shared" si="33"/>
        <v>22787.264999999999</v>
      </c>
    </row>
    <row r="93" spans="1:19" ht="14.25" customHeight="1" x14ac:dyDescent="0.3">
      <c r="A93" s="25" t="s">
        <v>84</v>
      </c>
      <c r="B93" s="40">
        <f t="shared" ref="B93:I93" si="34">B84-B59</f>
        <v>1393.4899999999993</v>
      </c>
      <c r="C93" s="40">
        <f t="shared" si="34"/>
        <v>1914.8100000000013</v>
      </c>
      <c r="D93" s="40">
        <f t="shared" si="34"/>
        <v>3393.8200000000006</v>
      </c>
      <c r="E93" s="40">
        <f t="shared" si="34"/>
        <v>4520.87</v>
      </c>
      <c r="F93" s="40">
        <f t="shared" si="34"/>
        <v>4004.0100000000011</v>
      </c>
      <c r="G93" s="40">
        <f t="shared" si="34"/>
        <v>4370.1499999999996</v>
      </c>
      <c r="H93" s="40">
        <f t="shared" si="34"/>
        <v>4865.9500000000016</v>
      </c>
      <c r="I93" s="40">
        <f t="shared" si="34"/>
        <v>5054.5899999999992</v>
      </c>
    </row>
    <row r="94" spans="1:19" ht="14.25" customHeight="1" x14ac:dyDescent="0.3">
      <c r="A94" s="25" t="s">
        <v>85</v>
      </c>
      <c r="B94" s="40">
        <f>B93</f>
        <v>1393.4899999999993</v>
      </c>
      <c r="C94" s="40">
        <f>(B93+C93)/2</f>
        <v>1654.1500000000003</v>
      </c>
      <c r="D94" s="40">
        <f t="shared" ref="D94:H94" si="35">(C93+D93)/2</f>
        <v>2654.315000000001</v>
      </c>
      <c r="E94" s="40">
        <f t="shared" si="35"/>
        <v>3957.3450000000003</v>
      </c>
      <c r="F94" s="40">
        <f t="shared" si="35"/>
        <v>4262.4400000000005</v>
      </c>
      <c r="G94" s="40">
        <f t="shared" si="35"/>
        <v>4187.08</v>
      </c>
      <c r="H94" s="40">
        <f t="shared" si="35"/>
        <v>4618.0500000000011</v>
      </c>
      <c r="I94" s="40">
        <f>(H93+I93)/2</f>
        <v>4960.2700000000004</v>
      </c>
    </row>
    <row r="95" spans="1:19" ht="14.25" customHeight="1" x14ac:dyDescent="0.3">
      <c r="A95" s="25" t="s">
        <v>201</v>
      </c>
      <c r="B95" s="40">
        <f>B39</f>
        <v>6540</v>
      </c>
      <c r="C95" s="40">
        <f>(B39+C39)/2</f>
        <v>7246.34</v>
      </c>
      <c r="D95" s="40">
        <f t="shared" ref="D95:I95" si="36">(C39+D39)/2</f>
        <v>9134.0949999999993</v>
      </c>
      <c r="E95" s="40">
        <f t="shared" si="36"/>
        <v>11143.485000000001</v>
      </c>
      <c r="F95" s="40">
        <f t="shared" si="36"/>
        <v>12545.935000000001</v>
      </c>
      <c r="G95" s="40">
        <f t="shared" si="36"/>
        <v>13763.345000000001</v>
      </c>
      <c r="H95" s="40">
        <f t="shared" si="36"/>
        <v>14911.349999999999</v>
      </c>
      <c r="I95" s="40">
        <f t="shared" si="36"/>
        <v>15631.535</v>
      </c>
    </row>
    <row r="96" spans="1:19" ht="14.25" customHeight="1" x14ac:dyDescent="0.3">
      <c r="B96" s="4"/>
      <c r="C96" s="4"/>
      <c r="D96" s="4"/>
      <c r="E96" s="4"/>
      <c r="F96" s="4"/>
      <c r="G96" s="4"/>
      <c r="H96" s="4"/>
      <c r="I96" s="4"/>
    </row>
    <row r="97" spans="1:9" ht="14.25" customHeight="1" x14ac:dyDescent="0.3">
      <c r="A97" s="24" t="s">
        <v>71</v>
      </c>
    </row>
    <row r="98" spans="1:9" ht="14.25" customHeight="1" x14ac:dyDescent="0.3">
      <c r="A98" s="26" t="s">
        <v>77</v>
      </c>
      <c r="B98" s="23">
        <v>42094</v>
      </c>
      <c r="C98" s="23">
        <v>42460</v>
      </c>
      <c r="D98" s="23">
        <v>42825</v>
      </c>
      <c r="E98" s="23">
        <v>43190</v>
      </c>
      <c r="F98" s="23">
        <v>43555</v>
      </c>
      <c r="G98" s="23">
        <v>43921</v>
      </c>
      <c r="H98" s="23">
        <v>44286</v>
      </c>
      <c r="I98" s="23">
        <v>44651</v>
      </c>
    </row>
    <row r="99" spans="1:9" ht="14.25" customHeight="1" x14ac:dyDescent="0.3">
      <c r="A99" s="8" t="s">
        <v>194</v>
      </c>
      <c r="B99" s="9"/>
      <c r="C99" s="9"/>
      <c r="D99" s="9"/>
      <c r="E99" s="9"/>
      <c r="F99" s="9"/>
      <c r="G99" s="9"/>
      <c r="H99" s="9"/>
      <c r="I99" s="9"/>
    </row>
    <row r="100" spans="1:9" ht="14.25" customHeight="1" x14ac:dyDescent="0.3">
      <c r="A100" s="8" t="s">
        <v>195</v>
      </c>
      <c r="B100" s="9"/>
      <c r="C100" s="9"/>
      <c r="D100" s="9"/>
      <c r="E100" s="9"/>
      <c r="F100" s="9"/>
      <c r="G100" s="9"/>
      <c r="H100" s="9"/>
      <c r="I100" s="9"/>
    </row>
    <row r="101" spans="1:9" ht="14.25" customHeight="1" x14ac:dyDescent="0.3">
      <c r="A101" s="8" t="s">
        <v>196</v>
      </c>
      <c r="B101" s="9"/>
      <c r="C101" s="9"/>
      <c r="D101" s="9"/>
      <c r="E101" s="9"/>
      <c r="F101" s="9"/>
      <c r="G101" s="9"/>
      <c r="H101" s="9"/>
      <c r="I101" s="9"/>
    </row>
    <row r="102" spans="1:9" ht="14.25" customHeight="1" x14ac:dyDescent="0.3">
      <c r="A102" s="10"/>
      <c r="B102" s="11"/>
      <c r="C102" s="11"/>
      <c r="D102" s="11"/>
      <c r="E102" s="11"/>
      <c r="F102" s="12"/>
    </row>
    <row r="103" spans="1:9" ht="14.25" customHeight="1" x14ac:dyDescent="0.3">
      <c r="A103" s="26" t="s">
        <v>78</v>
      </c>
      <c r="B103" s="23">
        <v>42094</v>
      </c>
      <c r="C103" s="23">
        <v>42460</v>
      </c>
      <c r="D103" s="23">
        <v>42825</v>
      </c>
      <c r="E103" s="23">
        <v>43190</v>
      </c>
      <c r="F103" s="23">
        <v>43555</v>
      </c>
      <c r="G103" s="23">
        <v>43921</v>
      </c>
      <c r="H103" s="23">
        <v>44286</v>
      </c>
      <c r="I103" s="23">
        <v>44651</v>
      </c>
    </row>
    <row r="104" spans="1:9" ht="14.25" customHeight="1" x14ac:dyDescent="0.3">
      <c r="A104" s="8" t="s">
        <v>216</v>
      </c>
      <c r="B104" s="13"/>
      <c r="C104" s="13"/>
      <c r="D104" s="13"/>
      <c r="E104" s="13"/>
      <c r="F104" s="13"/>
      <c r="G104" s="13"/>
      <c r="H104" s="13"/>
      <c r="I104" s="13"/>
    </row>
    <row r="105" spans="1:9" ht="14.25" customHeight="1" x14ac:dyDescent="0.3">
      <c r="A105" s="8" t="s">
        <v>215</v>
      </c>
      <c r="B105" s="9"/>
      <c r="C105" s="9"/>
      <c r="D105" s="9"/>
      <c r="E105" s="9"/>
      <c r="F105" s="9"/>
      <c r="G105" s="9"/>
      <c r="H105" s="9"/>
      <c r="I105" s="9"/>
    </row>
    <row r="106" spans="1:9" ht="14.25" customHeight="1" x14ac:dyDescent="0.3">
      <c r="A106" s="8" t="s">
        <v>214</v>
      </c>
      <c r="B106" s="9"/>
      <c r="C106" s="9"/>
      <c r="D106" s="9"/>
      <c r="E106" s="9"/>
      <c r="F106" s="9"/>
      <c r="G106" s="9"/>
      <c r="H106" s="9"/>
      <c r="I106" s="9"/>
    </row>
    <row r="107" spans="1:9" ht="14.25" customHeight="1" x14ac:dyDescent="0.3">
      <c r="A107" s="10"/>
      <c r="B107" s="1"/>
      <c r="C107" s="1"/>
      <c r="D107" s="1"/>
      <c r="E107" s="1"/>
      <c r="F107" s="14"/>
    </row>
    <row r="108" spans="1:9" ht="14.25" customHeight="1" x14ac:dyDescent="0.3">
      <c r="A108" s="26" t="s">
        <v>79</v>
      </c>
      <c r="B108" s="23">
        <v>42094</v>
      </c>
      <c r="C108" s="23">
        <v>42460</v>
      </c>
      <c r="D108" s="23">
        <v>42825</v>
      </c>
      <c r="E108" s="23">
        <v>43190</v>
      </c>
      <c r="F108" s="23">
        <v>43555</v>
      </c>
      <c r="G108" s="23">
        <v>43921</v>
      </c>
      <c r="H108" s="23">
        <v>44286</v>
      </c>
      <c r="I108" s="23">
        <v>44651</v>
      </c>
    </row>
    <row r="109" spans="1:9" ht="14.25" customHeight="1" x14ac:dyDescent="0.3">
      <c r="A109" s="8" t="s">
        <v>198</v>
      </c>
      <c r="B109" s="9"/>
      <c r="C109" s="9"/>
      <c r="D109" s="9"/>
      <c r="E109" s="9"/>
      <c r="F109" s="9"/>
      <c r="G109" s="9"/>
      <c r="H109" s="9"/>
      <c r="I109" s="9"/>
    </row>
    <row r="110" spans="1:9" ht="14.25" customHeight="1" x14ac:dyDescent="0.3">
      <c r="A110" s="8" t="s">
        <v>197</v>
      </c>
      <c r="B110" s="9"/>
      <c r="C110" s="9"/>
      <c r="D110" s="9"/>
      <c r="E110" s="9"/>
      <c r="F110" s="9"/>
      <c r="G110" s="9"/>
      <c r="H110" s="9"/>
      <c r="I110" s="9"/>
    </row>
    <row r="111" spans="1:9" ht="14.25" customHeight="1" x14ac:dyDescent="0.3">
      <c r="A111" s="8"/>
      <c r="B111" s="9"/>
      <c r="C111" s="9"/>
      <c r="D111" s="9"/>
      <c r="E111" s="9"/>
      <c r="F111" s="9"/>
      <c r="G111" s="9"/>
      <c r="H111" s="9"/>
      <c r="I111" s="9"/>
    </row>
    <row r="112" spans="1:9" ht="14.25" customHeight="1" x14ac:dyDescent="0.3">
      <c r="A112" s="26" t="s">
        <v>80</v>
      </c>
      <c r="B112" s="23">
        <v>42094</v>
      </c>
      <c r="C112" s="23">
        <v>42460</v>
      </c>
      <c r="D112" s="23">
        <v>42825</v>
      </c>
      <c r="E112" s="23">
        <v>43190</v>
      </c>
      <c r="F112" s="23">
        <v>43555</v>
      </c>
      <c r="G112" s="23">
        <v>43921</v>
      </c>
      <c r="H112" s="23">
        <v>44286</v>
      </c>
      <c r="I112" s="23">
        <v>44651</v>
      </c>
    </row>
    <row r="113" spans="1:10" ht="14.25" customHeight="1" x14ac:dyDescent="0.3">
      <c r="A113" s="8" t="s">
        <v>210</v>
      </c>
      <c r="B113" s="13"/>
      <c r="C113" s="13"/>
      <c r="D113" s="13"/>
      <c r="E113" s="13"/>
      <c r="F113" s="13"/>
      <c r="G113" s="13"/>
      <c r="H113" s="13"/>
      <c r="I113" s="13"/>
    </row>
    <row r="114" spans="1:10" ht="14.25" customHeight="1" x14ac:dyDescent="0.3">
      <c r="A114" s="8" t="s">
        <v>211</v>
      </c>
      <c r="B114" s="13"/>
      <c r="C114" s="13"/>
      <c r="D114" s="13"/>
      <c r="E114" s="13"/>
      <c r="F114" s="13"/>
      <c r="G114" s="13"/>
      <c r="H114" s="13"/>
      <c r="I114" s="13"/>
    </row>
    <row r="115" spans="1:10" ht="14.25" customHeight="1" x14ac:dyDescent="0.3">
      <c r="A115" s="8" t="s">
        <v>212</v>
      </c>
      <c r="B115" s="13"/>
      <c r="C115" s="13"/>
      <c r="D115" s="13"/>
      <c r="E115" s="13"/>
      <c r="F115" s="13"/>
      <c r="G115" s="13"/>
      <c r="H115" s="13"/>
      <c r="I115" s="13"/>
    </row>
    <row r="116" spans="1:10" ht="28.95" customHeight="1" x14ac:dyDescent="0.3">
      <c r="A116" s="67" t="s">
        <v>217</v>
      </c>
      <c r="B116" s="42"/>
      <c r="C116" s="42"/>
      <c r="D116" s="42"/>
      <c r="E116" s="42"/>
      <c r="F116" s="42"/>
      <c r="G116" s="42"/>
      <c r="H116" s="42"/>
      <c r="I116" s="42"/>
    </row>
    <row r="117" spans="1:10" ht="28.5" customHeight="1" x14ac:dyDescent="0.3">
      <c r="A117" s="67" t="s">
        <v>218</v>
      </c>
      <c r="B117" s="42"/>
      <c r="C117" s="42"/>
      <c r="D117" s="42"/>
      <c r="E117" s="42"/>
      <c r="F117" s="42"/>
      <c r="G117" s="42"/>
      <c r="H117" s="42"/>
      <c r="I117" s="42"/>
    </row>
    <row r="118" spans="1:10" ht="31.95" customHeight="1" x14ac:dyDescent="0.3">
      <c r="A118" s="67" t="s">
        <v>219</v>
      </c>
      <c r="B118" s="42"/>
      <c r="C118" s="42"/>
      <c r="D118" s="42"/>
      <c r="E118" s="42"/>
      <c r="F118" s="42"/>
      <c r="G118" s="42"/>
      <c r="H118" s="42"/>
      <c r="I118" s="42"/>
    </row>
    <row r="119" spans="1:10" ht="14.25" customHeight="1" x14ac:dyDescent="0.3">
      <c r="A119" s="8" t="s">
        <v>213</v>
      </c>
      <c r="B119" s="42"/>
      <c r="C119" s="42"/>
      <c r="D119" s="42"/>
      <c r="E119" s="42"/>
      <c r="F119" s="42"/>
      <c r="G119" s="42"/>
      <c r="H119" s="42"/>
      <c r="I119" s="42"/>
    </row>
    <row r="120" spans="1:10" ht="14.25" customHeight="1" x14ac:dyDescent="0.3">
      <c r="A120" s="8" t="s">
        <v>209</v>
      </c>
      <c r="B120" s="13"/>
      <c r="C120" s="13"/>
      <c r="D120" s="13"/>
      <c r="E120" s="13"/>
      <c r="F120" s="13"/>
      <c r="G120" s="13"/>
      <c r="H120" s="13"/>
      <c r="I120" s="13"/>
    </row>
    <row r="121" spans="1:10" ht="14.25" customHeight="1" x14ac:dyDescent="0.3">
      <c r="A121" s="8" t="s">
        <v>208</v>
      </c>
      <c r="B121" s="13"/>
      <c r="C121" s="13"/>
      <c r="D121" s="13"/>
      <c r="E121" s="13"/>
      <c r="F121" s="13"/>
      <c r="G121" s="13"/>
      <c r="H121" s="13"/>
      <c r="I121" s="13"/>
      <c r="J121" s="61"/>
    </row>
    <row r="122" spans="1:10" ht="14.25" customHeight="1" x14ac:dyDescent="0.3">
      <c r="A122" s="8" t="s">
        <v>207</v>
      </c>
      <c r="B122" s="13"/>
      <c r="C122" s="13"/>
      <c r="D122" s="13"/>
      <c r="E122" s="13"/>
      <c r="F122" s="13"/>
      <c r="G122" s="13"/>
      <c r="H122" s="13"/>
      <c r="I122" s="13"/>
      <c r="J122" s="61"/>
    </row>
    <row r="123" spans="1:10" ht="14.25" customHeight="1" x14ac:dyDescent="0.3">
      <c r="B123" s="59"/>
      <c r="C123" s="59"/>
      <c r="D123" s="59"/>
      <c r="E123" s="59"/>
      <c r="F123" s="59"/>
      <c r="G123" s="59"/>
      <c r="H123" s="59"/>
      <c r="I123" s="59"/>
    </row>
    <row r="124" spans="1:10" ht="14.25" customHeight="1" x14ac:dyDescent="0.3">
      <c r="A124" s="27" t="s">
        <v>81</v>
      </c>
      <c r="B124" s="23">
        <v>42094</v>
      </c>
      <c r="C124" s="23">
        <v>42460</v>
      </c>
      <c r="D124" s="23">
        <v>42825</v>
      </c>
      <c r="E124" s="23">
        <v>43190</v>
      </c>
      <c r="F124" s="23">
        <v>43555</v>
      </c>
      <c r="G124" s="23">
        <v>43921</v>
      </c>
      <c r="H124" s="23">
        <v>44286</v>
      </c>
      <c r="I124" s="23">
        <v>44651</v>
      </c>
    </row>
    <row r="125" spans="1:10" ht="14.25" customHeight="1" x14ac:dyDescent="0.3">
      <c r="A125" s="17" t="s">
        <v>199</v>
      </c>
      <c r="B125" s="16"/>
      <c r="C125" s="16"/>
      <c r="D125" s="16"/>
      <c r="E125" s="16"/>
      <c r="F125" s="16"/>
      <c r="G125" s="16"/>
      <c r="H125" s="16"/>
      <c r="I125" s="16"/>
    </row>
    <row r="126" spans="1:10" ht="14.25" customHeight="1" x14ac:dyDescent="0.3">
      <c r="A126" s="17" t="s">
        <v>200</v>
      </c>
      <c r="B126" s="16"/>
      <c r="C126" s="16"/>
      <c r="D126" s="16"/>
      <c r="E126" s="16"/>
      <c r="F126" s="16"/>
      <c r="G126" s="16"/>
      <c r="H126" s="16"/>
      <c r="I126" s="16"/>
    </row>
    <row r="127" spans="1:10" ht="30" customHeight="1" x14ac:dyDescent="0.3">
      <c r="A127" s="65" t="s">
        <v>220</v>
      </c>
      <c r="B127" s="16"/>
      <c r="C127" s="16"/>
      <c r="D127" s="16"/>
      <c r="E127" s="16"/>
      <c r="F127" s="16"/>
      <c r="G127" s="16"/>
      <c r="H127" s="16"/>
      <c r="I127" s="16"/>
    </row>
    <row r="128" spans="1:10" ht="14.25" customHeight="1" x14ac:dyDescent="0.3">
      <c r="A128" s="17" t="s">
        <v>202</v>
      </c>
      <c r="B128" s="16"/>
      <c r="C128" s="16"/>
      <c r="D128" s="16"/>
      <c r="E128" s="16"/>
      <c r="F128" s="16"/>
      <c r="G128" s="16"/>
      <c r="H128" s="16"/>
      <c r="I128" s="16"/>
    </row>
    <row r="129" spans="1:9" ht="14.25" customHeight="1" x14ac:dyDescent="0.3">
      <c r="A129" s="17" t="s">
        <v>203</v>
      </c>
      <c r="B129" s="16"/>
      <c r="C129" s="16"/>
      <c r="D129" s="16"/>
      <c r="E129" s="16"/>
      <c r="F129" s="16"/>
      <c r="G129" s="16"/>
      <c r="H129" s="16"/>
      <c r="I129" s="16"/>
    </row>
    <row r="130" spans="1:9" ht="14.25" customHeight="1" x14ac:dyDescent="0.3">
      <c r="A130" s="17" t="s">
        <v>223</v>
      </c>
      <c r="B130" s="16"/>
      <c r="C130" s="16"/>
      <c r="D130" s="16"/>
      <c r="E130" s="16"/>
      <c r="F130" s="16"/>
      <c r="G130" s="16"/>
      <c r="H130" s="16"/>
      <c r="I130" s="66"/>
    </row>
    <row r="131" spans="1:9" ht="14.25" customHeight="1" x14ac:dyDescent="0.3">
      <c r="A131" s="17" t="s">
        <v>224</v>
      </c>
      <c r="B131" s="16"/>
      <c r="C131" s="16"/>
      <c r="D131" s="16"/>
      <c r="E131" s="16"/>
      <c r="F131" s="16"/>
      <c r="G131" s="16"/>
      <c r="H131" s="16"/>
      <c r="I131" s="66"/>
    </row>
    <row r="132" spans="1:9" ht="14.25" customHeight="1" x14ac:dyDescent="0.3">
      <c r="A132" s="15"/>
      <c r="B132" s="58"/>
      <c r="C132" s="58"/>
      <c r="D132" s="58"/>
      <c r="E132" s="58"/>
      <c r="F132" s="58"/>
      <c r="G132" s="58"/>
      <c r="H132" s="58"/>
      <c r="I132" s="4"/>
    </row>
    <row r="133" spans="1:9" ht="14.25" customHeight="1" x14ac:dyDescent="0.3">
      <c r="A133" s="28" t="s">
        <v>82</v>
      </c>
      <c r="B133" s="23">
        <v>42094</v>
      </c>
      <c r="C133" s="23">
        <v>42460</v>
      </c>
      <c r="D133" s="23">
        <v>42825</v>
      </c>
      <c r="E133" s="23">
        <v>43190</v>
      </c>
      <c r="F133" s="23">
        <v>43555</v>
      </c>
      <c r="G133" s="23">
        <v>43921</v>
      </c>
      <c r="H133" s="23">
        <v>44286</v>
      </c>
      <c r="I133" s="23">
        <v>44651</v>
      </c>
    </row>
    <row r="134" spans="1:9" ht="14.25" customHeight="1" x14ac:dyDescent="0.3">
      <c r="A134" s="18" t="s">
        <v>204</v>
      </c>
      <c r="B134" s="16"/>
      <c r="C134" s="16"/>
      <c r="D134" s="16"/>
      <c r="E134" s="16"/>
      <c r="F134" s="16"/>
      <c r="G134" s="16"/>
      <c r="H134" s="16"/>
      <c r="I134" s="16"/>
    </row>
    <row r="135" spans="1:9" ht="14.25" customHeight="1" x14ac:dyDescent="0.3">
      <c r="A135" s="18" t="s">
        <v>205</v>
      </c>
      <c r="B135" s="16"/>
      <c r="C135" s="16"/>
      <c r="D135" s="16"/>
      <c r="E135" s="16"/>
      <c r="F135" s="16"/>
      <c r="G135" s="16"/>
      <c r="H135" s="16"/>
      <c r="I135" s="16"/>
    </row>
    <row r="136" spans="1:9" ht="14.25" customHeight="1" x14ac:dyDescent="0.3">
      <c r="A136" s="18" t="s">
        <v>206</v>
      </c>
      <c r="B136" s="16"/>
      <c r="C136" s="16"/>
      <c r="D136" s="16"/>
      <c r="E136" s="16"/>
      <c r="F136" s="16"/>
      <c r="G136" s="16"/>
      <c r="H136" s="16"/>
      <c r="I136" s="16"/>
    </row>
    <row r="137" spans="1:9" ht="14.25" customHeight="1" x14ac:dyDescent="0.3"/>
    <row r="138" spans="1:9" ht="14.25" customHeight="1" x14ac:dyDescent="0.3"/>
    <row r="139" spans="1:9" ht="14.25" customHeight="1" x14ac:dyDescent="0.3"/>
    <row r="140" spans="1:9" ht="14.25" customHeight="1" x14ac:dyDescent="0.3"/>
    <row r="141" spans="1:9" ht="14.25" customHeight="1" x14ac:dyDescent="0.3"/>
    <row r="142" spans="1:9" ht="14.25" customHeight="1" x14ac:dyDescent="0.3"/>
    <row r="143" spans="1:9" ht="14.25" customHeight="1" x14ac:dyDescent="0.3"/>
    <row r="144" spans="1:9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</sheetData>
  <mergeCells count="2">
    <mergeCell ref="A36:I36"/>
    <mergeCell ref="A61:I61"/>
  </mergeCells>
  <pageMargins left="0.7" right="0.7" top="0.75" bottom="0.75" header="0" footer="0"/>
  <pageSetup orientation="landscape" r:id="rId1"/>
  <ignoredErrors>
    <ignoredError sqref="B8:I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198F-A127-4AB3-9943-79446BF21C41}">
  <dimension ref="A2:K87"/>
  <sheetViews>
    <sheetView showGridLines="0" topLeftCell="A61" workbookViewId="0">
      <selection activeCell="D73" sqref="D73"/>
    </sheetView>
  </sheetViews>
  <sheetFormatPr defaultRowHeight="14.4" x14ac:dyDescent="0.3"/>
  <cols>
    <col min="1" max="1" width="40.33203125" bestFit="1" customWidth="1"/>
    <col min="2" max="9" width="14.109375" bestFit="1" customWidth="1"/>
  </cols>
  <sheetData>
    <row r="2" spans="1:11" x14ac:dyDescent="0.3">
      <c r="A2" s="30" t="s">
        <v>72</v>
      </c>
      <c r="B2" s="29"/>
      <c r="C2" s="1"/>
      <c r="D2" s="1"/>
      <c r="E2" s="1"/>
      <c r="F2" s="1"/>
      <c r="G2" s="1"/>
      <c r="H2" s="1"/>
      <c r="I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</row>
    <row r="4" spans="1:11" x14ac:dyDescent="0.3">
      <c r="A4" s="55" t="s">
        <v>0</v>
      </c>
      <c r="B4" s="1"/>
      <c r="C4" s="1"/>
      <c r="D4" s="1"/>
      <c r="E4" s="1"/>
      <c r="F4" s="1"/>
      <c r="G4" s="1"/>
      <c r="H4" s="1"/>
      <c r="I4" s="1"/>
    </row>
    <row r="5" spans="1:11" x14ac:dyDescent="0.3">
      <c r="A5" s="22" t="s">
        <v>1</v>
      </c>
      <c r="B5" s="23">
        <v>42094</v>
      </c>
      <c r="C5" s="23">
        <v>42460</v>
      </c>
      <c r="D5" s="23">
        <v>42825</v>
      </c>
      <c r="E5" s="23">
        <v>43190</v>
      </c>
      <c r="F5" s="23">
        <v>43555</v>
      </c>
      <c r="G5" s="23">
        <v>43921</v>
      </c>
      <c r="H5" s="23">
        <v>44286</v>
      </c>
      <c r="I5" s="23">
        <v>44651</v>
      </c>
    </row>
    <row r="6" spans="1:11" x14ac:dyDescent="0.3">
      <c r="A6" s="8" t="s">
        <v>2</v>
      </c>
      <c r="B6" s="21">
        <f>'FS &amp; Trend Analysis'!B6/'FS &amp; Trend Analysis'!B$6</f>
        <v>1</v>
      </c>
      <c r="C6" s="21">
        <f>'FS &amp; Trend Analysis'!C6/'FS &amp; Trend Analysis'!C$6</f>
        <v>1</v>
      </c>
      <c r="D6" s="21">
        <f>'FS &amp; Trend Analysis'!D6/'FS &amp; Trend Analysis'!D$6</f>
        <v>1</v>
      </c>
      <c r="E6" s="21">
        <f>'FS &amp; Trend Analysis'!E6/'FS &amp; Trend Analysis'!E$6</f>
        <v>1</v>
      </c>
      <c r="F6" s="21">
        <f>'FS &amp; Trend Analysis'!F6/'FS &amp; Trend Analysis'!F$6</f>
        <v>1</v>
      </c>
      <c r="G6" s="21">
        <f>'FS &amp; Trend Analysis'!G6/'FS &amp; Trend Analysis'!G$6</f>
        <v>1</v>
      </c>
      <c r="H6" s="21">
        <f>'FS &amp; Trend Analysis'!H6/'FS &amp; Trend Analysis'!H$6</f>
        <v>1</v>
      </c>
      <c r="I6" s="21">
        <f>'FS &amp; Trend Analysis'!I6/'FS &amp; Trend Analysis'!I$6</f>
        <v>1</v>
      </c>
    </row>
    <row r="7" spans="1:11" x14ac:dyDescent="0.3">
      <c r="A7" s="8" t="s">
        <v>3</v>
      </c>
      <c r="B7" s="21">
        <f>'FS &amp; Trend Analysis'!B7/'FS &amp; Trend Analysis'!B$6</f>
        <v>1.6821007065978298E-2</v>
      </c>
      <c r="C7" s="21">
        <f>'FS &amp; Trend Analysis'!C7/'FS &amp; Trend Analysis'!C$6</f>
        <v>1.2603030454192381E-2</v>
      </c>
      <c r="D7" s="21">
        <f>'FS &amp; Trend Analysis'!D7/'FS &amp; Trend Analysis'!D$6</f>
        <v>1.6845976233924594E-2</v>
      </c>
      <c r="E7" s="21">
        <f>'FS &amp; Trend Analysis'!E7/'FS &amp; Trend Analysis'!E$6</f>
        <v>1.5805291330095155E-2</v>
      </c>
      <c r="F7" s="21">
        <f>'FS &amp; Trend Analysis'!F7/'FS &amp; Trend Analysis'!F$6</f>
        <v>2.0214451627108374E-2</v>
      </c>
      <c r="G7" s="21">
        <f>'FS &amp; Trend Analysis'!G7/'FS &amp; Trend Analysis'!G$6</f>
        <v>2.4971868364454738E-2</v>
      </c>
      <c r="H7" s="21">
        <f>'FS &amp; Trend Analysis'!H7/'FS &amp; Trend Analysis'!H$6</f>
        <v>1.8020497306292575E-2</v>
      </c>
      <c r="I7" s="21">
        <f>'FS &amp; Trend Analysis'!I7/'FS &amp; Trend Analysis'!I$6</f>
        <v>1.8781250761388341E-2</v>
      </c>
      <c r="J7" s="60"/>
    </row>
    <row r="8" spans="1:11" x14ac:dyDescent="0.3">
      <c r="A8" s="7" t="s">
        <v>4</v>
      </c>
      <c r="B8" s="21">
        <f>'FS &amp; Trend Analysis'!B8/'FS &amp; Trend Analysis'!B$6</f>
        <v>1.0168210070659782</v>
      </c>
      <c r="C8" s="21">
        <f>'FS &amp; Trend Analysis'!C8/'FS &amp; Trend Analysis'!C$6</f>
        <v>1.0126030304541924</v>
      </c>
      <c r="D8" s="21">
        <f>'FS &amp; Trend Analysis'!D8/'FS &amp; Trend Analysis'!D$6</f>
        <v>1.0168459762339246</v>
      </c>
      <c r="E8" s="21">
        <f>'FS &amp; Trend Analysis'!E8/'FS &amp; Trend Analysis'!E$6</f>
        <v>1.015805291330095</v>
      </c>
      <c r="F8" s="21">
        <f>'FS &amp; Trend Analysis'!F8/'FS &amp; Trend Analysis'!F$6</f>
        <v>1.0202144516271086</v>
      </c>
      <c r="G8" s="21">
        <f>'FS &amp; Trend Analysis'!G8/'FS &amp; Trend Analysis'!G$6</f>
        <v>1.0249718683644549</v>
      </c>
      <c r="H8" s="21">
        <f>'FS &amp; Trend Analysis'!H8/'FS &amp; Trend Analysis'!H$6</f>
        <v>1.0180204973062925</v>
      </c>
      <c r="I8" s="21">
        <f>'FS &amp; Trend Analysis'!I8/'FS &amp; Trend Analysis'!I$6</f>
        <v>1.0187812507613883</v>
      </c>
    </row>
    <row r="9" spans="1:11" x14ac:dyDescent="0.3">
      <c r="A9" s="8"/>
      <c r="B9" s="21"/>
      <c r="C9" s="21"/>
      <c r="D9" s="21"/>
      <c r="E9" s="21"/>
      <c r="F9" s="21"/>
      <c r="G9" s="21"/>
      <c r="H9" s="21"/>
      <c r="I9" s="21"/>
    </row>
    <row r="10" spans="1:11" x14ac:dyDescent="0.3">
      <c r="A10" s="7" t="s">
        <v>5</v>
      </c>
      <c r="B10" s="21"/>
      <c r="C10" s="21"/>
      <c r="D10" s="21"/>
      <c r="E10" s="21"/>
      <c r="F10" s="21"/>
      <c r="G10" s="21"/>
      <c r="H10" s="21"/>
      <c r="I10" s="21"/>
    </row>
    <row r="11" spans="1:11" x14ac:dyDescent="0.3">
      <c r="A11" s="91" t="s">
        <v>6</v>
      </c>
      <c r="B11" s="92">
        <f>'FS &amp; Trend Analysis'!B11/'FS &amp; Trend Analysis'!B$6</f>
        <v>0.67389648779313971</v>
      </c>
      <c r="C11" s="92">
        <f>'FS &amp; Trend Analysis'!C11/'FS &amp; Trend Analysis'!C$6</f>
        <v>0.62558912721390358</v>
      </c>
      <c r="D11" s="92">
        <f>'FS &amp; Trend Analysis'!D11/'FS &amp; Trend Analysis'!D$6</f>
        <v>0.61697294638528832</v>
      </c>
      <c r="E11" s="92">
        <f>'FS &amp; Trend Analysis'!E11/'FS &amp; Trend Analysis'!E$6</f>
        <v>0.66118424431451184</v>
      </c>
      <c r="F11" s="92">
        <f>'FS &amp; Trend Analysis'!F11/'FS &amp; Trend Analysis'!F$6</f>
        <v>0.6901054184550145</v>
      </c>
      <c r="G11" s="92">
        <f>'FS &amp; Trend Analysis'!G11/'FS &amp; Trend Analysis'!G$6</f>
        <v>0.6778579075532245</v>
      </c>
      <c r="H11" s="92">
        <f>'FS &amp; Trend Analysis'!H11/'FS &amp; Trend Analysis'!H$6</f>
        <v>0.70233135944448166</v>
      </c>
      <c r="I11" s="92">
        <f>'FS &amp; Trend Analysis'!I11/'FS &amp; Trend Analysis'!I$6</f>
        <v>0.70793414024705537</v>
      </c>
      <c r="K11" s="60"/>
    </row>
    <row r="12" spans="1:11" x14ac:dyDescent="0.3">
      <c r="A12" s="8" t="s">
        <v>7</v>
      </c>
      <c r="B12" s="21">
        <f>'FS &amp; Trend Analysis'!B12/'FS &amp; Trend Analysis'!B$6</f>
        <v>5.8711675818165908E-2</v>
      </c>
      <c r="C12" s="21">
        <f>'FS &amp; Trend Analysis'!C12/'FS &amp; Trend Analysis'!C$6</f>
        <v>7.3147654471989773E-2</v>
      </c>
      <c r="D12" s="21">
        <f>'FS &amp; Trend Analysis'!D12/'FS &amp; Trend Analysis'!D$6</f>
        <v>7.6596180051033358E-2</v>
      </c>
      <c r="E12" s="21">
        <f>'FS &amp; Trend Analysis'!E12/'FS &amp; Trend Analysis'!E$6</f>
        <v>1.9412439646729066E-2</v>
      </c>
      <c r="F12" s="21">
        <f>'FS &amp; Trend Analysis'!F12/'FS &amp; Trend Analysis'!F$6</f>
        <v>4.1504487635930869E-5</v>
      </c>
      <c r="G12" s="21">
        <f>'FS &amp; Trend Analysis'!G12/'FS &amp; Trend Analysis'!G$6</f>
        <v>4.6145453203041365E-5</v>
      </c>
      <c r="H12" s="21">
        <f>'FS &amp; Trend Analysis'!H12/'FS &amp; Trend Analysis'!H$6</f>
        <v>0</v>
      </c>
      <c r="I12" s="21">
        <f>'FS &amp; Trend Analysis'!I12/'FS &amp; Trend Analysis'!I$6</f>
        <v>0</v>
      </c>
    </row>
    <row r="13" spans="1:11" x14ac:dyDescent="0.3">
      <c r="A13" s="91" t="s">
        <v>8</v>
      </c>
      <c r="B13" s="92">
        <f>'FS &amp; Trend Analysis'!B13/'FS &amp; Trend Analysis'!B$6</f>
        <v>4.0290295764788236E-2</v>
      </c>
      <c r="C13" s="92">
        <f>'FS &amp; Trend Analysis'!C13/'FS &amp; Trend Analysis'!C$6</f>
        <v>4.3504230702702838E-2</v>
      </c>
      <c r="D13" s="92">
        <f>'FS &amp; Trend Analysis'!D13/'FS &amp; Trend Analysis'!D$6</f>
        <v>4.6233724485745066E-2</v>
      </c>
      <c r="E13" s="92">
        <f>'FS &amp; Trend Analysis'!E13/'FS &amp; Trend Analysis'!E$6</f>
        <v>4.7844864828612117E-2</v>
      </c>
      <c r="F13" s="92">
        <f>'FS &amp; Trend Analysis'!F13/'FS &amp; Trend Analysis'!F$6</f>
        <v>5.2337747625045512E-2</v>
      </c>
      <c r="G13" s="92">
        <f>'FS &amp; Trend Analysis'!G13/'FS &amp; Trend Analysis'!G$6</f>
        <v>6.4580390848570451E-2</v>
      </c>
      <c r="H13" s="92">
        <f>'FS &amp; Trend Analysis'!H13/'FS &amp; Trend Analysis'!H$6</f>
        <v>6.3019090615742859E-2</v>
      </c>
      <c r="I13" s="92">
        <f>'FS &amp; Trend Analysis'!I13/'FS &amp; Trend Analysis'!I$6</f>
        <v>6.7536160870189044E-2</v>
      </c>
    </row>
    <row r="14" spans="1:11" x14ac:dyDescent="0.3">
      <c r="A14" s="8" t="s">
        <v>9</v>
      </c>
      <c r="B14" s="21">
        <f>'FS &amp; Trend Analysis'!B14/'FS &amp; Trend Analysis'!B$6</f>
        <v>0.1125254993218411</v>
      </c>
      <c r="C14" s="21">
        <f>'FS &amp; Trend Analysis'!C14/'FS &amp; Trend Analysis'!C$6</f>
        <v>0.11580969644278914</v>
      </c>
      <c r="D14" s="21">
        <f>'FS &amp; Trend Analysis'!D14/'FS &amp; Trend Analysis'!D$6</f>
        <v>0.11250736678623506</v>
      </c>
      <c r="E14" s="21">
        <f>'FS &amp; Trend Analysis'!E14/'FS &amp; Trend Analysis'!E$6</f>
        <v>0.11068537630653388</v>
      </c>
      <c r="F14" s="21">
        <f>'FS &amp; Trend Analysis'!F14/'FS &amp; Trend Analysis'!F$6</f>
        <v>0.10979379334238581</v>
      </c>
      <c r="G14" s="21">
        <f>'FS &amp; Trend Analysis'!G14/'FS &amp; Trend Analysis'!G$6</f>
        <v>0.1187059310921911</v>
      </c>
      <c r="H14" s="21">
        <f>'FS &amp; Trend Analysis'!H14/'FS &amp; Trend Analysis'!H$6</f>
        <v>0.10223297185746785</v>
      </c>
      <c r="I14" s="21">
        <f>'FS &amp; Trend Analysis'!I14/'FS &amp; Trend Analysis'!I$6</f>
        <v>0.10796046736385023</v>
      </c>
      <c r="J14" s="60"/>
    </row>
    <row r="15" spans="1:11" x14ac:dyDescent="0.3">
      <c r="A15" s="7" t="s">
        <v>10</v>
      </c>
      <c r="B15" s="21">
        <f>'FS &amp; Trend Analysis'!B15/'FS &amp; Trend Analysis'!B$6</f>
        <v>0.88542395869793511</v>
      </c>
      <c r="C15" s="21">
        <f>'FS &amp; Trend Analysis'!C15/'FS &amp; Trend Analysis'!C$6</f>
        <v>0.85805070883138546</v>
      </c>
      <c r="D15" s="21">
        <f>'FS &amp; Trend Analysis'!D15/'FS &amp; Trend Analysis'!D$6</f>
        <v>0.85231021770830184</v>
      </c>
      <c r="E15" s="21">
        <f>'FS &amp; Trend Analysis'!E15/'FS &amp; Trend Analysis'!E$6</f>
        <v>0.83912692509638687</v>
      </c>
      <c r="F15" s="21">
        <f>'FS &amp; Trend Analysis'!F15/'FS &amp; Trend Analysis'!F$6</f>
        <v>0.85227846391008166</v>
      </c>
      <c r="G15" s="21">
        <f>'FS &amp; Trend Analysis'!G15/'FS &amp; Trend Analysis'!G$6</f>
        <v>0.86119037494718897</v>
      </c>
      <c r="H15" s="21">
        <f>'FS &amp; Trend Analysis'!H15/'FS &amp; Trend Analysis'!H$6</f>
        <v>0.86758342191769233</v>
      </c>
      <c r="I15" s="21">
        <f>'FS &amp; Trend Analysis'!I15/'FS &amp; Trend Analysis'!I$6</f>
        <v>0.88343076848109459</v>
      </c>
    </row>
    <row r="16" spans="1:11" x14ac:dyDescent="0.3">
      <c r="A16" s="8"/>
      <c r="B16" s="21"/>
      <c r="C16" s="21"/>
      <c r="D16" s="21"/>
      <c r="E16" s="21"/>
      <c r="F16" s="21"/>
      <c r="G16" s="21"/>
      <c r="H16" s="21"/>
      <c r="I16" s="21"/>
    </row>
    <row r="17" spans="1:9" x14ac:dyDescent="0.3">
      <c r="A17" s="7" t="s">
        <v>11</v>
      </c>
      <c r="B17" s="21">
        <f>'FS &amp; Trend Analysis'!B17/'FS &amp; Trend Analysis'!B$6</f>
        <v>0.13139704836804317</v>
      </c>
      <c r="C17" s="21">
        <f>'FS &amp; Trend Analysis'!C17/'FS &amp; Trend Analysis'!C$6</f>
        <v>0.15455232162280702</v>
      </c>
      <c r="D17" s="21">
        <f>'FS &amp; Trend Analysis'!D17/'FS &amp; Trend Analysis'!D$6</f>
        <v>0.1645357585256228</v>
      </c>
      <c r="E17" s="21">
        <f>'FS &amp; Trend Analysis'!E17/'FS &amp; Trend Analysis'!E$6</f>
        <v>0.1766783662337082</v>
      </c>
      <c r="F17" s="21">
        <f>'FS &amp; Trend Analysis'!F17/'FS &amp; Trend Analysis'!F$6</f>
        <v>0.16793598771702684</v>
      </c>
      <c r="G17" s="21">
        <f>'FS &amp; Trend Analysis'!G17/'FS &amp; Trend Analysis'!G$6</f>
        <v>0.16378149341726575</v>
      </c>
      <c r="H17" s="21">
        <f>'FS &amp; Trend Analysis'!H17/'FS &amp; Trend Analysis'!H$6</f>
        <v>0.15043707538860029</v>
      </c>
      <c r="I17" s="21">
        <f>'FS &amp; Trend Analysis'!I17/'FS &amp; Trend Analysis'!I$6</f>
        <v>0.13535048228029375</v>
      </c>
    </row>
    <row r="18" spans="1:9" x14ac:dyDescent="0.3">
      <c r="A18" s="8" t="s">
        <v>12</v>
      </c>
      <c r="B18" s="21">
        <f>'FS &amp; Trend Analysis'!B18/'FS &amp; Trend Analysis'!B$6</f>
        <v>1.8473335776163811E-2</v>
      </c>
      <c r="C18" s="21">
        <f>'FS &amp; Trend Analysis'!C18/'FS &amp; Trend Analysis'!C$6</f>
        <v>1.447949173262192E-2</v>
      </c>
      <c r="D18" s="21">
        <f>'FS &amp; Trend Analysis'!D18/'FS &amp; Trend Analysis'!D$6</f>
        <v>1.6210157224808175E-2</v>
      </c>
      <c r="E18" s="21">
        <f>'FS &amp; Trend Analysis'!E18/'FS &amp; Trend Analysis'!E$6</f>
        <v>1.7370503677539065E-2</v>
      </c>
      <c r="F18" s="21">
        <f>'FS &amp; Trend Analysis'!F18/'FS &amp; Trend Analysis'!F$6</f>
        <v>1.8380895219418918E-2</v>
      </c>
      <c r="G18" s="21">
        <f>'FS &amp; Trend Analysis'!G18/'FS &amp; Trend Analysis'!G$6</f>
        <v>2.8909613704447602E-2</v>
      </c>
      <c r="H18" s="21">
        <f>'FS &amp; Trend Analysis'!H18/'FS &amp; Trend Analysis'!H$6</f>
        <v>2.3098795543423457E-2</v>
      </c>
      <c r="I18" s="21">
        <f>'FS &amp; Trend Analysis'!I18/'FS &amp; Trend Analysis'!I$6</f>
        <v>2.3332999450446815E-2</v>
      </c>
    </row>
    <row r="19" spans="1:9" x14ac:dyDescent="0.3">
      <c r="A19" s="7" t="s">
        <v>13</v>
      </c>
      <c r="B19" s="21">
        <f>'FS &amp; Trend Analysis'!B19/'FS &amp; Trend Analysis'!B$6</f>
        <v>0.11292371259187937</v>
      </c>
      <c r="C19" s="21">
        <f>'FS &amp; Trend Analysis'!C19/'FS &amp; Trend Analysis'!C$6</f>
        <v>0.1400728298901851</v>
      </c>
      <c r="D19" s="21">
        <f>'FS &amp; Trend Analysis'!D19/'FS &amp; Trend Analysis'!D$6</f>
        <v>0.14832560130081462</v>
      </c>
      <c r="E19" s="21">
        <f>'FS &amp; Trend Analysis'!E19/'FS &amp; Trend Analysis'!E$6</f>
        <v>0.15930786255616913</v>
      </c>
      <c r="F19" s="21">
        <f>'FS &amp; Trend Analysis'!F19/'FS &amp; Trend Analysis'!F$6</f>
        <v>0.1495550924976079</v>
      </c>
      <c r="G19" s="21">
        <f>'FS &amp; Trend Analysis'!G19/'FS &amp; Trend Analysis'!G$6</f>
        <v>0.13487187971281814</v>
      </c>
      <c r="H19" s="21">
        <f>'FS &amp; Trend Analysis'!H19/'FS &amp; Trend Analysis'!H$6</f>
        <v>0.12733827984517684</v>
      </c>
      <c r="I19" s="21">
        <f>'FS &amp; Trend Analysis'!I19/'FS &amp; Trend Analysis'!I$6</f>
        <v>0.11201748282984693</v>
      </c>
    </row>
    <row r="20" spans="1:9" x14ac:dyDescent="0.3">
      <c r="A20" s="91" t="s">
        <v>14</v>
      </c>
      <c r="B20" s="92">
        <f>'FS &amp; Trend Analysis'!B20/'FS &amp; Trend Analysis'!B$6</f>
        <v>3.9992233986699331E-4</v>
      </c>
      <c r="C20" s="92">
        <f>'FS &amp; Trend Analysis'!C20/'FS &amp; Trend Analysis'!C$6</f>
        <v>3.8449154798823778E-4</v>
      </c>
      <c r="D20" s="92">
        <f>'FS &amp; Trend Analysis'!D20/'FS &amp; Trend Analysis'!D$6</f>
        <v>8.8046408978151715E-4</v>
      </c>
      <c r="E20" s="92">
        <f>'FS &amp; Trend Analysis'!E20/'FS &amp; Trend Analysis'!E$6</f>
        <v>9.3048717045497796E-4</v>
      </c>
      <c r="F20" s="92">
        <f>'FS &amp; Trend Analysis'!F20/'FS &amp; Trend Analysis'!F$6</f>
        <v>1.0944232980878792E-3</v>
      </c>
      <c r="G20" s="92">
        <f>'FS &amp; Trend Analysis'!G20/'FS &amp; Trend Analysis'!G$6</f>
        <v>1.5942399536221104E-3</v>
      </c>
      <c r="H20" s="92">
        <f>'FS &amp; Trend Analysis'!H20/'FS &amp; Trend Analysis'!H$6</f>
        <v>1.4990702276125442E-3</v>
      </c>
      <c r="I20" s="92">
        <f>'FS &amp; Trend Analysis'!I20/'FS &amp; Trend Analysis'!I$6</f>
        <v>1.7968764804773263E-3</v>
      </c>
    </row>
    <row r="21" spans="1:9" x14ac:dyDescent="0.3">
      <c r="A21" s="7" t="s">
        <v>15</v>
      </c>
      <c r="B21" s="21">
        <f>'FS &amp; Trend Analysis'!B21/'FS &amp; Trend Analysis'!B$6</f>
        <v>0.11252379025201238</v>
      </c>
      <c r="C21" s="21">
        <f>'FS &amp; Trend Analysis'!C21/'FS &amp; Trend Analysis'!C$6</f>
        <v>0.13968833834219688</v>
      </c>
      <c r="D21" s="21">
        <f>'FS &amp; Trend Analysis'!D21/'FS &amp; Trend Analysis'!D$6</f>
        <v>0.14744513721103311</v>
      </c>
      <c r="E21" s="21">
        <f>'FS &amp; Trend Analysis'!E21/'FS &amp; Trend Analysis'!E$6</f>
        <v>0.15837737538571414</v>
      </c>
      <c r="F21" s="21">
        <f>'FS &amp; Trend Analysis'!F21/'FS &amp; Trend Analysis'!F$6</f>
        <v>0.14846066919952</v>
      </c>
      <c r="G21" s="21">
        <f>'FS &amp; Trend Analysis'!G21/'FS &amp; Trend Analysis'!G$6</f>
        <v>0.13327763975919604</v>
      </c>
      <c r="H21" s="21">
        <f>'FS &amp; Trend Analysis'!H21/'FS &amp; Trend Analysis'!H$6</f>
        <v>0.12583920961756428</v>
      </c>
      <c r="I21" s="21">
        <f>'FS &amp; Trend Analysis'!I21/'FS &amp; Trend Analysis'!I$6</f>
        <v>0.1102206063493696</v>
      </c>
    </row>
    <row r="22" spans="1:9" x14ac:dyDescent="0.3">
      <c r="A22" s="8" t="s">
        <v>16</v>
      </c>
      <c r="B22" s="21">
        <f>'FS &amp; Trend Analysis'!B22/'FS &amp; Trend Analysis'!B$6</f>
        <v>5.1784815803290166E-4</v>
      </c>
      <c r="C22" s="21">
        <f>'FS &amp; Trend Analysis'!C22/'FS &amp; Trend Analysis'!C$6</f>
        <v>1.278183360035035E-3</v>
      </c>
      <c r="D22" s="21">
        <f>'FS &amp; Trend Analysis'!D22/'FS &amp; Trend Analysis'!D$6</f>
        <v>9.0060373758297108E-3</v>
      </c>
      <c r="E22" s="21">
        <f>'FS &amp; Trend Analysis'!E22/'FS &amp; Trend Analysis'!E$6</f>
        <v>1.5537323109253089E-3</v>
      </c>
      <c r="F22" s="21">
        <f>'FS &amp; Trend Analysis'!F22/'FS &amp; Trend Analysis'!F$6</f>
        <v>1.7885196232334465E-3</v>
      </c>
      <c r="G22" s="21">
        <f>'FS &amp; Trend Analysis'!G22/'FS &amp; Trend Analysis'!G$6</f>
        <v>1.1837163292009796E-3</v>
      </c>
      <c r="H22" s="21">
        <f>'FS &amp; Trend Analysis'!H22/'FS &amp; Trend Analysis'!H$6</f>
        <v>-1.5039153156138777E-3</v>
      </c>
      <c r="I22" s="21">
        <f>'FS &amp; Trend Analysis'!I22/'FS &amp; Trend Analysis'!I$6</f>
        <v>-6.7357488406593561E-3</v>
      </c>
    </row>
    <row r="23" spans="1:9" x14ac:dyDescent="0.3">
      <c r="A23" s="7" t="s">
        <v>17</v>
      </c>
      <c r="B23" s="21">
        <f>'FS &amp; Trend Analysis'!B23/'FS &amp; Trend Analysis'!B$6</f>
        <v>0.11304163841004529</v>
      </c>
      <c r="C23" s="21">
        <f>'FS &amp; Trend Analysis'!C23/'FS &amp; Trend Analysis'!C$6</f>
        <v>0.1409665217022319</v>
      </c>
      <c r="D23" s="21">
        <f>'FS &amp; Trend Analysis'!D23/'FS &amp; Trend Analysis'!D$6</f>
        <v>0.15645117458686283</v>
      </c>
      <c r="E23" s="21">
        <f>'FS &amp; Trend Analysis'!E23/'FS &amp; Trend Analysis'!E$6</f>
        <v>0.15993110769663946</v>
      </c>
      <c r="F23" s="21">
        <f>'FS &amp; Trend Analysis'!F23/'FS &amp; Trend Analysis'!F$6</f>
        <v>0.15024918882275345</v>
      </c>
      <c r="G23" s="21">
        <f>'FS &amp; Trend Analysis'!G23/'FS &amp; Trend Analysis'!G$6</f>
        <v>0.13446135608839702</v>
      </c>
      <c r="H23" s="21">
        <f>'FS &amp; Trend Analysis'!H23/'FS &amp; Trend Analysis'!H$6</f>
        <v>0.12433529430195042</v>
      </c>
      <c r="I23" s="21">
        <f>'FS &amp; Trend Analysis'!I23/'FS &amp; Trend Analysis'!I$6</f>
        <v>0.10348485750871024</v>
      </c>
    </row>
    <row r="24" spans="1:9" x14ac:dyDescent="0.3">
      <c r="A24" s="8" t="s">
        <v>18</v>
      </c>
      <c r="B24" s="21">
        <f>'FS &amp; Trend Analysis'!B24/'FS &amp; Trend Analysis'!B$6</f>
        <v>0</v>
      </c>
      <c r="C24" s="21">
        <f>'FS &amp; Trend Analysis'!C24/'FS &amp; Trend Analysis'!C$6</f>
        <v>0</v>
      </c>
      <c r="D24" s="21">
        <f>'FS &amp; Trend Analysis'!D24/'FS &amp; Trend Analysis'!D$6</f>
        <v>0</v>
      </c>
      <c r="E24" s="21">
        <f>'FS &amp; Trend Analysis'!E24/'FS &amp; Trend Analysis'!E$6</f>
        <v>0</v>
      </c>
      <c r="F24" s="21">
        <f>'FS &amp; Trend Analysis'!F24/'FS &amp; Trend Analysis'!F$6</f>
        <v>0</v>
      </c>
      <c r="G24" s="21">
        <f>'FS &amp; Trend Analysis'!G24/'FS &amp; Trend Analysis'!G$6</f>
        <v>2.3153737508254908E-2</v>
      </c>
      <c r="H24" s="21">
        <f>'FS &amp; Trend Analysis'!H24/'FS &amp; Trend Analysis'!H$6</f>
        <v>0</v>
      </c>
      <c r="I24" s="21">
        <f>'FS &amp; Trend Analysis'!I24/'FS &amp; Trend Analysis'!I$6</f>
        <v>0</v>
      </c>
    </row>
    <row r="25" spans="1:9" x14ac:dyDescent="0.3">
      <c r="A25" s="7" t="s">
        <v>19</v>
      </c>
      <c r="B25" s="21">
        <f>'FS &amp; Trend Analysis'!B25/'FS &amp; Trend Analysis'!B$6</f>
        <v>0.11304163841004529</v>
      </c>
      <c r="C25" s="21">
        <f>'FS &amp; Trend Analysis'!C25/'FS &amp; Trend Analysis'!C$6</f>
        <v>0.1409665217022319</v>
      </c>
      <c r="D25" s="21">
        <f>'FS &amp; Trend Analysis'!D25/'FS &amp; Trend Analysis'!D$6</f>
        <v>0.15645117458686283</v>
      </c>
      <c r="E25" s="21">
        <f>'FS &amp; Trend Analysis'!E25/'FS &amp; Trend Analysis'!E$6</f>
        <v>0.15993110769663946</v>
      </c>
      <c r="F25" s="21">
        <f>'FS &amp; Trend Analysis'!F25/'FS &amp; Trend Analysis'!F$6</f>
        <v>0.15024918882275345</v>
      </c>
      <c r="G25" s="21">
        <f>'FS &amp; Trend Analysis'!G25/'FS &amp; Trend Analysis'!G$6</f>
        <v>0.15761509359665193</v>
      </c>
      <c r="H25" s="21">
        <f>'FS &amp; Trend Analysis'!H25/'FS &amp; Trend Analysis'!H$6</f>
        <v>0.12433529430195042</v>
      </c>
      <c r="I25" s="21">
        <f>'FS &amp; Trend Analysis'!I25/'FS &amp; Trend Analysis'!I$6</f>
        <v>0.10348485750871024</v>
      </c>
    </row>
    <row r="26" spans="1:9" x14ac:dyDescent="0.3">
      <c r="A26" s="8" t="s">
        <v>20</v>
      </c>
      <c r="B26" s="21">
        <f>'FS &amp; Trend Analysis'!B26/'FS &amp; Trend Analysis'!B$6</f>
        <v>3.224843859380469E-2</v>
      </c>
      <c r="C26" s="21">
        <f>'FS &amp; Trend Analysis'!C26/'FS &amp; Trend Analysis'!C$6</f>
        <v>4.0886319421455208E-2</v>
      </c>
      <c r="D26" s="21">
        <f>'FS &amp; Trend Analysis'!D26/'FS &amp; Trend Analysis'!D$6</f>
        <v>4.3219555081613986E-2</v>
      </c>
      <c r="E26" s="21">
        <f>'FS &amp; Trend Analysis'!E26/'FS &amp; Trend Analysis'!E$6</f>
        <v>4.7428562451700768E-2</v>
      </c>
      <c r="F26" s="21">
        <f>'FS &amp; Trend Analysis'!F26/'FS &amp; Trend Analysis'!F$6</f>
        <v>4.8214379803739701E-2</v>
      </c>
      <c r="G26" s="21">
        <f>'FS &amp; Trend Analysis'!G26/'FS &amp; Trend Analysis'!G$6</f>
        <v>3.2529809962769163E-2</v>
      </c>
      <c r="H26" s="21">
        <f>'FS &amp; Trend Analysis'!H26/'FS &amp; Trend Analysis'!H$6</f>
        <v>2.9499156793184836E-2</v>
      </c>
      <c r="I26" s="21">
        <f>'FS &amp; Trend Analysis'!I26/'FS &amp; Trend Analysis'!I$6</f>
        <v>2.4671012558508464E-2</v>
      </c>
    </row>
    <row r="27" spans="1:9" x14ac:dyDescent="0.3">
      <c r="A27" s="89" t="s">
        <v>21</v>
      </c>
      <c r="B27" s="92">
        <f>'FS &amp; Trend Analysis'!B27/'FS &amp; Trend Analysis'!B$6</f>
        <v>8.0793199816240585E-2</v>
      </c>
      <c r="C27" s="92">
        <f>'FS &amp; Trend Analysis'!C27/'FS &amp; Trend Analysis'!C$6</f>
        <v>0.1000802022807767</v>
      </c>
      <c r="D27" s="92">
        <f>'FS &amp; Trend Analysis'!D27/'FS &amp; Trend Analysis'!D$6</f>
        <v>0.11323161950524885</v>
      </c>
      <c r="E27" s="92">
        <f>'FS &amp; Trend Analysis'!E27/'FS &amp; Trend Analysis'!E$6</f>
        <v>0.1125025452449387</v>
      </c>
      <c r="F27" s="92">
        <f>'FS &amp; Trend Analysis'!F27/'FS &amp; Trend Analysis'!F$6</f>
        <v>0.10203480901901377</v>
      </c>
      <c r="G27" s="92">
        <f>'FS &amp; Trend Analysis'!G27/'FS &amp; Trend Analysis'!G$6</f>
        <v>0.12508528363388277</v>
      </c>
      <c r="H27" s="92">
        <f>'FS &amp; Trend Analysis'!H27/'FS &amp; Trend Analysis'!H$6</f>
        <v>9.4836137508765586E-2</v>
      </c>
      <c r="I27" s="92">
        <f>'FS &amp; Trend Analysis'!I27/'FS &amp; Trend Analysis'!I$6</f>
        <v>7.8813844950201786E-2</v>
      </c>
    </row>
    <row r="28" spans="1:9" x14ac:dyDescent="0.3">
      <c r="A28" s="8" t="s">
        <v>22</v>
      </c>
      <c r="B28" s="21">
        <f>'FS &amp; Trend Analysis'!B28/'FS &amp; Trend Analysis'!B$6</f>
        <v>-3.5548652432621633E-5</v>
      </c>
      <c r="C28" s="21">
        <f>'FS &amp; Trend Analysis'!C28/'FS &amp; Trend Analysis'!C$6</f>
        <v>-1.3313060338935616E-4</v>
      </c>
      <c r="D28" s="21">
        <f>'FS &amp; Trend Analysis'!D28/'FS &amp; Trend Analysis'!D$6</f>
        <v>-1.2254846586878373E-3</v>
      </c>
      <c r="E28" s="21">
        <f>'FS &amp; Trend Analysis'!E28/'FS &amp; Trend Analysis'!E$6</f>
        <v>5.3472801678743862E-5</v>
      </c>
      <c r="F28" s="21">
        <f>'FS &amp; Trend Analysis'!F28/'FS &amp; Trend Analysis'!F$6</f>
        <v>6.6701538285829332E-4</v>
      </c>
      <c r="G28" s="21">
        <f>'FS &amp; Trend Analysis'!G28/'FS &amp; Trend Analysis'!G$6</f>
        <v>7.2807270609243037E-4</v>
      </c>
      <c r="H28" s="21">
        <f>'FS &amp; Trend Analysis'!H28/'FS &amp; Trend Analysis'!H$6</f>
        <v>5.9110073616267097E-4</v>
      </c>
      <c r="I28" s="21">
        <f>'FS &amp; Trend Analysis'!I28/'FS &amp; Trend Analysis'!I$6</f>
        <v>4.1182649279489756E-4</v>
      </c>
    </row>
    <row r="29" spans="1:9" x14ac:dyDescent="0.3">
      <c r="A29" s="7" t="s">
        <v>23</v>
      </c>
      <c r="B29" s="21">
        <f>'FS &amp; Trend Analysis'!B29/'FS &amp; Trend Analysis'!B$6</f>
        <v>8.0828748468673203E-2</v>
      </c>
      <c r="C29" s="21">
        <f>'FS &amp; Trend Analysis'!C29/'FS &amp; Trend Analysis'!C$6</f>
        <v>0.10021333288416606</v>
      </c>
      <c r="D29" s="21">
        <f>'FS &amp; Trend Analysis'!D29/'FS &amp; Trend Analysis'!D$6</f>
        <v>0.11445710416393669</v>
      </c>
      <c r="E29" s="21">
        <f>'FS &amp; Trend Analysis'!E29/'FS &amp; Trend Analysis'!E$6</f>
        <v>0.11244907244325995</v>
      </c>
      <c r="F29" s="21">
        <f>'FS &amp; Trend Analysis'!F29/'FS &amp; Trend Analysis'!F$6</f>
        <v>0.10136779363615547</v>
      </c>
      <c r="G29" s="21">
        <f>'FS &amp; Trend Analysis'!G29/'FS &amp; Trend Analysis'!G$6</f>
        <v>0.12435721092779034</v>
      </c>
      <c r="H29" s="21">
        <f>'FS &amp; Trend Analysis'!H29/'FS &amp; Trend Analysis'!H$6</f>
        <v>9.4245036772602903E-2</v>
      </c>
      <c r="I29" s="21">
        <f>'FS &amp; Trend Analysis'!I29/'FS &amp; Trend Analysis'!I$6</f>
        <v>7.840201845740688E-2</v>
      </c>
    </row>
    <row r="30" spans="1:9" x14ac:dyDescent="0.3">
      <c r="A30" s="91" t="s">
        <v>24</v>
      </c>
      <c r="B30" s="92">
        <f>'FS &amp; Trend Analysis'!B30/'FS &amp; Trend Analysis'!B$6</f>
        <v>4.0953414858242908E-2</v>
      </c>
      <c r="C30" s="92">
        <f>'FS &amp; Trend Analysis'!C30/'FS &amp; Trend Analysis'!C$6</f>
        <v>4.5277685820845723E-2</v>
      </c>
      <c r="D30" s="92">
        <f>'FS &amp; Trend Analysis'!D30/'FS &amp; Trend Analysis'!D$6</f>
        <v>5.6072781588747102E-2</v>
      </c>
      <c r="E30" s="92">
        <f>'FS &amp; Trend Analysis'!E30/'FS &amp; Trend Analysis'!E$6</f>
        <v>5.1282531553484577E-2</v>
      </c>
      <c r="F30" s="92">
        <f>'FS &amp; Trend Analysis'!F30/'FS &amp; Trend Analysis'!F$6</f>
        <v>5.5850028096477614E-2</v>
      </c>
      <c r="G30" s="92">
        <f>'FS &amp; Trend Analysis'!G30/'FS &amp; Trend Analysis'!G$6</f>
        <v>6.6210179892067497E-2</v>
      </c>
      <c r="H30" s="92">
        <f>'FS &amp; Trend Analysis'!H30/'FS &amp; Trend Analysis'!H$6</f>
        <v>4.517107844229775E-2</v>
      </c>
      <c r="I30" s="92">
        <f>'FS &amp; Trend Analysis'!I30/'FS &amp; Trend Analysis'!I$6</f>
        <v>5.7469591841707024E-2</v>
      </c>
    </row>
    <row r="33" spans="1:9" x14ac:dyDescent="0.3">
      <c r="A33" s="55" t="s">
        <v>25</v>
      </c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22" t="s">
        <v>1</v>
      </c>
      <c r="B34" s="23">
        <v>42094</v>
      </c>
      <c r="C34" s="23">
        <v>42460</v>
      </c>
      <c r="D34" s="23">
        <v>42825</v>
      </c>
      <c r="E34" s="23">
        <v>43190</v>
      </c>
      <c r="F34" s="23">
        <v>43555</v>
      </c>
      <c r="G34" s="23">
        <v>43921</v>
      </c>
      <c r="H34" s="23">
        <v>44286</v>
      </c>
      <c r="I34" s="23">
        <v>44651</v>
      </c>
    </row>
    <row r="35" spans="1:9" x14ac:dyDescent="0.3">
      <c r="A35" s="79" t="s">
        <v>26</v>
      </c>
      <c r="B35" s="80"/>
      <c r="C35" s="80"/>
      <c r="D35" s="80"/>
      <c r="E35" s="80"/>
      <c r="F35" s="80"/>
      <c r="G35" s="80"/>
      <c r="H35" s="80"/>
      <c r="I35" s="81"/>
    </row>
    <row r="36" spans="1:9" x14ac:dyDescent="0.3">
      <c r="A36" s="8" t="s">
        <v>27</v>
      </c>
      <c r="B36" s="21">
        <f>'FS &amp; Trend Analysis'!B37/'FS &amp; Trend Analysis'!B$60</f>
        <v>3.7487035811663775E-3</v>
      </c>
      <c r="C36" s="21">
        <f>'FS &amp; Trend Analysis'!C37/'FS &amp; Trend Analysis'!C$60</f>
        <v>3.1519054270539868E-3</v>
      </c>
      <c r="D36" s="21">
        <f>'FS &amp; Trend Analysis'!D37/'FS &amp; Trend Analysis'!D$60</f>
        <v>2.6084117032392894E-3</v>
      </c>
      <c r="E36" s="21">
        <f>'FS &amp; Trend Analysis'!E37/'FS &amp; Trend Analysis'!E$60</f>
        <v>2.2958337572635775E-3</v>
      </c>
      <c r="F36" s="21">
        <f>'FS &amp; Trend Analysis'!F37/'FS &amp; Trend Analysis'!F$60</f>
        <v>2.1589506473069049E-3</v>
      </c>
      <c r="G36" s="21">
        <f>'FS &amp; Trend Analysis'!G37/'FS &amp; Trend Analysis'!G$60</f>
        <v>2.0305915349493014E-3</v>
      </c>
      <c r="H36" s="21">
        <f>'FS &amp; Trend Analysis'!H37/'FS &amp; Trend Analysis'!H$60</f>
        <v>1.7301629842973423E-3</v>
      </c>
      <c r="I36" s="21">
        <f>'FS &amp; Trend Analysis'!I37/'FS &amp; Trend Analysis'!I$60</f>
        <v>1.7777073891857918E-3</v>
      </c>
    </row>
    <row r="37" spans="1:9" x14ac:dyDescent="0.3">
      <c r="A37" s="8" t="s">
        <v>28</v>
      </c>
      <c r="B37" s="21">
        <f>'FS &amp; Trend Analysis'!B38/'FS &amp; Trend Analysis'!B$60</f>
        <v>0.61008508261883643</v>
      </c>
      <c r="C37" s="21">
        <f>'FS &amp; Trend Analysis'!C38/'FS &amp; Trend Analysis'!C$60</f>
        <v>0.62444186652146139</v>
      </c>
      <c r="D37" s="21">
        <f>'FS &amp; Trend Analysis'!D38/'FS &amp; Trend Analysis'!D$60</f>
        <v>0.6710795454545454</v>
      </c>
      <c r="E37" s="21">
        <f>'FS &amp; Trend Analysis'!E38/'FS &amp; Trend Analysis'!E$60</f>
        <v>0.68584843243529103</v>
      </c>
      <c r="F37" s="21">
        <f>'FS &amp; Trend Analysis'!F38/'FS &amp; Trend Analysis'!F$60</f>
        <v>0.70688529622207952</v>
      </c>
      <c r="G37" s="21">
        <f>'FS &amp; Trend Analysis'!G38/'FS &amp; Trend Analysis'!G$60</f>
        <v>0.73021647274814006</v>
      </c>
      <c r="H37" s="21">
        <f>'FS &amp; Trend Analysis'!H38/'FS &amp; Trend Analysis'!H$60</f>
        <v>0.6657603083465643</v>
      </c>
      <c r="I37" s="21">
        <f>'FS &amp; Trend Analysis'!I38/'FS &amp; Trend Analysis'!I$60</f>
        <v>0.70319493522445353</v>
      </c>
    </row>
    <row r="38" spans="1:9" x14ac:dyDescent="0.3">
      <c r="A38" s="89" t="s">
        <v>29</v>
      </c>
      <c r="B38" s="92">
        <f>'FS &amp; Trend Analysis'!B39/'FS &amp; Trend Analysis'!B$60</f>
        <v>0.61383378620000284</v>
      </c>
      <c r="C38" s="92">
        <f>'FS &amp; Trend Analysis'!C39/'FS &amp; Trend Analysis'!C$60</f>
        <v>0.62759377194851529</v>
      </c>
      <c r="D38" s="92">
        <f>'FS &amp; Trend Analysis'!D39/'FS &amp; Trend Analysis'!D$60</f>
        <v>0.67368795715778473</v>
      </c>
      <c r="E38" s="92">
        <f>'FS &amp; Trend Analysis'!E39/'FS &amp; Trend Analysis'!E$60</f>
        <v>0.68814426619255464</v>
      </c>
      <c r="F38" s="92">
        <f>'FS &amp; Trend Analysis'!F39/'FS &amp; Trend Analysis'!F$60</f>
        <v>0.70904424686938639</v>
      </c>
      <c r="G38" s="92">
        <f>'FS &amp; Trend Analysis'!G39/'FS &amp; Trend Analysis'!G$60</f>
        <v>0.73224706428308939</v>
      </c>
      <c r="H38" s="92">
        <f>'FS &amp; Trend Analysis'!H39/'FS &amp; Trend Analysis'!H$60</f>
        <v>0.6674904713308617</v>
      </c>
      <c r="I38" s="92">
        <f>'FS &amp; Trend Analysis'!I39/'FS &amp; Trend Analysis'!I$60</f>
        <v>0.70497264261363923</v>
      </c>
    </row>
    <row r="39" spans="1:9" x14ac:dyDescent="0.3">
      <c r="A39" s="8" t="s">
        <v>30</v>
      </c>
      <c r="B39" s="21">
        <f>'FS &amp; Trend Analysis'!B40/'FS &amp; Trend Analysis'!B$60</f>
        <v>1.7401343113376225E-3</v>
      </c>
      <c r="C39" s="21">
        <f>'FS &amp; Trend Analysis'!C40/'FS &amp; Trend Analysis'!C$60</f>
        <v>4.2314764396253072E-3</v>
      </c>
      <c r="D39" s="21">
        <f>'FS &amp; Trend Analysis'!D40/'FS &amp; Trend Analysis'!D$60</f>
        <v>4.4004702194357362E-3</v>
      </c>
      <c r="E39" s="21">
        <f>'FS &amp; Trend Analysis'!E40/'FS &amp; Trend Analysis'!E$60</f>
        <v>5.3579034680655497E-3</v>
      </c>
      <c r="F39" s="21">
        <f>'FS &amp; Trend Analysis'!F40/'FS &amp; Trend Analysis'!F$60</f>
        <v>6.2747374132366644E-3</v>
      </c>
      <c r="G39" s="21">
        <f>'FS &amp; Trend Analysis'!G40/'FS &amp; Trend Analysis'!G$60</f>
        <v>7.1464623232508576E-3</v>
      </c>
      <c r="H39" s="21">
        <f>'FS &amp; Trend Analysis'!H40/'FS &amp; Trend Analysis'!H$60</f>
        <v>6.1997506937321433E-3</v>
      </c>
      <c r="I39" s="21">
        <f>'FS &amp; Trend Analysis'!I40/'FS &amp; Trend Analysis'!I$60</f>
        <v>6.5863258000239356E-3</v>
      </c>
    </row>
    <row r="40" spans="1:9" x14ac:dyDescent="0.3">
      <c r="A40" s="8"/>
      <c r="B40" s="21"/>
      <c r="C40" s="21"/>
      <c r="D40" s="21"/>
      <c r="E40" s="21"/>
      <c r="F40" s="21"/>
      <c r="G40" s="21"/>
      <c r="H40" s="21"/>
      <c r="I40" s="21"/>
    </row>
    <row r="41" spans="1:9" x14ac:dyDescent="0.3">
      <c r="A41" s="7" t="s">
        <v>31</v>
      </c>
      <c r="B41" s="21"/>
      <c r="C41" s="21"/>
      <c r="D41" s="21"/>
      <c r="E41" s="21"/>
      <c r="F41" s="21"/>
      <c r="G41" s="21"/>
      <c r="H41" s="21"/>
      <c r="I41" s="21"/>
    </row>
    <row r="42" spans="1:9" x14ac:dyDescent="0.3">
      <c r="A42" s="8" t="s">
        <v>32</v>
      </c>
      <c r="B42" s="21">
        <f>'FS &amp; Trend Analysis'!B43/'FS &amp; Trend Analysis'!B$60</f>
        <v>1.1263005251376198E-3</v>
      </c>
      <c r="C42" s="21">
        <f>'FS &amp; Trend Analysis'!C43/'FS &amp; Trend Analysis'!C$60</f>
        <v>1.1520159094675539E-2</v>
      </c>
      <c r="D42" s="21">
        <f>'FS &amp; Trend Analysis'!D43/'FS &amp; Trend Analysis'!D$60</f>
        <v>1.3577586206896553E-2</v>
      </c>
      <c r="E42" s="21">
        <f>'FS &amp; Trend Analysis'!E43/'FS &amp; Trend Analysis'!E$60</f>
        <v>8.6010416900187559E-3</v>
      </c>
      <c r="F42" s="21">
        <f>'FS &amp; Trend Analysis'!F43/'FS &amp; Trend Analysis'!F$60</f>
        <v>6.7465181178922159E-3</v>
      </c>
      <c r="G42" s="21">
        <f>'FS &amp; Trend Analysis'!G43/'FS &amp; Trend Analysis'!G$60</f>
        <v>2.2374628127276156E-3</v>
      </c>
      <c r="H42" s="21">
        <f>'FS &amp; Trend Analysis'!H43/'FS &amp; Trend Analysis'!H$60</f>
        <v>1.9561752660298779E-3</v>
      </c>
      <c r="I42" s="21">
        <f>'FS &amp; Trend Analysis'!I43/'FS &amp; Trend Analysis'!I$60</f>
        <v>1.6091010076789312E-3</v>
      </c>
    </row>
    <row r="43" spans="1:9" x14ac:dyDescent="0.3">
      <c r="A43" s="8" t="s">
        <v>33</v>
      </c>
      <c r="B43" s="21">
        <f>'FS &amp; Trend Analysis'!B44/'FS &amp; Trend Analysis'!B$60</f>
        <v>0</v>
      </c>
      <c r="C43" s="21">
        <f>'FS &amp; Trend Analysis'!C44/'FS &amp; Trend Analysis'!C$60</f>
        <v>0</v>
      </c>
      <c r="D43" s="21">
        <f>'FS &amp; Trend Analysis'!D44/'FS &amp; Trend Analysis'!D$60</f>
        <v>0</v>
      </c>
      <c r="E43" s="21">
        <f>'FS &amp; Trend Analysis'!E44/'FS &amp; Trend Analysis'!E$60</f>
        <v>0</v>
      </c>
      <c r="F43" s="21">
        <f>'FS &amp; Trend Analysis'!F44/'FS &amp; Trend Analysis'!F$60</f>
        <v>0</v>
      </c>
      <c r="G43" s="21">
        <f>'FS &amp; Trend Analysis'!G44/'FS &amp; Trend Analysis'!G$60</f>
        <v>1.0552976582882952E-2</v>
      </c>
      <c r="H43" s="21">
        <f>'FS &amp; Trend Analysis'!H44/'FS &amp; Trend Analysis'!H$60</f>
        <v>9.1972277558669026E-3</v>
      </c>
      <c r="I43" s="21">
        <f>'FS &amp; Trend Analysis'!I44/'FS &amp; Trend Analysis'!I$60</f>
        <v>9.5874304165022503E-3</v>
      </c>
    </row>
    <row r="44" spans="1:9" x14ac:dyDescent="0.3">
      <c r="A44" s="8" t="s">
        <v>34</v>
      </c>
      <c r="B44" s="21">
        <f>'FS &amp; Trend Analysis'!B45/'FS &amp; Trend Analysis'!B$60</f>
        <v>0</v>
      </c>
      <c r="C44" s="21">
        <f>'FS &amp; Trend Analysis'!C45/'FS &amp; Trend Analysis'!C$60</f>
        <v>0</v>
      </c>
      <c r="D44" s="21">
        <f>'FS &amp; Trend Analysis'!D45/'FS &amp; Trend Analysis'!D$60</f>
        <v>0</v>
      </c>
      <c r="E44" s="21">
        <f>'FS &amp; Trend Analysis'!E45/'FS &amp; Trend Analysis'!E$60</f>
        <v>0</v>
      </c>
      <c r="F44" s="21">
        <f>'FS &amp; Trend Analysis'!F45/'FS &amp; Trend Analysis'!F$60</f>
        <v>0</v>
      </c>
      <c r="G44" s="21">
        <f>'FS &amp; Trend Analysis'!G45/'FS &amp; Trend Analysis'!G$60</f>
        <v>0</v>
      </c>
      <c r="H44" s="21">
        <f>'FS &amp; Trend Analysis'!H45/'FS &amp; Trend Analysis'!H$60</f>
        <v>0</v>
      </c>
      <c r="I44" s="21">
        <f>'FS &amp; Trend Analysis'!I45/'FS &amp; Trend Analysis'!I$60</f>
        <v>6.8972911316157442E-3</v>
      </c>
    </row>
    <row r="45" spans="1:9" x14ac:dyDescent="0.3">
      <c r="A45" s="8" t="s">
        <v>35</v>
      </c>
      <c r="B45" s="21">
        <f>'FS &amp; Trend Analysis'!B46/'FS &amp; Trend Analysis'!B$60</f>
        <v>0</v>
      </c>
      <c r="C45" s="21">
        <f>'FS &amp; Trend Analysis'!C46/'FS &amp; Trend Analysis'!C$60</f>
        <v>0</v>
      </c>
      <c r="D45" s="21">
        <f>'FS &amp; Trend Analysis'!D46/'FS &amp; Trend Analysis'!D$60</f>
        <v>0</v>
      </c>
      <c r="E45" s="21">
        <f>'FS &amp; Trend Analysis'!E46/'FS &amp; Trend Analysis'!E$60</f>
        <v>0</v>
      </c>
      <c r="F45" s="21">
        <f>'FS &amp; Trend Analysis'!F46/'FS &amp; Trend Analysis'!F$60</f>
        <v>0</v>
      </c>
      <c r="G45" s="21">
        <f>'FS &amp; Trend Analysis'!G46/'FS &amp; Trend Analysis'!G$60</f>
        <v>0</v>
      </c>
      <c r="H45" s="21">
        <f>'FS &amp; Trend Analysis'!H46/'FS &amp; Trend Analysis'!H$60</f>
        <v>0</v>
      </c>
      <c r="I45" s="21">
        <f>'FS &amp; Trend Analysis'!I46/'FS &amp; Trend Analysis'!I$60</f>
        <v>8.0579614465270885E-3</v>
      </c>
    </row>
    <row r="46" spans="1:9" x14ac:dyDescent="0.3">
      <c r="A46" s="8" t="s">
        <v>36</v>
      </c>
      <c r="B46" s="21">
        <f>'FS &amp; Trend Analysis'!B47/'FS &amp; Trend Analysis'!B$60</f>
        <v>0</v>
      </c>
      <c r="C46" s="21">
        <f>'FS &amp; Trend Analysis'!C47/'FS &amp; Trend Analysis'!C$60</f>
        <v>1.7976277847486923E-2</v>
      </c>
      <c r="D46" s="21">
        <f>'FS &amp; Trend Analysis'!D47/'FS &amp; Trend Analysis'!D$60</f>
        <v>3.0623040752351095E-2</v>
      </c>
      <c r="E46" s="21">
        <f>'FS &amp; Trend Analysis'!E47/'FS &amp; Trend Analysis'!E$60</f>
        <v>3.3448239985330579E-2</v>
      </c>
      <c r="F46" s="21">
        <f>'FS &amp; Trend Analysis'!F47/'FS &amp; Trend Analysis'!F$60</f>
        <v>3.3120842871625929E-2</v>
      </c>
      <c r="G46" s="21">
        <f>'FS &amp; Trend Analysis'!G47/'FS &amp; Trend Analysis'!G$60</f>
        <v>2.4020449251222549E-2</v>
      </c>
      <c r="H46" s="21">
        <f>'FS &amp; Trend Analysis'!H47/'FS &amp; Trend Analysis'!H$60</f>
        <v>1.960245218995943E-2</v>
      </c>
      <c r="I46" s="21">
        <f>'FS &amp; Trend Analysis'!I47/'FS &amp; Trend Analysis'!I$60</f>
        <v>1.6825493284883839E-2</v>
      </c>
    </row>
    <row r="47" spans="1:9" x14ac:dyDescent="0.3">
      <c r="A47" s="8" t="s">
        <v>37</v>
      </c>
      <c r="B47" s="21">
        <f>'FS &amp; Trend Analysis'!B48/'FS &amp; Trend Analysis'!B$60</f>
        <v>9.1587004369107442E-3</v>
      </c>
      <c r="C47" s="21">
        <f>'FS &amp; Trend Analysis'!C48/'FS &amp; Trend Analysis'!C$60</f>
        <v>9.4328306383516039E-3</v>
      </c>
      <c r="D47" s="21">
        <f>'FS &amp; Trend Analysis'!D48/'FS &amp; Trend Analysis'!D$60</f>
        <v>4.9386102403343787E-3</v>
      </c>
      <c r="E47" s="21">
        <f>'FS &amp; Trend Analysis'!E48/'FS &amp; Trend Analysis'!E$60</f>
        <v>6.8507127488901653E-3</v>
      </c>
      <c r="F47" s="21">
        <f>'FS &amp; Trend Analysis'!F48/'FS &amp; Trend Analysis'!F$60</f>
        <v>6.5357569783553709E-3</v>
      </c>
      <c r="G47" s="21">
        <f>'FS &amp; Trend Analysis'!G48/'FS &amp; Trend Analysis'!G$60</f>
        <v>6.2976293161506498E-3</v>
      </c>
      <c r="H47" s="21">
        <f>'FS &amp; Trend Analysis'!H48/'FS &amp; Trend Analysis'!H$60</f>
        <v>1.3924867802299007E-2</v>
      </c>
      <c r="I47" s="21">
        <f>'FS &amp; Trend Analysis'!I48/'FS &amp; Trend Analysis'!I$60</f>
        <v>0</v>
      </c>
    </row>
    <row r="48" spans="1:9" x14ac:dyDescent="0.3">
      <c r="A48" s="89" t="s">
        <v>38</v>
      </c>
      <c r="B48" s="92">
        <f>'FS &amp; Trend Analysis'!B49/'FS &amp; Trend Analysis'!B$60</f>
        <v>1.0285000962048365E-2</v>
      </c>
      <c r="C48" s="92">
        <f>'FS &amp; Trend Analysis'!C49/'FS &amp; Trend Analysis'!C$60</f>
        <v>3.8929267580514064E-2</v>
      </c>
      <c r="D48" s="92">
        <f>'FS &amp; Trend Analysis'!D49/'FS &amp; Trend Analysis'!D$60</f>
        <v>4.9139237199582027E-2</v>
      </c>
      <c r="E48" s="92">
        <f>'FS &amp; Trend Analysis'!E49/'FS &amp; Trend Analysis'!E$60</f>
        <v>4.88999944242395E-2</v>
      </c>
      <c r="F48" s="92">
        <f>'FS &amp; Trend Analysis'!F49/'FS &amp; Trend Analysis'!F$60</f>
        <v>4.6403117967873518E-2</v>
      </c>
      <c r="G48" s="92">
        <f>'FS &amp; Trend Analysis'!G49/'FS &amp; Trend Analysis'!G$60</f>
        <v>4.3108517962983768E-2</v>
      </c>
      <c r="H48" s="92">
        <f>'FS &amp; Trend Analysis'!H49/'FS &amp; Trend Analysis'!H$60</f>
        <v>4.468072301415521E-2</v>
      </c>
      <c r="I48" s="92">
        <f>'FS &amp; Trend Analysis'!I49/'FS &amp; Trend Analysis'!I$60</f>
        <v>4.2977277287207856E-2</v>
      </c>
    </row>
    <row r="49" spans="1:11" x14ac:dyDescent="0.3">
      <c r="A49" s="8"/>
      <c r="B49" s="21"/>
      <c r="C49" s="21"/>
      <c r="D49" s="21"/>
      <c r="E49" s="21"/>
      <c r="F49" s="21"/>
      <c r="G49" s="21"/>
      <c r="H49" s="21"/>
      <c r="I49" s="21"/>
    </row>
    <row r="50" spans="1:11" x14ac:dyDescent="0.3">
      <c r="A50" s="7" t="s">
        <v>39</v>
      </c>
      <c r="B50" s="21"/>
      <c r="C50" s="21"/>
      <c r="D50" s="21"/>
      <c r="E50" s="21"/>
      <c r="F50" s="21"/>
      <c r="G50" s="21"/>
      <c r="H50" s="21"/>
      <c r="I50" s="21"/>
    </row>
    <row r="51" spans="1:11" x14ac:dyDescent="0.3">
      <c r="A51" s="8" t="s">
        <v>40</v>
      </c>
      <c r="B51" s="21">
        <f>'FS &amp; Trend Analysis'!B52/'FS &amp; Trend Analysis'!B$60</f>
        <v>8.2595371843425455E-3</v>
      </c>
      <c r="C51" s="21">
        <f>'FS &amp; Trend Analysis'!C52/'FS &amp; Trend Analysis'!C$60</f>
        <v>6.6336797746158783E-3</v>
      </c>
      <c r="D51" s="21">
        <f>'FS &amp; Trend Analysis'!D52/'FS &amp; Trend Analysis'!D$60</f>
        <v>2.6175548589341693E-3</v>
      </c>
      <c r="E51" s="21">
        <f>'FS &amp; Trend Analysis'!E52/'FS &amp; Trend Analysis'!E$60</f>
        <v>4.3324233922122151E-3</v>
      </c>
      <c r="F51" s="21">
        <f>'FS &amp; Trend Analysis'!F52/'FS &amp; Trend Analysis'!F$60</f>
        <v>9.926309259007067E-3</v>
      </c>
      <c r="G51" s="21">
        <f>'FS &amp; Trend Analysis'!G52/'FS &amp; Trend Analysis'!G$60</f>
        <v>8.4314023483702157E-3</v>
      </c>
      <c r="H51" s="21">
        <f>'FS &amp; Trend Analysis'!H52/'FS &amp; Trend Analysis'!H$60</f>
        <v>1.2346678593649404E-2</v>
      </c>
      <c r="I51" s="21">
        <f>'FS &amp; Trend Analysis'!I52/'FS &amp; Trend Analysis'!I$60</f>
        <v>1.4116224516079669E-2</v>
      </c>
      <c r="K51" s="60"/>
    </row>
    <row r="52" spans="1:11" x14ac:dyDescent="0.3">
      <c r="A52" s="8" t="s">
        <v>33</v>
      </c>
      <c r="B52" s="21">
        <f>'FS &amp; Trend Analysis'!B53/'FS &amp; Trend Analysis'!B$60</f>
        <v>0</v>
      </c>
      <c r="C52" s="21">
        <f>'FS &amp; Trend Analysis'!C53/'FS &amp; Trend Analysis'!C$60</f>
        <v>0</v>
      </c>
      <c r="D52" s="21">
        <f>'FS &amp; Trend Analysis'!D53/'FS &amp; Trend Analysis'!D$60</f>
        <v>0</v>
      </c>
      <c r="E52" s="21">
        <f>'FS &amp; Trend Analysis'!E53/'FS &amp; Trend Analysis'!E$60</f>
        <v>0</v>
      </c>
      <c r="F52" s="21">
        <f>'FS &amp; Trend Analysis'!F53/'FS &amp; Trend Analysis'!F$60</f>
        <v>0</v>
      </c>
      <c r="G52" s="21">
        <f>'FS &amp; Trend Analysis'!G53/'FS &amp; Trend Analysis'!G$60</f>
        <v>1.7007157136271244E-3</v>
      </c>
      <c r="H52" s="21">
        <f>'FS &amp; Trend Analysis'!H53/'FS &amp; Trend Analysis'!H$60</f>
        <v>1.2803032894312416E-3</v>
      </c>
      <c r="I52" s="21">
        <f>'FS &amp; Trend Analysis'!I53/'FS &amp; Trend Analysis'!I$60</f>
        <v>1.6095458793979466E-3</v>
      </c>
    </row>
    <row r="53" spans="1:11" x14ac:dyDescent="0.3">
      <c r="A53" s="8" t="s">
        <v>41</v>
      </c>
      <c r="B53" s="21">
        <f>'FS &amp; Trend Analysis'!B54/'FS &amp; Trend Analysis'!B$60</f>
        <v>0.25464622431213541</v>
      </c>
      <c r="C53" s="21">
        <f>'FS &amp; Trend Analysis'!C54/'FS &amp; Trend Analysis'!C$60</f>
        <v>0.22030982425404647</v>
      </c>
      <c r="D53" s="21">
        <f>'FS &amp; Trend Analysis'!D54/'FS &amp; Trend Analysis'!D$60</f>
        <v>0.2133098223615465</v>
      </c>
      <c r="E53" s="21">
        <f>'FS &amp; Trend Analysis'!E54/'FS &amp; Trend Analysis'!E$60</f>
        <v>0.19401692157089293</v>
      </c>
      <c r="F53" s="21">
        <f>'FS &amp; Trend Analysis'!F54/'FS &amp; Trend Analysis'!F$60</f>
        <v>0.18580702061568191</v>
      </c>
      <c r="G53" s="21">
        <f>'FS &amp; Trend Analysis'!G54/'FS &amp; Trend Analysis'!G$60</f>
        <v>0.15897168201597331</v>
      </c>
      <c r="H53" s="21">
        <f>'FS &amp; Trend Analysis'!H54/'FS &amp; Trend Analysis'!H$60</f>
        <v>0.22792515962658619</v>
      </c>
      <c r="I53" s="21">
        <f>'FS &amp; Trend Analysis'!I54/'FS &amp; Trend Analysis'!I$60</f>
        <v>0.19321179141388686</v>
      </c>
    </row>
    <row r="54" spans="1:11" x14ac:dyDescent="0.3">
      <c r="A54" s="8" t="s">
        <v>42</v>
      </c>
      <c r="B54" s="21">
        <f>'FS &amp; Trend Analysis'!B55/'FS &amp; Trend Analysis'!B$60</f>
        <v>0</v>
      </c>
      <c r="C54" s="21">
        <f>'FS &amp; Trend Analysis'!C55/'FS &amp; Trend Analysis'!C$60</f>
        <v>0</v>
      </c>
      <c r="D54" s="21">
        <f>'FS &amp; Trend Analysis'!D55/'FS &amp; Trend Analysis'!D$60</f>
        <v>2.3418234064785787E-2</v>
      </c>
      <c r="E54" s="21">
        <f>'FS &amp; Trend Analysis'!E55/'FS &amp; Trend Analysis'!E$60</f>
        <v>1.1645866780711089E-2</v>
      </c>
      <c r="F54" s="21">
        <f>'FS &amp; Trend Analysis'!F55/'FS &amp; Trend Analysis'!F$60</f>
        <v>1.2096608583058263E-2</v>
      </c>
      <c r="G54" s="21">
        <f>'FS &amp; Trend Analysis'!G55/'FS &amp; Trend Analysis'!G$60</f>
        <v>1.3148779078248679E-2</v>
      </c>
      <c r="H54" s="21">
        <f>'FS &amp; Trend Analysis'!H55/'FS &amp; Trend Analysis'!H$60</f>
        <v>7.2531757539912615E-3</v>
      </c>
      <c r="I54" s="21">
        <f>'FS &amp; Trend Analysis'!I55/'FS &amp; Trend Analysis'!I$60</f>
        <v>6.4764424854271167E-3</v>
      </c>
    </row>
    <row r="55" spans="1:11" x14ac:dyDescent="0.3">
      <c r="A55" s="8" t="s">
        <v>43</v>
      </c>
      <c r="B55" s="21">
        <f>'FS &amp; Trend Analysis'!B56/'FS &amp; Trend Analysis'!B$60</f>
        <v>0</v>
      </c>
      <c r="C55" s="21">
        <f>'FS &amp; Trend Analysis'!C56/'FS &amp; Trend Analysis'!C$60</f>
        <v>0</v>
      </c>
      <c r="D55" s="21">
        <f>'FS &amp; Trend Analysis'!D56/'FS &amp; Trend Analysis'!D$60</f>
        <v>8.2484326018808778E-4</v>
      </c>
      <c r="E55" s="21">
        <f>'FS &amp; Trend Analysis'!E56/'FS &amp; Trend Analysis'!E$60</f>
        <v>1.6612317372287781E-4</v>
      </c>
      <c r="F55" s="21">
        <f>'FS &amp; Trend Analysis'!F56/'FS &amp; Trend Analysis'!F$60</f>
        <v>1.5617940852858463E-4</v>
      </c>
      <c r="G55" s="21">
        <f>'FS &amp; Trend Analysis'!G56/'FS &amp; Trend Analysis'!G$60</f>
        <v>1.1538029497709422E-4</v>
      </c>
      <c r="H55" s="21">
        <f>'FS &amp; Trend Analysis'!H56/'FS &amp; Trend Analysis'!H$60</f>
        <v>5.0614627843933763E-4</v>
      </c>
      <c r="I55" s="21">
        <f>'FS &amp; Trend Analysis'!I56/'FS &amp; Trend Analysis'!I$60</f>
        <v>0</v>
      </c>
    </row>
    <row r="56" spans="1:11" x14ac:dyDescent="0.3">
      <c r="A56" s="8" t="s">
        <v>44</v>
      </c>
      <c r="B56" s="21">
        <f>'FS &amp; Trend Analysis'!B57/'FS &amp; Trend Analysis'!B$60</f>
        <v>0.11123531703013322</v>
      </c>
      <c r="C56" s="21">
        <f>'FS &amp; Trend Analysis'!C57/'FS &amp; Trend Analysis'!C$60</f>
        <v>0.10230198000268316</v>
      </c>
      <c r="D56" s="21">
        <f>'FS &amp; Trend Analysis'!D57/'FS &amp; Trend Analysis'!D$60</f>
        <v>3.2601880877742948E-2</v>
      </c>
      <c r="E56" s="21">
        <f>'FS &amp; Trend Analysis'!E57/'FS &amp; Trend Analysis'!E$60</f>
        <v>4.7436500997601272E-2</v>
      </c>
      <c r="F56" s="21">
        <f>'FS &amp; Trend Analysis'!F57/'FS &amp; Trend Analysis'!F$60</f>
        <v>3.0291779883227517E-2</v>
      </c>
      <c r="G56" s="21">
        <f>'FS &amp; Trend Analysis'!G57/'FS &amp; Trend Analysis'!G$60</f>
        <v>3.5129995979479592E-2</v>
      </c>
      <c r="H56" s="21">
        <f>'FS &amp; Trend Analysis'!H57/'FS &amp; Trend Analysis'!H$60</f>
        <v>3.2317591419153642E-2</v>
      </c>
      <c r="I56" s="21">
        <f>'FS &amp; Trend Analysis'!I57/'FS &amp; Trend Analysis'!I$60</f>
        <v>2.207987315817548E-2</v>
      </c>
    </row>
    <row r="57" spans="1:11" x14ac:dyDescent="0.3">
      <c r="A57" s="8" t="s">
        <v>35</v>
      </c>
      <c r="B57" s="21">
        <f>'FS &amp; Trend Analysis'!B58/'FS &amp; Trend Analysis'!B$60</f>
        <v>0</v>
      </c>
      <c r="C57" s="21">
        <f>'FS &amp; Trend Analysis'!C58/'FS &amp; Trend Analysis'!C$60</f>
        <v>0</v>
      </c>
      <c r="D57" s="21">
        <f>'FS &amp; Trend Analysis'!D58/'FS &amp; Trend Analysis'!D$60</f>
        <v>0</v>
      </c>
      <c r="E57" s="21">
        <f>'FS &amp; Trend Analysis'!E58/'FS &amp; Trend Analysis'!E$60</f>
        <v>0</v>
      </c>
      <c r="F57" s="21">
        <f>'FS &amp; Trend Analysis'!F58/'FS &amp; Trend Analysis'!F$60</f>
        <v>0</v>
      </c>
      <c r="G57" s="21">
        <f>'FS &amp; Trend Analysis'!G58/'FS &amp; Trend Analysis'!G$60</f>
        <v>0</v>
      </c>
      <c r="H57" s="21">
        <f>'FS &amp; Trend Analysis'!H58/'FS &amp; Trend Analysis'!H$60</f>
        <v>0</v>
      </c>
      <c r="I57" s="21">
        <f>'FS &amp; Trend Analysis'!I58/'FS &amp; Trend Analysis'!I$60</f>
        <v>7.9698768461620266E-3</v>
      </c>
    </row>
    <row r="58" spans="1:11" x14ac:dyDescent="0.3">
      <c r="A58" s="89" t="s">
        <v>45</v>
      </c>
      <c r="B58" s="92">
        <f>'FS &amp; Trend Analysis'!B59/'FS &amp; Trend Analysis'!B$60</f>
        <v>0.37414107852661116</v>
      </c>
      <c r="C58" s="92">
        <f>'FS &amp; Trend Analysis'!C59/'FS &amp; Trend Analysis'!C$60</f>
        <v>0.32924548403134546</v>
      </c>
      <c r="D58" s="92">
        <f>'FS &amp; Trend Analysis'!D59/'FS &amp; Trend Analysis'!D$60</f>
        <v>0.27277233542319745</v>
      </c>
      <c r="E58" s="92">
        <f>'FS &amp; Trend Analysis'!E59/'FS &amp; Trend Analysis'!E$60</f>
        <v>0.25759783591514035</v>
      </c>
      <c r="F58" s="92">
        <f>'FS &amp; Trend Analysis'!F59/'FS &amp; Trend Analysis'!F$60</f>
        <v>0.23827789774950331</v>
      </c>
      <c r="G58" s="92">
        <f>'FS &amp; Trend Analysis'!G59/'FS &amp; Trend Analysis'!G$60</f>
        <v>0.21749795543067599</v>
      </c>
      <c r="H58" s="92">
        <f>'FS &amp; Trend Analysis'!H59/'FS &amp; Trend Analysis'!H$60</f>
        <v>0.28162905496125107</v>
      </c>
      <c r="I58" s="92">
        <f>'FS &amp; Trend Analysis'!I59/'FS &amp; Trend Analysis'!I$60</f>
        <v>0.24546375429912903</v>
      </c>
    </row>
    <row r="59" spans="1:11" x14ac:dyDescent="0.3">
      <c r="A59" s="7" t="s">
        <v>46</v>
      </c>
      <c r="B59" s="21">
        <f>'FS &amp; Trend Analysis'!B60/'FS &amp; Trend Analysis'!B$60</f>
        <v>1</v>
      </c>
      <c r="C59" s="21">
        <f>'FS &amp; Trend Analysis'!C60/'FS &amp; Trend Analysis'!C$60</f>
        <v>1</v>
      </c>
      <c r="D59" s="21">
        <f>'FS &amp; Trend Analysis'!D60/'FS &amp; Trend Analysis'!D$60</f>
        <v>1</v>
      </c>
      <c r="E59" s="21">
        <f>'FS &amp; Trend Analysis'!E60/'FS &amp; Trend Analysis'!E$60</f>
        <v>1</v>
      </c>
      <c r="F59" s="21">
        <f>'FS &amp; Trend Analysis'!F60/'FS &amp; Trend Analysis'!F$60</f>
        <v>1</v>
      </c>
      <c r="G59" s="21">
        <f>'FS &amp; Trend Analysis'!G60/'FS &amp; Trend Analysis'!G$60</f>
        <v>1</v>
      </c>
      <c r="H59" s="21">
        <f>'FS &amp; Trend Analysis'!H60/'FS &amp; Trend Analysis'!H$60</f>
        <v>1</v>
      </c>
      <c r="I59" s="21">
        <f>'FS &amp; Trend Analysis'!I60/'FS &amp; Trend Analysis'!I$60</f>
        <v>1</v>
      </c>
    </row>
    <row r="60" spans="1:11" x14ac:dyDescent="0.3">
      <c r="A60" s="79" t="s">
        <v>47</v>
      </c>
      <c r="B60" s="80"/>
      <c r="C60" s="80"/>
      <c r="D60" s="80"/>
      <c r="E60" s="80"/>
      <c r="F60" s="80"/>
      <c r="G60" s="80"/>
      <c r="H60" s="80"/>
      <c r="I60" s="81"/>
    </row>
    <row r="61" spans="1:11" x14ac:dyDescent="0.3">
      <c r="A61" s="7" t="s">
        <v>48</v>
      </c>
      <c r="B61" s="21"/>
      <c r="C61" s="21"/>
      <c r="D61" s="21"/>
      <c r="E61" s="21"/>
      <c r="F61" s="21"/>
      <c r="G61" s="21"/>
      <c r="H61" s="21"/>
      <c r="I61" s="21"/>
    </row>
    <row r="62" spans="1:11" x14ac:dyDescent="0.3">
      <c r="A62" s="8" t="s">
        <v>49</v>
      </c>
      <c r="B62" s="21">
        <f>'FS &amp; Trend Analysis'!B63/'FS &amp; Trend Analysis'!B$85</f>
        <v>0.26757709292448628</v>
      </c>
      <c r="C62" s="21">
        <f>'FS &amp; Trend Analysis'!C63/'FS &amp; Trend Analysis'!C$85</f>
        <v>0.30832642818248535</v>
      </c>
      <c r="D62" s="21">
        <f>'FS &amp; Trend Analysis'!D63/'FS &amp; Trend Analysis'!D$85</f>
        <v>0.29356256530825492</v>
      </c>
      <c r="E62" s="21">
        <f>'FS &amp; Trend Analysis'!E63/'FS &amp; Trend Analysis'!E$85</f>
        <v>0.27426935981647127</v>
      </c>
      <c r="F62" s="21">
        <f>'FS &amp; Trend Analysis'!F63/'FS &amp; Trend Analysis'!F$85</f>
        <v>0.25899329562686374</v>
      </c>
      <c r="G62" s="21">
        <f>'FS &amp; Trend Analysis'!G63/'FS &amp; Trend Analysis'!G$85</f>
        <v>0.29410458120299343</v>
      </c>
      <c r="H62" s="21">
        <f>'FS &amp; Trend Analysis'!H63/'FS &amp; Trend Analysis'!H$85</f>
        <v>0.24032890344447164</v>
      </c>
      <c r="I62" s="21">
        <f>'FS &amp; Trend Analysis'!I63/'FS &amp; Trend Analysis'!I$85</f>
        <v>0.23819944399932558</v>
      </c>
    </row>
    <row r="63" spans="1:11" x14ac:dyDescent="0.3">
      <c r="A63" s="8" t="s">
        <v>50</v>
      </c>
      <c r="B63" s="21">
        <f>'FS &amp; Trend Analysis'!B64/'FS &amp; Trend Analysis'!B$85</f>
        <v>9.5191166049547853E-3</v>
      </c>
      <c r="C63" s="21">
        <f>'FS &amp; Trend Analysis'!C64/'FS &amp; Trend Analysis'!C$85</f>
        <v>1.0185689370802654E-2</v>
      </c>
      <c r="D63" s="21">
        <f>'FS &amp; Trend Analysis'!D64/'FS &amp; Trend Analysis'!D$85</f>
        <v>2.5241640543364682E-2</v>
      </c>
      <c r="E63" s="21">
        <f>'FS &amp; Trend Analysis'!E64/'FS &amp; Trend Analysis'!E$85</f>
        <v>1.3739363662021541E-2</v>
      </c>
      <c r="F63" s="21">
        <f>'FS &amp; Trend Analysis'!F64/'FS &amp; Trend Analysis'!F$85</f>
        <v>2.079782364569609E-2</v>
      </c>
      <c r="G63" s="21">
        <f>'FS &amp; Trend Analysis'!G64/'FS &amp; Trend Analysis'!G$85</f>
        <v>3.4903266173937401E-2</v>
      </c>
      <c r="H63" s="21">
        <f>'FS &amp; Trend Analysis'!H64/'FS &amp; Trend Analysis'!H$85</f>
        <v>3.5924617706681719E-2</v>
      </c>
      <c r="I63" s="21">
        <f>'FS &amp; Trend Analysis'!I64/'FS &amp; Trend Analysis'!I$85</f>
        <v>0</v>
      </c>
    </row>
    <row r="64" spans="1:11" x14ac:dyDescent="0.3">
      <c r="A64" s="8" t="s">
        <v>51</v>
      </c>
      <c r="B64" s="21">
        <f>'FS &amp; Trend Analysis'!B65/'FS &amp; Trend Analysis'!B$85</f>
        <v>2.95766517901139E-2</v>
      </c>
      <c r="C64" s="21">
        <f>'FS &amp; Trend Analysis'!C65/'FS &amp; Trend Analysis'!C$85</f>
        <v>2.6103837685551263E-2</v>
      </c>
      <c r="D64" s="21">
        <f>'FS &amp; Trend Analysis'!D65/'FS &amp; Trend Analysis'!D$85</f>
        <v>6.7803030303030297E-3</v>
      </c>
      <c r="E64" s="21">
        <f>'FS &amp; Trend Analysis'!E65/'FS &amp; Trend Analysis'!E$85</f>
        <v>1.0896875447282335E-2</v>
      </c>
      <c r="F64" s="21">
        <f>'FS &amp; Trend Analysis'!F65/'FS &amp; Trend Analysis'!F$85</f>
        <v>8.6390544056151163E-3</v>
      </c>
      <c r="G64" s="21">
        <f>'FS &amp; Trend Analysis'!G65/'FS &amp; Trend Analysis'!G$85</f>
        <v>1.0401497604209395E-2</v>
      </c>
      <c r="H64" s="21">
        <f>'FS &amp; Trend Analysis'!H65/'FS &amp; Trend Analysis'!H$85</f>
        <v>1.0235476577471385E-2</v>
      </c>
      <c r="I64" s="21">
        <f>'FS &amp; Trend Analysis'!I65/'FS &amp; Trend Analysis'!I$85</f>
        <v>6.634371945677604E-3</v>
      </c>
    </row>
    <row r="65" spans="1:9" x14ac:dyDescent="0.3">
      <c r="A65" s="8" t="s">
        <v>52</v>
      </c>
      <c r="B65" s="21">
        <f>'FS &amp; Trend Analysis'!B66/'FS &amp; Trend Analysis'!B$85</f>
        <v>0</v>
      </c>
      <c r="C65" s="21">
        <f>'FS &amp; Trend Analysis'!C66/'FS &amp; Trend Analysis'!C$85</f>
        <v>0</v>
      </c>
      <c r="D65" s="21">
        <f>'FS &amp; Trend Analysis'!D66/'FS &amp; Trend Analysis'!D$85</f>
        <v>0</v>
      </c>
      <c r="E65" s="21">
        <f>'FS &amp; Trend Analysis'!E66/'FS &amp; Trend Analysis'!E$85</f>
        <v>0</v>
      </c>
      <c r="F65" s="21">
        <f>'FS &amp; Trend Analysis'!F66/'FS &amp; Trend Analysis'!F$85</f>
        <v>0</v>
      </c>
      <c r="G65" s="21">
        <f>'FS &amp; Trend Analysis'!G66/'FS &amp; Trend Analysis'!G$85</f>
        <v>0</v>
      </c>
      <c r="H65" s="21">
        <f>'FS &amp; Trend Analysis'!H66/'FS &amp; Trend Analysis'!H$85</f>
        <v>0</v>
      </c>
      <c r="I65" s="21">
        <f>'FS &amp; Trend Analysis'!I66/'FS &amp; Trend Analysis'!I$85</f>
        <v>2.3039906327810843E-2</v>
      </c>
    </row>
    <row r="66" spans="1:9" x14ac:dyDescent="0.3">
      <c r="A66" s="8" t="s">
        <v>53</v>
      </c>
      <c r="B66" s="21">
        <f>'FS &amp; Trend Analysis'!B67/'FS &amp; Trend Analysis'!B$85</f>
        <v>0</v>
      </c>
      <c r="C66" s="21">
        <f>'FS &amp; Trend Analysis'!C67/'FS &amp; Trend Analysis'!C$85</f>
        <v>0</v>
      </c>
      <c r="D66" s="21">
        <f>'FS &amp; Trend Analysis'!D67/'FS &amp; Trend Analysis'!D$85</f>
        <v>0</v>
      </c>
      <c r="E66" s="21">
        <f>'FS &amp; Trend Analysis'!E67/'FS &amp; Trend Analysis'!E$85</f>
        <v>0</v>
      </c>
      <c r="F66" s="21">
        <f>'FS &amp; Trend Analysis'!F67/'FS &amp; Trend Analysis'!F$85</f>
        <v>0</v>
      </c>
      <c r="G66" s="21">
        <f>'FS &amp; Trend Analysis'!G67/'FS &amp; Trend Analysis'!G$85</f>
        <v>0</v>
      </c>
      <c r="H66" s="21">
        <f>'FS &amp; Trend Analysis'!H67/'FS &amp; Trend Analysis'!H$85</f>
        <v>0</v>
      </c>
      <c r="I66" s="21">
        <f>'FS &amp; Trend Analysis'!I67/'FS &amp; Trend Analysis'!I$85</f>
        <v>1.4293728331966836E-2</v>
      </c>
    </row>
    <row r="67" spans="1:9" x14ac:dyDescent="0.3">
      <c r="A67" s="8" t="s">
        <v>54</v>
      </c>
      <c r="B67" s="21">
        <f>'FS &amp; Trend Analysis'!B68/'FS &amp; Trend Analysis'!B$85</f>
        <v>3.7926293016467459E-2</v>
      </c>
      <c r="C67" s="21">
        <f>'FS &amp; Trend Analysis'!C68/'FS &amp; Trend Analysis'!C$85</f>
        <v>2.545751556618291E-2</v>
      </c>
      <c r="D67" s="21">
        <f>'FS &amp; Trend Analysis'!D68/'FS &amp; Trend Analysis'!D$85</f>
        <v>1.2699843260188089E-2</v>
      </c>
      <c r="E67" s="21">
        <f>'FS &amp; Trend Analysis'!E68/'FS &amp; Trend Analysis'!E$85</f>
        <v>6.6943615265627502E-3</v>
      </c>
      <c r="F67" s="21">
        <f>'FS &amp; Trend Analysis'!F68/'FS &amp; Trend Analysis'!F$85</f>
        <v>1.0158157491701946E-2</v>
      </c>
      <c r="G67" s="21">
        <f>'FS &amp; Trend Analysis'!G68/'FS &amp; Trend Analysis'!G$85</f>
        <v>9.4891301198683151E-3</v>
      </c>
      <c r="H67" s="21">
        <f>'FS &amp; Trend Analysis'!H68/'FS &amp; Trend Analysis'!H$85</f>
        <v>1.1202304800715617E-2</v>
      </c>
      <c r="I67" s="21">
        <f>'FS &amp; Trend Analysis'!I68/'FS &amp; Trend Analysis'!I$85</f>
        <v>1.6375283105240189E-2</v>
      </c>
    </row>
    <row r="68" spans="1:9" x14ac:dyDescent="0.3">
      <c r="A68" s="8" t="s">
        <v>55</v>
      </c>
      <c r="B68" s="21">
        <f>'FS &amp; Trend Analysis'!B69/'FS &amp; Trend Analysis'!B$85</f>
        <v>0</v>
      </c>
      <c r="C68" s="21">
        <f>'FS &amp; Trend Analysis'!C69/'FS &amp; Trend Analysis'!C$85</f>
        <v>0</v>
      </c>
      <c r="D68" s="21">
        <f>'FS &amp; Trend Analysis'!D69/'FS &amp; Trend Analysis'!D$85</f>
        <v>0</v>
      </c>
      <c r="E68" s="21">
        <f>'FS &amp; Trend Analysis'!E69/'FS &amp; Trend Analysis'!E$85</f>
        <v>0</v>
      </c>
      <c r="F68" s="21">
        <f>'FS &amp; Trend Analysis'!F69/'FS &amp; Trend Analysis'!F$85</f>
        <v>0</v>
      </c>
      <c r="G68" s="21">
        <f>'FS &amp; Trend Analysis'!G69/'FS &amp; Trend Analysis'!G$85</f>
        <v>0</v>
      </c>
      <c r="H68" s="21">
        <f>'FS &amp; Trend Analysis'!H69/'FS &amp; Trend Analysis'!H$85</f>
        <v>0</v>
      </c>
      <c r="I68" s="21">
        <f>'FS &amp; Trend Analysis'!I69/'FS &amp; Trend Analysis'!I$85</f>
        <v>9.7983440984874826E-2</v>
      </c>
    </row>
    <row r="69" spans="1:9" x14ac:dyDescent="0.3">
      <c r="A69" s="91" t="s">
        <v>56</v>
      </c>
      <c r="B69" s="92">
        <f>'FS &amp; Trend Analysis'!B70/'FS &amp; Trend Analysis'!B$85</f>
        <v>7.7071806351396391E-2</v>
      </c>
      <c r="C69" s="92">
        <f>'FS &amp; Trend Analysis'!C70/'FS &amp; Trend Analysis'!C$85</f>
        <v>7.4596147320406883E-2</v>
      </c>
      <c r="D69" s="92">
        <f>'FS &amp; Trend Analysis'!D70/'FS &amp; Trend Analysis'!D$85</f>
        <v>6.6965125391849525E-2</v>
      </c>
      <c r="E69" s="92">
        <f>'FS &amp; Trend Analysis'!E70/'FS &amp; Trend Analysis'!E$85</f>
        <v>6.6657929392477791E-2</v>
      </c>
      <c r="F69" s="92">
        <f>'FS &amp; Trend Analysis'!F70/'FS &amp; Trend Analysis'!F$85</f>
        <v>9.2188643312866067E-2</v>
      </c>
      <c r="G69" s="92">
        <f>'FS &amp; Trend Analysis'!G70/'FS &amp; Trend Analysis'!G$85</f>
        <v>0.10665499649539066</v>
      </c>
      <c r="H69" s="92">
        <f>'FS &amp; Trend Analysis'!H70/'FS &amp; Trend Analysis'!H$85</f>
        <v>0.10424642386130321</v>
      </c>
      <c r="I69" s="92">
        <f>'FS &amp; Trend Analysis'!I70/'FS &amp; Trend Analysis'!I$85</f>
        <v>0.10921823137689132</v>
      </c>
    </row>
    <row r="70" spans="1:9" x14ac:dyDescent="0.3">
      <c r="A70" s="8" t="s">
        <v>57</v>
      </c>
      <c r="B70" s="21">
        <f>'FS &amp; Trend Analysis'!B71/'FS &amp; Trend Analysis'!B$85</f>
        <v>6.7747915170798784E-2</v>
      </c>
      <c r="C70" s="21">
        <f>'FS &amp; Trend Analysis'!C71/'FS &amp; Trend Analysis'!C$85</f>
        <v>6.9161201732995572E-2</v>
      </c>
      <c r="D70" s="21">
        <f>'FS &amp; Trend Analysis'!D71/'FS &amp; Trend Analysis'!D$85</f>
        <v>3.56230407523511E-2</v>
      </c>
      <c r="E70" s="21">
        <f>'FS &amp; Trend Analysis'!E71/'FS &amp; Trend Analysis'!E$85</f>
        <v>5.5432256521771625E-2</v>
      </c>
      <c r="F70" s="21">
        <f>'FS &amp; Trend Analysis'!F71/'FS &amp; Trend Analysis'!F$85</f>
        <v>7.1766947645795512E-2</v>
      </c>
      <c r="G70" s="21">
        <f>'FS &amp; Trend Analysis'!G71/'FS &amp; Trend Analysis'!G$85</f>
        <v>8.2283856584980566E-2</v>
      </c>
      <c r="H70" s="21">
        <f>'FS &amp; Trend Analysis'!H71/'FS &amp; Trend Analysis'!H$85</f>
        <v>8.6649977009145243E-2</v>
      </c>
      <c r="I70" s="21">
        <f>'FS &amp; Trend Analysis'!I71/'FS &amp; Trend Analysis'!I$85</f>
        <v>2.6443174978279136E-3</v>
      </c>
    </row>
    <row r="71" spans="1:9" x14ac:dyDescent="0.3">
      <c r="A71" s="8" t="s">
        <v>58</v>
      </c>
      <c r="B71" s="21">
        <f>'FS &amp; Trend Analysis'!B72/'FS &amp; Trend Analysis'!B$85</f>
        <v>0</v>
      </c>
      <c r="C71" s="21">
        <f>'FS &amp; Trend Analysis'!C72/'FS &amp; Trend Analysis'!C$85</f>
        <v>0</v>
      </c>
      <c r="D71" s="21">
        <f>'FS &amp; Trend Analysis'!D72/'FS &amp; Trend Analysis'!D$85</f>
        <v>0</v>
      </c>
      <c r="E71" s="21">
        <f>'FS &amp; Trend Analysis'!E72/'FS &amp; Trend Analysis'!E$85</f>
        <v>0</v>
      </c>
      <c r="F71" s="21">
        <f>'FS &amp; Trend Analysis'!F72/'FS &amp; Trend Analysis'!F$85</f>
        <v>0</v>
      </c>
      <c r="G71" s="21">
        <f>'FS &amp; Trend Analysis'!G72/'FS &amp; Trend Analysis'!G$85</f>
        <v>0</v>
      </c>
      <c r="H71" s="21">
        <f>'FS &amp; Trend Analysis'!H72/'FS &amp; Trend Analysis'!H$85</f>
        <v>0</v>
      </c>
      <c r="I71" s="21">
        <f>'FS &amp; Trend Analysis'!I72/'FS &amp; Trend Analysis'!I$85</f>
        <v>1.5929521642786694E-2</v>
      </c>
    </row>
    <row r="72" spans="1:9" x14ac:dyDescent="0.3">
      <c r="A72" s="8" t="s">
        <v>59</v>
      </c>
      <c r="B72" s="21">
        <f>'FS &amp; Trend Analysis'!B73/'FS &amp; Trend Analysis'!B$85</f>
        <v>5.6493357173361125E-3</v>
      </c>
      <c r="C72" s="21">
        <f>'FS &amp; Trend Analysis'!C73/'FS &amp; Trend Analysis'!C$85</f>
        <v>5.8145315940244802E-3</v>
      </c>
      <c r="D72" s="21">
        <f>'FS &amp; Trend Analysis'!D73/'FS &amp; Trend Analysis'!D$85</f>
        <v>6.4710684430512019E-2</v>
      </c>
      <c r="E72" s="21">
        <f>'FS &amp; Trend Analysis'!E73/'FS &amp; Trend Analysis'!E$85</f>
        <v>5.4843065334692215E-2</v>
      </c>
      <c r="F72" s="21">
        <f>'FS &amp; Trend Analysis'!F73/'FS &amp; Trend Analysis'!F$85</f>
        <v>8.2795711708712652E-2</v>
      </c>
      <c r="G72" s="21">
        <f>'FS &amp; Trend Analysis'!G73/'FS &amp; Trend Analysis'!G$85</f>
        <v>2.2537764135469551E-2</v>
      </c>
      <c r="H72" s="21">
        <f>'FS &amp; Trend Analysis'!H73/'FS &amp; Trend Analysis'!H$85</f>
        <v>1.9101460244006139E-2</v>
      </c>
      <c r="I72" s="21">
        <f>'FS &amp; Trend Analysis'!I73/'FS &amp; Trend Analysis'!I$85</f>
        <v>5.3535862666320858E-3</v>
      </c>
    </row>
    <row r="73" spans="1:9" x14ac:dyDescent="0.3">
      <c r="A73" s="89" t="s">
        <v>60</v>
      </c>
      <c r="B73" s="92">
        <f>'FS &amp; Trend Analysis'!B74/'FS &amp; Trend Analysis'!B$85</f>
        <v>0.49506821157555375</v>
      </c>
      <c r="C73" s="92">
        <f>'FS &amp; Trend Analysis'!C74/'FS &amp; Trend Analysis'!C$85</f>
        <v>0.51964535145244917</v>
      </c>
      <c r="D73" s="92">
        <f>'FS &amp; Trend Analysis'!D74/'FS &amp; Trend Analysis'!D$85</f>
        <v>0.50558320271682344</v>
      </c>
      <c r="E73" s="92">
        <f>'FS &amp; Trend Analysis'!E74/'FS &amp; Trend Analysis'!E$85</f>
        <v>0.4825332117012795</v>
      </c>
      <c r="F73" s="92">
        <f>'FS &amp; Trend Analysis'!F74/'FS &amp; Trend Analysis'!F$85</f>
        <v>0.54533963383725115</v>
      </c>
      <c r="G73" s="92">
        <f>'FS &amp; Trend Analysis'!G74/'FS &amp; Trend Analysis'!G$85</f>
        <v>0.56037509231684923</v>
      </c>
      <c r="H73" s="92">
        <f>'FS &amp; Trend Analysis'!H74/'FS &amp; Trend Analysis'!H$85</f>
        <v>0.50768916364379502</v>
      </c>
      <c r="I73" s="92">
        <f>'FS &amp; Trend Analysis'!I74/'FS &amp; Trend Analysis'!I$85</f>
        <v>0.52967183147903385</v>
      </c>
    </row>
    <row r="74" spans="1:9" x14ac:dyDescent="0.3">
      <c r="A74" s="8"/>
      <c r="B74" s="21"/>
      <c r="C74" s="21"/>
      <c r="D74" s="21"/>
      <c r="E74" s="21"/>
      <c r="F74" s="21"/>
      <c r="G74" s="21"/>
      <c r="H74" s="21"/>
      <c r="I74" s="21"/>
    </row>
    <row r="75" spans="1:9" x14ac:dyDescent="0.3">
      <c r="A75" s="7" t="s">
        <v>61</v>
      </c>
      <c r="B75" s="21"/>
      <c r="C75" s="21"/>
      <c r="D75" s="21"/>
      <c r="E75" s="21"/>
      <c r="F75" s="21"/>
      <c r="G75" s="21"/>
      <c r="H75" s="21"/>
      <c r="I75" s="21"/>
    </row>
    <row r="76" spans="1:9" x14ac:dyDescent="0.3">
      <c r="A76" s="8" t="s">
        <v>62</v>
      </c>
      <c r="B76" s="21">
        <f>'FS &amp; Trend Analysis'!B77/'FS &amp; Trend Analysis'!B$85</f>
        <v>0.21562554261874259</v>
      </c>
      <c r="C76" s="21">
        <f>'FS &amp; Trend Analysis'!C77/'FS &amp; Trend Analysis'!C$85</f>
        <v>0.25640995288714219</v>
      </c>
      <c r="D76" s="21">
        <f>'FS &amp; Trend Analysis'!D77/'FS &amp; Trend Analysis'!D$85</f>
        <v>0.29676462904911183</v>
      </c>
      <c r="E76" s="21">
        <f>'FS &amp; Trend Analysis'!E77/'FS &amp; Trend Analysis'!E$85</f>
        <v>0.32138913462472546</v>
      </c>
      <c r="F76" s="21">
        <f>'FS &amp; Trend Analysis'!F77/'FS &amp; Trend Analysis'!F$85</f>
        <v>0.17152084321840175</v>
      </c>
      <c r="G76" s="21">
        <f>'FS &amp; Trend Analysis'!G77/'FS &amp; Trend Analysis'!G$85</f>
        <v>0.23935643274987564</v>
      </c>
      <c r="H76" s="21">
        <f>'FS &amp; Trend Analysis'!H77/'FS &amp; Trend Analysis'!H$85</f>
        <v>0.26954027815903436</v>
      </c>
      <c r="I76" s="21">
        <f>'FS &amp; Trend Analysis'!I77/'FS &amp; Trend Analysis'!I$85</f>
        <v>0.26115349008536648</v>
      </c>
    </row>
    <row r="77" spans="1:9" x14ac:dyDescent="0.3">
      <c r="A77" s="8" t="s">
        <v>63</v>
      </c>
      <c r="B77" s="21">
        <f>'FS &amp; Trend Analysis'!B78/'FS &amp; Trend Analysis'!B$85</f>
        <v>8.0848667445691205E-2</v>
      </c>
      <c r="C77" s="21">
        <f>'FS &amp; Trend Analysis'!C78/'FS &amp; Trend Analysis'!C$85</f>
        <v>6.0133210224358212E-2</v>
      </c>
      <c r="D77" s="21">
        <f>'FS &amp; Trend Analysis'!D78/'FS &amp; Trend Analysis'!D$85</f>
        <v>4.6276123301985377E-2</v>
      </c>
      <c r="E77" s="21">
        <f>'FS &amp; Trend Analysis'!E78/'FS &amp; Trend Analysis'!E$85</f>
        <v>5.5336836290498272E-2</v>
      </c>
      <c r="F77" s="21">
        <f>'FS &amp; Trend Analysis'!F78/'FS &amp; Trend Analysis'!F$85</f>
        <v>6.7526320852297345E-2</v>
      </c>
      <c r="G77" s="21">
        <f>'FS &amp; Trend Analysis'!G78/'FS &amp; Trend Analysis'!G$85</f>
        <v>6.5178109889707736E-2</v>
      </c>
      <c r="H77" s="21">
        <f>'FS &amp; Trend Analysis'!H78/'FS &amp; Trend Analysis'!H$85</f>
        <v>7.7470521048105867E-2</v>
      </c>
      <c r="I77" s="21">
        <f>'FS &amp; Trend Analysis'!I78/'FS &amp; Trend Analysis'!I$85</f>
        <v>6.5503356779555835E-2</v>
      </c>
    </row>
    <row r="78" spans="1:9" x14ac:dyDescent="0.3">
      <c r="A78" s="8" t="s">
        <v>64</v>
      </c>
      <c r="B78" s="21">
        <f>'FS &amp; Trend Analysis'!B79/'FS &amp; Trend Analysis'!B$85</f>
        <v>0.12875679886619082</v>
      </c>
      <c r="C78" s="21">
        <f>'FS &amp; Trend Analysis'!C79/'FS &amp; Trend Analysis'!C$85</f>
        <v>0.1011766377044911</v>
      </c>
      <c r="D78" s="21">
        <f>'FS &amp; Trend Analysis'!D79/'FS &amp; Trend Analysis'!D$85</f>
        <v>0.10134208463949844</v>
      </c>
      <c r="E78" s="21">
        <f>'FS &amp; Trend Analysis'!E79/'FS &amp; Trend Analysis'!E$85</f>
        <v>8.2025185192849459E-2</v>
      </c>
      <c r="F78" s="21">
        <f>'FS &amp; Trend Analysis'!F79/'FS &amp; Trend Analysis'!F$85</f>
        <v>0.14834952232827542</v>
      </c>
      <c r="G78" s="21">
        <f>'FS &amp; Trend Analysis'!G79/'FS &amp; Trend Analysis'!G$85</f>
        <v>7.6847772883015197E-2</v>
      </c>
      <c r="H78" s="21">
        <f>'FS &amp; Trend Analysis'!H79/'FS &amp; Trend Analysis'!H$85</f>
        <v>9.8487452881736923E-2</v>
      </c>
      <c r="I78" s="21">
        <f>'FS &amp; Trend Analysis'!I79/'FS &amp; Trend Analysis'!I$85</f>
        <v>9.6025115677768724E-2</v>
      </c>
    </row>
    <row r="79" spans="1:9" x14ac:dyDescent="0.3">
      <c r="A79" s="8" t="s">
        <v>65</v>
      </c>
      <c r="B79" s="21">
        <f>'FS &amp; Trend Analysis'!B80/'FS &amp; Trend Analysis'!B$85</f>
        <v>2.0252760609516304E-2</v>
      </c>
      <c r="C79" s="21">
        <f>'FS &amp; Trend Analysis'!C80/'FS &amp; Trend Analysis'!C$85</f>
        <v>1.4133068175540772E-2</v>
      </c>
      <c r="D79" s="21">
        <f>'FS &amp; Trend Analysis'!D80/'FS &amp; Trend Analysis'!D$85</f>
        <v>1.2760579937304074E-2</v>
      </c>
      <c r="E79" s="21">
        <f>'FS &amp; Trend Analysis'!E80/'FS &amp; Trend Analysis'!E$85</f>
        <v>1.3656014664824941E-2</v>
      </c>
      <c r="F79" s="21">
        <f>'FS &amp; Trend Analysis'!F80/'FS &amp; Trend Analysis'!F$85</f>
        <v>1.6422093411599656E-2</v>
      </c>
      <c r="G79" s="21">
        <f>'FS &amp; Trend Analysis'!G80/'FS &amp; Trend Analysis'!G$85</f>
        <v>2.2132154524046606E-2</v>
      </c>
      <c r="H79" s="21">
        <f>'FS &amp; Trend Analysis'!H80/'FS &amp; Trend Analysis'!H$85</f>
        <v>1.7156113532391125E-2</v>
      </c>
      <c r="I79" s="21">
        <f>'FS &amp; Trend Analysis'!I80/'FS &amp; Trend Analysis'!I$85</f>
        <v>1.3334584905769498E-2</v>
      </c>
    </row>
    <row r="80" spans="1:9" x14ac:dyDescent="0.3">
      <c r="A80" s="8" t="s">
        <v>66</v>
      </c>
      <c r="B80" s="21">
        <f>'FS &amp; Trend Analysis'!B81/'FS &amp; Trend Analysis'!B$85</f>
        <v>0</v>
      </c>
      <c r="C80" s="21">
        <f>'FS &amp; Trend Analysis'!C81/'FS &amp; Trend Analysis'!C$85</f>
        <v>0</v>
      </c>
      <c r="D80" s="21">
        <f>'FS &amp; Trend Analysis'!D81/'FS &amp; Trend Analysis'!D$85</f>
        <v>0</v>
      </c>
      <c r="E80" s="21">
        <f>'FS &amp; Trend Analysis'!E81/'FS &amp; Trend Analysis'!E$85</f>
        <v>0</v>
      </c>
      <c r="F80" s="21">
        <f>'FS &amp; Trend Analysis'!F81/'FS &amp; Trend Analysis'!F$85</f>
        <v>0</v>
      </c>
      <c r="G80" s="21">
        <f>'FS &amp; Trend Analysis'!G81/'FS &amp; Trend Analysis'!G$85</f>
        <v>0</v>
      </c>
      <c r="H80" s="21">
        <f>'FS &amp; Trend Analysis'!H81/'FS &amp; Trend Analysis'!H$85</f>
        <v>0</v>
      </c>
      <c r="I80" s="21">
        <f>'FS &amp; Trend Analysis'!I81/'FS &amp; Trend Analysis'!I$85</f>
        <v>1.0147523910742718E-3</v>
      </c>
    </row>
    <row r="81" spans="1:9" x14ac:dyDescent="0.3">
      <c r="A81" s="8" t="s">
        <v>67</v>
      </c>
      <c r="B81" s="21">
        <f>'FS &amp; Trend Analysis'!B82/'FS &amp; Trend Analysis'!B$85</f>
        <v>0</v>
      </c>
      <c r="C81" s="21">
        <f>'FS &amp; Trend Analysis'!C82/'FS &amp; Trend Analysis'!C$85</f>
        <v>0</v>
      </c>
      <c r="D81" s="21">
        <f>'FS &amp; Trend Analysis'!D82/'FS &amp; Trend Analysis'!D$85</f>
        <v>0</v>
      </c>
      <c r="E81" s="21">
        <f>'FS &amp; Trend Analysis'!E82/'FS &amp; Trend Analysis'!E$85</f>
        <v>0</v>
      </c>
      <c r="F81" s="21">
        <f>'FS &amp; Trend Analysis'!F82/'FS &amp; Trend Analysis'!F$85</f>
        <v>0</v>
      </c>
      <c r="G81" s="21">
        <f>'FS &amp; Trend Analysis'!G82/'FS &amp; Trend Analysis'!G$85</f>
        <v>0</v>
      </c>
      <c r="H81" s="21">
        <f>'FS &amp; Trend Analysis'!H82/'FS &amp; Trend Analysis'!H$85</f>
        <v>0</v>
      </c>
      <c r="I81" s="21">
        <f>'FS &amp; Trend Analysis'!I82/'FS &amp; Trend Analysis'!I$85</f>
        <v>2.1131406653234507E-2</v>
      </c>
    </row>
    <row r="82" spans="1:9" x14ac:dyDescent="0.3">
      <c r="A82" s="8" t="s">
        <v>68</v>
      </c>
      <c r="B82" s="21">
        <f>'FS &amp; Trend Analysis'!B83/'FS &amp; Trend Analysis'!B$85</f>
        <v>5.9448018884305481E-2</v>
      </c>
      <c r="C82" s="21">
        <f>'FS &amp; Trend Analysis'!C83/'FS &amp; Trend Analysis'!C$85</f>
        <v>4.8501779556018532E-2</v>
      </c>
      <c r="D82" s="21">
        <f>'FS &amp; Trend Analysis'!D83/'FS &amp; Trend Analysis'!D$85</f>
        <v>3.7273380355276907E-2</v>
      </c>
      <c r="E82" s="21">
        <f>'FS &amp; Trend Analysis'!E83/'FS &amp; Trend Analysis'!E$85</f>
        <v>4.5059617525822382E-2</v>
      </c>
      <c r="F82" s="21">
        <f>'FS &amp; Trend Analysis'!F83/'FS &amp; Trend Analysis'!F$85</f>
        <v>5.0841586352174679E-2</v>
      </c>
      <c r="G82" s="21">
        <f>'FS &amp; Trend Analysis'!G83/'FS &amp; Trend Analysis'!G$85</f>
        <v>3.6110437636505691E-2</v>
      </c>
      <c r="H82" s="21">
        <f>'FS &amp; Trend Analysis'!H83/'FS &amp; Trend Analysis'!H$85</f>
        <v>2.9656470734936657E-2</v>
      </c>
      <c r="I82" s="21">
        <f>'FS &amp; Trend Analysis'!I83/'FS &amp; Trend Analysis'!I$85</f>
        <v>1.2165462028196858E-2</v>
      </c>
    </row>
    <row r="83" spans="1:9" x14ac:dyDescent="0.3">
      <c r="A83" s="89" t="s">
        <v>69</v>
      </c>
      <c r="B83" s="92">
        <f>'FS &amp; Trend Analysis'!B84/'FS &amp; Trend Analysis'!B$85</f>
        <v>0.50493178842444641</v>
      </c>
      <c r="C83" s="92">
        <f>'FS &amp; Trend Analysis'!C84/'FS &amp; Trend Analysis'!C$85</f>
        <v>0.48035464854755089</v>
      </c>
      <c r="D83" s="92">
        <f>'FS &amp; Trend Analysis'!D84/'FS &amp; Trend Analysis'!D$85</f>
        <v>0.49441679728317661</v>
      </c>
      <c r="E83" s="92">
        <f>'FS &amp; Trend Analysis'!E84/'FS &amp; Trend Analysis'!E$85</f>
        <v>0.5174667882987205</v>
      </c>
      <c r="F83" s="92">
        <f>'FS &amp; Trend Analysis'!F84/'FS &amp; Trend Analysis'!F$85</f>
        <v>0.45466036616274885</v>
      </c>
      <c r="G83" s="92">
        <f>'FS &amp; Trend Analysis'!G84/'FS &amp; Trend Analysis'!G$85</f>
        <v>0.43962490768315082</v>
      </c>
      <c r="H83" s="92">
        <f>'FS &amp; Trend Analysis'!H84/'FS &amp; Trend Analysis'!H$85</f>
        <v>0.49231083635620498</v>
      </c>
      <c r="I83" s="92">
        <f>'FS &amp; Trend Analysis'!I84/'FS &amp; Trend Analysis'!I$85</f>
        <v>0.47032816852096604</v>
      </c>
    </row>
    <row r="84" spans="1:9" x14ac:dyDescent="0.3">
      <c r="A84" s="7" t="s">
        <v>70</v>
      </c>
      <c r="B84" s="94">
        <f>'FS &amp; Trend Analysis'!B85/'FS &amp; Trend Analysis'!B$85</f>
        <v>1</v>
      </c>
      <c r="C84" s="94">
        <f>'FS &amp; Trend Analysis'!C85/'FS &amp; Trend Analysis'!C$85</f>
        <v>1</v>
      </c>
      <c r="D84" s="94">
        <f>'FS &amp; Trend Analysis'!D85/'FS &amp; Trend Analysis'!D$85</f>
        <v>1</v>
      </c>
      <c r="E84" s="94">
        <f>'FS &amp; Trend Analysis'!E85/'FS &amp; Trend Analysis'!E$85</f>
        <v>1</v>
      </c>
      <c r="F84" s="94">
        <f>'FS &amp; Trend Analysis'!F85/'FS &amp; Trend Analysis'!F$85</f>
        <v>1</v>
      </c>
      <c r="G84" s="94">
        <f>'FS &amp; Trend Analysis'!G85/'FS &amp; Trend Analysis'!G$85</f>
        <v>1</v>
      </c>
      <c r="H84" s="94">
        <f>'FS &amp; Trend Analysis'!H85/'FS &amp; Trend Analysis'!H$85</f>
        <v>1</v>
      </c>
      <c r="I84" s="94">
        <f>'FS &amp; Trend Analysis'!I85/'FS &amp; Trend Analysis'!I$85</f>
        <v>1</v>
      </c>
    </row>
    <row r="85" spans="1:9" x14ac:dyDescent="0.3">
      <c r="B85" s="93"/>
      <c r="C85" s="93"/>
      <c r="D85" s="93"/>
      <c r="E85" s="93"/>
      <c r="F85" s="93"/>
      <c r="G85" s="93"/>
      <c r="H85" s="93"/>
      <c r="I85" s="93"/>
    </row>
    <row r="86" spans="1:9" x14ac:dyDescent="0.3">
      <c r="B86" s="93"/>
      <c r="C86" s="93"/>
      <c r="D86" s="93"/>
      <c r="E86" s="93"/>
      <c r="F86" s="93"/>
      <c r="G86" s="93"/>
      <c r="H86" s="93"/>
      <c r="I86" s="93"/>
    </row>
    <row r="87" spans="1:9" x14ac:dyDescent="0.3">
      <c r="B87" s="93"/>
      <c r="C87" s="93"/>
      <c r="D87" s="93"/>
      <c r="E87" s="93"/>
      <c r="F87" s="93"/>
      <c r="G87" s="93"/>
      <c r="H87" s="93"/>
      <c r="I87" s="93"/>
    </row>
  </sheetData>
  <mergeCells count="2">
    <mergeCell ref="A60:I60"/>
    <mergeCell ref="A35:I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DABF-F592-4B9A-90EF-6B2EA6F4037C}">
  <dimension ref="B2:I84"/>
  <sheetViews>
    <sheetView workbookViewId="0">
      <selection activeCell="H6" sqref="H6"/>
    </sheetView>
  </sheetViews>
  <sheetFormatPr defaultRowHeight="14.4" x14ac:dyDescent="0.3"/>
  <cols>
    <col min="2" max="2" width="38.88671875" customWidth="1"/>
    <col min="3" max="3" width="16.44140625" customWidth="1"/>
    <col min="4" max="4" width="14.77734375" customWidth="1"/>
    <col min="5" max="9" width="13.88671875" bestFit="1" customWidth="1"/>
  </cols>
  <sheetData>
    <row r="2" spans="2:9" x14ac:dyDescent="0.3">
      <c r="B2" s="78" t="s">
        <v>181</v>
      </c>
      <c r="C2" s="77"/>
      <c r="D2" s="77"/>
      <c r="E2" s="77"/>
      <c r="F2" s="77"/>
      <c r="G2" s="77"/>
      <c r="H2" s="77"/>
      <c r="I2" s="77"/>
    </row>
    <row r="3" spans="2:9" x14ac:dyDescent="0.3">
      <c r="B3" s="71"/>
      <c r="C3" s="71"/>
      <c r="D3" s="71"/>
      <c r="E3" s="71"/>
      <c r="F3" s="71"/>
      <c r="G3" s="71"/>
      <c r="H3" s="71"/>
      <c r="I3" s="71"/>
    </row>
    <row r="4" spans="2:9" x14ac:dyDescent="0.3">
      <c r="B4" s="78" t="s">
        <v>179</v>
      </c>
      <c r="C4" s="77"/>
      <c r="D4" s="77"/>
      <c r="E4" s="77"/>
      <c r="F4" s="77"/>
      <c r="G4" s="77"/>
      <c r="H4" s="77"/>
      <c r="I4" s="77"/>
    </row>
    <row r="5" spans="2:9" x14ac:dyDescent="0.3">
      <c r="B5" s="76" t="s">
        <v>1</v>
      </c>
      <c r="C5" s="75">
        <v>42460</v>
      </c>
      <c r="D5" s="75">
        <v>42825</v>
      </c>
      <c r="E5" s="75">
        <v>43190</v>
      </c>
      <c r="F5" s="75">
        <v>43555</v>
      </c>
      <c r="G5" s="75">
        <v>43921</v>
      </c>
      <c r="H5" s="75">
        <v>44286</v>
      </c>
      <c r="I5" s="75">
        <v>44651</v>
      </c>
    </row>
    <row r="6" spans="2:9" x14ac:dyDescent="0.3">
      <c r="B6" s="74" t="s">
        <v>2</v>
      </c>
      <c r="C6" s="73"/>
      <c r="D6" s="73"/>
      <c r="E6" s="73"/>
      <c r="F6" s="73"/>
      <c r="G6" s="73"/>
      <c r="H6" s="73"/>
      <c r="I6" s="73"/>
    </row>
    <row r="7" spans="2:9" x14ac:dyDescent="0.3">
      <c r="B7" s="74" t="s">
        <v>3</v>
      </c>
      <c r="C7" s="73"/>
      <c r="D7" s="73"/>
      <c r="E7" s="73"/>
      <c r="F7" s="73"/>
      <c r="G7" s="73"/>
      <c r="H7" s="73"/>
      <c r="I7" s="73"/>
    </row>
    <row r="8" spans="2:9" x14ac:dyDescent="0.3">
      <c r="B8" s="72" t="s">
        <v>4</v>
      </c>
      <c r="C8" s="73"/>
      <c r="D8" s="73"/>
      <c r="E8" s="73"/>
      <c r="F8" s="73"/>
      <c r="G8" s="73"/>
      <c r="H8" s="73"/>
      <c r="I8" s="73"/>
    </row>
    <row r="9" spans="2:9" x14ac:dyDescent="0.3">
      <c r="B9" s="74"/>
      <c r="C9" s="73"/>
      <c r="D9" s="73"/>
      <c r="E9" s="73"/>
      <c r="F9" s="73"/>
      <c r="G9" s="73"/>
      <c r="H9" s="73"/>
      <c r="I9" s="73"/>
    </row>
    <row r="10" spans="2:9" x14ac:dyDescent="0.3">
      <c r="B10" s="72" t="s">
        <v>5</v>
      </c>
      <c r="C10" s="73"/>
      <c r="D10" s="73"/>
      <c r="E10" s="73"/>
      <c r="F10" s="73"/>
      <c r="G10" s="73"/>
      <c r="H10" s="73"/>
      <c r="I10" s="73"/>
    </row>
    <row r="11" spans="2:9" x14ac:dyDescent="0.3">
      <c r="B11" s="74" t="s">
        <v>6</v>
      </c>
      <c r="C11" s="73"/>
      <c r="D11" s="73"/>
      <c r="E11" s="73"/>
      <c r="F11" s="73"/>
      <c r="G11" s="73"/>
      <c r="H11" s="73"/>
      <c r="I11" s="73"/>
    </row>
    <row r="12" spans="2:9" x14ac:dyDescent="0.3">
      <c r="B12" s="74" t="s">
        <v>7</v>
      </c>
      <c r="C12" s="73"/>
      <c r="D12" s="73"/>
      <c r="E12" s="73"/>
      <c r="F12" s="73"/>
      <c r="G12" s="73"/>
      <c r="H12" s="73"/>
      <c r="I12" s="73"/>
    </row>
    <row r="13" spans="2:9" x14ac:dyDescent="0.3">
      <c r="B13" s="74" t="s">
        <v>8</v>
      </c>
      <c r="C13" s="73"/>
      <c r="D13" s="73"/>
      <c r="E13" s="73"/>
      <c r="F13" s="73"/>
      <c r="G13" s="73"/>
      <c r="H13" s="73"/>
      <c r="I13" s="73"/>
    </row>
    <row r="14" spans="2:9" x14ac:dyDescent="0.3">
      <c r="B14" s="74" t="s">
        <v>9</v>
      </c>
      <c r="C14" s="73"/>
      <c r="D14" s="73"/>
      <c r="E14" s="73"/>
      <c r="F14" s="73"/>
      <c r="G14" s="73"/>
      <c r="H14" s="73"/>
      <c r="I14" s="73"/>
    </row>
    <row r="15" spans="2:9" x14ac:dyDescent="0.3">
      <c r="B15" s="72" t="s">
        <v>10</v>
      </c>
      <c r="C15" s="73"/>
      <c r="D15" s="73"/>
      <c r="E15" s="73"/>
      <c r="F15" s="73"/>
      <c r="G15" s="73"/>
      <c r="H15" s="73"/>
      <c r="I15" s="73"/>
    </row>
    <row r="16" spans="2:9" x14ac:dyDescent="0.3">
      <c r="B16" s="74"/>
      <c r="C16" s="73"/>
      <c r="D16" s="73"/>
      <c r="E16" s="73"/>
      <c r="F16" s="73"/>
      <c r="G16" s="73"/>
      <c r="H16" s="73"/>
      <c r="I16" s="73"/>
    </row>
    <row r="17" spans="2:9" x14ac:dyDescent="0.3">
      <c r="B17" s="72" t="s">
        <v>11</v>
      </c>
      <c r="C17" s="73"/>
      <c r="D17" s="73"/>
      <c r="E17" s="73"/>
      <c r="F17" s="73"/>
      <c r="G17" s="73"/>
      <c r="H17" s="73"/>
      <c r="I17" s="73"/>
    </row>
    <row r="18" spans="2:9" x14ac:dyDescent="0.3">
      <c r="B18" s="74" t="s">
        <v>12</v>
      </c>
      <c r="C18" s="73"/>
      <c r="D18" s="73"/>
      <c r="E18" s="73"/>
      <c r="F18" s="73"/>
      <c r="G18" s="73"/>
      <c r="H18" s="73"/>
      <c r="I18" s="73"/>
    </row>
    <row r="19" spans="2:9" x14ac:dyDescent="0.3">
      <c r="B19" s="72" t="s">
        <v>13</v>
      </c>
      <c r="C19" s="73"/>
      <c r="D19" s="73"/>
      <c r="E19" s="73"/>
      <c r="F19" s="73"/>
      <c r="G19" s="73"/>
      <c r="H19" s="73"/>
      <c r="I19" s="73"/>
    </row>
    <row r="20" spans="2:9" x14ac:dyDescent="0.3">
      <c r="B20" s="74" t="s">
        <v>14</v>
      </c>
      <c r="C20" s="73"/>
      <c r="D20" s="73"/>
      <c r="E20" s="73"/>
      <c r="F20" s="73"/>
      <c r="G20" s="73"/>
      <c r="H20" s="73"/>
      <c r="I20" s="73"/>
    </row>
    <row r="21" spans="2:9" x14ac:dyDescent="0.3">
      <c r="B21" s="72" t="s">
        <v>15</v>
      </c>
      <c r="C21" s="73"/>
      <c r="D21" s="73"/>
      <c r="E21" s="73"/>
      <c r="F21" s="73"/>
      <c r="G21" s="73"/>
      <c r="H21" s="73"/>
      <c r="I21" s="73"/>
    </row>
    <row r="22" spans="2:9" x14ac:dyDescent="0.3">
      <c r="B22" s="74" t="s">
        <v>16</v>
      </c>
      <c r="C22" s="73"/>
      <c r="D22" s="73"/>
      <c r="E22" s="73"/>
      <c r="F22" s="73"/>
      <c r="G22" s="73"/>
      <c r="H22" s="73"/>
      <c r="I22" s="73"/>
    </row>
    <row r="23" spans="2:9" x14ac:dyDescent="0.3">
      <c r="B23" s="72" t="s">
        <v>17</v>
      </c>
      <c r="C23" s="73"/>
      <c r="D23" s="73"/>
      <c r="E23" s="73"/>
      <c r="F23" s="73"/>
      <c r="G23" s="73"/>
      <c r="H23" s="73"/>
      <c r="I23" s="73"/>
    </row>
    <row r="24" spans="2:9" x14ac:dyDescent="0.3">
      <c r="B24" s="74" t="s">
        <v>18</v>
      </c>
      <c r="C24" s="73"/>
      <c r="D24" s="73"/>
      <c r="E24" s="73"/>
      <c r="F24" s="73"/>
      <c r="G24" s="73"/>
      <c r="H24" s="73"/>
      <c r="I24" s="73"/>
    </row>
    <row r="25" spans="2:9" x14ac:dyDescent="0.3">
      <c r="B25" s="72" t="s">
        <v>19</v>
      </c>
      <c r="C25" s="73"/>
      <c r="D25" s="73"/>
      <c r="E25" s="73"/>
      <c r="F25" s="73"/>
      <c r="G25" s="73"/>
      <c r="H25" s="73"/>
      <c r="I25" s="73"/>
    </row>
    <row r="26" spans="2:9" x14ac:dyDescent="0.3">
      <c r="B26" s="74" t="s">
        <v>20</v>
      </c>
      <c r="C26" s="73"/>
      <c r="D26" s="73"/>
      <c r="E26" s="73"/>
      <c r="F26" s="73"/>
      <c r="G26" s="73"/>
      <c r="H26" s="73"/>
      <c r="I26" s="73"/>
    </row>
    <row r="27" spans="2:9" x14ac:dyDescent="0.3">
      <c r="B27" s="72" t="s">
        <v>21</v>
      </c>
      <c r="C27" s="73"/>
      <c r="D27" s="73"/>
      <c r="E27" s="73"/>
      <c r="F27" s="73"/>
      <c r="G27" s="73"/>
      <c r="H27" s="73"/>
      <c r="I27" s="73"/>
    </row>
    <row r="28" spans="2:9" x14ac:dyDescent="0.3">
      <c r="B28" s="74" t="s">
        <v>22</v>
      </c>
      <c r="C28" s="73"/>
      <c r="D28" s="73"/>
      <c r="E28" s="73"/>
      <c r="F28" s="73"/>
      <c r="G28" s="73"/>
      <c r="H28" s="73"/>
      <c r="I28" s="73"/>
    </row>
    <row r="29" spans="2:9" x14ac:dyDescent="0.3">
      <c r="B29" s="72" t="s">
        <v>23</v>
      </c>
      <c r="C29" s="73"/>
      <c r="D29" s="73"/>
      <c r="E29" s="73"/>
      <c r="F29" s="73"/>
      <c r="G29" s="73"/>
      <c r="H29" s="73"/>
      <c r="I29" s="73"/>
    </row>
    <row r="30" spans="2:9" x14ac:dyDescent="0.3">
      <c r="B30" s="74" t="s">
        <v>24</v>
      </c>
      <c r="C30" s="73"/>
      <c r="D30" s="73"/>
      <c r="E30" s="73"/>
      <c r="F30" s="73"/>
      <c r="G30" s="73"/>
      <c r="H30" s="73"/>
      <c r="I30" s="73"/>
    </row>
    <row r="31" spans="2:9" x14ac:dyDescent="0.3">
      <c r="B31" s="71"/>
      <c r="C31" s="71"/>
      <c r="D31" s="71"/>
      <c r="E31" s="71"/>
      <c r="F31" s="71"/>
      <c r="G31" s="71"/>
      <c r="H31" s="71"/>
      <c r="I31" s="71"/>
    </row>
    <row r="32" spans="2:9" x14ac:dyDescent="0.3">
      <c r="B32" s="78" t="s">
        <v>180</v>
      </c>
      <c r="C32" s="77"/>
      <c r="D32" s="77"/>
      <c r="E32" s="77"/>
      <c r="F32" s="77"/>
      <c r="G32" s="77"/>
      <c r="H32" s="77"/>
      <c r="I32" s="77"/>
    </row>
    <row r="33" spans="2:9" x14ac:dyDescent="0.3">
      <c r="B33" s="76" t="s">
        <v>1</v>
      </c>
      <c r="C33" s="75">
        <v>42460</v>
      </c>
      <c r="D33" s="75">
        <v>42825</v>
      </c>
      <c r="E33" s="75">
        <v>43190</v>
      </c>
      <c r="F33" s="75">
        <v>43555</v>
      </c>
      <c r="G33" s="75">
        <v>43921</v>
      </c>
      <c r="H33" s="75">
        <v>44286</v>
      </c>
      <c r="I33" s="75">
        <v>44651</v>
      </c>
    </row>
    <row r="34" spans="2:9" x14ac:dyDescent="0.3">
      <c r="B34" s="82" t="s">
        <v>26</v>
      </c>
      <c r="C34" s="83"/>
      <c r="D34" s="83"/>
      <c r="E34" s="83"/>
      <c r="F34" s="83"/>
      <c r="G34" s="83"/>
      <c r="H34" s="83"/>
      <c r="I34" s="84"/>
    </row>
    <row r="35" spans="2:9" x14ac:dyDescent="0.3">
      <c r="B35" s="74" t="s">
        <v>27</v>
      </c>
      <c r="C35" s="73"/>
      <c r="D35" s="73"/>
      <c r="E35" s="73"/>
      <c r="F35" s="73"/>
      <c r="G35" s="73"/>
      <c r="H35" s="73"/>
      <c r="I35" s="73"/>
    </row>
    <row r="36" spans="2:9" x14ac:dyDescent="0.3">
      <c r="B36" s="74" t="s">
        <v>28</v>
      </c>
      <c r="C36" s="73"/>
      <c r="D36" s="73"/>
      <c r="E36" s="73"/>
      <c r="F36" s="73"/>
      <c r="G36" s="73"/>
      <c r="H36" s="73"/>
      <c r="I36" s="73"/>
    </row>
    <row r="37" spans="2:9" x14ac:dyDescent="0.3">
      <c r="B37" s="72" t="s">
        <v>29</v>
      </c>
      <c r="C37" s="73"/>
      <c r="D37" s="73"/>
      <c r="E37" s="73"/>
      <c r="F37" s="73"/>
      <c r="G37" s="73"/>
      <c r="H37" s="73"/>
      <c r="I37" s="73"/>
    </row>
    <row r="38" spans="2:9" x14ac:dyDescent="0.3">
      <c r="B38" s="74" t="s">
        <v>30</v>
      </c>
      <c r="C38" s="73"/>
      <c r="D38" s="73"/>
      <c r="E38" s="73"/>
      <c r="F38" s="73"/>
      <c r="G38" s="73"/>
      <c r="H38" s="73"/>
      <c r="I38" s="73"/>
    </row>
    <row r="39" spans="2:9" x14ac:dyDescent="0.3">
      <c r="B39" s="74"/>
      <c r="C39" s="73"/>
      <c r="D39" s="73"/>
      <c r="E39" s="73"/>
      <c r="F39" s="73"/>
      <c r="G39" s="73"/>
      <c r="H39" s="73"/>
      <c r="I39" s="73"/>
    </row>
    <row r="40" spans="2:9" x14ac:dyDescent="0.3">
      <c r="B40" s="72" t="s">
        <v>31</v>
      </c>
      <c r="C40" s="73"/>
      <c r="D40" s="73"/>
      <c r="E40" s="73"/>
      <c r="F40" s="73"/>
      <c r="G40" s="73"/>
      <c r="H40" s="73"/>
      <c r="I40" s="73"/>
    </row>
    <row r="41" spans="2:9" x14ac:dyDescent="0.3">
      <c r="B41" s="74" t="s">
        <v>32</v>
      </c>
      <c r="C41" s="73"/>
      <c r="D41" s="73"/>
      <c r="E41" s="73"/>
      <c r="F41" s="73"/>
      <c r="G41" s="73"/>
      <c r="H41" s="73"/>
      <c r="I41" s="73"/>
    </row>
    <row r="42" spans="2:9" x14ac:dyDescent="0.3">
      <c r="B42" s="74" t="s">
        <v>33</v>
      </c>
      <c r="C42" s="73"/>
      <c r="D42" s="73"/>
      <c r="E42" s="73"/>
      <c r="F42" s="73"/>
      <c r="G42" s="73"/>
      <c r="H42" s="73"/>
      <c r="I42" s="73"/>
    </row>
    <row r="43" spans="2:9" x14ac:dyDescent="0.3">
      <c r="B43" s="74" t="s">
        <v>34</v>
      </c>
      <c r="C43" s="73"/>
      <c r="D43" s="73"/>
      <c r="E43" s="73"/>
      <c r="F43" s="73"/>
      <c r="G43" s="73"/>
      <c r="H43" s="73"/>
      <c r="I43" s="73"/>
    </row>
    <row r="44" spans="2:9" x14ac:dyDescent="0.3">
      <c r="B44" s="74" t="s">
        <v>35</v>
      </c>
      <c r="C44" s="73"/>
      <c r="D44" s="73"/>
      <c r="E44" s="73"/>
      <c r="F44" s="73"/>
      <c r="G44" s="73"/>
      <c r="H44" s="73"/>
      <c r="I44" s="73"/>
    </row>
    <row r="45" spans="2:9" x14ac:dyDescent="0.3">
      <c r="B45" s="74" t="s">
        <v>36</v>
      </c>
      <c r="C45" s="73"/>
      <c r="D45" s="73"/>
      <c r="E45" s="73"/>
      <c r="F45" s="73"/>
      <c r="G45" s="73"/>
      <c r="H45" s="73"/>
      <c r="I45" s="73"/>
    </row>
    <row r="46" spans="2:9" x14ac:dyDescent="0.3">
      <c r="B46" s="74" t="s">
        <v>37</v>
      </c>
      <c r="C46" s="73"/>
      <c r="D46" s="73"/>
      <c r="E46" s="73"/>
      <c r="F46" s="73"/>
      <c r="G46" s="73"/>
      <c r="H46" s="73"/>
      <c r="I46" s="73"/>
    </row>
    <row r="47" spans="2:9" x14ac:dyDescent="0.3">
      <c r="B47" s="72" t="s">
        <v>38</v>
      </c>
      <c r="C47" s="73"/>
      <c r="D47" s="73"/>
      <c r="E47" s="73"/>
      <c r="F47" s="73"/>
      <c r="G47" s="73"/>
      <c r="H47" s="73"/>
      <c r="I47" s="73"/>
    </row>
    <row r="48" spans="2:9" x14ac:dyDescent="0.3">
      <c r="B48" s="74"/>
      <c r="C48" s="73"/>
      <c r="D48" s="73"/>
      <c r="E48" s="73"/>
      <c r="F48" s="73"/>
      <c r="G48" s="73"/>
      <c r="H48" s="73"/>
      <c r="I48" s="73"/>
    </row>
    <row r="49" spans="2:9" x14ac:dyDescent="0.3">
      <c r="B49" s="72" t="s">
        <v>39</v>
      </c>
      <c r="C49" s="73"/>
      <c r="D49" s="73"/>
      <c r="E49" s="73"/>
      <c r="F49" s="73"/>
      <c r="G49" s="73"/>
      <c r="H49" s="73"/>
      <c r="I49" s="73"/>
    </row>
    <row r="50" spans="2:9" x14ac:dyDescent="0.3">
      <c r="B50" s="74" t="s">
        <v>40</v>
      </c>
      <c r="C50" s="73"/>
      <c r="D50" s="73"/>
      <c r="E50" s="73"/>
      <c r="F50" s="73"/>
      <c r="G50" s="73"/>
      <c r="H50" s="73"/>
      <c r="I50" s="73"/>
    </row>
    <row r="51" spans="2:9" x14ac:dyDescent="0.3">
      <c r="B51" s="74" t="s">
        <v>33</v>
      </c>
      <c r="C51" s="73"/>
      <c r="D51" s="73"/>
      <c r="E51" s="73"/>
      <c r="F51" s="73"/>
      <c r="G51" s="73"/>
      <c r="H51" s="73"/>
      <c r="I51" s="73"/>
    </row>
    <row r="52" spans="2:9" x14ac:dyDescent="0.3">
      <c r="B52" s="74" t="s">
        <v>41</v>
      </c>
      <c r="C52" s="73"/>
      <c r="D52" s="73"/>
      <c r="E52" s="73"/>
      <c r="F52" s="73"/>
      <c r="G52" s="73"/>
      <c r="H52" s="73"/>
      <c r="I52" s="73"/>
    </row>
    <row r="53" spans="2:9" x14ac:dyDescent="0.3">
      <c r="B53" s="74" t="s">
        <v>42</v>
      </c>
      <c r="C53" s="73"/>
      <c r="D53" s="73"/>
      <c r="E53" s="73"/>
      <c r="F53" s="73"/>
      <c r="G53" s="73"/>
      <c r="H53" s="73"/>
      <c r="I53" s="73"/>
    </row>
    <row r="54" spans="2:9" x14ac:dyDescent="0.3">
      <c r="B54" s="74" t="s">
        <v>43</v>
      </c>
      <c r="C54" s="73"/>
      <c r="D54" s="73"/>
      <c r="E54" s="73"/>
      <c r="F54" s="73"/>
      <c r="G54" s="73"/>
      <c r="H54" s="73"/>
      <c r="I54" s="73"/>
    </row>
    <row r="55" spans="2:9" x14ac:dyDescent="0.3">
      <c r="B55" s="74" t="s">
        <v>44</v>
      </c>
      <c r="C55" s="73"/>
      <c r="D55" s="73"/>
      <c r="E55" s="73"/>
      <c r="F55" s="73"/>
      <c r="G55" s="73"/>
      <c r="H55" s="73"/>
      <c r="I55" s="73"/>
    </row>
    <row r="56" spans="2:9" x14ac:dyDescent="0.3">
      <c r="B56" s="74" t="s">
        <v>35</v>
      </c>
      <c r="C56" s="73"/>
      <c r="D56" s="73"/>
      <c r="E56" s="73"/>
      <c r="F56" s="73"/>
      <c r="G56" s="73"/>
      <c r="H56" s="73"/>
      <c r="I56" s="73"/>
    </row>
    <row r="57" spans="2:9" x14ac:dyDescent="0.3">
      <c r="B57" s="72" t="s">
        <v>45</v>
      </c>
      <c r="C57" s="73"/>
      <c r="D57" s="73"/>
      <c r="E57" s="73"/>
      <c r="F57" s="73"/>
      <c r="G57" s="73"/>
      <c r="H57" s="73"/>
      <c r="I57" s="73"/>
    </row>
    <row r="58" spans="2:9" x14ac:dyDescent="0.3">
      <c r="B58" s="72" t="s">
        <v>46</v>
      </c>
      <c r="C58" s="73"/>
      <c r="D58" s="73"/>
      <c r="E58" s="73"/>
      <c r="F58" s="73"/>
      <c r="G58" s="73"/>
      <c r="H58" s="73"/>
      <c r="I58" s="73"/>
    </row>
    <row r="59" spans="2:9" x14ac:dyDescent="0.3">
      <c r="B59" s="82" t="s">
        <v>47</v>
      </c>
      <c r="C59" s="83"/>
      <c r="D59" s="83"/>
      <c r="E59" s="83"/>
      <c r="F59" s="83"/>
      <c r="G59" s="83"/>
      <c r="H59" s="83"/>
      <c r="I59" s="84"/>
    </row>
    <row r="60" spans="2:9" x14ac:dyDescent="0.3">
      <c r="B60" s="72" t="s">
        <v>48</v>
      </c>
      <c r="C60" s="73"/>
      <c r="D60" s="73"/>
      <c r="E60" s="73"/>
      <c r="F60" s="73"/>
      <c r="G60" s="73"/>
      <c r="H60" s="73"/>
      <c r="I60" s="73"/>
    </row>
    <row r="61" spans="2:9" x14ac:dyDescent="0.3">
      <c r="B61" s="74" t="s">
        <v>49</v>
      </c>
      <c r="C61" s="73"/>
      <c r="D61" s="73"/>
      <c r="E61" s="73"/>
      <c r="F61" s="73"/>
      <c r="G61" s="73"/>
      <c r="H61" s="73"/>
      <c r="I61" s="73"/>
    </row>
    <row r="62" spans="2:9" x14ac:dyDescent="0.3">
      <c r="B62" s="74" t="s">
        <v>50</v>
      </c>
      <c r="C62" s="73"/>
      <c r="D62" s="73"/>
      <c r="E62" s="73"/>
      <c r="F62" s="73"/>
      <c r="G62" s="73"/>
      <c r="H62" s="73"/>
      <c r="I62" s="73"/>
    </row>
    <row r="63" spans="2:9" x14ac:dyDescent="0.3">
      <c r="B63" s="74" t="s">
        <v>51</v>
      </c>
      <c r="C63" s="73"/>
      <c r="D63" s="73"/>
      <c r="E63" s="73"/>
      <c r="F63" s="73"/>
      <c r="G63" s="73"/>
      <c r="H63" s="73"/>
      <c r="I63" s="73"/>
    </row>
    <row r="64" spans="2:9" x14ac:dyDescent="0.3">
      <c r="B64" s="74" t="s">
        <v>52</v>
      </c>
      <c r="C64" s="73"/>
      <c r="D64" s="73"/>
      <c r="E64" s="73"/>
      <c r="F64" s="73"/>
      <c r="G64" s="73"/>
      <c r="H64" s="73"/>
      <c r="I64" s="73"/>
    </row>
    <row r="65" spans="2:9" x14ac:dyDescent="0.3">
      <c r="B65" s="74" t="s">
        <v>53</v>
      </c>
      <c r="C65" s="73"/>
      <c r="D65" s="73"/>
      <c r="E65" s="73"/>
      <c r="F65" s="73"/>
      <c r="G65" s="73"/>
      <c r="H65" s="73"/>
      <c r="I65" s="73"/>
    </row>
    <row r="66" spans="2:9" x14ac:dyDescent="0.3">
      <c r="B66" s="74" t="s">
        <v>54</v>
      </c>
      <c r="C66" s="73"/>
      <c r="D66" s="73"/>
      <c r="E66" s="73"/>
      <c r="F66" s="73"/>
      <c r="G66" s="73"/>
      <c r="H66" s="73"/>
      <c r="I66" s="73"/>
    </row>
    <row r="67" spans="2:9" x14ac:dyDescent="0.3">
      <c r="B67" s="74" t="s">
        <v>55</v>
      </c>
      <c r="C67" s="73"/>
      <c r="D67" s="73"/>
      <c r="E67" s="73"/>
      <c r="F67" s="73"/>
      <c r="G67" s="73"/>
      <c r="H67" s="73"/>
      <c r="I67" s="73"/>
    </row>
    <row r="68" spans="2:9" x14ac:dyDescent="0.3">
      <c r="B68" s="74" t="s">
        <v>56</v>
      </c>
      <c r="C68" s="73"/>
      <c r="D68" s="73"/>
      <c r="E68" s="73"/>
      <c r="F68" s="73"/>
      <c r="G68" s="73"/>
      <c r="H68" s="73"/>
      <c r="I68" s="73"/>
    </row>
    <row r="69" spans="2:9" x14ac:dyDescent="0.3">
      <c r="B69" s="74" t="s">
        <v>57</v>
      </c>
      <c r="C69" s="73"/>
      <c r="D69" s="73"/>
      <c r="E69" s="73"/>
      <c r="F69" s="73"/>
      <c r="G69" s="73"/>
      <c r="H69" s="73"/>
      <c r="I69" s="73"/>
    </row>
    <row r="70" spans="2:9" x14ac:dyDescent="0.3">
      <c r="B70" s="74" t="s">
        <v>58</v>
      </c>
      <c r="C70" s="73"/>
      <c r="D70" s="73"/>
      <c r="E70" s="73"/>
      <c r="F70" s="73"/>
      <c r="G70" s="73"/>
      <c r="H70" s="73"/>
      <c r="I70" s="73"/>
    </row>
    <row r="71" spans="2:9" x14ac:dyDescent="0.3">
      <c r="B71" s="74" t="s">
        <v>59</v>
      </c>
      <c r="C71" s="73"/>
      <c r="D71" s="73"/>
      <c r="E71" s="73"/>
      <c r="F71" s="73"/>
      <c r="G71" s="73"/>
      <c r="H71" s="73"/>
      <c r="I71" s="73"/>
    </row>
    <row r="72" spans="2:9" x14ac:dyDescent="0.3">
      <c r="B72" s="72" t="s">
        <v>60</v>
      </c>
      <c r="C72" s="73"/>
      <c r="D72" s="73"/>
      <c r="E72" s="73"/>
      <c r="F72" s="73"/>
      <c r="G72" s="73"/>
      <c r="H72" s="73"/>
      <c r="I72" s="73"/>
    </row>
    <row r="73" spans="2:9" x14ac:dyDescent="0.3">
      <c r="B73" s="74"/>
      <c r="C73" s="73"/>
      <c r="D73" s="73"/>
      <c r="E73" s="73"/>
      <c r="F73" s="73"/>
      <c r="G73" s="73"/>
      <c r="H73" s="73"/>
      <c r="I73" s="73"/>
    </row>
    <row r="74" spans="2:9" x14ac:dyDescent="0.3">
      <c r="B74" s="72" t="s">
        <v>61</v>
      </c>
      <c r="C74" s="73"/>
      <c r="D74" s="73"/>
      <c r="E74" s="73"/>
      <c r="F74" s="73"/>
      <c r="G74" s="73"/>
      <c r="H74" s="73"/>
      <c r="I74" s="73"/>
    </row>
    <row r="75" spans="2:9" x14ac:dyDescent="0.3">
      <c r="B75" s="74" t="s">
        <v>62</v>
      </c>
      <c r="C75" s="73"/>
      <c r="D75" s="73"/>
      <c r="E75" s="73"/>
      <c r="F75" s="73"/>
      <c r="G75" s="73"/>
      <c r="H75" s="73"/>
      <c r="I75" s="73"/>
    </row>
    <row r="76" spans="2:9" x14ac:dyDescent="0.3">
      <c r="B76" s="74" t="s">
        <v>63</v>
      </c>
      <c r="C76" s="73"/>
      <c r="D76" s="73"/>
      <c r="E76" s="73"/>
      <c r="F76" s="73"/>
      <c r="G76" s="73"/>
      <c r="H76" s="73"/>
      <c r="I76" s="73"/>
    </row>
    <row r="77" spans="2:9" x14ac:dyDescent="0.3">
      <c r="B77" s="74" t="s">
        <v>64</v>
      </c>
      <c r="C77" s="73"/>
      <c r="D77" s="73"/>
      <c r="E77" s="73"/>
      <c r="F77" s="73"/>
      <c r="G77" s="73"/>
      <c r="H77" s="73"/>
      <c r="I77" s="73"/>
    </row>
    <row r="78" spans="2:9" x14ac:dyDescent="0.3">
      <c r="B78" s="74" t="s">
        <v>65</v>
      </c>
      <c r="C78" s="73"/>
      <c r="D78" s="73"/>
      <c r="E78" s="73"/>
      <c r="F78" s="73"/>
      <c r="G78" s="73"/>
      <c r="H78" s="73"/>
      <c r="I78" s="73"/>
    </row>
    <row r="79" spans="2:9" x14ac:dyDescent="0.3">
      <c r="B79" s="74" t="s">
        <v>66</v>
      </c>
      <c r="C79" s="73"/>
      <c r="D79" s="73"/>
      <c r="E79" s="73"/>
      <c r="F79" s="73"/>
      <c r="G79" s="73"/>
      <c r="H79" s="73"/>
      <c r="I79" s="73"/>
    </row>
    <row r="80" spans="2:9" x14ac:dyDescent="0.3">
      <c r="B80" s="74" t="s">
        <v>67</v>
      </c>
      <c r="C80" s="73"/>
      <c r="D80" s="73"/>
      <c r="E80" s="73"/>
      <c r="F80" s="73"/>
      <c r="G80" s="73"/>
      <c r="H80" s="73"/>
      <c r="I80" s="73"/>
    </row>
    <row r="81" spans="2:9" x14ac:dyDescent="0.3">
      <c r="B81" s="74" t="s">
        <v>68</v>
      </c>
      <c r="C81" s="73"/>
      <c r="D81" s="73"/>
      <c r="E81" s="73"/>
      <c r="F81" s="73"/>
      <c r="G81" s="73"/>
      <c r="H81" s="73"/>
      <c r="I81" s="73"/>
    </row>
    <row r="82" spans="2:9" x14ac:dyDescent="0.3">
      <c r="B82" s="72" t="s">
        <v>69</v>
      </c>
      <c r="C82" s="73"/>
      <c r="D82" s="73"/>
      <c r="E82" s="73"/>
      <c r="F82" s="73"/>
      <c r="G82" s="73"/>
      <c r="H82" s="73"/>
      <c r="I82" s="73"/>
    </row>
    <row r="83" spans="2:9" x14ac:dyDescent="0.3">
      <c r="B83" s="72" t="s">
        <v>70</v>
      </c>
      <c r="C83" s="73"/>
      <c r="D83" s="73"/>
      <c r="E83" s="73"/>
      <c r="F83" s="73"/>
      <c r="G83" s="73"/>
      <c r="H83" s="73"/>
      <c r="I83" s="73"/>
    </row>
    <row r="84" spans="2:9" x14ac:dyDescent="0.3">
      <c r="B84" s="71"/>
      <c r="C84" s="71"/>
      <c r="D84" s="71"/>
      <c r="E84" s="71"/>
      <c r="F84" s="71"/>
      <c r="G84" s="71"/>
      <c r="H84" s="71"/>
      <c r="I84" s="71"/>
    </row>
  </sheetData>
  <mergeCells count="2">
    <mergeCell ref="B34:I34"/>
    <mergeCell ref="B59:I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5C03-A149-4230-A45F-B8A07BB7B541}">
  <dimension ref="A1:I103"/>
  <sheetViews>
    <sheetView showGridLines="0" zoomScale="99" zoomScaleNormal="99" workbookViewId="0">
      <pane xSplit="1" topLeftCell="B1" activePane="topRight" state="frozen"/>
      <selection activeCell="A19" sqref="A19"/>
      <selection pane="topRight" activeCell="B58" sqref="B58"/>
    </sheetView>
  </sheetViews>
  <sheetFormatPr defaultColWidth="8.88671875" defaultRowHeight="14.4" x14ac:dyDescent="0.3"/>
  <cols>
    <col min="1" max="1" width="69" style="1" customWidth="1"/>
    <col min="2" max="10" width="17.6640625" style="1" customWidth="1"/>
    <col min="11" max="16384" width="8.88671875" style="1"/>
  </cols>
  <sheetData>
    <row r="1" spans="1:9" x14ac:dyDescent="0.3">
      <c r="A1" s="24" t="s">
        <v>183</v>
      </c>
    </row>
    <row r="3" spans="1:9" x14ac:dyDescent="0.3">
      <c r="A3" s="24" t="s">
        <v>1</v>
      </c>
    </row>
    <row r="4" spans="1:9" x14ac:dyDescent="0.3">
      <c r="A4" s="26" t="s">
        <v>87</v>
      </c>
      <c r="B4" s="39" t="s">
        <v>86</v>
      </c>
      <c r="C4" s="39" t="s">
        <v>149</v>
      </c>
      <c r="D4" s="39" t="s">
        <v>150</v>
      </c>
      <c r="E4" s="39" t="s">
        <v>151</v>
      </c>
      <c r="F4" s="39" t="s">
        <v>152</v>
      </c>
      <c r="G4" s="39" t="s">
        <v>153</v>
      </c>
      <c r="H4" s="39" t="s">
        <v>154</v>
      </c>
      <c r="I4" s="39" t="s">
        <v>155</v>
      </c>
    </row>
    <row r="5" spans="1:9" x14ac:dyDescent="0.3">
      <c r="A5" s="31" t="s">
        <v>145</v>
      </c>
      <c r="B5" s="46">
        <v>3291.96</v>
      </c>
      <c r="C5" s="47">
        <v>4312.45</v>
      </c>
      <c r="D5" s="47">
        <v>3546.3</v>
      </c>
      <c r="E5" s="47">
        <v>3722.17</v>
      </c>
      <c r="F5" s="47">
        <v>3466.35</v>
      </c>
      <c r="G5" s="47">
        <v>3659.41</v>
      </c>
      <c r="H5" s="47">
        <v>2936.05</v>
      </c>
      <c r="I5" s="47">
        <v>2329.0500000000002</v>
      </c>
    </row>
    <row r="6" spans="1:9" x14ac:dyDescent="0.3">
      <c r="A6" s="31" t="s">
        <v>88</v>
      </c>
      <c r="B6" s="46"/>
      <c r="C6" s="46"/>
      <c r="D6" s="48"/>
      <c r="E6" s="48"/>
      <c r="F6" s="48"/>
      <c r="G6" s="48"/>
      <c r="H6" s="48"/>
      <c r="I6" s="46"/>
    </row>
    <row r="7" spans="1:9" x14ac:dyDescent="0.3">
      <c r="A7" s="31" t="s">
        <v>89</v>
      </c>
      <c r="B7" s="46">
        <v>540.45000000000005</v>
      </c>
      <c r="C7" s="47">
        <v>447.01</v>
      </c>
      <c r="D7" s="47">
        <v>502.25</v>
      </c>
      <c r="E7" s="47">
        <v>574.98</v>
      </c>
      <c r="F7" s="47">
        <v>624.44000000000005</v>
      </c>
      <c r="G7" s="47">
        <v>845.76</v>
      </c>
      <c r="H7" s="47">
        <v>715.12</v>
      </c>
      <c r="I7" s="47">
        <v>689.52</v>
      </c>
    </row>
    <row r="8" spans="1:9" x14ac:dyDescent="0.3">
      <c r="A8" s="32" t="s">
        <v>159</v>
      </c>
      <c r="B8" s="46"/>
      <c r="C8" s="47"/>
      <c r="D8" s="47">
        <v>1339.1</v>
      </c>
      <c r="E8" s="47">
        <v>1569.93</v>
      </c>
      <c r="F8" s="47">
        <v>1637.95</v>
      </c>
      <c r="G8" s="47">
        <v>951.67</v>
      </c>
      <c r="H8" s="47">
        <v>913.27</v>
      </c>
      <c r="I8" s="47">
        <v>729.06</v>
      </c>
    </row>
    <row r="9" spans="1:9" x14ac:dyDescent="0.3">
      <c r="A9" s="31" t="s">
        <v>90</v>
      </c>
      <c r="B9" s="46">
        <v>22.84</v>
      </c>
      <c r="C9" s="47">
        <v>108.99</v>
      </c>
      <c r="D9" s="47">
        <v>170.82</v>
      </c>
      <c r="E9" s="47">
        <v>9.2799999999999994</v>
      </c>
      <c r="F9" s="47">
        <v>6.47</v>
      </c>
      <c r="G9" s="47">
        <v>8.66</v>
      </c>
      <c r="H9" s="47">
        <v>4.67</v>
      </c>
      <c r="I9" s="47">
        <v>10.23</v>
      </c>
    </row>
    <row r="10" spans="1:9" x14ac:dyDescent="0.3">
      <c r="A10" s="31" t="s">
        <v>91</v>
      </c>
      <c r="B10" s="46">
        <v>0.21</v>
      </c>
      <c r="C10" s="47">
        <v>0.03</v>
      </c>
      <c r="D10" s="46"/>
      <c r="E10" s="46"/>
      <c r="F10" s="46"/>
      <c r="G10" s="46"/>
      <c r="H10" s="46"/>
      <c r="I10" s="46"/>
    </row>
    <row r="11" spans="1:9" x14ac:dyDescent="0.3">
      <c r="A11" s="31" t="s">
        <v>92</v>
      </c>
      <c r="B11" s="46"/>
      <c r="C11" s="46"/>
      <c r="D11" s="46"/>
      <c r="E11" s="46"/>
      <c r="F11" s="46"/>
      <c r="G11" s="46"/>
      <c r="H11" s="46"/>
      <c r="I11" s="46"/>
    </row>
    <row r="12" spans="1:9" x14ac:dyDescent="0.3">
      <c r="A12" s="31" t="s">
        <v>93</v>
      </c>
      <c r="B12" s="46">
        <v>144.72999999999999</v>
      </c>
      <c r="C12" s="46"/>
      <c r="D12" s="46"/>
      <c r="E12" s="46"/>
      <c r="F12" s="46"/>
      <c r="G12" s="46"/>
      <c r="H12" s="46"/>
      <c r="I12" s="46"/>
    </row>
    <row r="13" spans="1:9" x14ac:dyDescent="0.3">
      <c r="A13" s="31" t="s">
        <v>94</v>
      </c>
      <c r="B13" s="46">
        <v>0.72</v>
      </c>
      <c r="C13" s="47">
        <v>0.52</v>
      </c>
      <c r="D13" s="46"/>
      <c r="E13" s="46"/>
      <c r="F13" s="46"/>
      <c r="G13" s="46"/>
      <c r="H13" s="46"/>
      <c r="I13" s="46"/>
    </row>
    <row r="14" spans="1:9" x14ac:dyDescent="0.3">
      <c r="A14" s="31" t="s">
        <v>95</v>
      </c>
      <c r="B14" s="46">
        <v>11.7</v>
      </c>
      <c r="C14" s="47">
        <v>11.87</v>
      </c>
      <c r="D14" s="47">
        <v>27.28</v>
      </c>
      <c r="E14" s="47">
        <v>30.8</v>
      </c>
      <c r="F14" s="47">
        <v>37.18</v>
      </c>
      <c r="G14" s="47">
        <v>46.64</v>
      </c>
      <c r="H14" s="47">
        <v>46.41</v>
      </c>
      <c r="I14" s="47">
        <v>53.1</v>
      </c>
    </row>
    <row r="15" spans="1:9" x14ac:dyDescent="0.3">
      <c r="A15" s="31" t="s">
        <v>96</v>
      </c>
      <c r="B15" s="46">
        <v>0.03</v>
      </c>
      <c r="C15" s="46"/>
      <c r="D15" s="46"/>
      <c r="E15" s="46"/>
      <c r="F15" s="46"/>
      <c r="G15" s="46"/>
      <c r="H15" s="46"/>
      <c r="I15" s="46"/>
    </row>
    <row r="16" spans="1:9" x14ac:dyDescent="0.3">
      <c r="A16" s="31" t="s">
        <v>97</v>
      </c>
      <c r="B16" s="46">
        <v>3.94</v>
      </c>
      <c r="C16" s="46"/>
      <c r="D16" s="46"/>
      <c r="E16" s="46"/>
      <c r="F16" s="46"/>
      <c r="G16" s="46"/>
      <c r="H16" s="46"/>
      <c r="I16" s="46"/>
    </row>
    <row r="17" spans="1:9" x14ac:dyDescent="0.3">
      <c r="A17" s="33" t="s">
        <v>156</v>
      </c>
      <c r="B17" s="46"/>
      <c r="C17" s="47">
        <v>0.93</v>
      </c>
      <c r="D17" s="47">
        <v>3.42</v>
      </c>
      <c r="E17" s="47">
        <v>5.35</v>
      </c>
      <c r="F17" s="47">
        <v>6.55</v>
      </c>
      <c r="G17" s="47">
        <v>10.15</v>
      </c>
      <c r="H17" s="47">
        <v>8.86</v>
      </c>
      <c r="I17" s="47">
        <v>10</v>
      </c>
    </row>
    <row r="18" spans="1:9" x14ac:dyDescent="0.3">
      <c r="A18" s="31" t="s">
        <v>98</v>
      </c>
      <c r="B18" s="46">
        <v>0.7</v>
      </c>
      <c r="C18" s="47">
        <v>3.03</v>
      </c>
      <c r="D18" s="46"/>
      <c r="E18" s="46"/>
      <c r="F18" s="46"/>
      <c r="G18" s="46"/>
      <c r="H18" s="46"/>
      <c r="I18" s="46"/>
    </row>
    <row r="19" spans="1:9" x14ac:dyDescent="0.3">
      <c r="A19" s="32" t="s">
        <v>175</v>
      </c>
      <c r="B19" s="46"/>
      <c r="C19" s="47"/>
      <c r="D19" s="46"/>
      <c r="E19" s="46"/>
      <c r="F19" s="46"/>
      <c r="G19" s="46"/>
      <c r="H19" s="46"/>
      <c r="I19" s="47">
        <v>52.24</v>
      </c>
    </row>
    <row r="20" spans="1:9" x14ac:dyDescent="0.3">
      <c r="A20" s="34" t="s">
        <v>172</v>
      </c>
      <c r="B20" s="46"/>
      <c r="C20" s="47"/>
      <c r="D20" s="46"/>
      <c r="E20" s="46"/>
      <c r="F20" s="46"/>
      <c r="G20" s="47">
        <v>53.04</v>
      </c>
      <c r="H20" s="47">
        <v>46.9</v>
      </c>
      <c r="I20" s="47">
        <v>0.74</v>
      </c>
    </row>
    <row r="21" spans="1:9" x14ac:dyDescent="0.3">
      <c r="A21" s="31"/>
      <c r="B21" s="46">
        <f>SUM(B7:B18)</f>
        <v>725.32000000000028</v>
      </c>
      <c r="C21" s="46">
        <f>SUM(C7:C18)</f>
        <v>572.37999999999988</v>
      </c>
      <c r="D21" s="46">
        <f>SUM(D7:D18)</f>
        <v>2042.87</v>
      </c>
      <c r="E21" s="46">
        <f>SUM(E7:E18)</f>
        <v>2190.34</v>
      </c>
      <c r="F21" s="46">
        <f>SUM(F7:F18)</f>
        <v>2312.59</v>
      </c>
      <c r="G21" s="46">
        <f>SUM(G7:G20)</f>
        <v>1915.92</v>
      </c>
      <c r="H21" s="46">
        <f>SUM(H7:H20)</f>
        <v>1735.23</v>
      </c>
      <c r="I21" s="46">
        <f>SUM(I7:I20)</f>
        <v>1544.8899999999999</v>
      </c>
    </row>
    <row r="22" spans="1:9" x14ac:dyDescent="0.3">
      <c r="A22" s="31" t="s">
        <v>99</v>
      </c>
      <c r="B22" s="46">
        <v>50.37</v>
      </c>
      <c r="C22" s="47">
        <v>41.54</v>
      </c>
      <c r="D22" s="47">
        <v>159.30000000000001</v>
      </c>
      <c r="E22" s="47">
        <v>157.19</v>
      </c>
      <c r="F22" s="47">
        <v>288.02999999999997</v>
      </c>
      <c r="G22" s="47">
        <v>277.77</v>
      </c>
      <c r="H22" s="47">
        <v>100.42</v>
      </c>
      <c r="I22" s="47">
        <v>189.05</v>
      </c>
    </row>
    <row r="23" spans="1:9" x14ac:dyDescent="0.3">
      <c r="A23" s="31" t="s">
        <v>100</v>
      </c>
      <c r="B23" s="46">
        <v>99.64</v>
      </c>
      <c r="C23" s="47">
        <v>124.24</v>
      </c>
      <c r="D23" s="46"/>
      <c r="E23" s="46"/>
      <c r="F23" s="46"/>
      <c r="G23" s="46"/>
      <c r="H23" s="46"/>
      <c r="I23" s="46"/>
    </row>
    <row r="24" spans="1:9" x14ac:dyDescent="0.3">
      <c r="A24" s="31" t="s">
        <v>101</v>
      </c>
      <c r="B24" s="46">
        <v>0.68</v>
      </c>
      <c r="C24" s="47">
        <v>0.51</v>
      </c>
      <c r="D24" s="47">
        <v>0.76</v>
      </c>
      <c r="E24" s="47">
        <v>0.54</v>
      </c>
      <c r="F24" s="47">
        <v>0.66</v>
      </c>
      <c r="G24" s="47">
        <v>0.37</v>
      </c>
      <c r="H24" s="47">
        <v>0.89</v>
      </c>
      <c r="I24" s="47">
        <v>0.62</v>
      </c>
    </row>
    <row r="25" spans="1:9" x14ac:dyDescent="0.3">
      <c r="A25" s="32" t="s">
        <v>160</v>
      </c>
      <c r="B25" s="46"/>
      <c r="C25" s="47"/>
      <c r="D25" s="47">
        <v>137.85</v>
      </c>
      <c r="E25" s="47">
        <v>216.09</v>
      </c>
      <c r="F25" s="47">
        <v>144.61000000000001</v>
      </c>
      <c r="G25" s="47">
        <v>136.07</v>
      </c>
      <c r="H25" s="47">
        <v>169.07</v>
      </c>
      <c r="I25" s="47">
        <v>109.11</v>
      </c>
    </row>
    <row r="26" spans="1:9" x14ac:dyDescent="0.3">
      <c r="A26" s="32" t="s">
        <v>161</v>
      </c>
      <c r="B26" s="46"/>
      <c r="C26" s="47"/>
      <c r="D26" s="47">
        <v>179.6</v>
      </c>
      <c r="E26" s="47">
        <v>74.59</v>
      </c>
      <c r="F26" s="47">
        <v>175.11</v>
      </c>
      <c r="G26" s="47">
        <v>221.78</v>
      </c>
      <c r="H26" s="47">
        <v>285.77</v>
      </c>
      <c r="I26" s="47">
        <v>223.82</v>
      </c>
    </row>
    <row r="27" spans="1:9" x14ac:dyDescent="0.3">
      <c r="A27" s="32" t="s">
        <v>162</v>
      </c>
      <c r="B27" s="46"/>
      <c r="C27" s="47"/>
      <c r="D27" s="47">
        <v>317.01</v>
      </c>
      <c r="E27" s="47">
        <v>49.66</v>
      </c>
      <c r="F27" s="47">
        <v>60.19</v>
      </c>
      <c r="G27" s="47">
        <v>34.630000000000003</v>
      </c>
      <c r="H27" s="47">
        <v>-46.56</v>
      </c>
      <c r="I27" s="47">
        <v>-199.05</v>
      </c>
    </row>
    <row r="28" spans="1:9" x14ac:dyDescent="0.3">
      <c r="A28" s="32" t="s">
        <v>163</v>
      </c>
      <c r="B28" s="46"/>
      <c r="C28" s="47"/>
      <c r="D28" s="47">
        <v>21.58</v>
      </c>
      <c r="E28" s="46"/>
      <c r="F28" s="46"/>
      <c r="G28" s="46"/>
      <c r="H28" s="46"/>
      <c r="I28" s="46"/>
    </row>
    <row r="29" spans="1:9" x14ac:dyDescent="0.3">
      <c r="A29" s="31" t="s">
        <v>102</v>
      </c>
      <c r="B29" s="46">
        <v>3.64</v>
      </c>
      <c r="C29" s="47">
        <v>-1.81</v>
      </c>
      <c r="D29" s="47">
        <v>2.4300000000000002</v>
      </c>
      <c r="E29" s="47">
        <v>11.13</v>
      </c>
      <c r="F29" s="47">
        <v>-9.91</v>
      </c>
      <c r="G29" s="47">
        <v>-19.010000000000002</v>
      </c>
      <c r="H29" s="47">
        <v>6.79</v>
      </c>
      <c r="I29" s="47">
        <v>-7.53</v>
      </c>
    </row>
    <row r="30" spans="1:9" x14ac:dyDescent="0.3">
      <c r="A30" s="31" t="s">
        <v>103</v>
      </c>
      <c r="B30" s="46"/>
      <c r="C30" s="46"/>
      <c r="D30" s="47">
        <v>37.979999999999997</v>
      </c>
      <c r="E30" s="47">
        <v>70.56</v>
      </c>
      <c r="F30" s="47">
        <v>71.760000000000005</v>
      </c>
      <c r="G30" s="47">
        <v>48.27</v>
      </c>
      <c r="H30" s="47">
        <v>1.39</v>
      </c>
      <c r="I30" s="47">
        <v>1.67</v>
      </c>
    </row>
    <row r="31" spans="1:9" x14ac:dyDescent="0.3">
      <c r="A31" s="31" t="s">
        <v>104</v>
      </c>
      <c r="B31" s="46">
        <v>1.5</v>
      </c>
      <c r="C31" s="47">
        <v>7.06</v>
      </c>
      <c r="D31" s="46"/>
      <c r="E31" s="46"/>
      <c r="F31" s="46"/>
      <c r="G31" s="46"/>
      <c r="H31" s="46"/>
      <c r="I31" s="46"/>
    </row>
    <row r="32" spans="1:9" x14ac:dyDescent="0.3">
      <c r="A32" s="31" t="s">
        <v>105</v>
      </c>
      <c r="B32" s="46">
        <v>0.06</v>
      </c>
      <c r="C32" s="47">
        <v>0.12</v>
      </c>
      <c r="D32" s="46"/>
      <c r="E32" s="46"/>
      <c r="F32" s="46"/>
      <c r="G32" s="46"/>
      <c r="H32" s="46"/>
      <c r="I32" s="46"/>
    </row>
    <row r="33" spans="1:9" x14ac:dyDescent="0.3">
      <c r="A33" s="31" t="s">
        <v>106</v>
      </c>
      <c r="B33" s="46">
        <v>320.75</v>
      </c>
      <c r="C33" s="47">
        <v>205.18</v>
      </c>
      <c r="D33" s="46"/>
      <c r="E33" s="46"/>
      <c r="F33" s="46"/>
      <c r="G33" s="46"/>
      <c r="H33" s="46"/>
      <c r="I33" s="46"/>
    </row>
    <row r="34" spans="1:9" x14ac:dyDescent="0.3">
      <c r="A34" s="31"/>
      <c r="B34" s="46">
        <f t="shared" ref="B34:I34" si="0">SUM(B22:B33)</f>
        <v>476.64</v>
      </c>
      <c r="C34" s="46">
        <f t="shared" si="0"/>
        <v>376.84000000000003</v>
      </c>
      <c r="D34" s="46">
        <f t="shared" si="0"/>
        <v>856.51</v>
      </c>
      <c r="E34" s="46">
        <f t="shared" si="0"/>
        <v>579.76</v>
      </c>
      <c r="F34" s="46">
        <f t="shared" si="0"/>
        <v>730.45000000000016</v>
      </c>
      <c r="G34" s="46">
        <f t="shared" si="0"/>
        <v>699.88</v>
      </c>
      <c r="H34" s="46">
        <f t="shared" si="0"/>
        <v>517.77</v>
      </c>
      <c r="I34" s="46">
        <f t="shared" si="0"/>
        <v>317.69000000000005</v>
      </c>
    </row>
    <row r="35" spans="1:9" x14ac:dyDescent="0.3">
      <c r="A35" s="31" t="s">
        <v>107</v>
      </c>
      <c r="B35" s="46">
        <f t="shared" ref="B35:I35" si="1">B5+B21-B34</f>
        <v>3540.6400000000003</v>
      </c>
      <c r="C35" s="46">
        <f t="shared" si="1"/>
        <v>4507.99</v>
      </c>
      <c r="D35" s="46">
        <f t="shared" si="1"/>
        <v>4732.66</v>
      </c>
      <c r="E35" s="46">
        <f t="shared" si="1"/>
        <v>5332.75</v>
      </c>
      <c r="F35" s="46">
        <f t="shared" si="1"/>
        <v>5048.4900000000007</v>
      </c>
      <c r="G35" s="46">
        <f t="shared" si="1"/>
        <v>4875.45</v>
      </c>
      <c r="H35" s="46">
        <f t="shared" si="1"/>
        <v>4153.51</v>
      </c>
      <c r="I35" s="46">
        <f t="shared" si="1"/>
        <v>3556.25</v>
      </c>
    </row>
    <row r="36" spans="1:9" x14ac:dyDescent="0.3">
      <c r="A36" s="31" t="s">
        <v>108</v>
      </c>
      <c r="B36" s="46"/>
      <c r="C36" s="46"/>
      <c r="D36" s="46"/>
      <c r="E36" s="46"/>
      <c r="F36" s="46"/>
      <c r="G36" s="46"/>
      <c r="H36" s="46"/>
      <c r="I36" s="46"/>
    </row>
    <row r="37" spans="1:9" x14ac:dyDescent="0.3">
      <c r="A37" s="31" t="s">
        <v>109</v>
      </c>
      <c r="B37" s="46"/>
      <c r="C37" s="46"/>
      <c r="D37" s="46"/>
      <c r="E37" s="46"/>
      <c r="F37" s="46"/>
      <c r="G37" s="46"/>
      <c r="H37" s="46"/>
      <c r="I37" s="46"/>
    </row>
    <row r="38" spans="1:9" x14ac:dyDescent="0.3">
      <c r="A38" s="31" t="s">
        <v>110</v>
      </c>
      <c r="B38" s="46">
        <v>-191.84</v>
      </c>
      <c r="C38" s="47">
        <v>99.4</v>
      </c>
      <c r="D38" s="47">
        <v>53.41</v>
      </c>
      <c r="E38" s="47">
        <v>-254.1</v>
      </c>
      <c r="F38" s="47">
        <v>-286.86</v>
      </c>
      <c r="G38" s="47">
        <v>-32.79</v>
      </c>
      <c r="H38" s="47">
        <v>-506.95</v>
      </c>
      <c r="I38" s="47">
        <v>316.86</v>
      </c>
    </row>
    <row r="39" spans="1:9" x14ac:dyDescent="0.3">
      <c r="A39" s="31" t="s">
        <v>111</v>
      </c>
      <c r="B39" s="46">
        <v>-451.97</v>
      </c>
      <c r="C39" s="47">
        <v>86.71</v>
      </c>
      <c r="D39" s="47">
        <v>-269.68</v>
      </c>
      <c r="E39" s="47">
        <v>124.78</v>
      </c>
      <c r="F39" s="47">
        <v>-1318.14</v>
      </c>
      <c r="G39" s="47">
        <v>1180.1600000000001</v>
      </c>
      <c r="H39" s="47">
        <v>-809.67</v>
      </c>
      <c r="I39" s="47">
        <v>115.45</v>
      </c>
    </row>
    <row r="40" spans="1:9" x14ac:dyDescent="0.3">
      <c r="A40" s="31" t="s">
        <v>112</v>
      </c>
      <c r="B40" s="46">
        <v>-243.03</v>
      </c>
      <c r="C40" s="47">
        <v>38.29</v>
      </c>
      <c r="D40" s="47">
        <v>1.48</v>
      </c>
      <c r="E40" s="47">
        <v>-3.57</v>
      </c>
      <c r="F40" s="47">
        <v>3.42</v>
      </c>
      <c r="G40" s="47">
        <v>1.33</v>
      </c>
      <c r="H40" s="47">
        <v>-16.02</v>
      </c>
      <c r="I40" s="47">
        <v>0.14000000000000001</v>
      </c>
    </row>
    <row r="41" spans="1:9" x14ac:dyDescent="0.3">
      <c r="A41" s="31" t="s">
        <v>113</v>
      </c>
      <c r="B41" s="46">
        <v>-23.14</v>
      </c>
      <c r="C41" s="47">
        <v>44.21</v>
      </c>
      <c r="D41" s="47">
        <v>3.57</v>
      </c>
      <c r="E41" s="47">
        <v>2.67</v>
      </c>
      <c r="F41" s="47">
        <v>-14.28</v>
      </c>
      <c r="G41" s="47">
        <v>-7.56</v>
      </c>
      <c r="H41" s="47">
        <v>15.04</v>
      </c>
      <c r="I41" s="47">
        <v>-0.7</v>
      </c>
    </row>
    <row r="42" spans="1:9" x14ac:dyDescent="0.3">
      <c r="A42" s="32" t="s">
        <v>176</v>
      </c>
      <c r="B42" s="46"/>
      <c r="C42" s="47"/>
      <c r="D42" s="47"/>
      <c r="E42" s="47"/>
      <c r="F42" s="47"/>
      <c r="G42" s="47"/>
      <c r="H42" s="47"/>
      <c r="I42" s="47">
        <v>-66.89</v>
      </c>
    </row>
    <row r="43" spans="1:9" x14ac:dyDescent="0.3">
      <c r="A43" s="32" t="s">
        <v>164</v>
      </c>
      <c r="B43" s="46"/>
      <c r="C43" s="47"/>
      <c r="D43" s="47">
        <v>-1.87</v>
      </c>
      <c r="E43" s="47">
        <v>-398.07</v>
      </c>
      <c r="F43" s="47">
        <v>-111.04</v>
      </c>
      <c r="G43" s="47">
        <v>290.70999999999998</v>
      </c>
      <c r="H43" s="47">
        <v>1.6</v>
      </c>
      <c r="I43" s="46"/>
    </row>
    <row r="44" spans="1:9" x14ac:dyDescent="0.3">
      <c r="A44" s="32" t="s">
        <v>165</v>
      </c>
      <c r="B44" s="46"/>
      <c r="C44" s="47"/>
      <c r="D44" s="47">
        <v>-2.0099999999999998</v>
      </c>
      <c r="E44" s="46"/>
      <c r="F44" s="46"/>
      <c r="G44" s="46"/>
      <c r="H44" s="46"/>
      <c r="I44" s="46"/>
    </row>
    <row r="45" spans="1:9" x14ac:dyDescent="0.3">
      <c r="A45" s="31" t="s">
        <v>76</v>
      </c>
      <c r="B45" s="46">
        <v>-30.78</v>
      </c>
      <c r="C45" s="47">
        <v>-22.13</v>
      </c>
      <c r="D45" s="47">
        <v>38.26</v>
      </c>
      <c r="E45" s="47">
        <v>188.67</v>
      </c>
      <c r="F45" s="47">
        <v>-49.41</v>
      </c>
      <c r="G45" s="47">
        <v>-64.36</v>
      </c>
      <c r="H45" s="47">
        <v>43.19</v>
      </c>
      <c r="I45" s="47">
        <v>-46.25</v>
      </c>
    </row>
    <row r="46" spans="1:9" x14ac:dyDescent="0.3">
      <c r="A46" s="32" t="s">
        <v>166</v>
      </c>
      <c r="B46" s="46"/>
      <c r="C46" s="47"/>
      <c r="D46" s="47">
        <v>68.739999999999995</v>
      </c>
      <c r="E46" s="47">
        <v>70.39</v>
      </c>
      <c r="F46" s="47">
        <v>46.88</v>
      </c>
      <c r="G46" s="47">
        <v>42.84</v>
      </c>
      <c r="H46" s="47">
        <v>-3.57</v>
      </c>
      <c r="I46" s="47">
        <v>3.08</v>
      </c>
    </row>
    <row r="47" spans="1:9" x14ac:dyDescent="0.3">
      <c r="A47" s="31"/>
      <c r="B47" s="46">
        <f>SUM(B38:B45)</f>
        <v>-940.76</v>
      </c>
      <c r="C47" s="46">
        <f>SUM(C38:C45)</f>
        <v>246.48000000000002</v>
      </c>
      <c r="D47" s="46">
        <f t="shared" ref="D47:I47" si="2">SUM(D38:D46)</f>
        <v>-108.10000000000004</v>
      </c>
      <c r="E47" s="46">
        <f t="shared" si="2"/>
        <v>-269.23</v>
      </c>
      <c r="F47" s="46">
        <f t="shared" si="2"/>
        <v>-1729.4299999999998</v>
      </c>
      <c r="G47" s="46">
        <f t="shared" si="2"/>
        <v>1410.3300000000002</v>
      </c>
      <c r="H47" s="46">
        <f t="shared" si="2"/>
        <v>-1276.3799999999999</v>
      </c>
      <c r="I47" s="46">
        <f t="shared" si="2"/>
        <v>321.69</v>
      </c>
    </row>
    <row r="48" spans="1:9" x14ac:dyDescent="0.3">
      <c r="A48" s="31" t="s">
        <v>114</v>
      </c>
      <c r="B48" s="46"/>
      <c r="C48" s="46"/>
      <c r="D48" s="49"/>
      <c r="E48" s="49"/>
      <c r="F48" s="49"/>
      <c r="G48" s="49"/>
      <c r="H48" s="49"/>
      <c r="I48" s="46"/>
    </row>
    <row r="49" spans="1:9" x14ac:dyDescent="0.3">
      <c r="A49" s="31" t="s">
        <v>115</v>
      </c>
      <c r="B49" s="46">
        <v>564.59</v>
      </c>
      <c r="C49" s="47">
        <v>78.61</v>
      </c>
      <c r="D49" s="46">
        <v>590.86</v>
      </c>
      <c r="E49" s="47">
        <v>109.06</v>
      </c>
      <c r="F49" s="47">
        <v>62.98</v>
      </c>
      <c r="G49" s="47">
        <v>-310.63</v>
      </c>
      <c r="H49" s="47">
        <v>2136.56</v>
      </c>
      <c r="I49" s="47">
        <v>-921.09</v>
      </c>
    </row>
    <row r="50" spans="1:9" x14ac:dyDescent="0.3">
      <c r="A50" s="35" t="s">
        <v>167</v>
      </c>
      <c r="B50" s="46"/>
      <c r="C50" s="47"/>
      <c r="D50" s="46">
        <v>7.87</v>
      </c>
      <c r="E50" s="47">
        <v>-11.97</v>
      </c>
      <c r="F50" s="47">
        <v>2.0699999999999998</v>
      </c>
      <c r="G50" s="47">
        <v>5.32</v>
      </c>
      <c r="H50" s="47">
        <v>-1.23</v>
      </c>
      <c r="I50" s="47">
        <v>3.53</v>
      </c>
    </row>
    <row r="51" spans="1:9" x14ac:dyDescent="0.3">
      <c r="A51" s="31" t="s">
        <v>75</v>
      </c>
      <c r="B51" s="46">
        <v>-5.22</v>
      </c>
      <c r="C51" s="47">
        <v>28.42</v>
      </c>
      <c r="D51" s="46">
        <v>-49.67</v>
      </c>
      <c r="E51" s="47">
        <v>308.32</v>
      </c>
      <c r="F51" s="47">
        <v>-264.13</v>
      </c>
      <c r="G51" s="47">
        <v>30.64</v>
      </c>
      <c r="H51" s="47">
        <v>39.130000000000003</v>
      </c>
      <c r="I51" s="47">
        <v>-74.27</v>
      </c>
    </row>
    <row r="52" spans="1:9" x14ac:dyDescent="0.3">
      <c r="A52" s="31" t="s">
        <v>116</v>
      </c>
      <c r="B52" s="46">
        <v>6.88</v>
      </c>
      <c r="C52" s="47">
        <v>3.56</v>
      </c>
      <c r="D52" s="46"/>
      <c r="E52" s="46"/>
      <c r="F52" s="46"/>
      <c r="G52" s="46"/>
      <c r="H52" s="46"/>
      <c r="I52" s="46"/>
    </row>
    <row r="53" spans="1:9" x14ac:dyDescent="0.3">
      <c r="A53" s="31" t="s">
        <v>117</v>
      </c>
      <c r="B53" s="46">
        <v>2.99</v>
      </c>
      <c r="C53" s="47">
        <v>16.61</v>
      </c>
      <c r="D53" s="46">
        <v>12.77</v>
      </c>
      <c r="E53" s="47">
        <v>17.72</v>
      </c>
      <c r="F53" s="47">
        <v>-19.010000000000002</v>
      </c>
      <c r="G53" s="47">
        <v>56.84</v>
      </c>
      <c r="H53" s="47">
        <v>-12.03</v>
      </c>
      <c r="I53" s="47">
        <v>-3.89</v>
      </c>
    </row>
    <row r="54" spans="1:9" x14ac:dyDescent="0.3">
      <c r="A54" s="31" t="s">
        <v>118</v>
      </c>
      <c r="B54" s="46">
        <v>16.23</v>
      </c>
      <c r="C54" s="47">
        <v>18.39</v>
      </c>
      <c r="D54" s="46">
        <v>7.82</v>
      </c>
      <c r="E54" s="47">
        <v>43.56</v>
      </c>
      <c r="F54" s="47">
        <v>1.76</v>
      </c>
      <c r="G54" s="47">
        <v>2.96</v>
      </c>
      <c r="H54" s="47">
        <v>51.67</v>
      </c>
      <c r="I54" s="47">
        <v>5.56</v>
      </c>
    </row>
    <row r="55" spans="1:9" x14ac:dyDescent="0.3">
      <c r="A55" s="31"/>
      <c r="B55" s="46">
        <f t="shared" ref="B55:I55" si="3">SUM(B49:B54)</f>
        <v>585.47</v>
      </c>
      <c r="C55" s="46">
        <f t="shared" si="3"/>
        <v>145.59</v>
      </c>
      <c r="D55" s="46">
        <f t="shared" si="3"/>
        <v>569.65000000000009</v>
      </c>
      <c r="E55" s="46">
        <f t="shared" si="3"/>
        <v>466.69</v>
      </c>
      <c r="F55" s="46">
        <f t="shared" si="3"/>
        <v>-216.32999999999998</v>
      </c>
      <c r="G55" s="46">
        <f t="shared" si="3"/>
        <v>-214.87</v>
      </c>
      <c r="H55" s="46">
        <f t="shared" si="3"/>
        <v>2214.1</v>
      </c>
      <c r="I55" s="46">
        <f t="shared" si="3"/>
        <v>-990.16000000000008</v>
      </c>
    </row>
    <row r="56" spans="1:9" x14ac:dyDescent="0.3">
      <c r="A56" s="31" t="s">
        <v>119</v>
      </c>
      <c r="B56" s="46">
        <f t="shared" ref="B56:I56" si="4">B35+B47+B55</f>
        <v>3185.3500000000004</v>
      </c>
      <c r="C56" s="46">
        <f t="shared" si="4"/>
        <v>4900.0599999999995</v>
      </c>
      <c r="D56" s="46">
        <f t="shared" si="4"/>
        <v>5194.2099999999991</v>
      </c>
      <c r="E56" s="46">
        <f t="shared" si="4"/>
        <v>5530.21</v>
      </c>
      <c r="F56" s="46">
        <f t="shared" si="4"/>
        <v>3102.7300000000009</v>
      </c>
      <c r="G56" s="46">
        <f t="shared" si="4"/>
        <v>6070.91</v>
      </c>
      <c r="H56" s="46">
        <f t="shared" si="4"/>
        <v>5091.2299999999996</v>
      </c>
      <c r="I56" s="46">
        <f t="shared" si="4"/>
        <v>2887.7799999999997</v>
      </c>
    </row>
    <row r="57" spans="1:9" x14ac:dyDescent="0.3">
      <c r="A57" s="31" t="s">
        <v>120</v>
      </c>
      <c r="B57" s="46">
        <v>999.84</v>
      </c>
      <c r="C57" s="47">
        <v>1103.6500000000001</v>
      </c>
      <c r="D57" s="46">
        <v>1187.02</v>
      </c>
      <c r="E57" s="47">
        <v>1513</v>
      </c>
      <c r="F57" s="47">
        <v>2070.46</v>
      </c>
      <c r="G57" s="47">
        <v>552.78</v>
      </c>
      <c r="H57" s="47">
        <v>980.78</v>
      </c>
      <c r="I57" s="47">
        <v>784.08</v>
      </c>
    </row>
    <row r="58" spans="1:9" s="5" customFormat="1" x14ac:dyDescent="0.3">
      <c r="A58" s="36" t="s">
        <v>121</v>
      </c>
      <c r="B58" s="50">
        <f t="shared" ref="B58:I58" si="5">B56-B57</f>
        <v>2185.5100000000002</v>
      </c>
      <c r="C58" s="50">
        <f t="shared" si="5"/>
        <v>3796.4099999999994</v>
      </c>
      <c r="D58" s="50">
        <f t="shared" si="5"/>
        <v>4007.1899999999991</v>
      </c>
      <c r="E58" s="50">
        <f t="shared" si="5"/>
        <v>4017.21</v>
      </c>
      <c r="F58" s="50">
        <f t="shared" si="5"/>
        <v>1032.2700000000009</v>
      </c>
      <c r="G58" s="50">
        <f t="shared" si="5"/>
        <v>5518.13</v>
      </c>
      <c r="H58" s="50">
        <f t="shared" si="5"/>
        <v>4110.45</v>
      </c>
      <c r="I58" s="50">
        <f t="shared" si="5"/>
        <v>2103.6999999999998</v>
      </c>
    </row>
    <row r="59" spans="1:9" x14ac:dyDescent="0.3">
      <c r="A59" s="8"/>
      <c r="B59" s="46"/>
      <c r="C59" s="46"/>
      <c r="D59" s="46"/>
      <c r="E59" s="46"/>
      <c r="F59" s="46"/>
      <c r="G59" s="46"/>
      <c r="H59" s="46"/>
      <c r="I59" s="46"/>
    </row>
    <row r="60" spans="1:9" x14ac:dyDescent="0.3">
      <c r="A60" s="26" t="s">
        <v>122</v>
      </c>
      <c r="B60" s="51"/>
      <c r="C60" s="51"/>
      <c r="D60" s="52"/>
      <c r="E60" s="52"/>
      <c r="F60" s="52"/>
      <c r="G60" s="52"/>
      <c r="H60" s="52"/>
      <c r="I60" s="51"/>
    </row>
    <row r="61" spans="1:9" x14ac:dyDescent="0.3">
      <c r="A61" s="35" t="s">
        <v>168</v>
      </c>
      <c r="B61" s="46"/>
      <c r="C61" s="46"/>
      <c r="D61" s="46">
        <v>-1238.1099999999999</v>
      </c>
      <c r="E61" s="47">
        <v>-824.16</v>
      </c>
      <c r="F61" s="47">
        <v>-979.56</v>
      </c>
      <c r="G61" s="47">
        <v>-1274.5</v>
      </c>
      <c r="H61" s="47">
        <v>-581.02</v>
      </c>
      <c r="I61" s="47">
        <v>-569.66</v>
      </c>
    </row>
    <row r="62" spans="1:9" x14ac:dyDescent="0.3">
      <c r="A62" s="31" t="s">
        <v>123</v>
      </c>
      <c r="B62" s="46">
        <v>2.71</v>
      </c>
      <c r="C62" s="47">
        <v>6.63</v>
      </c>
      <c r="D62" s="46">
        <v>1.58</v>
      </c>
      <c r="E62" s="47">
        <v>2.66</v>
      </c>
      <c r="F62" s="47">
        <v>4.17</v>
      </c>
      <c r="G62" s="47">
        <v>-13.3</v>
      </c>
      <c r="H62" s="47">
        <v>7.18</v>
      </c>
      <c r="I62" s="47">
        <v>10.82</v>
      </c>
    </row>
    <row r="63" spans="1:9" x14ac:dyDescent="0.3">
      <c r="A63" s="37" t="s">
        <v>171</v>
      </c>
      <c r="B63" s="46"/>
      <c r="C63" s="47"/>
      <c r="D63" s="46"/>
      <c r="E63" s="47"/>
      <c r="F63" s="47">
        <v>-22.65</v>
      </c>
      <c r="G63" s="47">
        <v>-4.4800000000000004</v>
      </c>
      <c r="H63" s="47">
        <v>0.69</v>
      </c>
      <c r="I63" s="47">
        <v>-9.82</v>
      </c>
    </row>
    <row r="64" spans="1:9" x14ac:dyDescent="0.3">
      <c r="A64" s="31" t="s">
        <v>158</v>
      </c>
      <c r="B64" s="46">
        <v>1349.29</v>
      </c>
      <c r="C64" s="47">
        <v>26972.560000000001</v>
      </c>
      <c r="D64" s="46">
        <v>28334.82</v>
      </c>
      <c r="E64" s="47">
        <v>33681.58</v>
      </c>
      <c r="F64" s="47">
        <v>42020.45</v>
      </c>
      <c r="G64" s="47">
        <v>47232.41</v>
      </c>
      <c r="H64" s="47">
        <v>47929.45</v>
      </c>
      <c r="I64" s="47">
        <v>42437.49</v>
      </c>
    </row>
    <row r="65" spans="1:9" x14ac:dyDescent="0.3">
      <c r="A65" s="31" t="s">
        <v>157</v>
      </c>
      <c r="B65" s="46"/>
      <c r="C65" s="47">
        <v>-27521.95</v>
      </c>
      <c r="D65" s="46">
        <v>-29048.77</v>
      </c>
      <c r="E65" s="47">
        <v>-34854.019999999997</v>
      </c>
      <c r="F65" s="47">
        <v>-39456.26</v>
      </c>
      <c r="G65" s="47">
        <v>-49353.1</v>
      </c>
      <c r="H65" s="47">
        <v>-49388.54</v>
      </c>
      <c r="I65" s="47">
        <v>-42105.1</v>
      </c>
    </row>
    <row r="66" spans="1:9" x14ac:dyDescent="0.3">
      <c r="A66" s="31" t="s">
        <v>124</v>
      </c>
      <c r="B66" s="46">
        <v>-152.4</v>
      </c>
      <c r="C66" s="47">
        <v>-197.19</v>
      </c>
      <c r="D66" s="46">
        <v>-216.92</v>
      </c>
      <c r="E66" s="47">
        <v>-90.09</v>
      </c>
      <c r="F66" s="47">
        <v>-628.29999999999995</v>
      </c>
      <c r="G66" s="47">
        <v>248.37</v>
      </c>
      <c r="H66" s="47">
        <v>-368.37</v>
      </c>
      <c r="I66" s="47">
        <v>-150</v>
      </c>
    </row>
    <row r="67" spans="1:9" x14ac:dyDescent="0.3">
      <c r="A67" s="31" t="s">
        <v>125</v>
      </c>
      <c r="B67" s="46">
        <v>515</v>
      </c>
      <c r="C67" s="47" t="s">
        <v>74</v>
      </c>
      <c r="D67" s="46"/>
      <c r="E67" s="46"/>
      <c r="F67" s="46"/>
      <c r="G67" s="46"/>
      <c r="H67" s="46"/>
      <c r="I67" s="46"/>
    </row>
    <row r="68" spans="1:9" x14ac:dyDescent="0.3">
      <c r="A68" s="31" t="s">
        <v>126</v>
      </c>
      <c r="B68" s="46">
        <v>-295</v>
      </c>
      <c r="C68" s="47" t="s">
        <v>74</v>
      </c>
      <c r="D68" s="46"/>
      <c r="E68" s="46"/>
      <c r="F68" s="46"/>
      <c r="G68" s="46"/>
      <c r="H68" s="46"/>
      <c r="I68" s="46"/>
    </row>
    <row r="69" spans="1:9" x14ac:dyDescent="0.3">
      <c r="A69" s="31" t="s">
        <v>127</v>
      </c>
      <c r="B69" s="46">
        <v>30.85</v>
      </c>
      <c r="C69" s="47">
        <v>30.67</v>
      </c>
      <c r="D69" s="46"/>
      <c r="E69" s="46"/>
      <c r="F69" s="46"/>
      <c r="G69" s="46"/>
      <c r="H69" s="46"/>
      <c r="I69" s="46"/>
    </row>
    <row r="70" spans="1:9" x14ac:dyDescent="0.3">
      <c r="A70" s="34" t="s">
        <v>173</v>
      </c>
      <c r="B70" s="46"/>
      <c r="C70" s="47"/>
      <c r="D70" s="46"/>
      <c r="E70" s="46"/>
      <c r="F70" s="46"/>
      <c r="G70" s="47">
        <v>19.989999999999998</v>
      </c>
      <c r="H70" s="47">
        <v>12.76</v>
      </c>
      <c r="I70" s="47">
        <v>5.24</v>
      </c>
    </row>
    <row r="71" spans="1:9" x14ac:dyDescent="0.3">
      <c r="A71" s="31" t="s">
        <v>128</v>
      </c>
      <c r="B71" s="46">
        <v>99.64</v>
      </c>
      <c r="C71" s="47">
        <v>124.24</v>
      </c>
      <c r="D71" s="46">
        <v>157.47</v>
      </c>
      <c r="E71" s="47">
        <v>155.26</v>
      </c>
      <c r="F71" s="47">
        <v>288.02999999999997</v>
      </c>
      <c r="G71" s="47">
        <v>277.2</v>
      </c>
      <c r="H71" s="47">
        <v>97.14</v>
      </c>
      <c r="I71" s="47">
        <v>157.38999999999999</v>
      </c>
    </row>
    <row r="72" spans="1:9" x14ac:dyDescent="0.3">
      <c r="A72" s="31" t="s">
        <v>129</v>
      </c>
      <c r="B72" s="46"/>
      <c r="C72" s="46"/>
      <c r="D72" s="46">
        <v>37.979999999999997</v>
      </c>
      <c r="E72" s="47">
        <v>70.56</v>
      </c>
      <c r="F72" s="47">
        <v>71.760000000000005</v>
      </c>
      <c r="G72" s="47">
        <v>48.27</v>
      </c>
      <c r="H72" s="47">
        <v>1.39</v>
      </c>
      <c r="I72" s="47">
        <v>1.67</v>
      </c>
    </row>
    <row r="73" spans="1:9" x14ac:dyDescent="0.3">
      <c r="A73" s="31" t="s">
        <v>104</v>
      </c>
      <c r="B73" s="46">
        <v>1.5</v>
      </c>
      <c r="C73" s="47">
        <v>7.06</v>
      </c>
      <c r="D73" s="46"/>
      <c r="E73" s="46"/>
      <c r="F73" s="46"/>
      <c r="G73" s="46"/>
      <c r="H73" s="46"/>
      <c r="I73" s="46"/>
    </row>
    <row r="74" spans="1:9" x14ac:dyDescent="0.3">
      <c r="A74" s="31" t="s">
        <v>130</v>
      </c>
      <c r="B74" s="46">
        <v>0.06</v>
      </c>
      <c r="C74" s="47">
        <v>0.12</v>
      </c>
      <c r="D74" s="46"/>
      <c r="E74" s="46"/>
      <c r="F74" s="46"/>
      <c r="G74" s="46"/>
      <c r="H74" s="46"/>
      <c r="I74" s="46"/>
    </row>
    <row r="75" spans="1:9" x14ac:dyDescent="0.3">
      <c r="A75" s="31" t="s">
        <v>131</v>
      </c>
      <c r="B75" s="46">
        <v>-1232.93</v>
      </c>
      <c r="C75" s="47">
        <v>-1708.02</v>
      </c>
      <c r="D75" s="46"/>
      <c r="E75" s="46"/>
      <c r="F75" s="46"/>
      <c r="G75" s="46"/>
      <c r="H75" s="46"/>
      <c r="I75" s="46"/>
    </row>
    <row r="76" spans="1:9" x14ac:dyDescent="0.3">
      <c r="A76" s="31" t="s">
        <v>132</v>
      </c>
      <c r="B76" s="46">
        <v>-287.33999999999997</v>
      </c>
      <c r="C76" s="46"/>
      <c r="D76" s="46"/>
      <c r="E76" s="46"/>
      <c r="F76" s="46"/>
      <c r="G76" s="46"/>
      <c r="H76" s="46"/>
      <c r="I76" s="46"/>
    </row>
    <row r="77" spans="1:9" s="5" customFormat="1" x14ac:dyDescent="0.3">
      <c r="A77" s="36" t="s">
        <v>133</v>
      </c>
      <c r="B77" s="50">
        <f>SUM(B62:B76)</f>
        <v>31.379999999999825</v>
      </c>
      <c r="C77" s="50">
        <f>SUM(C62:C76)</f>
        <v>-2285.8799999999983</v>
      </c>
      <c r="D77" s="50">
        <f t="shared" ref="D77:I77" si="6">SUM(D61:D76)</f>
        <v>-1971.9499999999996</v>
      </c>
      <c r="E77" s="50">
        <f t="shared" si="6"/>
        <v>-1858.2099999999953</v>
      </c>
      <c r="F77" s="50">
        <f t="shared" si="6"/>
        <v>1297.6399999999942</v>
      </c>
      <c r="G77" s="50">
        <f t="shared" si="6"/>
        <v>-2819.1399999999944</v>
      </c>
      <c r="H77" s="50">
        <f t="shared" si="6"/>
        <v>-2289.3200000000052</v>
      </c>
      <c r="I77" s="50">
        <f t="shared" si="6"/>
        <v>-221.97000000000409</v>
      </c>
    </row>
    <row r="78" spans="1:9" s="5" customFormat="1" x14ac:dyDescent="0.3">
      <c r="A78" s="7"/>
      <c r="B78" s="50"/>
      <c r="C78" s="50"/>
      <c r="D78" s="50"/>
      <c r="E78" s="50"/>
      <c r="F78" s="50"/>
      <c r="G78" s="50"/>
      <c r="H78" s="50"/>
      <c r="I78" s="50"/>
    </row>
    <row r="79" spans="1:9" x14ac:dyDescent="0.3">
      <c r="A79" s="26" t="s">
        <v>134</v>
      </c>
      <c r="B79" s="51"/>
      <c r="C79" s="51"/>
      <c r="D79" s="51"/>
      <c r="E79" s="51"/>
      <c r="F79" s="51"/>
      <c r="G79" s="51"/>
      <c r="H79" s="51"/>
      <c r="I79" s="51"/>
    </row>
    <row r="80" spans="1:9" x14ac:dyDescent="0.3">
      <c r="A80" s="31" t="s">
        <v>135</v>
      </c>
      <c r="B80" s="46">
        <v>-11.7</v>
      </c>
      <c r="C80" s="47">
        <v>-11.23</v>
      </c>
      <c r="D80" s="46">
        <v>-27.4</v>
      </c>
      <c r="E80" s="47">
        <v>-31.25</v>
      </c>
      <c r="F80" s="47">
        <v>-36.93</v>
      </c>
      <c r="G80" s="47">
        <v>-46.67</v>
      </c>
      <c r="H80" s="47">
        <v>-46.19</v>
      </c>
      <c r="I80" s="47">
        <v>-52.85</v>
      </c>
    </row>
    <row r="81" spans="1:9" x14ac:dyDescent="0.3">
      <c r="A81" s="34" t="s">
        <v>174</v>
      </c>
      <c r="B81" s="46"/>
      <c r="C81" s="47"/>
      <c r="D81" s="46"/>
      <c r="E81" s="47"/>
      <c r="F81" s="47"/>
      <c r="G81" s="47">
        <v>-114.95</v>
      </c>
      <c r="H81" s="47">
        <v>-29.17</v>
      </c>
      <c r="I81" s="47">
        <v>-30.58</v>
      </c>
    </row>
    <row r="82" spans="1:9" x14ac:dyDescent="0.3">
      <c r="A82" s="31" t="s">
        <v>136</v>
      </c>
      <c r="B82" s="46">
        <v>-1897.03</v>
      </c>
      <c r="C82" s="47">
        <v>-1397.81</v>
      </c>
      <c r="D82" s="46">
        <v>-1737.34</v>
      </c>
      <c r="E82" s="47">
        <v>-1697.5</v>
      </c>
      <c r="F82" s="47">
        <v>-1928.6</v>
      </c>
      <c r="G82" s="47">
        <v>-1957.04</v>
      </c>
      <c r="H82" s="47">
        <v>-1918.3</v>
      </c>
      <c r="I82" s="47">
        <v>-1907.27</v>
      </c>
    </row>
    <row r="83" spans="1:9" x14ac:dyDescent="0.3">
      <c r="A83" s="31" t="s">
        <v>137</v>
      </c>
      <c r="B83" s="46">
        <v>-322.39999999999998</v>
      </c>
      <c r="C83" s="47">
        <v>-284.56</v>
      </c>
      <c r="D83" s="46">
        <v>-353.69</v>
      </c>
      <c r="E83" s="47">
        <v>-345.57</v>
      </c>
      <c r="F83" s="47">
        <v>-390.01</v>
      </c>
      <c r="G83" s="47">
        <v>-401.4</v>
      </c>
      <c r="H83" s="47">
        <v>-2.5</v>
      </c>
      <c r="I83" s="47">
        <v>-1.1200000000000001</v>
      </c>
    </row>
    <row r="84" spans="1:9" x14ac:dyDescent="0.3">
      <c r="A84" s="35" t="s">
        <v>169</v>
      </c>
      <c r="B84" s="46"/>
      <c r="C84" s="47"/>
      <c r="D84" s="46">
        <v>52.72</v>
      </c>
      <c r="E84" s="47">
        <v>1.93</v>
      </c>
      <c r="F84" s="47">
        <v>17.55</v>
      </c>
      <c r="G84" s="47">
        <v>17.47</v>
      </c>
      <c r="H84" s="47">
        <v>6.65</v>
      </c>
      <c r="I84" s="47" t="s">
        <v>74</v>
      </c>
    </row>
    <row r="85" spans="1:9" x14ac:dyDescent="0.3">
      <c r="A85" s="31" t="s">
        <v>138</v>
      </c>
      <c r="B85" s="46" t="s">
        <v>74</v>
      </c>
      <c r="C85" s="47">
        <v>0.56000000000000005</v>
      </c>
      <c r="D85" s="46">
        <v>1.45</v>
      </c>
      <c r="E85" s="47">
        <v>2.66</v>
      </c>
      <c r="F85" s="47">
        <v>1.98</v>
      </c>
      <c r="G85" s="47">
        <v>0.12</v>
      </c>
      <c r="H85" s="47">
        <v>7.83</v>
      </c>
      <c r="I85" s="47">
        <v>5.04</v>
      </c>
    </row>
    <row r="86" spans="1:9" x14ac:dyDescent="0.3">
      <c r="A86" s="31" t="s">
        <v>139</v>
      </c>
      <c r="B86" s="46">
        <v>12</v>
      </c>
      <c r="C86" s="47">
        <v>136.15</v>
      </c>
      <c r="D86" s="46">
        <v>61.92</v>
      </c>
      <c r="E86" s="47">
        <v>-58.27</v>
      </c>
      <c r="F86" s="47">
        <v>-24.79</v>
      </c>
      <c r="G86" s="47">
        <v>-80.819999999999993</v>
      </c>
      <c r="H86" s="47">
        <v>1.1599999999999999</v>
      </c>
      <c r="I86" s="47">
        <v>-9.01</v>
      </c>
    </row>
    <row r="87" spans="1:9" x14ac:dyDescent="0.3">
      <c r="A87" s="31" t="s">
        <v>140</v>
      </c>
      <c r="B87" s="46">
        <v>88</v>
      </c>
      <c r="C87" s="47">
        <v>-3.94</v>
      </c>
      <c r="D87" s="46">
        <v>-33.520000000000003</v>
      </c>
      <c r="E87" s="47">
        <v>25.55</v>
      </c>
      <c r="F87" s="47">
        <v>108.4</v>
      </c>
      <c r="G87" s="47">
        <v>-18.510000000000002</v>
      </c>
      <c r="H87" s="47">
        <v>128.69999999999999</v>
      </c>
      <c r="I87" s="47">
        <v>20.46</v>
      </c>
    </row>
    <row r="88" spans="1:9" s="5" customFormat="1" x14ac:dyDescent="0.3">
      <c r="A88" s="36" t="s">
        <v>141</v>
      </c>
      <c r="B88" s="50">
        <f t="shared" ref="B88:I88" si="7">SUM(B80:B87)</f>
        <v>-2131.13</v>
      </c>
      <c r="C88" s="50">
        <f t="shared" si="7"/>
        <v>-1560.83</v>
      </c>
      <c r="D88" s="50">
        <f t="shared" si="7"/>
        <v>-2035.8600000000001</v>
      </c>
      <c r="E88" s="50">
        <f t="shared" si="7"/>
        <v>-2102.4500000000003</v>
      </c>
      <c r="F88" s="50">
        <f t="shared" si="7"/>
        <v>-2252.3999999999996</v>
      </c>
      <c r="G88" s="50">
        <f t="shared" si="7"/>
        <v>-2601.8000000000006</v>
      </c>
      <c r="H88" s="50">
        <f t="shared" si="7"/>
        <v>-1851.8199999999997</v>
      </c>
      <c r="I88" s="50">
        <f t="shared" si="7"/>
        <v>-1975.33</v>
      </c>
    </row>
    <row r="89" spans="1:9" x14ac:dyDescent="0.3">
      <c r="A89" s="8"/>
      <c r="B89" s="46"/>
      <c r="C89" s="46"/>
      <c r="D89" s="46"/>
      <c r="E89" s="46"/>
      <c r="F89" s="46"/>
      <c r="G89" s="46"/>
      <c r="H89" s="46"/>
      <c r="I89" s="46"/>
    </row>
    <row r="90" spans="1:9" x14ac:dyDescent="0.3">
      <c r="A90" s="8" t="s">
        <v>142</v>
      </c>
      <c r="B90" s="46">
        <f t="shared" ref="B90:I90" si="8">B58+B77+B88</f>
        <v>85.759999999999764</v>
      </c>
      <c r="C90" s="46">
        <f t="shared" si="8"/>
        <v>-50.299999999998818</v>
      </c>
      <c r="D90" s="46">
        <f t="shared" si="8"/>
        <v>-0.62000000000057298</v>
      </c>
      <c r="E90" s="46">
        <f t="shared" si="8"/>
        <v>56.550000000004275</v>
      </c>
      <c r="F90" s="46">
        <f t="shared" si="8"/>
        <v>77.509999999995671</v>
      </c>
      <c r="G90" s="46">
        <f t="shared" si="8"/>
        <v>97.190000000005057</v>
      </c>
      <c r="H90" s="46">
        <f t="shared" si="8"/>
        <v>-30.690000000005057</v>
      </c>
      <c r="I90" s="46">
        <f t="shared" si="8"/>
        <v>-93.600000000004229</v>
      </c>
    </row>
    <row r="91" spans="1:9" x14ac:dyDescent="0.3">
      <c r="A91" s="8" t="s">
        <v>143</v>
      </c>
      <c r="B91" s="46">
        <v>68.739999999999995</v>
      </c>
      <c r="C91" s="47">
        <v>154.5</v>
      </c>
      <c r="D91" s="46">
        <v>74.680000000000007</v>
      </c>
      <c r="E91" s="47">
        <v>74.06</v>
      </c>
      <c r="F91" s="47">
        <v>130.61000000000001</v>
      </c>
      <c r="G91" s="47">
        <v>208.12</v>
      </c>
      <c r="H91" s="47">
        <v>305.31</v>
      </c>
      <c r="I91" s="47">
        <v>274.62</v>
      </c>
    </row>
    <row r="92" spans="1:9" x14ac:dyDescent="0.3">
      <c r="A92" s="8" t="s">
        <v>146</v>
      </c>
      <c r="B92" s="46"/>
      <c r="C92" s="46"/>
      <c r="D92" s="46"/>
      <c r="E92" s="46"/>
      <c r="F92" s="46"/>
      <c r="G92" s="46"/>
      <c r="H92" s="46"/>
      <c r="I92" s="46"/>
    </row>
    <row r="93" spans="1:9" s="5" customFormat="1" x14ac:dyDescent="0.3">
      <c r="A93" s="7" t="s">
        <v>144</v>
      </c>
      <c r="B93" s="50">
        <f t="shared" ref="B93:I93" si="9">SUM(B90:B92)</f>
        <v>154.49999999999977</v>
      </c>
      <c r="C93" s="50">
        <f t="shared" si="9"/>
        <v>104.20000000000118</v>
      </c>
      <c r="D93" s="50">
        <f t="shared" si="9"/>
        <v>74.059999999999434</v>
      </c>
      <c r="E93" s="50">
        <f t="shared" si="9"/>
        <v>130.61000000000428</v>
      </c>
      <c r="F93" s="50">
        <f t="shared" si="9"/>
        <v>208.11999999999568</v>
      </c>
      <c r="G93" s="50">
        <f t="shared" si="9"/>
        <v>305.31000000000506</v>
      </c>
      <c r="H93" s="50">
        <f t="shared" si="9"/>
        <v>274.61999999999495</v>
      </c>
      <c r="I93" s="50">
        <f t="shared" si="9"/>
        <v>181.01999999999578</v>
      </c>
    </row>
    <row r="94" spans="1:9" x14ac:dyDescent="0.3">
      <c r="A94" s="8" t="s">
        <v>170</v>
      </c>
      <c r="B94" s="46"/>
      <c r="C94" s="46"/>
      <c r="D94" s="46">
        <v>121.33</v>
      </c>
      <c r="E94" s="46">
        <v>106.96</v>
      </c>
      <c r="F94" s="46">
        <v>95.78</v>
      </c>
      <c r="G94" s="46">
        <v>130.1</v>
      </c>
      <c r="H94" s="46">
        <v>121.62</v>
      </c>
      <c r="I94" s="46">
        <v>118.72</v>
      </c>
    </row>
    <row r="95" spans="1:9" s="5" customFormat="1" x14ac:dyDescent="0.3">
      <c r="A95" s="7" t="s">
        <v>147</v>
      </c>
      <c r="B95" s="50">
        <v>215.78</v>
      </c>
      <c r="C95" s="53">
        <v>179.09</v>
      </c>
      <c r="D95" s="50">
        <v>195.38999999999899</v>
      </c>
      <c r="E95" s="54">
        <v>237.57</v>
      </c>
      <c r="F95" s="54">
        <v>303.88</v>
      </c>
      <c r="G95" s="54">
        <v>435.43</v>
      </c>
      <c r="H95" s="54">
        <v>396.24</v>
      </c>
      <c r="I95" s="54">
        <v>299.74</v>
      </c>
    </row>
    <row r="96" spans="1:9" x14ac:dyDescent="0.3">
      <c r="A96" s="8" t="s">
        <v>148</v>
      </c>
      <c r="B96" s="46">
        <v>61.28</v>
      </c>
      <c r="C96" s="47">
        <v>74.89</v>
      </c>
      <c r="D96" s="46"/>
      <c r="E96" s="46"/>
      <c r="F96" s="46"/>
      <c r="G96" s="46"/>
      <c r="H96" s="46"/>
      <c r="I96" s="46"/>
    </row>
    <row r="97" spans="1:9" s="5" customFormat="1" x14ac:dyDescent="0.3">
      <c r="A97" s="7" t="s">
        <v>144</v>
      </c>
      <c r="B97" s="50">
        <f t="shared" ref="B97:I97" si="10">B95-B96</f>
        <v>154.5</v>
      </c>
      <c r="C97" s="50">
        <f t="shared" si="10"/>
        <v>104.2</v>
      </c>
      <c r="D97" s="50">
        <f t="shared" si="10"/>
        <v>195.38999999999899</v>
      </c>
      <c r="E97" s="50">
        <f t="shared" si="10"/>
        <v>237.57</v>
      </c>
      <c r="F97" s="50">
        <f t="shared" si="10"/>
        <v>303.88</v>
      </c>
      <c r="G97" s="50">
        <f t="shared" si="10"/>
        <v>435.43</v>
      </c>
      <c r="H97" s="50">
        <f t="shared" si="10"/>
        <v>396.24</v>
      </c>
      <c r="I97" s="50">
        <f t="shared" si="10"/>
        <v>299.74</v>
      </c>
    </row>
    <row r="98" spans="1:9" x14ac:dyDescent="0.3">
      <c r="B98" s="19"/>
      <c r="C98" s="19"/>
      <c r="D98" s="19"/>
      <c r="E98" s="19"/>
      <c r="F98" s="19"/>
      <c r="G98" s="19"/>
      <c r="H98" s="19"/>
      <c r="I98" s="19"/>
    </row>
    <row r="99" spans="1:9" x14ac:dyDescent="0.3">
      <c r="B99" s="19"/>
      <c r="C99" s="19"/>
      <c r="D99" s="19"/>
      <c r="E99" s="19"/>
      <c r="F99" s="19"/>
      <c r="G99" s="20"/>
      <c r="H99" s="20"/>
      <c r="I99" s="19"/>
    </row>
    <row r="100" spans="1:9" x14ac:dyDescent="0.3">
      <c r="B100" s="19"/>
      <c r="C100" s="19"/>
      <c r="E100" s="19"/>
      <c r="F100" s="19"/>
      <c r="G100" s="19"/>
      <c r="H100" s="19"/>
      <c r="I100" s="20"/>
    </row>
    <row r="101" spans="1:9" x14ac:dyDescent="0.3">
      <c r="B101" s="19"/>
      <c r="C101" s="19"/>
      <c r="D101" s="19"/>
      <c r="E101" s="19"/>
      <c r="F101" s="19"/>
      <c r="G101" s="19"/>
      <c r="H101" s="19"/>
      <c r="I101" s="19"/>
    </row>
    <row r="102" spans="1:9" x14ac:dyDescent="0.3">
      <c r="B102" s="19"/>
      <c r="C102" s="19"/>
      <c r="D102" s="19"/>
      <c r="E102" s="19"/>
      <c r="F102" s="19"/>
      <c r="G102" s="19"/>
      <c r="H102" s="19"/>
      <c r="I102" s="19"/>
    </row>
    <row r="103" spans="1:9" x14ac:dyDescent="0.3">
      <c r="B103" s="19"/>
      <c r="C103" s="19"/>
      <c r="D103" s="19"/>
      <c r="E103" s="19"/>
      <c r="F103" s="19"/>
      <c r="G103" s="19"/>
      <c r="H103" s="19"/>
      <c r="I103" s="19"/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642D-173A-42F4-B580-3A8B86538529}">
  <dimension ref="A1:B10"/>
  <sheetViews>
    <sheetView workbookViewId="0">
      <selection activeCell="R3" sqref="R3"/>
    </sheetView>
  </sheetViews>
  <sheetFormatPr defaultRowHeight="14.4" x14ac:dyDescent="0.3"/>
  <sheetData>
    <row r="1" spans="1:2" ht="15" thickBot="1" x14ac:dyDescent="0.35"/>
    <row r="2" spans="1:2" ht="21" thickBot="1" x14ac:dyDescent="0.35">
      <c r="A2" s="62" t="s">
        <v>184</v>
      </c>
      <c r="B2" s="63">
        <v>0.34599999999999997</v>
      </c>
    </row>
    <row r="3" spans="1:2" ht="41.4" thickBot="1" x14ac:dyDescent="0.35">
      <c r="A3" s="62" t="s">
        <v>185</v>
      </c>
      <c r="B3" s="63">
        <v>0.34300000000000003</v>
      </c>
    </row>
    <row r="4" spans="1:2" ht="41.4" thickBot="1" x14ac:dyDescent="0.35">
      <c r="A4" s="62" t="s">
        <v>186</v>
      </c>
      <c r="B4" s="63">
        <v>4.0000000000000001E-3</v>
      </c>
    </row>
    <row r="5" spans="1:2" ht="21" thickBot="1" x14ac:dyDescent="0.35">
      <c r="A5" s="62" t="s">
        <v>187</v>
      </c>
      <c r="B5" s="63">
        <v>8.3000000000000004E-2</v>
      </c>
    </row>
    <row r="6" spans="1:2" ht="21" thickBot="1" x14ac:dyDescent="0.35">
      <c r="A6" s="62" t="s">
        <v>188</v>
      </c>
      <c r="B6" s="63">
        <v>8.3000000000000004E-2</v>
      </c>
    </row>
    <row r="7" spans="1:2" ht="21" thickBot="1" x14ac:dyDescent="0.35">
      <c r="A7" s="62" t="s">
        <v>189</v>
      </c>
      <c r="B7" s="63">
        <v>8.2000000000000003E-2</v>
      </c>
    </row>
    <row r="8" spans="1:2" ht="21" thickBot="1" x14ac:dyDescent="0.35">
      <c r="A8" s="62" t="s">
        <v>190</v>
      </c>
      <c r="B8" s="63">
        <v>1.4E-2</v>
      </c>
    </row>
    <row r="9" spans="1:2" ht="31.2" thickBot="1" x14ac:dyDescent="0.35">
      <c r="A9" s="62" t="s">
        <v>191</v>
      </c>
      <c r="B9" s="63">
        <v>0.02</v>
      </c>
    </row>
    <row r="10" spans="1:2" ht="15" thickBot="1" x14ac:dyDescent="0.35">
      <c r="A10" s="62" t="s">
        <v>192</v>
      </c>
      <c r="B10" s="63">
        <v>2.5000000000000001E-2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FS &amp; Trend Analysis</vt:lpstr>
      <vt:lpstr>Common Size FS</vt:lpstr>
      <vt:lpstr>Comparative FS</vt:lpstr>
      <vt:lpstr>Cash Flow Statement</vt:lpstr>
      <vt:lpstr>Shareholding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RAJAN</dc:creator>
  <cp:lastModifiedBy>ROHIT GHOSH</cp:lastModifiedBy>
  <dcterms:created xsi:type="dcterms:W3CDTF">2022-08-27T18:36:13Z</dcterms:created>
  <dcterms:modified xsi:type="dcterms:W3CDTF">2025-09-09T06:18:18Z</dcterms:modified>
</cp:coreProperties>
</file>