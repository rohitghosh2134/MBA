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MBA\MBA\Courses\FRA\Assignments\"/>
    </mc:Choice>
  </mc:AlternateContent>
  <xr:revisionPtr revIDLastSave="0" documentId="13_ncr:1_{BF7420BB-8D35-46A4-A2B4-FEDBBE38005D}" xr6:coauthVersionLast="47" xr6:coauthVersionMax="47" xr10:uidLastSave="{00000000-0000-0000-0000-000000000000}"/>
  <bookViews>
    <workbookView xWindow="-108" yWindow="-108" windowWidth="23256" windowHeight="12456" xr2:uid="{1C07130C-14F8-4810-9C7C-A11381E3869F}"/>
  </bookViews>
  <sheets>
    <sheet name="FINANCIAL STATEMENTS" sheetId="1" r:id="rId1"/>
    <sheet name="SHAREHOLDERS" sheetId="6" r:id="rId2"/>
    <sheet name="TREND ANALYSIS" sheetId="2" r:id="rId3"/>
    <sheet name="CASH FLOW STATEMENT" sheetId="5" r:id="rId4"/>
    <sheet name="COMMON SIZE FINANCIAL STATMENT" sheetId="3" r:id="rId5"/>
    <sheet name="COMPARATIVE FINANCIAL STATEMENT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7" i="1" l="1"/>
  <c r="D157" i="1"/>
  <c r="E157" i="1"/>
  <c r="F157" i="1"/>
  <c r="G157" i="1"/>
  <c r="B157" i="1"/>
  <c r="C155" i="1"/>
  <c r="D155" i="1"/>
  <c r="E155" i="1"/>
  <c r="F155" i="1"/>
  <c r="G155" i="1"/>
  <c r="B155" i="1"/>
  <c r="C144" i="1"/>
  <c r="D144" i="1"/>
  <c r="E144" i="1"/>
  <c r="F144" i="1"/>
  <c r="G144" i="1"/>
  <c r="B144" i="1"/>
  <c r="C161" i="2"/>
  <c r="D161" i="2"/>
  <c r="E161" i="2"/>
  <c r="F161" i="2"/>
  <c r="G161" i="2"/>
  <c r="C162" i="2"/>
  <c r="D162" i="2"/>
  <c r="E162" i="2"/>
  <c r="F162" i="2"/>
  <c r="G162" i="2"/>
  <c r="C163" i="2"/>
  <c r="D163" i="2"/>
  <c r="E163" i="2"/>
  <c r="F163" i="2"/>
  <c r="G163" i="2"/>
  <c r="B162" i="2"/>
  <c r="B163" i="2"/>
  <c r="B161" i="2"/>
  <c r="C175" i="1"/>
  <c r="E175" i="1"/>
  <c r="F175" i="1"/>
  <c r="G175" i="1"/>
  <c r="B175" i="1"/>
  <c r="C174" i="1"/>
  <c r="F174" i="1"/>
  <c r="G174" i="1"/>
  <c r="B174" i="1"/>
  <c r="C173" i="1"/>
  <c r="F173" i="1"/>
  <c r="G173" i="1"/>
  <c r="B173" i="1"/>
  <c r="G76" i="5"/>
  <c r="F76" i="5"/>
  <c r="F80" i="5" s="1"/>
  <c r="C28" i="5"/>
  <c r="C49" i="5" s="1"/>
  <c r="C53" i="5" s="1"/>
  <c r="D28" i="5"/>
  <c r="D49" i="5" s="1"/>
  <c r="D53" i="5" s="1"/>
  <c r="E28" i="5"/>
  <c r="E49" i="5" s="1"/>
  <c r="E53" i="5" s="1"/>
  <c r="F28" i="5"/>
  <c r="G28" i="5"/>
  <c r="G49" i="5" s="1"/>
  <c r="B28" i="5"/>
  <c r="B49" i="5" s="1"/>
  <c r="E96" i="5"/>
  <c r="F96" i="5"/>
  <c r="G96" i="5"/>
  <c r="D96" i="5"/>
  <c r="C96" i="5"/>
  <c r="B96" i="5"/>
  <c r="C89" i="5"/>
  <c r="D89" i="5"/>
  <c r="E89" i="5"/>
  <c r="F89" i="5"/>
  <c r="G89" i="5"/>
  <c r="B89" i="5"/>
  <c r="C70" i="5"/>
  <c r="D70" i="5"/>
  <c r="E70" i="5"/>
  <c r="F70" i="5"/>
  <c r="G70" i="5"/>
  <c r="C80" i="5"/>
  <c r="D80" i="5"/>
  <c r="E80" i="5"/>
  <c r="G80" i="5"/>
  <c r="B80" i="5"/>
  <c r="B70" i="5"/>
  <c r="F49" i="5"/>
  <c r="F53" i="5" s="1"/>
  <c r="F82" i="5" l="1"/>
  <c r="E98" i="5"/>
  <c r="C98" i="5"/>
  <c r="F98" i="5"/>
  <c r="B98" i="5"/>
  <c r="E82" i="5"/>
  <c r="C82" i="5"/>
  <c r="D82" i="5"/>
  <c r="D98" i="5"/>
  <c r="G98" i="5"/>
  <c r="B53" i="5"/>
  <c r="B82" i="5" s="1"/>
  <c r="G53" i="5"/>
  <c r="G82" i="5" s="1"/>
  <c r="F106" i="4" l="1"/>
  <c r="F105" i="4"/>
  <c r="F104" i="4"/>
  <c r="F103" i="4"/>
  <c r="F102" i="4"/>
  <c r="F101" i="4"/>
  <c r="F100" i="4"/>
  <c r="F95" i="4"/>
  <c r="F94" i="4"/>
  <c r="F93" i="4"/>
  <c r="F92" i="4"/>
  <c r="F87" i="4"/>
  <c r="F86" i="4"/>
  <c r="F78" i="4"/>
  <c r="F77" i="4"/>
  <c r="F76" i="4"/>
  <c r="F75" i="4"/>
  <c r="F74" i="4"/>
  <c r="F73" i="4"/>
  <c r="F72" i="4"/>
  <c r="F71" i="4"/>
  <c r="F67" i="4"/>
  <c r="F66" i="4"/>
  <c r="F65" i="4"/>
  <c r="F64" i="4"/>
  <c r="F63" i="4"/>
  <c r="F62" i="4"/>
  <c r="F61" i="4"/>
  <c r="F60" i="4"/>
  <c r="F59" i="4"/>
  <c r="F58" i="4"/>
  <c r="F49" i="4"/>
  <c r="F48" i="4"/>
  <c r="F42" i="4"/>
  <c r="F41" i="4"/>
  <c r="F32" i="4"/>
  <c r="F31" i="4"/>
  <c r="F26" i="4"/>
  <c r="F25" i="4"/>
  <c r="F23" i="4"/>
  <c r="F19" i="4"/>
  <c r="F18" i="4"/>
  <c r="F17" i="4"/>
  <c r="F16" i="4"/>
  <c r="F15" i="4"/>
  <c r="F10" i="4"/>
  <c r="F9" i="4"/>
  <c r="G48" i="3"/>
  <c r="G47" i="3"/>
  <c r="G41" i="3"/>
  <c r="G40" i="3"/>
  <c r="G32" i="3"/>
  <c r="G31" i="3"/>
  <c r="G26" i="3"/>
  <c r="G25" i="3"/>
  <c r="G23" i="3"/>
  <c r="G19" i="3"/>
  <c r="G18" i="3"/>
  <c r="G17" i="3"/>
  <c r="G16" i="3"/>
  <c r="G15" i="3"/>
  <c r="G10" i="3"/>
  <c r="G9" i="3"/>
  <c r="F10" i="3"/>
  <c r="G101" i="2"/>
  <c r="G102" i="2"/>
  <c r="G103" i="2"/>
  <c r="G104" i="2"/>
  <c r="G105" i="2"/>
  <c r="G106" i="2"/>
  <c r="G100" i="2"/>
  <c r="G95" i="2"/>
  <c r="G94" i="2"/>
  <c r="G93" i="2"/>
  <c r="G92" i="2"/>
  <c r="G87" i="2"/>
  <c r="G86" i="2"/>
  <c r="G72" i="2"/>
  <c r="G73" i="2"/>
  <c r="G74" i="2"/>
  <c r="G75" i="2"/>
  <c r="G76" i="2"/>
  <c r="G77" i="2"/>
  <c r="G78" i="2"/>
  <c r="G71" i="2"/>
  <c r="G66" i="2"/>
  <c r="G67" i="2"/>
  <c r="G59" i="2"/>
  <c r="G60" i="2"/>
  <c r="G61" i="2"/>
  <c r="G62" i="2"/>
  <c r="G63" i="2"/>
  <c r="G64" i="2"/>
  <c r="G65" i="2"/>
  <c r="G58" i="2"/>
  <c r="G49" i="2"/>
  <c r="G48" i="2"/>
  <c r="G42" i="2"/>
  <c r="G41" i="2"/>
  <c r="G32" i="2"/>
  <c r="G31" i="2"/>
  <c r="G26" i="2"/>
  <c r="G25" i="2"/>
  <c r="G23" i="2"/>
  <c r="F23" i="2"/>
  <c r="F25" i="2"/>
  <c r="F26" i="2"/>
  <c r="F18" i="2"/>
  <c r="G18" i="2"/>
  <c r="F19" i="2"/>
  <c r="G19" i="2"/>
  <c r="G17" i="2"/>
  <c r="F17" i="2"/>
  <c r="G16" i="2"/>
  <c r="F16" i="2"/>
  <c r="G15" i="2"/>
  <c r="F15" i="2"/>
  <c r="F10" i="2"/>
  <c r="G10" i="2"/>
  <c r="G9" i="2"/>
  <c r="G168" i="1"/>
  <c r="G125" i="1"/>
  <c r="G160" i="1" s="1"/>
  <c r="G124" i="1"/>
  <c r="G158" i="1" s="1"/>
  <c r="G123" i="1"/>
  <c r="G156" i="1" s="1"/>
  <c r="G159" i="1" s="1"/>
  <c r="G117" i="1"/>
  <c r="G105" i="1"/>
  <c r="G95" i="1"/>
  <c r="G85" i="1"/>
  <c r="G71" i="1"/>
  <c r="G163" i="1" s="1"/>
  <c r="G43" i="1"/>
  <c r="G42" i="3" s="1"/>
  <c r="G33" i="1"/>
  <c r="G20" i="1"/>
  <c r="G11" i="1"/>
  <c r="G11" i="3" s="1"/>
  <c r="B104" i="4"/>
  <c r="C104" i="4"/>
  <c r="D104" i="4"/>
  <c r="E104" i="4"/>
  <c r="B105" i="4"/>
  <c r="C105" i="4"/>
  <c r="D105" i="4"/>
  <c r="E105" i="4"/>
  <c r="B106" i="4"/>
  <c r="C106" i="4"/>
  <c r="D106" i="4"/>
  <c r="E106" i="4"/>
  <c r="E103" i="4"/>
  <c r="D103" i="4"/>
  <c r="C103" i="4"/>
  <c r="B103" i="4"/>
  <c r="E102" i="4"/>
  <c r="D102" i="4"/>
  <c r="C102" i="4"/>
  <c r="B102" i="4"/>
  <c r="E101" i="4"/>
  <c r="D101" i="4"/>
  <c r="C101" i="4"/>
  <c r="B101" i="4"/>
  <c r="E100" i="4"/>
  <c r="D100" i="4"/>
  <c r="C100" i="4"/>
  <c r="B100" i="4"/>
  <c r="D99" i="4"/>
  <c r="C99" i="4"/>
  <c r="B95" i="4"/>
  <c r="C95" i="4"/>
  <c r="D95" i="4"/>
  <c r="E95" i="4"/>
  <c r="E94" i="4"/>
  <c r="D94" i="4"/>
  <c r="C94" i="4"/>
  <c r="B94" i="4"/>
  <c r="E93" i="4"/>
  <c r="D93" i="4"/>
  <c r="C93" i="4"/>
  <c r="B93" i="4"/>
  <c r="E92" i="4"/>
  <c r="D92" i="4"/>
  <c r="C92" i="4"/>
  <c r="B92" i="4"/>
  <c r="B87" i="4"/>
  <c r="C87" i="4"/>
  <c r="D87" i="4"/>
  <c r="E87" i="4"/>
  <c r="C86" i="4"/>
  <c r="D86" i="4"/>
  <c r="E86" i="4"/>
  <c r="B86" i="4"/>
  <c r="B72" i="4"/>
  <c r="C72" i="4"/>
  <c r="D72" i="4"/>
  <c r="E72" i="4"/>
  <c r="B73" i="4"/>
  <c r="C73" i="4"/>
  <c r="D73" i="4"/>
  <c r="E73" i="4"/>
  <c r="B74" i="4"/>
  <c r="C74" i="4"/>
  <c r="D74" i="4"/>
  <c r="E74" i="4"/>
  <c r="B75" i="4"/>
  <c r="C75" i="4"/>
  <c r="D75" i="4"/>
  <c r="E75" i="4"/>
  <c r="B76" i="4"/>
  <c r="C76" i="4"/>
  <c r="D76" i="4"/>
  <c r="E76" i="4"/>
  <c r="B77" i="4"/>
  <c r="C77" i="4"/>
  <c r="D77" i="4"/>
  <c r="E77" i="4"/>
  <c r="B78" i="4"/>
  <c r="C78" i="4"/>
  <c r="D78" i="4"/>
  <c r="E78" i="4"/>
  <c r="C71" i="4"/>
  <c r="D71" i="4"/>
  <c r="E71" i="4"/>
  <c r="B71" i="4"/>
  <c r="C58" i="4"/>
  <c r="D58" i="4"/>
  <c r="E58" i="4"/>
  <c r="C59" i="4"/>
  <c r="D59" i="4"/>
  <c r="E59" i="4"/>
  <c r="C60" i="4"/>
  <c r="D60" i="4"/>
  <c r="E60" i="4"/>
  <c r="C61" i="4"/>
  <c r="D61" i="4"/>
  <c r="E61" i="4"/>
  <c r="C62" i="4"/>
  <c r="D62" i="4"/>
  <c r="E62" i="4"/>
  <c r="C63" i="4"/>
  <c r="D63" i="4"/>
  <c r="E63" i="4"/>
  <c r="C64" i="4"/>
  <c r="D64" i="4"/>
  <c r="E64" i="4"/>
  <c r="C65" i="4"/>
  <c r="D65" i="4"/>
  <c r="E65" i="4"/>
  <c r="C66" i="4"/>
  <c r="D66" i="4"/>
  <c r="E66" i="4"/>
  <c r="C67" i="4"/>
  <c r="D67" i="4"/>
  <c r="E67" i="4"/>
  <c r="B59" i="4"/>
  <c r="B60" i="4"/>
  <c r="B61" i="4"/>
  <c r="B62" i="4"/>
  <c r="B63" i="4"/>
  <c r="B64" i="4"/>
  <c r="B65" i="4"/>
  <c r="B66" i="4"/>
  <c r="B67" i="4"/>
  <c r="B58" i="4"/>
  <c r="B49" i="4"/>
  <c r="C49" i="4"/>
  <c r="D49" i="4"/>
  <c r="E49" i="4"/>
  <c r="C48" i="4"/>
  <c r="D48" i="4"/>
  <c r="E48" i="4"/>
  <c r="B48" i="4"/>
  <c r="B42" i="4"/>
  <c r="C42" i="4"/>
  <c r="D42" i="4"/>
  <c r="E42" i="4"/>
  <c r="C41" i="4"/>
  <c r="D41" i="4"/>
  <c r="E41" i="4"/>
  <c r="B41" i="4"/>
  <c r="B32" i="4"/>
  <c r="C32" i="4"/>
  <c r="D32" i="4"/>
  <c r="E32" i="4"/>
  <c r="C31" i="4"/>
  <c r="D31" i="4"/>
  <c r="E31" i="4"/>
  <c r="B31" i="4"/>
  <c r="B23" i="4"/>
  <c r="C23" i="4"/>
  <c r="D23" i="4"/>
  <c r="E23" i="4"/>
  <c r="B25" i="4"/>
  <c r="C25" i="4"/>
  <c r="D25" i="4"/>
  <c r="E25" i="4"/>
  <c r="B26" i="4"/>
  <c r="C26" i="4"/>
  <c r="C15" i="4"/>
  <c r="D15" i="4"/>
  <c r="E15" i="4"/>
  <c r="C16" i="4"/>
  <c r="D16" i="4"/>
  <c r="E16" i="4"/>
  <c r="C17" i="4"/>
  <c r="D17" i="4"/>
  <c r="E17" i="4"/>
  <c r="C18" i="4"/>
  <c r="D18" i="4"/>
  <c r="E18" i="4"/>
  <c r="C19" i="4"/>
  <c r="D19" i="4"/>
  <c r="E19" i="4"/>
  <c r="B16" i="4"/>
  <c r="B17" i="4"/>
  <c r="B18" i="4"/>
  <c r="B19" i="4"/>
  <c r="B15" i="4"/>
  <c r="B10" i="4"/>
  <c r="C10" i="4"/>
  <c r="D10" i="4"/>
  <c r="E10" i="4"/>
  <c r="C9" i="4"/>
  <c r="D9" i="4"/>
  <c r="E9" i="4"/>
  <c r="B9" i="4"/>
  <c r="B48" i="3"/>
  <c r="C48" i="3"/>
  <c r="D48" i="3"/>
  <c r="E48" i="3"/>
  <c r="F48" i="3"/>
  <c r="C47" i="3"/>
  <c r="D47" i="3"/>
  <c r="E47" i="3"/>
  <c r="F47" i="3"/>
  <c r="B47" i="3"/>
  <c r="B41" i="3"/>
  <c r="C41" i="3"/>
  <c r="D41" i="3"/>
  <c r="E41" i="3"/>
  <c r="F41" i="3"/>
  <c r="C40" i="3"/>
  <c r="D40" i="3"/>
  <c r="E40" i="3"/>
  <c r="F40" i="3"/>
  <c r="B40" i="3"/>
  <c r="B32" i="3"/>
  <c r="C32" i="3"/>
  <c r="D32" i="3"/>
  <c r="E32" i="3"/>
  <c r="F32" i="3"/>
  <c r="C31" i="3"/>
  <c r="D31" i="3"/>
  <c r="E31" i="3"/>
  <c r="F31" i="3"/>
  <c r="B31" i="3"/>
  <c r="F26" i="3"/>
  <c r="E26" i="3"/>
  <c r="D26" i="3"/>
  <c r="C26" i="3"/>
  <c r="B26" i="3"/>
  <c r="F25" i="3"/>
  <c r="E25" i="3"/>
  <c r="D25" i="3"/>
  <c r="C25" i="3"/>
  <c r="B25" i="3"/>
  <c r="F23" i="3"/>
  <c r="E23" i="3"/>
  <c r="D23" i="3"/>
  <c r="C23" i="3"/>
  <c r="B23" i="3"/>
  <c r="B16" i="3"/>
  <c r="C16" i="3"/>
  <c r="D16" i="3"/>
  <c r="E16" i="3"/>
  <c r="F16" i="3"/>
  <c r="B17" i="3"/>
  <c r="C17" i="3"/>
  <c r="D17" i="3"/>
  <c r="E17" i="3"/>
  <c r="F17" i="3"/>
  <c r="B18" i="3"/>
  <c r="C18" i="3"/>
  <c r="D18" i="3"/>
  <c r="E18" i="3"/>
  <c r="F18" i="3"/>
  <c r="B19" i="3"/>
  <c r="C19" i="3"/>
  <c r="D19" i="3"/>
  <c r="E19" i="3"/>
  <c r="F19" i="3"/>
  <c r="C15" i="3"/>
  <c r="D15" i="3"/>
  <c r="E15" i="3"/>
  <c r="F15" i="3"/>
  <c r="B15" i="3"/>
  <c r="C9" i="3"/>
  <c r="D9" i="3"/>
  <c r="E9" i="3"/>
  <c r="F9" i="3"/>
  <c r="C10" i="3"/>
  <c r="D10" i="3"/>
  <c r="E10" i="3"/>
  <c r="B10" i="3"/>
  <c r="B9" i="3"/>
  <c r="G20" i="3" l="1"/>
  <c r="G33" i="3"/>
  <c r="G127" i="1"/>
  <c r="G119" i="1"/>
  <c r="G133" i="1"/>
  <c r="G22" i="1"/>
  <c r="G161" i="1"/>
  <c r="G135" i="1"/>
  <c r="G87" i="1"/>
  <c r="G67" i="3" s="1"/>
  <c r="G121" i="1" l="1"/>
  <c r="G107" i="3" s="1"/>
  <c r="G24" i="1"/>
  <c r="G22" i="3"/>
  <c r="G70" i="3"/>
  <c r="G66" i="3"/>
  <c r="G65" i="3"/>
  <c r="G63" i="3"/>
  <c r="G64" i="3"/>
  <c r="G62" i="3"/>
  <c r="G80" i="3"/>
  <c r="G61" i="3"/>
  <c r="G60" i="3"/>
  <c r="G77" i="3"/>
  <c r="G59" i="3"/>
  <c r="G76" i="3"/>
  <c r="G58" i="3"/>
  <c r="G75" i="3"/>
  <c r="G57" i="3"/>
  <c r="G74" i="3"/>
  <c r="G73" i="3"/>
  <c r="G72" i="3"/>
  <c r="G71" i="3"/>
  <c r="G79" i="3"/>
  <c r="G134" i="1"/>
  <c r="G145" i="1" l="1"/>
  <c r="G24" i="3"/>
  <c r="G27" i="1"/>
  <c r="G34" i="1" s="1"/>
  <c r="G94" i="3"/>
  <c r="G93" i="3"/>
  <c r="G92" i="3"/>
  <c r="G91" i="3"/>
  <c r="G108" i="3"/>
  <c r="G86" i="3"/>
  <c r="G85" i="3"/>
  <c r="G106" i="3"/>
  <c r="G105" i="3"/>
  <c r="G104" i="3"/>
  <c r="G103" i="3"/>
  <c r="G102" i="3"/>
  <c r="G101" i="3"/>
  <c r="G100" i="3"/>
  <c r="G99" i="3"/>
  <c r="G95" i="3"/>
  <c r="G87" i="3"/>
  <c r="G36" i="1" l="1"/>
  <c r="G27" i="3"/>
  <c r="F106" i="2"/>
  <c r="E106" i="2"/>
  <c r="D106" i="2"/>
  <c r="C106" i="2"/>
  <c r="B106" i="2"/>
  <c r="F105" i="2"/>
  <c r="E105" i="2"/>
  <c r="D105" i="2"/>
  <c r="C105" i="2"/>
  <c r="B105" i="2"/>
  <c r="F104" i="2"/>
  <c r="E104" i="2"/>
  <c r="D104" i="2"/>
  <c r="C104" i="2"/>
  <c r="B104" i="2"/>
  <c r="F103" i="2"/>
  <c r="E103" i="2"/>
  <c r="D103" i="2"/>
  <c r="C103" i="2"/>
  <c r="B103" i="2"/>
  <c r="F102" i="2"/>
  <c r="E102" i="2"/>
  <c r="D102" i="2"/>
  <c r="C102" i="2"/>
  <c r="B102" i="2"/>
  <c r="F101" i="2"/>
  <c r="E101" i="2"/>
  <c r="D101" i="2"/>
  <c r="C101" i="2"/>
  <c r="B101" i="2"/>
  <c r="F100" i="2"/>
  <c r="E100" i="2"/>
  <c r="D100" i="2"/>
  <c r="C100" i="2"/>
  <c r="B100" i="2"/>
  <c r="F95" i="2"/>
  <c r="E95" i="2"/>
  <c r="D95" i="2"/>
  <c r="C95" i="2"/>
  <c r="B95" i="2"/>
  <c r="F94" i="2"/>
  <c r="E94" i="2"/>
  <c r="D94" i="2"/>
  <c r="C94" i="2"/>
  <c r="B94" i="2"/>
  <c r="F93" i="2"/>
  <c r="E93" i="2"/>
  <c r="D93" i="2"/>
  <c r="C93" i="2"/>
  <c r="B93" i="2"/>
  <c r="F92" i="2"/>
  <c r="E92" i="2"/>
  <c r="D92" i="2"/>
  <c r="C92" i="2"/>
  <c r="B92" i="2"/>
  <c r="C86" i="2"/>
  <c r="D86" i="2"/>
  <c r="E86" i="2"/>
  <c r="F86" i="2"/>
  <c r="C87" i="2"/>
  <c r="D87" i="2"/>
  <c r="E87" i="2"/>
  <c r="F87" i="2"/>
  <c r="B87" i="2"/>
  <c r="B86" i="2"/>
  <c r="B72" i="2"/>
  <c r="C72" i="2"/>
  <c r="D72" i="2"/>
  <c r="E72" i="2"/>
  <c r="F72" i="2"/>
  <c r="B73" i="2"/>
  <c r="C73" i="2"/>
  <c r="D73" i="2"/>
  <c r="E73" i="2"/>
  <c r="F73" i="2"/>
  <c r="B74" i="2"/>
  <c r="C74" i="2"/>
  <c r="D74" i="2"/>
  <c r="E74" i="2"/>
  <c r="F74" i="2"/>
  <c r="B75" i="2"/>
  <c r="C75" i="2"/>
  <c r="D75" i="2"/>
  <c r="E75" i="2"/>
  <c r="F75" i="2"/>
  <c r="B76" i="2"/>
  <c r="C76" i="2"/>
  <c r="D76" i="2"/>
  <c r="E76" i="2"/>
  <c r="F76" i="2"/>
  <c r="B77" i="2"/>
  <c r="C77" i="2"/>
  <c r="D77" i="2"/>
  <c r="E77" i="2"/>
  <c r="F77" i="2"/>
  <c r="B78" i="2"/>
  <c r="C78" i="2"/>
  <c r="D78" i="2"/>
  <c r="E78" i="2"/>
  <c r="F78" i="2"/>
  <c r="C71" i="2"/>
  <c r="D71" i="2"/>
  <c r="E71" i="2"/>
  <c r="F71" i="2"/>
  <c r="B71" i="2"/>
  <c r="B59" i="2"/>
  <c r="C59" i="2"/>
  <c r="D59" i="2"/>
  <c r="E59" i="2"/>
  <c r="F59" i="2"/>
  <c r="B60" i="2"/>
  <c r="C60" i="2"/>
  <c r="D60" i="2"/>
  <c r="E60" i="2"/>
  <c r="F60" i="2"/>
  <c r="B61" i="2"/>
  <c r="C61" i="2"/>
  <c r="D61" i="2"/>
  <c r="E61" i="2"/>
  <c r="F61" i="2"/>
  <c r="B62" i="2"/>
  <c r="C62" i="2"/>
  <c r="D62" i="2"/>
  <c r="E62" i="2"/>
  <c r="F62" i="2"/>
  <c r="B63" i="2"/>
  <c r="C63" i="2"/>
  <c r="D63" i="2"/>
  <c r="E63" i="2"/>
  <c r="F63" i="2"/>
  <c r="B64" i="2"/>
  <c r="C64" i="2"/>
  <c r="D64" i="2"/>
  <c r="E64" i="2"/>
  <c r="F64" i="2"/>
  <c r="B65" i="2"/>
  <c r="C65" i="2"/>
  <c r="D65" i="2"/>
  <c r="E65" i="2"/>
  <c r="F65" i="2"/>
  <c r="B66" i="2"/>
  <c r="C66" i="2"/>
  <c r="D66" i="2"/>
  <c r="E66" i="2"/>
  <c r="F66" i="2"/>
  <c r="B67" i="2"/>
  <c r="C67" i="2"/>
  <c r="D67" i="2"/>
  <c r="E67" i="2"/>
  <c r="F67" i="2"/>
  <c r="F58" i="2"/>
  <c r="E58" i="2"/>
  <c r="D58" i="2"/>
  <c r="C58" i="2"/>
  <c r="B58" i="2"/>
  <c r="F49" i="2"/>
  <c r="E49" i="2"/>
  <c r="D49" i="2"/>
  <c r="C49" i="2"/>
  <c r="B49" i="2"/>
  <c r="F48" i="2"/>
  <c r="E48" i="2"/>
  <c r="D48" i="2"/>
  <c r="C48" i="2"/>
  <c r="B48" i="2"/>
  <c r="F42" i="2"/>
  <c r="E42" i="2"/>
  <c r="D42" i="2"/>
  <c r="C42" i="2"/>
  <c r="B42" i="2"/>
  <c r="F41" i="2"/>
  <c r="E41" i="2"/>
  <c r="D41" i="2"/>
  <c r="C41" i="2"/>
  <c r="B41" i="2"/>
  <c r="F32" i="2"/>
  <c r="E32" i="2"/>
  <c r="D32" i="2"/>
  <c r="C32" i="2"/>
  <c r="B32" i="2"/>
  <c r="F31" i="2"/>
  <c r="E31" i="2"/>
  <c r="D31" i="2"/>
  <c r="C31" i="2"/>
  <c r="B31" i="2"/>
  <c r="C26" i="2"/>
  <c r="D26" i="2"/>
  <c r="E26" i="2"/>
  <c r="C25" i="2"/>
  <c r="D25" i="2"/>
  <c r="E25" i="2"/>
  <c r="C23" i="2"/>
  <c r="D23" i="2"/>
  <c r="E23" i="2"/>
  <c r="B23" i="2"/>
  <c r="B25" i="2"/>
  <c r="B26" i="2"/>
  <c r="C19" i="2"/>
  <c r="D19" i="2"/>
  <c r="E19" i="2"/>
  <c r="C18" i="2"/>
  <c r="D18" i="2"/>
  <c r="E18" i="2"/>
  <c r="C17" i="2"/>
  <c r="D17" i="2"/>
  <c r="E17" i="2"/>
  <c r="C16" i="2"/>
  <c r="D16" i="2"/>
  <c r="E16" i="2"/>
  <c r="C15" i="2"/>
  <c r="D15" i="2"/>
  <c r="E15" i="2"/>
  <c r="B16" i="2"/>
  <c r="B17" i="2"/>
  <c r="B18" i="2"/>
  <c r="B19" i="2"/>
  <c r="B15" i="2"/>
  <c r="C10" i="2"/>
  <c r="D10" i="2"/>
  <c r="E10" i="2"/>
  <c r="C9" i="2"/>
  <c r="D9" i="2"/>
  <c r="E9" i="2"/>
  <c r="F9" i="2"/>
  <c r="B10" i="2"/>
  <c r="B9" i="2"/>
  <c r="C85" i="1"/>
  <c r="D85" i="1"/>
  <c r="E85" i="1"/>
  <c r="F85" i="1"/>
  <c r="B85" i="1"/>
  <c r="B80" i="2" s="1"/>
  <c r="C168" i="1"/>
  <c r="D168" i="1"/>
  <c r="E168" i="1"/>
  <c r="F168" i="1"/>
  <c r="B168" i="1"/>
  <c r="G156" i="2" s="1"/>
  <c r="E156" i="2" l="1"/>
  <c r="D156" i="2"/>
  <c r="C156" i="2"/>
  <c r="B156" i="2"/>
  <c r="G80" i="2"/>
  <c r="D80" i="4"/>
  <c r="E80" i="4"/>
  <c r="F80" i="4"/>
  <c r="C80" i="4"/>
  <c r="B80" i="4"/>
  <c r="F80" i="2"/>
  <c r="G35" i="3"/>
  <c r="G167" i="1"/>
  <c r="G149" i="1"/>
  <c r="G45" i="1"/>
  <c r="E80" i="2"/>
  <c r="F156" i="2"/>
  <c r="D80" i="2"/>
  <c r="C80" i="2"/>
  <c r="D125" i="1"/>
  <c r="E125" i="1"/>
  <c r="F125" i="1"/>
  <c r="D124" i="1"/>
  <c r="E124" i="1"/>
  <c r="F124" i="1"/>
  <c r="D123" i="1"/>
  <c r="E123" i="1"/>
  <c r="F123" i="1"/>
  <c r="C125" i="1"/>
  <c r="C124" i="1"/>
  <c r="C123" i="1"/>
  <c r="B125" i="1"/>
  <c r="D156" i="1" l="1"/>
  <c r="F113" i="2"/>
  <c r="E113" i="2"/>
  <c r="D113" i="2"/>
  <c r="G113" i="2"/>
  <c r="B113" i="2"/>
  <c r="C156" i="1"/>
  <c r="G44" i="3"/>
  <c r="C113" i="2"/>
  <c r="F156" i="1"/>
  <c r="E156" i="1"/>
  <c r="B124" i="1"/>
  <c r="C112" i="2" s="1"/>
  <c r="B123" i="1"/>
  <c r="D111" i="2" s="1"/>
  <c r="C43" i="1"/>
  <c r="D43" i="1"/>
  <c r="E43" i="1"/>
  <c r="F43" i="1"/>
  <c r="B43" i="1"/>
  <c r="C33" i="1"/>
  <c r="D33" i="1"/>
  <c r="E33" i="1"/>
  <c r="F33" i="1"/>
  <c r="B33" i="1"/>
  <c r="C20" i="1"/>
  <c r="D20" i="1"/>
  <c r="E20" i="1"/>
  <c r="F20" i="1"/>
  <c r="B20" i="1"/>
  <c r="F111" i="2" l="1"/>
  <c r="E111" i="2"/>
  <c r="E112" i="2"/>
  <c r="E33" i="4"/>
  <c r="F33" i="3"/>
  <c r="F33" i="4"/>
  <c r="F33" i="2"/>
  <c r="F159" i="1"/>
  <c r="E43" i="4"/>
  <c r="F42" i="3"/>
  <c r="F43" i="4"/>
  <c r="F43" i="2"/>
  <c r="E159" i="1"/>
  <c r="E42" i="3"/>
  <c r="D43" i="4"/>
  <c r="E43" i="2"/>
  <c r="C160" i="1"/>
  <c r="C145" i="2"/>
  <c r="B160" i="1"/>
  <c r="G145" i="2"/>
  <c r="B145" i="2"/>
  <c r="B20" i="3"/>
  <c r="G20" i="2"/>
  <c r="B20" i="2"/>
  <c r="C42" i="3"/>
  <c r="B43" i="4"/>
  <c r="C43" i="2"/>
  <c r="C33" i="4"/>
  <c r="D33" i="3"/>
  <c r="D33" i="2"/>
  <c r="E160" i="1"/>
  <c r="E148" i="2" s="1"/>
  <c r="E145" i="2"/>
  <c r="C43" i="4"/>
  <c r="D42" i="3"/>
  <c r="D43" i="2"/>
  <c r="F160" i="1"/>
  <c r="F145" i="2"/>
  <c r="E158" i="1"/>
  <c r="C158" i="1"/>
  <c r="F158" i="1"/>
  <c r="F143" i="2"/>
  <c r="C111" i="2"/>
  <c r="D158" i="1"/>
  <c r="D33" i="4"/>
  <c r="E33" i="3"/>
  <c r="E33" i="2"/>
  <c r="B33" i="4"/>
  <c r="C33" i="3"/>
  <c r="C33" i="2"/>
  <c r="E143" i="2"/>
  <c r="G112" i="2"/>
  <c r="B112" i="2"/>
  <c r="C159" i="1"/>
  <c r="D160" i="1"/>
  <c r="D145" i="2"/>
  <c r="B42" i="3"/>
  <c r="G43" i="2"/>
  <c r="B43" i="2"/>
  <c r="B156" i="1"/>
  <c r="G111" i="2"/>
  <c r="B111" i="2"/>
  <c r="F112" i="2"/>
  <c r="E20" i="4"/>
  <c r="F20" i="3"/>
  <c r="F20" i="2"/>
  <c r="F20" i="4"/>
  <c r="E20" i="3"/>
  <c r="D20" i="4"/>
  <c r="E20" i="2"/>
  <c r="D112" i="2"/>
  <c r="D20" i="3"/>
  <c r="C20" i="4"/>
  <c r="D20" i="2"/>
  <c r="C20" i="3"/>
  <c r="B20" i="4"/>
  <c r="C20" i="2"/>
  <c r="B33" i="3"/>
  <c r="G33" i="2"/>
  <c r="B33" i="2"/>
  <c r="D159" i="1"/>
  <c r="C11" i="1"/>
  <c r="D11" i="1"/>
  <c r="D175" i="1" s="1"/>
  <c r="E11" i="1"/>
  <c r="F11" i="1"/>
  <c r="B11" i="1"/>
  <c r="C71" i="1"/>
  <c r="D71" i="1"/>
  <c r="E71" i="1"/>
  <c r="F71" i="1"/>
  <c r="C117" i="1"/>
  <c r="D117" i="1"/>
  <c r="E117" i="1"/>
  <c r="F117" i="1"/>
  <c r="C105" i="1"/>
  <c r="D105" i="1"/>
  <c r="E105" i="1"/>
  <c r="F105" i="1"/>
  <c r="C95" i="1"/>
  <c r="D95" i="1"/>
  <c r="E95" i="1"/>
  <c r="F95" i="1"/>
  <c r="B117" i="1"/>
  <c r="B105" i="1"/>
  <c r="B95" i="1"/>
  <c r="B71" i="1"/>
  <c r="D148" i="2" l="1"/>
  <c r="C143" i="2"/>
  <c r="F148" i="2"/>
  <c r="D143" i="2"/>
  <c r="C148" i="2"/>
  <c r="B129" i="1"/>
  <c r="B117" i="2" s="1"/>
  <c r="G88" i="2"/>
  <c r="B88" i="2"/>
  <c r="D161" i="1"/>
  <c r="G107" i="2"/>
  <c r="B107" i="2"/>
  <c r="B163" i="1"/>
  <c r="G68" i="2"/>
  <c r="B68" i="2"/>
  <c r="E163" i="1"/>
  <c r="E151" i="2" s="1"/>
  <c r="D68" i="4"/>
  <c r="E68" i="2"/>
  <c r="C163" i="1"/>
  <c r="B68" i="4"/>
  <c r="C68" i="2"/>
  <c r="F22" i="1"/>
  <c r="F11" i="4"/>
  <c r="E11" i="4"/>
  <c r="F11" i="2"/>
  <c r="F11" i="3"/>
  <c r="F161" i="1"/>
  <c r="B159" i="1"/>
  <c r="G144" i="2"/>
  <c r="B144" i="2"/>
  <c r="C88" i="4"/>
  <c r="D88" i="2"/>
  <c r="E22" i="1"/>
  <c r="E11" i="3"/>
  <c r="D11" i="4"/>
  <c r="E11" i="2"/>
  <c r="C144" i="2"/>
  <c r="C107" i="4"/>
  <c r="D107" i="2"/>
  <c r="F163" i="1"/>
  <c r="E68" i="4"/>
  <c r="F68" i="4"/>
  <c r="F68" i="2"/>
  <c r="G96" i="2"/>
  <c r="B96" i="2"/>
  <c r="D88" i="4"/>
  <c r="E88" i="2"/>
  <c r="B88" i="4"/>
  <c r="C88" i="2"/>
  <c r="D22" i="1"/>
  <c r="C11" i="4"/>
  <c r="D11" i="3"/>
  <c r="D11" i="2"/>
  <c r="C161" i="1"/>
  <c r="F144" i="2"/>
  <c r="B107" i="4"/>
  <c r="C107" i="2"/>
  <c r="E146" i="2"/>
  <c r="E161" i="1"/>
  <c r="D163" i="1"/>
  <c r="D151" i="2" s="1"/>
  <c r="C68" i="4"/>
  <c r="D68" i="2"/>
  <c r="E88" i="4"/>
  <c r="F88" i="4"/>
  <c r="G129" i="1"/>
  <c r="F88" i="2"/>
  <c r="C96" i="4"/>
  <c r="D96" i="2"/>
  <c r="D144" i="2"/>
  <c r="B158" i="1"/>
  <c r="D146" i="2" s="1"/>
  <c r="G143" i="2"/>
  <c r="B143" i="2"/>
  <c r="G148" i="2"/>
  <c r="B148" i="2"/>
  <c r="E144" i="2"/>
  <c r="B22" i="1"/>
  <c r="G11" i="2"/>
  <c r="B11" i="3"/>
  <c r="B11" i="2"/>
  <c r="E96" i="4"/>
  <c r="F96" i="4"/>
  <c r="F96" i="2"/>
  <c r="C22" i="1"/>
  <c r="C11" i="3"/>
  <c r="B11" i="4"/>
  <c r="C11" i="2"/>
  <c r="D96" i="4"/>
  <c r="E96" i="2"/>
  <c r="B96" i="4"/>
  <c r="C96" i="2"/>
  <c r="E107" i="4"/>
  <c r="F107" i="4"/>
  <c r="F107" i="2"/>
  <c r="D107" i="4"/>
  <c r="E107" i="2"/>
  <c r="D135" i="1"/>
  <c r="B140" i="1"/>
  <c r="B128" i="2" s="1"/>
  <c r="E135" i="1"/>
  <c r="B135" i="1"/>
  <c r="C135" i="1"/>
  <c r="F135" i="1"/>
  <c r="F133" i="1"/>
  <c r="B127" i="1"/>
  <c r="B133" i="1"/>
  <c r="E133" i="1"/>
  <c r="D133" i="1"/>
  <c r="C133" i="1"/>
  <c r="F129" i="1"/>
  <c r="F127" i="1"/>
  <c r="C127" i="1"/>
  <c r="C129" i="1"/>
  <c r="E87" i="1"/>
  <c r="E67" i="3" s="1"/>
  <c r="E127" i="1"/>
  <c r="D127" i="1"/>
  <c r="E129" i="1"/>
  <c r="E173" i="1" s="1"/>
  <c r="D129" i="1"/>
  <c r="D173" i="1" s="1"/>
  <c r="F119" i="1"/>
  <c r="E119" i="1"/>
  <c r="D119" i="1"/>
  <c r="D87" i="1"/>
  <c r="D67" i="3" s="1"/>
  <c r="B119" i="1"/>
  <c r="F87" i="1"/>
  <c r="F67" i="3" s="1"/>
  <c r="C87" i="1"/>
  <c r="C67" i="3" s="1"/>
  <c r="C119" i="1"/>
  <c r="B87" i="1"/>
  <c r="B67" i="3" s="1"/>
  <c r="B141" i="1" l="1"/>
  <c r="B129" i="2" s="1"/>
  <c r="C115" i="2"/>
  <c r="C123" i="2"/>
  <c r="C121" i="2"/>
  <c r="E121" i="2"/>
  <c r="D121" i="2"/>
  <c r="D123" i="2"/>
  <c r="F151" i="2"/>
  <c r="F123" i="2"/>
  <c r="F146" i="2"/>
  <c r="C146" i="2"/>
  <c r="D115" i="2"/>
  <c r="E115" i="2"/>
  <c r="G147" i="2"/>
  <c r="B147" i="2"/>
  <c r="E123" i="2"/>
  <c r="B24" i="1"/>
  <c r="B22" i="3"/>
  <c r="G22" i="2"/>
  <c r="B22" i="2"/>
  <c r="G151" i="2"/>
  <c r="B151" i="2"/>
  <c r="D24" i="1"/>
  <c r="C22" i="4"/>
  <c r="D22" i="3"/>
  <c r="D22" i="2"/>
  <c r="E147" i="2"/>
  <c r="B126" i="1"/>
  <c r="B114" i="2" s="1"/>
  <c r="B72" i="3"/>
  <c r="B74" i="3"/>
  <c r="B60" i="3"/>
  <c r="B73" i="3"/>
  <c r="B75" i="3"/>
  <c r="B58" i="3"/>
  <c r="B76" i="3"/>
  <c r="B59" i="3"/>
  <c r="B77" i="3"/>
  <c r="B70" i="3"/>
  <c r="B61" i="3"/>
  <c r="B63" i="3"/>
  <c r="B64" i="3"/>
  <c r="B66" i="3"/>
  <c r="B80" i="3"/>
  <c r="B57" i="3"/>
  <c r="B71" i="3"/>
  <c r="B62" i="3"/>
  <c r="B65" i="3"/>
  <c r="G81" i="2"/>
  <c r="B81" i="2"/>
  <c r="B79" i="3"/>
  <c r="G128" i="1"/>
  <c r="F115" i="2"/>
  <c r="D147" i="2"/>
  <c r="F140" i="1"/>
  <c r="F128" i="2" s="1"/>
  <c r="F117" i="2"/>
  <c r="F147" i="2"/>
  <c r="F24" i="1"/>
  <c r="E22" i="4"/>
  <c r="F22" i="2"/>
  <c r="F22" i="3"/>
  <c r="F22" i="4"/>
  <c r="F121" i="1"/>
  <c r="F107" i="3" s="1"/>
  <c r="E108" i="4"/>
  <c r="F108" i="4"/>
  <c r="F108" i="2"/>
  <c r="G123" i="2"/>
  <c r="B123" i="2"/>
  <c r="E71" i="3"/>
  <c r="E75" i="3"/>
  <c r="E60" i="3"/>
  <c r="D81" i="4"/>
  <c r="E70" i="3"/>
  <c r="E74" i="3"/>
  <c r="E59" i="3"/>
  <c r="E63" i="3"/>
  <c r="E64" i="3"/>
  <c r="E72" i="3"/>
  <c r="E76" i="3"/>
  <c r="E57" i="3"/>
  <c r="E61" i="3"/>
  <c r="E65" i="3"/>
  <c r="E80" i="3"/>
  <c r="E73" i="3"/>
  <c r="E58" i="3"/>
  <c r="E66" i="3"/>
  <c r="E77" i="3"/>
  <c r="E62" i="3"/>
  <c r="E81" i="2"/>
  <c r="E79" i="3"/>
  <c r="E141" i="1"/>
  <c r="E129" i="2" s="1"/>
  <c r="E117" i="2"/>
  <c r="B121" i="1"/>
  <c r="B107" i="3" s="1"/>
  <c r="G108" i="2"/>
  <c r="B108" i="2"/>
  <c r="E24" i="1"/>
  <c r="D22" i="4"/>
  <c r="E22" i="3"/>
  <c r="E22" i="2"/>
  <c r="D141" i="1"/>
  <c r="D129" i="2" s="1"/>
  <c r="D117" i="2"/>
  <c r="G117" i="2"/>
  <c r="G141" i="1"/>
  <c r="G129" i="2" s="1"/>
  <c r="G140" i="1"/>
  <c r="G128" i="2" s="1"/>
  <c r="G170" i="1"/>
  <c r="G148" i="1"/>
  <c r="C147" i="2"/>
  <c r="C141" i="1"/>
  <c r="C129" i="2" s="1"/>
  <c r="C117" i="2"/>
  <c r="C65" i="3"/>
  <c r="C71" i="3"/>
  <c r="C75" i="3"/>
  <c r="C60" i="3"/>
  <c r="C64" i="3"/>
  <c r="C61" i="3"/>
  <c r="C72" i="3"/>
  <c r="C76" i="3"/>
  <c r="C57" i="3"/>
  <c r="C80" i="3"/>
  <c r="C73" i="3"/>
  <c r="C77" i="3"/>
  <c r="C58" i="3"/>
  <c r="C62" i="3"/>
  <c r="C66" i="3"/>
  <c r="B81" i="4"/>
  <c r="C70" i="3"/>
  <c r="C74" i="3"/>
  <c r="C59" i="3"/>
  <c r="C63" i="3"/>
  <c r="C81" i="2"/>
  <c r="C79" i="3"/>
  <c r="F63" i="3"/>
  <c r="E81" i="4"/>
  <c r="F70" i="3"/>
  <c r="F59" i="3"/>
  <c r="F71" i="3"/>
  <c r="F75" i="3"/>
  <c r="F60" i="3"/>
  <c r="F64" i="3"/>
  <c r="F72" i="3"/>
  <c r="F57" i="3"/>
  <c r="F65" i="3"/>
  <c r="F73" i="3"/>
  <c r="F77" i="3"/>
  <c r="F62" i="3"/>
  <c r="F66" i="3"/>
  <c r="F80" i="3"/>
  <c r="F58" i="3"/>
  <c r="F74" i="3"/>
  <c r="F76" i="3"/>
  <c r="F61" i="3"/>
  <c r="G126" i="1"/>
  <c r="F81" i="4"/>
  <c r="F81" i="2"/>
  <c r="F79" i="3"/>
  <c r="G146" i="2"/>
  <c r="B146" i="2"/>
  <c r="B161" i="1"/>
  <c r="E149" i="2" s="1"/>
  <c r="C24" i="1"/>
  <c r="B22" i="4"/>
  <c r="C22" i="3"/>
  <c r="C22" i="2"/>
  <c r="C81" i="4"/>
  <c r="D70" i="3"/>
  <c r="D74" i="3"/>
  <c r="D59" i="3"/>
  <c r="D63" i="3"/>
  <c r="D75" i="3"/>
  <c r="D71" i="3"/>
  <c r="D60" i="3"/>
  <c r="D64" i="3"/>
  <c r="D72" i="3"/>
  <c r="D76" i="3"/>
  <c r="D57" i="3"/>
  <c r="D61" i="3"/>
  <c r="D65" i="3"/>
  <c r="D73" i="3"/>
  <c r="D77" i="3"/>
  <c r="D58" i="3"/>
  <c r="D62" i="3"/>
  <c r="D66" i="3"/>
  <c r="D80" i="3"/>
  <c r="D81" i="2"/>
  <c r="D79" i="3"/>
  <c r="G121" i="2"/>
  <c r="B121" i="2"/>
  <c r="C151" i="2"/>
  <c r="C121" i="1"/>
  <c r="C107" i="3" s="1"/>
  <c r="B108" i="4"/>
  <c r="C108" i="2"/>
  <c r="D121" i="1"/>
  <c r="D107" i="3" s="1"/>
  <c r="C108" i="4"/>
  <c r="D108" i="2"/>
  <c r="B128" i="1"/>
  <c r="G115" i="2"/>
  <c r="B115" i="2"/>
  <c r="E121" i="1"/>
  <c r="D108" i="4"/>
  <c r="E108" i="2"/>
  <c r="F121" i="2"/>
  <c r="F141" i="1"/>
  <c r="F129" i="2" s="1"/>
  <c r="E140" i="1"/>
  <c r="E128" i="2" s="1"/>
  <c r="C128" i="1"/>
  <c r="E134" i="1"/>
  <c r="D134" i="1"/>
  <c r="D140" i="1"/>
  <c r="D128" i="2" s="1"/>
  <c r="F126" i="1"/>
  <c r="C140" i="1"/>
  <c r="C128" i="2" s="1"/>
  <c r="B134" i="1"/>
  <c r="C134" i="1"/>
  <c r="F134" i="1"/>
  <c r="F128" i="1"/>
  <c r="C126" i="1"/>
  <c r="E128" i="1"/>
  <c r="D128" i="1"/>
  <c r="D126" i="1"/>
  <c r="D174" i="1" s="1"/>
  <c r="E126" i="1"/>
  <c r="E174" i="1" s="1"/>
  <c r="F114" i="2" l="1"/>
  <c r="E114" i="2"/>
  <c r="D114" i="2"/>
  <c r="B138" i="1"/>
  <c r="B126" i="2" s="1"/>
  <c r="B151" i="1"/>
  <c r="B139" i="2" s="1"/>
  <c r="B150" i="1"/>
  <c r="B138" i="2" s="1"/>
  <c r="B139" i="1"/>
  <c r="B127" i="2" s="1"/>
  <c r="F122" i="2"/>
  <c r="E122" i="2"/>
  <c r="C122" i="2"/>
  <c r="D122" i="2"/>
  <c r="C114" i="2"/>
  <c r="B164" i="1"/>
  <c r="B152" i="2" s="1"/>
  <c r="G138" i="1"/>
  <c r="G126" i="2" s="1"/>
  <c r="G114" i="2"/>
  <c r="G151" i="1"/>
  <c r="G139" i="2" s="1"/>
  <c r="G164" i="1"/>
  <c r="G139" i="1"/>
  <c r="G150" i="1"/>
  <c r="G169" i="1"/>
  <c r="E94" i="3"/>
  <c r="E101" i="3"/>
  <c r="E100" i="3"/>
  <c r="E104" i="3"/>
  <c r="E108" i="3"/>
  <c r="E91" i="3"/>
  <c r="E105" i="3"/>
  <c r="E93" i="3"/>
  <c r="E85" i="3"/>
  <c r="E102" i="3"/>
  <c r="D109" i="4"/>
  <c r="E86" i="3"/>
  <c r="E99" i="3"/>
  <c r="E92" i="3"/>
  <c r="E103" i="3"/>
  <c r="E109" i="2"/>
  <c r="E106" i="3"/>
  <c r="E87" i="3"/>
  <c r="E95" i="3"/>
  <c r="F145" i="1"/>
  <c r="F24" i="2"/>
  <c r="E24" i="4"/>
  <c r="F24" i="3"/>
  <c r="F24" i="4"/>
  <c r="F27" i="1"/>
  <c r="F34" i="1" s="1"/>
  <c r="D145" i="1"/>
  <c r="D24" i="3"/>
  <c r="C24" i="4"/>
  <c r="D24" i="2"/>
  <c r="D27" i="1"/>
  <c r="D34" i="1" s="1"/>
  <c r="B162" i="1"/>
  <c r="B150" i="2" s="1"/>
  <c r="B116" i="2"/>
  <c r="E162" i="1"/>
  <c r="E116" i="2"/>
  <c r="F162" i="1"/>
  <c r="F116" i="2"/>
  <c r="D100" i="3"/>
  <c r="D104" i="3"/>
  <c r="D108" i="3"/>
  <c r="D91" i="3"/>
  <c r="D101" i="3"/>
  <c r="D105" i="3"/>
  <c r="D85" i="3"/>
  <c r="D102" i="3"/>
  <c r="D93" i="3"/>
  <c r="C109" i="4"/>
  <c r="D86" i="3"/>
  <c r="D92" i="3"/>
  <c r="D99" i="3"/>
  <c r="D103" i="3"/>
  <c r="D94" i="3"/>
  <c r="D109" i="2"/>
  <c r="D87" i="3"/>
  <c r="D95" i="3"/>
  <c r="D106" i="3"/>
  <c r="E145" i="1"/>
  <c r="E24" i="3"/>
  <c r="D24" i="4"/>
  <c r="E24" i="2"/>
  <c r="E27" i="1"/>
  <c r="E34" i="1" s="1"/>
  <c r="G162" i="1"/>
  <c r="G116" i="2"/>
  <c r="C145" i="1"/>
  <c r="C24" i="3"/>
  <c r="B24" i="4"/>
  <c r="C24" i="2"/>
  <c r="C27" i="1"/>
  <c r="C34" i="1" s="1"/>
  <c r="C162" i="1"/>
  <c r="C116" i="2"/>
  <c r="D162" i="1"/>
  <c r="D116" i="2"/>
  <c r="G149" i="2"/>
  <c r="B149" i="2"/>
  <c r="B145" i="1"/>
  <c r="B24" i="3"/>
  <c r="G24" i="2"/>
  <c r="B24" i="2"/>
  <c r="B27" i="1"/>
  <c r="B34" i="1" s="1"/>
  <c r="B92" i="3"/>
  <c r="B86" i="3"/>
  <c r="B91" i="3"/>
  <c r="B104" i="3"/>
  <c r="B100" i="3"/>
  <c r="B102" i="3"/>
  <c r="B101" i="3"/>
  <c r="B85" i="3"/>
  <c r="B103" i="3"/>
  <c r="B105" i="3"/>
  <c r="B108" i="3"/>
  <c r="B93" i="3"/>
  <c r="B99" i="3"/>
  <c r="B94" i="3"/>
  <c r="G109" i="2"/>
  <c r="B109" i="2"/>
  <c r="B95" i="3"/>
  <c r="B87" i="3"/>
  <c r="B106" i="3"/>
  <c r="F149" i="2"/>
  <c r="F108" i="3"/>
  <c r="F94" i="3"/>
  <c r="F91" i="3"/>
  <c r="F100" i="3"/>
  <c r="F93" i="3"/>
  <c r="F102" i="3"/>
  <c r="F101" i="3"/>
  <c r="F105" i="3"/>
  <c r="F85" i="3"/>
  <c r="F103" i="3"/>
  <c r="E109" i="4"/>
  <c r="F92" i="3"/>
  <c r="F86" i="3"/>
  <c r="F99" i="3"/>
  <c r="F104" i="3"/>
  <c r="F109" i="4"/>
  <c r="F109" i="2"/>
  <c r="F95" i="3"/>
  <c r="F106" i="3"/>
  <c r="F87" i="3"/>
  <c r="G122" i="2"/>
  <c r="B122" i="2"/>
  <c r="C93" i="3"/>
  <c r="C101" i="3"/>
  <c r="C105" i="3"/>
  <c r="C91" i="3"/>
  <c r="C85" i="3"/>
  <c r="C102" i="3"/>
  <c r="C86" i="3"/>
  <c r="B109" i="4"/>
  <c r="C99" i="3"/>
  <c r="C103" i="3"/>
  <c r="C94" i="3"/>
  <c r="C100" i="3"/>
  <c r="C104" i="3"/>
  <c r="C108" i="3"/>
  <c r="C92" i="3"/>
  <c r="C109" i="2"/>
  <c r="C106" i="3"/>
  <c r="C87" i="3"/>
  <c r="C95" i="3"/>
  <c r="E107" i="3"/>
  <c r="D149" i="2"/>
  <c r="C149" i="2"/>
  <c r="F138" i="1"/>
  <c r="F126" i="2" s="1"/>
  <c r="F151" i="1"/>
  <c r="F139" i="2" s="1"/>
  <c r="F150" i="1"/>
  <c r="F164" i="1"/>
  <c r="E150" i="1"/>
  <c r="E164" i="1"/>
  <c r="E151" i="1"/>
  <c r="E139" i="2" s="1"/>
  <c r="D150" i="1"/>
  <c r="D164" i="1"/>
  <c r="D151" i="1"/>
  <c r="D139" i="2" s="1"/>
  <c r="C164" i="1"/>
  <c r="C152" i="2" s="1"/>
  <c r="C151" i="1"/>
  <c r="C139" i="2" s="1"/>
  <c r="C150" i="1"/>
  <c r="F139" i="1"/>
  <c r="F127" i="2" s="1"/>
  <c r="D138" i="1"/>
  <c r="D139" i="1"/>
  <c r="D127" i="2" s="1"/>
  <c r="E138" i="1"/>
  <c r="E126" i="2" s="1"/>
  <c r="E139" i="1"/>
  <c r="E127" i="2" s="1"/>
  <c r="C139" i="1"/>
  <c r="C127" i="2" s="1"/>
  <c r="C138" i="1"/>
  <c r="C126" i="2" s="1"/>
  <c r="D138" i="2" l="1"/>
  <c r="E138" i="2"/>
  <c r="F138" i="2"/>
  <c r="C138" i="2"/>
  <c r="D152" i="2"/>
  <c r="D126" i="2"/>
  <c r="C133" i="2"/>
  <c r="G127" i="2"/>
  <c r="G150" i="2"/>
  <c r="G152" i="2"/>
  <c r="E152" i="2"/>
  <c r="F152" i="2"/>
  <c r="E150" i="2"/>
  <c r="C150" i="2"/>
  <c r="F133" i="2"/>
  <c r="F150" i="2"/>
  <c r="D150" i="2"/>
  <c r="E133" i="2"/>
  <c r="F27" i="3"/>
  <c r="E27" i="4"/>
  <c r="F27" i="2"/>
  <c r="F27" i="4"/>
  <c r="F36" i="1"/>
  <c r="G138" i="2"/>
  <c r="G152" i="1"/>
  <c r="C27" i="4"/>
  <c r="D27" i="3"/>
  <c r="D27" i="2"/>
  <c r="D36" i="1"/>
  <c r="D27" i="4"/>
  <c r="E27" i="3"/>
  <c r="E27" i="2"/>
  <c r="E36" i="1"/>
  <c r="C27" i="3"/>
  <c r="B27" i="4"/>
  <c r="C27" i="2"/>
  <c r="C36" i="1"/>
  <c r="B27" i="3"/>
  <c r="B27" i="2"/>
  <c r="G27" i="2"/>
  <c r="B36" i="1"/>
  <c r="B133" i="2"/>
  <c r="G133" i="2"/>
  <c r="D133" i="2"/>
  <c r="C36" i="4" l="1"/>
  <c r="D35" i="3"/>
  <c r="D36" i="2"/>
  <c r="D45" i="1"/>
  <c r="D169" i="1"/>
  <c r="D148" i="1"/>
  <c r="D167" i="1"/>
  <c r="D170" i="1"/>
  <c r="D158" i="2" s="1"/>
  <c r="D149" i="1"/>
  <c r="D34" i="4"/>
  <c r="E34" i="2"/>
  <c r="C34" i="4"/>
  <c r="D34" i="2"/>
  <c r="B35" i="3"/>
  <c r="B36" i="2"/>
  <c r="G36" i="2"/>
  <c r="B170" i="1"/>
  <c r="B149" i="1"/>
  <c r="B169" i="1"/>
  <c r="B45" i="1"/>
  <c r="B148" i="1"/>
  <c r="B167" i="1"/>
  <c r="G34" i="2"/>
  <c r="B34" i="2"/>
  <c r="B36" i="4"/>
  <c r="C35" i="3"/>
  <c r="C36" i="2"/>
  <c r="C148" i="1"/>
  <c r="C136" i="2" s="1"/>
  <c r="C167" i="1"/>
  <c r="C155" i="2" s="1"/>
  <c r="C169" i="1"/>
  <c r="C45" i="1"/>
  <c r="C170" i="1"/>
  <c r="C149" i="1"/>
  <c r="E36" i="4"/>
  <c r="F35" i="3"/>
  <c r="F36" i="2"/>
  <c r="F36" i="4"/>
  <c r="F45" i="1"/>
  <c r="F148" i="1"/>
  <c r="F136" i="2" s="1"/>
  <c r="F167" i="1"/>
  <c r="F155" i="2" s="1"/>
  <c r="F149" i="1"/>
  <c r="F170" i="1"/>
  <c r="F158" i="2" s="1"/>
  <c r="F169" i="1"/>
  <c r="B34" i="4"/>
  <c r="C34" i="2"/>
  <c r="E35" i="3"/>
  <c r="D36" i="4"/>
  <c r="E36" i="2"/>
  <c r="E149" i="1"/>
  <c r="E170" i="1"/>
  <c r="E158" i="2" s="1"/>
  <c r="E45" i="1"/>
  <c r="E167" i="1"/>
  <c r="E148" i="1"/>
  <c r="E169" i="1"/>
  <c r="E34" i="4"/>
  <c r="F34" i="4"/>
  <c r="F34" i="2"/>
  <c r="D136" i="2" l="1"/>
  <c r="F157" i="2"/>
  <c r="D155" i="2"/>
  <c r="C157" i="2"/>
  <c r="D157" i="2"/>
  <c r="E136" i="2"/>
  <c r="E157" i="2"/>
  <c r="F137" i="2"/>
  <c r="F152" i="1"/>
  <c r="D137" i="2"/>
  <c r="D152" i="1"/>
  <c r="B45" i="4"/>
  <c r="C44" i="3"/>
  <c r="C45" i="2"/>
  <c r="E45" i="4"/>
  <c r="F44" i="3"/>
  <c r="F45" i="2"/>
  <c r="F45" i="4"/>
  <c r="B136" i="2"/>
  <c r="G136" i="2"/>
  <c r="D45" i="4"/>
  <c r="E44" i="3"/>
  <c r="E45" i="2"/>
  <c r="B157" i="2"/>
  <c r="G157" i="2"/>
  <c r="C45" i="4"/>
  <c r="D44" i="3"/>
  <c r="D45" i="2"/>
  <c r="B152" i="1"/>
  <c r="B137" i="2"/>
  <c r="G137" i="2"/>
  <c r="E155" i="2"/>
  <c r="B158" i="2"/>
  <c r="G158" i="2"/>
  <c r="B155" i="2"/>
  <c r="G155" i="2"/>
  <c r="B44" i="3"/>
  <c r="B45" i="2"/>
  <c r="G45" i="2"/>
  <c r="E152" i="1"/>
  <c r="E137" i="2"/>
  <c r="C137" i="2"/>
  <c r="C152" i="1"/>
  <c r="C158" i="2"/>
  <c r="D140" i="2" l="1"/>
  <c r="B140" i="2"/>
  <c r="G140" i="2"/>
  <c r="C140" i="2"/>
  <c r="F140" i="2"/>
  <c r="E140" i="2"/>
</calcChain>
</file>

<file path=xl/sharedStrings.xml><?xml version="1.0" encoding="utf-8"?>
<sst xmlns="http://schemas.openxmlformats.org/spreadsheetml/2006/main" count="525" uniqueCount="198">
  <si>
    <t>ASSETS</t>
  </si>
  <si>
    <t>NON CURRENT ASSETS</t>
  </si>
  <si>
    <t>PROPERTY , PLANT AND EQUIPMENT</t>
  </si>
  <si>
    <t>RIGHT OF USE ASSETS</t>
  </si>
  <si>
    <t>CAPITAL WORK IN PROGRESS</t>
  </si>
  <si>
    <t>GOODWILL</t>
  </si>
  <si>
    <t>OTHER INTANGIBLE ASSETS</t>
  </si>
  <si>
    <t>INVESTMENTS</t>
  </si>
  <si>
    <t>LOANS</t>
  </si>
  <si>
    <t>OTHER FINANCIAL ASSETS</t>
  </si>
  <si>
    <t>INCOME TAX ASSETS (NET)</t>
  </si>
  <si>
    <t>OTHER NON CURRENT ASSETS</t>
  </si>
  <si>
    <t>TOTAL NON CURRENT ASSETS</t>
  </si>
  <si>
    <t>CURRENT ASSETS</t>
  </si>
  <si>
    <t>TRADE RECEIVABLES</t>
  </si>
  <si>
    <t>CASH AND CASH EQUIVALENTS</t>
  </si>
  <si>
    <t>BANK BALANCES OTHER THAN CASH AND CASH EQUIVALENTS</t>
  </si>
  <si>
    <t>OTHER CURRENT ASSETS</t>
  </si>
  <si>
    <t>TOTAL CURRENT ASSETS</t>
  </si>
  <si>
    <t>INVENTORIES</t>
  </si>
  <si>
    <t>TOTAL ASSETS</t>
  </si>
  <si>
    <t>EQUITIES AND LIABILITES</t>
  </si>
  <si>
    <t>EQUITY</t>
  </si>
  <si>
    <t>EQUITY SHARE CAPITAL</t>
  </si>
  <si>
    <t>TOTAL EQUITY</t>
  </si>
  <si>
    <t>LIABILITIES</t>
  </si>
  <si>
    <t>NON CURRENT LIABILITIES</t>
  </si>
  <si>
    <t>LEASE LIABILITIES</t>
  </si>
  <si>
    <t>OTHER FINANCIAL LIABILITIES</t>
  </si>
  <si>
    <t>PROVISIONS</t>
  </si>
  <si>
    <t>DEFERRED TAX LIABILITIES(NET)</t>
  </si>
  <si>
    <t>TOTAL NON CURRENT LIABILITIES</t>
  </si>
  <si>
    <t>CURRENT LIABILITIES</t>
  </si>
  <si>
    <t>BORROWINGS</t>
  </si>
  <si>
    <t>TOTAL OUTSTANDING DUES OF MICRO ENTERPRISES AND SMALL ENTERPRISES</t>
  </si>
  <si>
    <t>TOTAL OUTSTANDING DUES OF CREDITORS OTHER THAN MICRO ENTERPRISES AND SMALL ENTERPRISES</t>
  </si>
  <si>
    <t>LEASE LIABILTIES</t>
  </si>
  <si>
    <t>OTHER CURRENT LIABILITIES</t>
  </si>
  <si>
    <t>CURRENT TAX LIABILITIES(NET)</t>
  </si>
  <si>
    <t>TOTAL CURRENT LIABILTIES</t>
  </si>
  <si>
    <t>TOTAL LIABILITIES</t>
  </si>
  <si>
    <t>TOTAL EQUITY AND LIABILITIES</t>
  </si>
  <si>
    <t>FINANCIAL STATEMENTS OF PIDILITE</t>
  </si>
  <si>
    <t>INCOME STATEMENT</t>
  </si>
  <si>
    <t>BALANCE SHEET</t>
  </si>
  <si>
    <t>PARTICULARS(AMOUNT IN CRORES OF INR)</t>
  </si>
  <si>
    <t>REVENUE FROM OPERATIONS</t>
  </si>
  <si>
    <t>OTHER INCOME</t>
  </si>
  <si>
    <t>TOTAL INCOME</t>
  </si>
  <si>
    <t>INCOME</t>
  </si>
  <si>
    <t>EXPENSES</t>
  </si>
  <si>
    <t>COST OF MATERIALS CONSUMED</t>
  </si>
  <si>
    <t>PURCHASES OF STOCK IN TRADE</t>
  </si>
  <si>
    <t>CHANGES IN INVENTORIES OF FINISHED GOODS, WORK IN PROGRESS, AND STOCK IN TRADE</t>
  </si>
  <si>
    <t>EMPLOYEE BENEFITS EXPENSE</t>
  </si>
  <si>
    <t>FINANCE COSTS</t>
  </si>
  <si>
    <t>DEPRECIATION, AMORTISATION AND IMPAIRMENT EXPENSE</t>
  </si>
  <si>
    <t>OTHER EXPENSE</t>
  </si>
  <si>
    <t>EBITDA</t>
  </si>
  <si>
    <t>EXCEPTIONAL ITEMS</t>
  </si>
  <si>
    <t>PROFIT BEFORE TAX</t>
  </si>
  <si>
    <t>TAX EXPENSE</t>
  </si>
  <si>
    <t>CURRENT TAX</t>
  </si>
  <si>
    <t>DEFERRED TAX</t>
  </si>
  <si>
    <t>TOTAL OTHER COMPREHENSIVE LOSS</t>
  </si>
  <si>
    <t>TOTAL COMPREHENSIVE INCOME FOR THE YEAR</t>
  </si>
  <si>
    <t>EARNINGS PER EQUITY SHARE</t>
  </si>
  <si>
    <t>BASIC</t>
  </si>
  <si>
    <t>DILUTED</t>
  </si>
  <si>
    <t>EBIT</t>
  </si>
  <si>
    <t>TOTAL EXPENSE BEFORE DEPRECIATION AND AMMORTISATION</t>
  </si>
  <si>
    <t>NET TAX EXPENSE</t>
  </si>
  <si>
    <t>OTHER COMPREHENSIVE INCOME</t>
  </si>
  <si>
    <t>ITEMS THAT WILL NOT BE RECLASSIFIED TO INCOME STATEMENT</t>
  </si>
  <si>
    <t>REMEASUREMENT OF DEFINED BENEFIT PLAN</t>
  </si>
  <si>
    <t>INCOME TAX RELATING TO ITEMS THAT WILL NOT RECLASSIFIED TO PROFIT OR LOSS</t>
  </si>
  <si>
    <t>AVERAGE RECEIVABLES</t>
  </si>
  <si>
    <t>AVERAGE INVENTORY</t>
  </si>
  <si>
    <t>AVERAGE PAYABLES</t>
  </si>
  <si>
    <t>AVERAGE TOTAL ASSETS</t>
  </si>
  <si>
    <t>WORKING CAPITAL ( CURRENT ASSETS - CURRENT LIABILITIES)</t>
  </si>
  <si>
    <t>AVERAGE WORKING CAPITAL</t>
  </si>
  <si>
    <t>AVERAGE SHAREHOLDER'S EQUITY</t>
  </si>
  <si>
    <t>LIQUIDITY MEASURES</t>
  </si>
  <si>
    <t>CURRENT RATIO (CA/CL)</t>
  </si>
  <si>
    <t>CASH RATIO (CASH AND EQUIVALENTS / CL)</t>
  </si>
  <si>
    <t>LEVERAGE MEASURES</t>
  </si>
  <si>
    <t>ASSETS TO EQUITY</t>
  </si>
  <si>
    <t>INTEREST COVERAGE MEASURES</t>
  </si>
  <si>
    <t>CASH COVERAGE (CASH FROM OPERATIONS / INT. EXP.)</t>
  </si>
  <si>
    <t>DUPONT ANALYSIS</t>
  </si>
  <si>
    <t>NET PROFIT MARGIN (PAT / SALES)</t>
  </si>
  <si>
    <t>TOTAL ASSET TURNOVER (SALES / AVG. TA)</t>
  </si>
  <si>
    <t>DUPONT CHECK</t>
  </si>
  <si>
    <t>ACTIVITY RATIOS</t>
  </si>
  <si>
    <t>RECEIVABLES TURNOVER (SALES / AVG. RECEIVABLES)</t>
  </si>
  <si>
    <t>PAYABLE TURNOVER (RM + EXCISE DUTY / AVG. AC PAYABLES)</t>
  </si>
  <si>
    <t>DAYS INVENTORY OUTSTANDING [AVG. INVENTORY / (COGS / 365)] OR 365 / INVENTORY TURNOVER</t>
  </si>
  <si>
    <t>RETURN ON EQUITY [PAT / AVG. SE]</t>
  </si>
  <si>
    <t>DAYS RECEIVABLES OUTSTANDING [AVG. AC RECEIVABLES / (SALES / 365)] OR 365 / RECEIVABLE TURNOVER</t>
  </si>
  <si>
    <t>DAYS PAYABLE OUTSTANDING [AVG. PAYABLES / (RM + EXCISE D / 365)] OR 365 / PAYABLE TURNOVER</t>
  </si>
  <si>
    <t>CASH CONVERSION CYCLE [DAYS INVENT + DAYS RECEIV. - DAYS PAYABLE]</t>
  </si>
  <si>
    <t>WORKING CAPITAL TURNOVER (SALES / AVG. WC)</t>
  </si>
  <si>
    <t>FIXED ASSET TURNOVER (SALES / TOTAL NON-CURRENT ASSETS)</t>
  </si>
  <si>
    <t>PROFITABILITY RATIOS</t>
  </si>
  <si>
    <t>GROSS PROFIT MARGIN (SALES - RM - EXCISE DUTY) / SALES</t>
  </si>
  <si>
    <t>RETURN ON TOTAL ASSETS [PAT + INT. EXP. (1 - TAX RATE)] / TOTAL AVG. ASSETS</t>
  </si>
  <si>
    <t>CASH PERFORMANCE RATIOS</t>
  </si>
  <si>
    <t>CASH RETURN ON EQUITY (CASH FROM OPERATIONS / AVG. SE)</t>
  </si>
  <si>
    <t>CASH RETURN ON ASSETS (CASH FROM OPERATIONS / AVG. TA)</t>
  </si>
  <si>
    <t>CASH RETURN TO REVENUE (CASH FROM OPERATIONS / SALES)</t>
  </si>
  <si>
    <t>RATIOS</t>
  </si>
  <si>
    <t>TAX RATE</t>
  </si>
  <si>
    <t>TOTAL PROFIT FOR THE YEAR ( PROFIT AFTER TAX)</t>
  </si>
  <si>
    <t>TOTAL DEBT TO TOTAL ASSETS [(CL + NCL) / AVG. TA]</t>
  </si>
  <si>
    <t>LONG TERM DEBT TO EQUITY RATIO (NCL / AVG. SE)</t>
  </si>
  <si>
    <t>TOTAL DEBT TO EQUITY RATIO [(CL + NCL) / AVG. SE]</t>
  </si>
  <si>
    <t>QUICK RATIO (CA - INVENTORY / CL)</t>
  </si>
  <si>
    <t>INTEREST COVERAGE (EBIT / FINANCE COSTS)</t>
  </si>
  <si>
    <t>ASSETS HELD FOR SALE</t>
  </si>
  <si>
    <t>TREND ANALYSIS</t>
  </si>
  <si>
    <t>COMMON SIZE FINANCIAL STATEMENT</t>
  </si>
  <si>
    <t>COMPARATIVE FINANCIAL STATEMENT (YEAR ON YEAR)</t>
  </si>
  <si>
    <t>CASH FLOW STATEMENT</t>
  </si>
  <si>
    <t>CASH FLOW</t>
  </si>
  <si>
    <t>OPERATING ACTIVITIES</t>
  </si>
  <si>
    <t>ADJUSTMENTS FOR :</t>
  </si>
  <si>
    <t>INTEREST INCOME</t>
  </si>
  <si>
    <t>DIVIDEND INCOME</t>
  </si>
  <si>
    <t>LOSS/(PROFIT) ON DISPOSAL OF PROPERTY , PLANT AND EQUIPMENT</t>
  </si>
  <si>
    <t>NET GAIN ARISING ON ASSETS DESIGNATED AS FVTPL</t>
  </si>
  <si>
    <t>ALLOWANCE FOR DOUBTFUL DEBTS</t>
  </si>
  <si>
    <t>ALLOWANCE FOR DOUBTFUL DEBTS WRITTEN BACK</t>
  </si>
  <si>
    <t>DEPRECIATION , AMMORTISATION AND IMPAIRMENT EXPENSE</t>
  </si>
  <si>
    <t>PROVISION FOR EMPLOYEE BENEFITS</t>
  </si>
  <si>
    <t>EXPENSE RECOGNISED IN RESPECT OF EQUITY SETTLED SHARE BASED PAYMENTS</t>
  </si>
  <si>
    <t>OPERATING PROFITS BEFORE WORKING CAPITAL CHANGES</t>
  </si>
  <si>
    <t>MOVEMENTS IN WORKING CAPITAL</t>
  </si>
  <si>
    <t>(INCREASE)/DECREASE IN OPERATING ASSETS</t>
  </si>
  <si>
    <t>NON-CURRENT LOANS</t>
  </si>
  <si>
    <t>CURRENT LOANS</t>
  </si>
  <si>
    <t>OTHER NON-CURRENT FINANCIAL ASSETS</t>
  </si>
  <si>
    <t>OTHER CURRENT FINANCIAL ASSETS</t>
  </si>
  <si>
    <t>OTHER NON CURRENT NON FINANCIAL ASSETS</t>
  </si>
  <si>
    <t>OTHER CURRENT NON FINANCIAL ASSETS</t>
  </si>
  <si>
    <t>TRADE PAYABLES</t>
  </si>
  <si>
    <t>OTHER CURRENT FINANCIAL LIABILITIES</t>
  </si>
  <si>
    <t>OTHER NON CURRENT FINANCIAL LIABILITIES</t>
  </si>
  <si>
    <t>OTHER CURRENT NON FINANCIAL LIABILITIES</t>
  </si>
  <si>
    <t>TAXES PAID (NET OF REFUNDS)</t>
  </si>
  <si>
    <t>CASH GENERATED FROM OPERATIONS</t>
  </si>
  <si>
    <t>INVESTING ACTIVITIES</t>
  </si>
  <si>
    <t>PAYMENTS FOR PURCHASE OF PROPERT,PLANT AND EQUIPMENT, OTHER INTANGIBLE ASSETS AND CAPITAL WORK-IN-PROGRESS</t>
  </si>
  <si>
    <t>PROCEEDS FROM DISPOSAL OF PROPERTY ,PLANT AND EQUIPMENT AND OTHER INTANGIBLE ASSETS</t>
  </si>
  <si>
    <t>NET CASH OUTFLOW ON ACQUISITION/INVESTMENT INSUBSIDIARIES</t>
  </si>
  <si>
    <t>PAYMENTS TO PURCHASE INVESTMENTS</t>
  </si>
  <si>
    <t>PROCEEDS ON SALE OF INVESTMENTS</t>
  </si>
  <si>
    <t>PAYMENT TOWARDS SHARE APPLICATION MONEY</t>
  </si>
  <si>
    <t>DECREASE/(INCREASE) IN BANK DEPOSITS</t>
  </si>
  <si>
    <t>(INCREASE)/DECREASE IN OTHER BANK BALANCES</t>
  </si>
  <si>
    <t>INTEREST RECEIVED</t>
  </si>
  <si>
    <t>DIVIDEND RECEIVED</t>
  </si>
  <si>
    <t>FINANCING ACTIVITES</t>
  </si>
  <si>
    <t>NET INCREASE IN CURRENT BORROWINGS</t>
  </si>
  <si>
    <t>PROCEEDS FROM ISSUE OF EQUITY SHARES OF THE COMPANY</t>
  </si>
  <si>
    <t>DIVIDEND PAID ON EQUITY SHARES( INCLUDING TAX THEREON)</t>
  </si>
  <si>
    <t>NET CASH (USED IN ) / GENERATED FROM FINANCING ACTIVITIES [C]</t>
  </si>
  <si>
    <t>NET CASH GENERATED FROM OPERATING ACTIVITIES [A]</t>
  </si>
  <si>
    <t>NET CASH (USED IN ) / GENERATED FROM INVESTING ACTIVITIES [B]</t>
  </si>
  <si>
    <t>NET INCREASE/(DECREASE) IN CASH AND CASH EQUIVALENTS [A+B+C]</t>
  </si>
  <si>
    <t>CASH AND CASH EQUIVALENTS AT THE END OF THE YEAR</t>
  </si>
  <si>
    <t>BANK UNREALISED GAIN</t>
  </si>
  <si>
    <t>NET (DECREASE)/INCREASE IN CASH  AND CASH EQUIVALENTS</t>
  </si>
  <si>
    <t>CASH AND CASH EQUIVALENTS AT THE BEGINNING OF THE YEAR</t>
  </si>
  <si>
    <t>ACQUISTION UNDER BUSINESS COMBINATION</t>
  </si>
  <si>
    <t>ACQUISITION UNDER BUSINESS COMBINATION</t>
  </si>
  <si>
    <t>UNREALISED GAIN ON FOREIGN CURRENCY CASH AND CASH EQUIVALENTS</t>
  </si>
  <si>
    <t>UNREALISED LOSS/(GAIN) ON FOREIGN CURRENCY CASH AND CASH EQUIVALENTS</t>
  </si>
  <si>
    <t>OTHER PROVISIONS</t>
  </si>
  <si>
    <t>LIABILITIES NO LONGER REQUIRED WRITTEN BACK</t>
  </si>
  <si>
    <t>LOANS GIVEN TO ASSOCIATE</t>
  </si>
  <si>
    <t>INTEREST PAID OTHER THAN LEASE LIABILITIES</t>
  </si>
  <si>
    <t>PROVISION IN RESPECT OF WRITE DOWN OF INVENTORIES</t>
  </si>
  <si>
    <t>EXCEPTIONAL ITEM - IMPAIRMENT IN VALUE OF ASSETS AND INVESTMENTS LOSS/(GAIN)</t>
  </si>
  <si>
    <t>UNREALISED FOREIGN EXCHANGE NET LOSS/(GAIN)</t>
  </si>
  <si>
    <t>GAIN ON BUYBACK OF SHARES BY SUBSIDIARY</t>
  </si>
  <si>
    <t>LOANS GIVEN TO SUBSIDIARY</t>
  </si>
  <si>
    <t>PAYMENT OF LEASE LIABILITES (PRINCIPAL PLUS INTEREST)</t>
  </si>
  <si>
    <t>SHAREHOLDERS</t>
  </si>
  <si>
    <t>HOLDING</t>
  </si>
  <si>
    <t>UTI,MUTUAL FUNDS,BANKS,INSURANCE COMPANIES</t>
  </si>
  <si>
    <t>FII'S AND FPI'S</t>
  </si>
  <si>
    <t>BODIES CORPORATE AND INDIAN PUBLIC</t>
  </si>
  <si>
    <t>PROMOTER AND PROMOTER GROUP</t>
  </si>
  <si>
    <t>INVENTORY TURNOVER [COGS (COST OF MATERIALS CONSUMED + PURCHASES OF STOCK IN TRADE + CHANGES IN INVENTORIES OF FINISHED GOODS , WORK IN PROGRESS , AND STOCK IN TRADE) / AVG. INVENTORY]</t>
  </si>
  <si>
    <t>GROSS PROFIT MARGIN (SALES - COGS) / SALES</t>
  </si>
  <si>
    <t>INVENTORY TURNOVER [COGS / AVG. INVENTORY]</t>
  </si>
  <si>
    <t>INCREASE/(DECREASE) IN OPERATING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</si>
</sst>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Book Antiqua"/>
      <family val="1"/>
    </font>
    <font>
      <b/>
      <sz val="11"/>
      <color rgb="FFFA7D00"/>
      <name val="Book Antiqua"/>
      <family val="1"/>
    </font>
    <font>
      <b/>
      <sz val="11"/>
      <color rgb="FF3F3F76"/>
      <name val="Book Antiqua"/>
      <family val="1"/>
    </font>
    <font>
      <sz val="11"/>
      <color rgb="FFFA7D00"/>
      <name val="Book Antiqua"/>
      <family val="1"/>
    </font>
    <font>
      <b/>
      <sz val="11"/>
      <color theme="3"/>
      <name val="Book Antiqua"/>
      <family val="1"/>
    </font>
    <font>
      <b/>
      <sz val="11"/>
      <color theme="1"/>
      <name val="Aptos Narrow"/>
      <family val="2"/>
      <scheme val="minor"/>
    </font>
    <font>
      <b/>
      <sz val="11"/>
      <color rgb="FF3F3F76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double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15">
    <xf numFmtId="0" fontId="0" fillId="9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3" applyNumberFormat="0" applyAlignment="0" applyProtection="0"/>
    <xf numFmtId="0" fontId="6" fillId="3" borderId="3" applyNumberFormat="0" applyAlignment="0" applyProtection="0"/>
    <xf numFmtId="0" fontId="7" fillId="0" borderId="4" applyNumberFormat="0" applyFill="0" applyAlignment="0" applyProtection="0"/>
    <xf numFmtId="0" fontId="8" fillId="4" borderId="5" applyNumberFormat="0" applyAlignment="0" applyProtection="0"/>
    <xf numFmtId="0" fontId="9" fillId="5" borderId="0" applyNumberFormat="0" applyBorder="0" applyAlignment="0" applyProtection="0"/>
    <xf numFmtId="0" fontId="1" fillId="6" borderId="0" applyNumberFormat="0" applyBorder="0" applyAlignment="0" applyProtection="0"/>
    <xf numFmtId="0" fontId="4" fillId="0" borderId="7" applyNumberFormat="0" applyFill="0" applyAlignment="0" applyProtection="0"/>
    <xf numFmtId="0" fontId="1" fillId="0" borderId="0"/>
    <xf numFmtId="2" fontId="10" fillId="0" borderId="0" applyBorder="0">
      <alignment horizontal="left"/>
    </xf>
    <xf numFmtId="0" fontId="1" fillId="8" borderId="19" applyNumberFormat="0" applyFont="0" applyAlignment="0" applyProtection="0"/>
    <xf numFmtId="9" fontId="1" fillId="0" borderId="0" applyFont="0" applyFill="0" applyBorder="0" applyAlignment="0" applyProtection="0"/>
  </cellStyleXfs>
  <cellXfs count="108">
    <xf numFmtId="0" fontId="0" fillId="9" borderId="0" xfId="0"/>
    <xf numFmtId="2" fontId="10" fillId="9" borderId="0" xfId="0" applyNumberFormat="1" applyFont="1" applyAlignment="1">
      <alignment horizontal="center"/>
    </xf>
    <xf numFmtId="2" fontId="10" fillId="9" borderId="0" xfId="0" applyNumberFormat="1" applyFont="1" applyAlignment="1">
      <alignment horizontal="left"/>
    </xf>
    <xf numFmtId="2" fontId="2" fillId="0" borderId="1" xfId="1" applyNumberFormat="1" applyAlignment="1">
      <alignment horizontal="left"/>
    </xf>
    <xf numFmtId="2" fontId="2" fillId="8" borderId="1" xfId="1" applyNumberFormat="1" applyFill="1" applyAlignment="1">
      <alignment horizontal="left"/>
    </xf>
    <xf numFmtId="2" fontId="10" fillId="7" borderId="6" xfId="0" applyNumberFormat="1" applyFont="1" applyFill="1" applyBorder="1" applyAlignment="1">
      <alignment horizontal="left"/>
    </xf>
    <xf numFmtId="2" fontId="12" fillId="5" borderId="6" xfId="8" applyNumberFormat="1" applyFont="1" applyBorder="1" applyAlignment="1">
      <alignment horizontal="left"/>
    </xf>
    <xf numFmtId="2" fontId="10" fillId="9" borderId="6" xfId="0" applyNumberFormat="1" applyFont="1" applyBorder="1" applyAlignment="1">
      <alignment horizontal="left"/>
    </xf>
    <xf numFmtId="2" fontId="11" fillId="6" borderId="6" xfId="9" applyNumberFormat="1" applyFont="1" applyBorder="1" applyAlignment="1">
      <alignment horizontal="left"/>
    </xf>
    <xf numFmtId="2" fontId="11" fillId="6" borderId="8" xfId="9" applyNumberFormat="1" applyFont="1" applyBorder="1" applyAlignment="1">
      <alignment horizontal="left"/>
    </xf>
    <xf numFmtId="2" fontId="10" fillId="9" borderId="8" xfId="0" applyNumberFormat="1" applyFont="1" applyBorder="1" applyAlignment="1">
      <alignment horizontal="left"/>
    </xf>
    <xf numFmtId="2" fontId="14" fillId="3" borderId="8" xfId="5" applyNumberFormat="1" applyFont="1" applyBorder="1" applyAlignment="1">
      <alignment horizontal="left"/>
    </xf>
    <xf numFmtId="2" fontId="17" fillId="0" borderId="8" xfId="2" applyNumberFormat="1" applyFont="1" applyBorder="1" applyAlignment="1">
      <alignment horizontal="left"/>
    </xf>
    <xf numFmtId="2" fontId="17" fillId="0" borderId="8" xfId="3" applyNumberFormat="1" applyFont="1" applyBorder="1" applyAlignment="1">
      <alignment horizontal="left"/>
    </xf>
    <xf numFmtId="2" fontId="10" fillId="7" borderId="8" xfId="0" applyNumberFormat="1" applyFont="1" applyFill="1" applyBorder="1" applyAlignment="1">
      <alignment horizontal="left"/>
    </xf>
    <xf numFmtId="15" fontId="11" fillId="6" borderId="6" xfId="9" applyNumberFormat="1" applyFont="1" applyBorder="1" applyAlignment="1">
      <alignment horizontal="center"/>
    </xf>
    <xf numFmtId="2" fontId="10" fillId="9" borderId="6" xfId="0" applyNumberFormat="1" applyFont="1" applyBorder="1" applyAlignment="1">
      <alignment horizontal="center"/>
    </xf>
    <xf numFmtId="2" fontId="11" fillId="9" borderId="6" xfId="0" applyNumberFormat="1" applyFont="1" applyBorder="1" applyAlignment="1">
      <alignment horizontal="center"/>
    </xf>
    <xf numFmtId="10" fontId="10" fillId="9" borderId="6" xfId="0" applyNumberFormat="1" applyFont="1" applyBorder="1" applyAlignment="1">
      <alignment horizontal="center"/>
    </xf>
    <xf numFmtId="2" fontId="12" fillId="5" borderId="0" xfId="8" applyNumberFormat="1" applyFont="1" applyBorder="1" applyAlignment="1">
      <alignment horizontal="left"/>
    </xf>
    <xf numFmtId="10" fontId="10" fillId="9" borderId="0" xfId="0" applyNumberFormat="1" applyFont="1" applyAlignment="1">
      <alignment horizontal="center"/>
    </xf>
    <xf numFmtId="2" fontId="16" fillId="0" borderId="0" xfId="6" applyNumberFormat="1" applyFont="1" applyBorder="1" applyAlignment="1">
      <alignment horizontal="center"/>
    </xf>
    <xf numFmtId="2" fontId="10" fillId="9" borderId="10" xfId="0" applyNumberFormat="1" applyFont="1" applyBorder="1" applyAlignment="1">
      <alignment horizontal="center"/>
    </xf>
    <xf numFmtId="2" fontId="11" fillId="6" borderId="12" xfId="9" applyNumberFormat="1" applyFont="1" applyBorder="1" applyAlignment="1">
      <alignment horizontal="left"/>
    </xf>
    <xf numFmtId="2" fontId="10" fillId="7" borderId="13" xfId="0" applyNumberFormat="1" applyFont="1" applyFill="1" applyBorder="1" applyAlignment="1">
      <alignment horizontal="left"/>
    </xf>
    <xf numFmtId="2" fontId="10" fillId="7" borderId="12" xfId="0" applyNumberFormat="1" applyFont="1" applyFill="1" applyBorder="1" applyAlignment="1">
      <alignment horizontal="left"/>
    </xf>
    <xf numFmtId="2" fontId="16" fillId="0" borderId="10" xfId="6" applyNumberFormat="1" applyFont="1" applyBorder="1" applyAlignment="1">
      <alignment horizontal="center"/>
    </xf>
    <xf numFmtId="10" fontId="11" fillId="9" borderId="6" xfId="0" applyNumberFormat="1" applyFont="1" applyBorder="1" applyAlignment="1">
      <alignment horizontal="center"/>
    </xf>
    <xf numFmtId="10" fontId="10" fillId="9" borderId="11" xfId="0" applyNumberFormat="1" applyFont="1" applyBorder="1" applyAlignment="1">
      <alignment horizontal="center"/>
    </xf>
    <xf numFmtId="2" fontId="10" fillId="9" borderId="12" xfId="0" applyNumberFormat="1" applyFont="1" applyBorder="1" applyAlignment="1">
      <alignment horizontal="left"/>
    </xf>
    <xf numFmtId="10" fontId="0" fillId="9" borderId="0" xfId="0" applyNumberFormat="1"/>
    <xf numFmtId="0" fontId="18" fillId="9" borderId="0" xfId="0" applyFont="1"/>
    <xf numFmtId="10" fontId="2" fillId="9" borderId="1" xfId="1" applyNumberFormat="1" applyFill="1" applyAlignment="1">
      <alignment horizontal="center"/>
    </xf>
    <xf numFmtId="2" fontId="10" fillId="9" borderId="14" xfId="0" applyNumberFormat="1" applyFont="1" applyBorder="1" applyAlignment="1">
      <alignment horizontal="left"/>
    </xf>
    <xf numFmtId="2" fontId="10" fillId="9" borderId="14" xfId="0" applyNumberFormat="1" applyFont="1" applyBorder="1" applyAlignment="1">
      <alignment horizontal="center"/>
    </xf>
    <xf numFmtId="10" fontId="10" fillId="9" borderId="10" xfId="0" applyNumberFormat="1" applyFont="1" applyBorder="1" applyAlignment="1">
      <alignment horizontal="center"/>
    </xf>
    <xf numFmtId="2" fontId="3" fillId="0" borderId="6" xfId="2" applyNumberFormat="1" applyBorder="1" applyAlignment="1">
      <alignment horizontal="left"/>
    </xf>
    <xf numFmtId="10" fontId="3" fillId="9" borderId="6" xfId="2" applyNumberFormat="1" applyFill="1" applyBorder="1" applyAlignment="1">
      <alignment horizontal="center"/>
    </xf>
    <xf numFmtId="2" fontId="14" fillId="3" borderId="6" xfId="5" applyNumberFormat="1" applyFont="1" applyBorder="1" applyAlignment="1">
      <alignment horizontal="left"/>
    </xf>
    <xf numFmtId="10" fontId="2" fillId="8" borderId="1" xfId="1" applyNumberFormat="1" applyFill="1" applyAlignment="1">
      <alignment horizontal="center"/>
    </xf>
    <xf numFmtId="2" fontId="17" fillId="6" borderId="13" xfId="10" applyNumberFormat="1" applyFont="1" applyFill="1" applyBorder="1" applyAlignment="1">
      <alignment horizontal="left"/>
    </xf>
    <xf numFmtId="15" fontId="11" fillId="6" borderId="11" xfId="9" applyNumberFormat="1" applyFont="1" applyBorder="1" applyAlignment="1">
      <alignment horizontal="center"/>
    </xf>
    <xf numFmtId="2" fontId="10" fillId="9" borderId="13" xfId="0" applyNumberFormat="1" applyFont="1" applyBorder="1" applyAlignment="1">
      <alignment horizontal="left"/>
    </xf>
    <xf numFmtId="2" fontId="11" fillId="6" borderId="11" xfId="9" applyNumberFormat="1" applyFont="1" applyBorder="1" applyAlignment="1">
      <alignment horizontal="left"/>
    </xf>
    <xf numFmtId="10" fontId="10" fillId="9" borderId="9" xfId="0" applyNumberFormat="1" applyFont="1" applyBorder="1" applyAlignment="1">
      <alignment horizontal="center"/>
    </xf>
    <xf numFmtId="15" fontId="11" fillId="6" borderId="10" xfId="9" applyNumberFormat="1" applyFont="1" applyBorder="1" applyAlignment="1">
      <alignment horizontal="center"/>
    </xf>
    <xf numFmtId="0" fontId="3" fillId="8" borderId="2" xfId="2" applyFill="1"/>
    <xf numFmtId="2" fontId="13" fillId="5" borderId="0" xfId="8" applyNumberFormat="1" applyFont="1" applyBorder="1" applyAlignment="1">
      <alignment horizontal="left"/>
    </xf>
    <xf numFmtId="2" fontId="0" fillId="9" borderId="0" xfId="0" applyNumberFormat="1" applyAlignment="1">
      <alignment horizontal="center"/>
    </xf>
    <xf numFmtId="15" fontId="18" fillId="6" borderId="6" xfId="9" applyNumberFormat="1" applyFont="1" applyBorder="1" applyAlignment="1">
      <alignment horizontal="center"/>
    </xf>
    <xf numFmtId="2" fontId="2" fillId="9" borderId="1" xfId="1" applyNumberFormat="1" applyFill="1" applyAlignment="1">
      <alignment horizontal="center"/>
    </xf>
    <xf numFmtId="2" fontId="0" fillId="9" borderId="6" xfId="0" applyNumberFormat="1" applyBorder="1" applyAlignment="1">
      <alignment horizontal="center"/>
    </xf>
    <xf numFmtId="2" fontId="6" fillId="3" borderId="3" xfId="5" applyNumberFormat="1" applyAlignment="1">
      <alignment horizontal="center"/>
    </xf>
    <xf numFmtId="2" fontId="6" fillId="3" borderId="6" xfId="5" applyNumberFormat="1" applyBorder="1" applyAlignment="1">
      <alignment horizontal="center"/>
    </xf>
    <xf numFmtId="2" fontId="3" fillId="3" borderId="2" xfId="2" applyNumberFormat="1" applyFill="1" applyAlignment="1">
      <alignment horizontal="center"/>
    </xf>
    <xf numFmtId="0" fontId="0" fillId="9" borderId="0" xfId="0" applyAlignment="1">
      <alignment horizontal="left"/>
    </xf>
    <xf numFmtId="0" fontId="18" fillId="6" borderId="20" xfId="9" applyFont="1" applyBorder="1" applyAlignment="1">
      <alignment horizontal="left"/>
    </xf>
    <xf numFmtId="0" fontId="2" fillId="8" borderId="1" xfId="1" applyFill="1" applyAlignment="1">
      <alignment horizontal="left"/>
    </xf>
    <xf numFmtId="0" fontId="18" fillId="9" borderId="0" xfId="0" applyFont="1" applyAlignment="1">
      <alignment horizontal="left"/>
    </xf>
    <xf numFmtId="0" fontId="6" fillId="9" borderId="4" xfId="6" applyFont="1" applyFill="1" applyAlignment="1">
      <alignment horizontal="left"/>
    </xf>
    <xf numFmtId="0" fontId="19" fillId="2" borderId="21" xfId="4" applyFont="1" applyBorder="1" applyAlignment="1">
      <alignment horizontal="left"/>
    </xf>
    <xf numFmtId="0" fontId="6" fillId="3" borderId="3" xfId="5" applyAlignment="1">
      <alignment horizontal="left"/>
    </xf>
    <xf numFmtId="0" fontId="19" fillId="2" borderId="3" xfId="4" applyFont="1" applyAlignment="1">
      <alignment horizontal="left"/>
    </xf>
    <xf numFmtId="0" fontId="6" fillId="3" borderId="6" xfId="5" applyBorder="1" applyAlignment="1">
      <alignment horizontal="left"/>
    </xf>
    <xf numFmtId="0" fontId="3" fillId="3" borderId="2" xfId="2" applyFill="1" applyAlignment="1">
      <alignment horizontal="left"/>
    </xf>
    <xf numFmtId="2" fontId="11" fillId="9" borderId="0" xfId="0" applyNumberFormat="1" applyFont="1" applyAlignment="1">
      <alignment horizontal="left"/>
    </xf>
    <xf numFmtId="2" fontId="11" fillId="9" borderId="8" xfId="0" applyNumberFormat="1" applyFont="1" applyBorder="1" applyAlignment="1">
      <alignment horizontal="left"/>
    </xf>
    <xf numFmtId="2" fontId="11" fillId="7" borderId="6" xfId="0" applyNumberFormat="1" applyFont="1" applyFill="1" applyBorder="1" applyAlignment="1">
      <alignment horizontal="left"/>
    </xf>
    <xf numFmtId="2" fontId="11" fillId="7" borderId="8" xfId="0" applyNumberFormat="1" applyFont="1" applyFill="1" applyBorder="1" applyAlignment="1">
      <alignment horizontal="left"/>
    </xf>
    <xf numFmtId="2" fontId="11" fillId="7" borderId="13" xfId="0" applyNumberFormat="1" applyFont="1" applyFill="1" applyBorder="1" applyAlignment="1">
      <alignment horizontal="left"/>
    </xf>
    <xf numFmtId="2" fontId="11" fillId="9" borderId="0" xfId="0" applyNumberFormat="1" applyFont="1" applyAlignment="1">
      <alignment horizontal="center"/>
    </xf>
    <xf numFmtId="0" fontId="10" fillId="9" borderId="0" xfId="0" applyFont="1"/>
    <xf numFmtId="2" fontId="15" fillId="2" borderId="3" xfId="4" applyNumberFormat="1" applyFont="1" applyAlignment="1">
      <alignment horizontal="left"/>
    </xf>
    <xf numFmtId="2" fontId="14" fillId="3" borderId="3" xfId="5" applyNumberFormat="1" applyFont="1" applyAlignment="1">
      <alignment horizontal="left"/>
    </xf>
    <xf numFmtId="0" fontId="11" fillId="9" borderId="0" xfId="0" applyFont="1"/>
    <xf numFmtId="2" fontId="17" fillId="0" borderId="1" xfId="1" applyNumberFormat="1" applyFont="1" applyAlignment="1">
      <alignment horizontal="left"/>
    </xf>
    <xf numFmtId="2" fontId="17" fillId="0" borderId="0" xfId="3" applyNumberFormat="1" applyFont="1" applyBorder="1" applyAlignment="1">
      <alignment horizontal="left"/>
    </xf>
    <xf numFmtId="2" fontId="3" fillId="8" borderId="2" xfId="2" applyNumberFormat="1" applyFill="1" applyAlignment="1">
      <alignment horizontal="left"/>
    </xf>
    <xf numFmtId="2" fontId="3" fillId="8" borderId="2" xfId="2" applyNumberFormat="1" applyFill="1" applyAlignment="1">
      <alignment horizontal="center"/>
    </xf>
    <xf numFmtId="10" fontId="11" fillId="9" borderId="10" xfId="0" applyNumberFormat="1" applyFont="1" applyBorder="1" applyAlignment="1">
      <alignment horizontal="center"/>
    </xf>
    <xf numFmtId="10" fontId="3" fillId="8" borderId="2" xfId="2" applyNumberFormat="1" applyFill="1"/>
    <xf numFmtId="2" fontId="2" fillId="8" borderId="19" xfId="13" applyNumberFormat="1" applyFont="1" applyAlignment="1">
      <alignment horizontal="left"/>
    </xf>
    <xf numFmtId="10" fontId="2" fillId="8" borderId="19" xfId="13" applyNumberFormat="1" applyFont="1" applyAlignment="1">
      <alignment horizontal="center"/>
    </xf>
    <xf numFmtId="10" fontId="0" fillId="9" borderId="0" xfId="14" applyNumberFormat="1" applyFont="1" applyFill="1"/>
    <xf numFmtId="2" fontId="19" fillId="2" borderId="3" xfId="4" applyNumberFormat="1" applyFont="1" applyAlignment="1">
      <alignment horizontal="left"/>
    </xf>
    <xf numFmtId="10" fontId="10" fillId="9" borderId="8" xfId="0" applyNumberFormat="1" applyFont="1" applyBorder="1" applyAlignment="1">
      <alignment horizontal="left"/>
    </xf>
    <xf numFmtId="2" fontId="15" fillId="2" borderId="12" xfId="4" applyNumberFormat="1" applyFont="1" applyBorder="1" applyAlignment="1">
      <alignment horizontal="center"/>
    </xf>
    <xf numFmtId="2" fontId="15" fillId="2" borderId="17" xfId="4" applyNumberFormat="1" applyFont="1" applyBorder="1" applyAlignment="1">
      <alignment horizontal="center"/>
    </xf>
    <xf numFmtId="2" fontId="15" fillId="2" borderId="6" xfId="4" applyNumberFormat="1" applyFont="1" applyBorder="1" applyAlignment="1">
      <alignment horizontal="center"/>
    </xf>
    <xf numFmtId="2" fontId="13" fillId="4" borderId="6" xfId="7" applyNumberFormat="1" applyFont="1" applyBorder="1" applyAlignment="1">
      <alignment horizontal="center"/>
    </xf>
    <xf numFmtId="2" fontId="15" fillId="2" borderId="3" xfId="4" applyNumberFormat="1" applyFont="1" applyAlignment="1">
      <alignment horizontal="center"/>
    </xf>
    <xf numFmtId="2" fontId="16" fillId="0" borderId="6" xfId="6" applyNumberFormat="1" applyFont="1" applyBorder="1" applyAlignment="1">
      <alignment horizontal="center"/>
    </xf>
    <xf numFmtId="2" fontId="7" fillId="0" borderId="6" xfId="6" applyNumberFormat="1" applyBorder="1" applyAlignment="1">
      <alignment horizontal="center"/>
    </xf>
    <xf numFmtId="0" fontId="8" fillId="4" borderId="5" xfId="7" applyAlignment="1">
      <alignment horizontal="left"/>
    </xf>
    <xf numFmtId="0" fontId="8" fillId="4" borderId="6" xfId="7" applyBorder="1" applyAlignment="1">
      <alignment horizontal="left"/>
    </xf>
    <xf numFmtId="2" fontId="13" fillId="4" borderId="8" xfId="7" applyNumberFormat="1" applyFont="1" applyBorder="1" applyAlignment="1">
      <alignment horizontal="center"/>
    </xf>
    <xf numFmtId="2" fontId="13" fillId="4" borderId="15" xfId="7" applyNumberFormat="1" applyFont="1" applyBorder="1" applyAlignment="1">
      <alignment horizontal="center"/>
    </xf>
    <xf numFmtId="2" fontId="13" fillId="4" borderId="16" xfId="7" applyNumberFormat="1" applyFont="1" applyBorder="1" applyAlignment="1">
      <alignment horizontal="center"/>
    </xf>
    <xf numFmtId="2" fontId="16" fillId="0" borderId="8" xfId="6" applyNumberFormat="1" applyFont="1" applyBorder="1" applyAlignment="1">
      <alignment horizontal="center"/>
    </xf>
    <xf numFmtId="2" fontId="16" fillId="0" borderId="15" xfId="6" applyNumberFormat="1" applyFont="1" applyBorder="1" applyAlignment="1">
      <alignment horizontal="center"/>
    </xf>
    <xf numFmtId="2" fontId="16" fillId="0" borderId="16" xfId="6" applyNumberFormat="1" applyFont="1" applyBorder="1" applyAlignment="1">
      <alignment horizontal="center"/>
    </xf>
    <xf numFmtId="2" fontId="15" fillId="2" borderId="8" xfId="4" applyNumberFormat="1" applyFont="1" applyBorder="1" applyAlignment="1">
      <alignment horizontal="center"/>
    </xf>
    <xf numFmtId="2" fontId="15" fillId="2" borderId="15" xfId="4" applyNumberFormat="1" applyFont="1" applyBorder="1" applyAlignment="1">
      <alignment horizontal="center"/>
    </xf>
    <xf numFmtId="2" fontId="15" fillId="2" borderId="16" xfId="4" applyNumberFormat="1" applyFont="1" applyBorder="1" applyAlignment="1">
      <alignment horizontal="center"/>
    </xf>
    <xf numFmtId="2" fontId="7" fillId="0" borderId="8" xfId="6" applyNumberFormat="1" applyBorder="1" applyAlignment="1">
      <alignment horizontal="center"/>
    </xf>
    <xf numFmtId="2" fontId="7" fillId="0" borderId="15" xfId="6" applyNumberFormat="1" applyBorder="1" applyAlignment="1">
      <alignment horizontal="center"/>
    </xf>
    <xf numFmtId="2" fontId="7" fillId="0" borderId="16" xfId="6" applyNumberFormat="1" applyBorder="1" applyAlignment="1">
      <alignment horizontal="center"/>
    </xf>
    <xf numFmtId="2" fontId="13" fillId="4" borderId="18" xfId="7" applyNumberFormat="1" applyFont="1" applyBorder="1" applyAlignment="1">
      <alignment horizontal="center"/>
    </xf>
  </cellXfs>
  <cellStyles count="15">
    <cellStyle name="60% - Accent3" xfId="9" builtinId="40"/>
    <cellStyle name="Accent1" xfId="8" builtinId="29"/>
    <cellStyle name="Calculation" xfId="5" builtinId="22"/>
    <cellStyle name="Check Cell" xfId="7" builtinId="23"/>
    <cellStyle name="Heading 1" xfId="1" builtinId="16"/>
    <cellStyle name="Heading 2" xfId="2" builtinId="17"/>
    <cellStyle name="Heading 3" xfId="10" builtinId="18"/>
    <cellStyle name="Heading 4" xfId="3" builtinId="19"/>
    <cellStyle name="Input" xfId="4" builtinId="20"/>
    <cellStyle name="Linked Cell" xfId="6" builtinId="24"/>
    <cellStyle name="Neutral" xfId="11" builtinId="28" customBuiltin="1"/>
    <cellStyle name="Normal" xfId="0" builtinId="0" customBuiltin="1"/>
    <cellStyle name="Note" xfId="13" builtinId="10"/>
    <cellStyle name="Percent" xfId="14" builtinId="5"/>
    <cellStyle name="Style 1" xfId="12" xr:uid="{A2921A2E-8581-4551-8CF0-58444D6815EC}"/>
  </cellStyles>
  <dxfs count="1">
    <dxf>
      <font>
        <b/>
        <i val="0"/>
        <strike val="0"/>
        <color auto="1"/>
      </font>
      <fill>
        <patternFill>
          <fgColor theme="9" tint="0.39994506668294322"/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STATEMENTS'!$A$133</c:f>
              <c:strCache>
                <c:ptCount val="1"/>
                <c:pt idx="0">
                  <c:v>CURRENT RATIO (CA/CL)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'FINANCIAL STATEMENTS'!$B$132:$G$132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'FINANCIAL STATEMENTS'!$B$133:$G$133</c:f>
              <c:numCache>
                <c:formatCode>0.00</c:formatCode>
                <c:ptCount val="6"/>
                <c:pt idx="0">
                  <c:v>2.5670246517704149</c:v>
                </c:pt>
                <c:pt idx="1">
                  <c:v>1.2884043238294951</c:v>
                </c:pt>
                <c:pt idx="2">
                  <c:v>1.7093030745448297</c:v>
                </c:pt>
                <c:pt idx="3">
                  <c:v>1.8556739170095882</c:v>
                </c:pt>
                <c:pt idx="4">
                  <c:v>2.0811703124870382</c:v>
                </c:pt>
                <c:pt idx="5">
                  <c:v>2.2870949442640525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D-443E-88BB-64D9CB14D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8393951"/>
        <c:axId val="1528395391"/>
      </c:lineChart>
      <c:catAx>
        <c:axId val="1528393951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395391"/>
        <c:crosses val="autoZero"/>
        <c:auto val="0"/>
        <c:lblAlgn val="ctr"/>
        <c:lblOffset val="100"/>
        <c:noMultiLvlLbl val="0"/>
      </c:catAx>
      <c:valAx>
        <c:axId val="152839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39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 ON 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STATEMENTS'!$A$170</c:f>
              <c:strCache>
                <c:ptCount val="1"/>
                <c:pt idx="0">
                  <c:v>RETURN ON EQUITY [PAT / AVG. SE]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'FINANCIAL STATEMENTS'!$B$166:$G$166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'FINANCIAL STATEMENTS'!$B$170:$G$170</c:f>
              <c:numCache>
                <c:formatCode>0.00%</c:formatCode>
                <c:ptCount val="6"/>
                <c:pt idx="0">
                  <c:v>0.24673335095255799</c:v>
                </c:pt>
                <c:pt idx="1">
                  <c:v>0.21573023845905243</c:v>
                </c:pt>
                <c:pt idx="2">
                  <c:v>0.20015422195193244</c:v>
                </c:pt>
                <c:pt idx="3">
                  <c:v>0.18691541541467144</c:v>
                </c:pt>
                <c:pt idx="4">
                  <c:v>0.23300821272146335</c:v>
                </c:pt>
                <c:pt idx="5">
                  <c:v>0.23024915911643246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47-4820-B9E1-EFBFD676E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8400671"/>
        <c:axId val="1528392991"/>
      </c:lineChart>
      <c:catAx>
        <c:axId val="1528400671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392991"/>
        <c:crosses val="autoZero"/>
        <c:auto val="0"/>
        <c:lblAlgn val="ctr"/>
        <c:lblOffset val="100"/>
        <c:noMultiLvlLbl val="0"/>
      </c:catAx>
      <c:valAx>
        <c:axId val="152839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40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LEVERAGE</a:t>
            </a:r>
            <a:r>
              <a:rPr lang="en-IN" baseline="0"/>
              <a:t>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STATEMENTS'!$A$133</c:f>
              <c:strCache>
                <c:ptCount val="1"/>
                <c:pt idx="0">
                  <c:v>CURRENT RATIO (CA/CL)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'FINANCIAL STATEMENTS'!$B$132:$G$132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'FINANCIAL STATEMENTS'!$B$133:$G$133</c:f>
              <c:numCache>
                <c:formatCode>0.00</c:formatCode>
                <c:ptCount val="6"/>
                <c:pt idx="0">
                  <c:v>2.5670246517704149</c:v>
                </c:pt>
                <c:pt idx="1">
                  <c:v>1.2884043238294951</c:v>
                </c:pt>
                <c:pt idx="2">
                  <c:v>1.7093030745448297</c:v>
                </c:pt>
                <c:pt idx="3">
                  <c:v>1.8556739170095882</c:v>
                </c:pt>
                <c:pt idx="4">
                  <c:v>2.0811703124870382</c:v>
                </c:pt>
                <c:pt idx="5">
                  <c:v>2.2870949442640525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4-4FB4-A3D8-E653C975F228}"/>
            </c:ext>
          </c:extLst>
        </c:ser>
        <c:ser>
          <c:idx val="1"/>
          <c:order val="1"/>
          <c:tx>
            <c:strRef>
              <c:f>'FINANCIAL STATEMENTS'!$A$134</c:f>
              <c:strCache>
                <c:ptCount val="1"/>
                <c:pt idx="0">
                  <c:v>QUICK RATIO (CA - INVENTORY / CL)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'FINANCIAL STATEMENTS'!$B$132:$G$132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'FINANCIAL STATEMENTS'!$B$134:$G$134</c:f>
              <c:numCache>
                <c:formatCode>0.00</c:formatCode>
                <c:ptCount val="6"/>
                <c:pt idx="0">
                  <c:v>1.695098357750473</c:v>
                </c:pt>
                <c:pt idx="1">
                  <c:v>0.70062894301688972</c:v>
                </c:pt>
                <c:pt idx="2">
                  <c:v>0.72769108060818377</c:v>
                </c:pt>
                <c:pt idx="3">
                  <c:v>0.81666971232168317</c:v>
                </c:pt>
                <c:pt idx="4">
                  <c:v>1.2396905092356025</c:v>
                </c:pt>
                <c:pt idx="5">
                  <c:v>1.4135414899032752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64-4FB4-A3D8-E653C975F228}"/>
            </c:ext>
          </c:extLst>
        </c:ser>
        <c:ser>
          <c:idx val="2"/>
          <c:order val="2"/>
          <c:tx>
            <c:strRef>
              <c:f>'FINANCIAL STATEMENTS'!$A$135</c:f>
              <c:strCache>
                <c:ptCount val="1"/>
                <c:pt idx="0">
                  <c:v>CASH RATIO (CASH AND EQUIVALENTS / CL)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'FINANCIAL STATEMENTS'!$B$132:$G$132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'FINANCIAL STATEMENTS'!$B$135:$G$135</c:f>
              <c:numCache>
                <c:formatCode>0.00</c:formatCode>
                <c:ptCount val="6"/>
                <c:pt idx="0">
                  <c:v>0.4785887582497752</c:v>
                </c:pt>
                <c:pt idx="1">
                  <c:v>5.8444081345901039E-2</c:v>
                </c:pt>
                <c:pt idx="2">
                  <c:v>7.9279027825489512E-2</c:v>
                </c:pt>
                <c:pt idx="3">
                  <c:v>7.7689485313494566E-2</c:v>
                </c:pt>
                <c:pt idx="4">
                  <c:v>0.15755833727363977</c:v>
                </c:pt>
                <c:pt idx="5">
                  <c:v>7.3801842435885376E-2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64-4FB4-A3D8-E653C975F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260767"/>
        <c:axId val="1058259807"/>
      </c:lineChart>
      <c:catAx>
        <c:axId val="1058260767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259807"/>
        <c:crosses val="autoZero"/>
        <c:auto val="0"/>
        <c:lblAlgn val="ctr"/>
        <c:lblOffset val="100"/>
        <c:noMultiLvlLbl val="0"/>
      </c:catAx>
      <c:valAx>
        <c:axId val="105825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26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INTEREST</a:t>
            </a:r>
            <a:r>
              <a:rPr lang="en-IN" baseline="0"/>
              <a:t> COVERAGE MEASURES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STATEMENTS'!$A$144</c:f>
              <c:strCache>
                <c:ptCount val="1"/>
                <c:pt idx="0">
                  <c:v>CASH COVERAGE (CASH FROM OPERATIONS / INT. EXP.)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'FINANCIAL STATEMENTS'!$B$143:$G$143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'FINANCIAL STATEMENTS'!$B$144:$G$144</c:f>
              <c:numCache>
                <c:formatCode>0.00</c:formatCode>
                <c:ptCount val="6"/>
                <c:pt idx="0">
                  <c:v>91.65447761194028</c:v>
                </c:pt>
                <c:pt idx="1">
                  <c:v>70.660388463802249</c:v>
                </c:pt>
                <c:pt idx="2">
                  <c:v>31.458149779735688</c:v>
                </c:pt>
                <c:pt idx="3">
                  <c:v>50.20539782684893</c:v>
                </c:pt>
                <c:pt idx="4">
                  <c:v>87.776646300067867</c:v>
                </c:pt>
                <c:pt idx="5">
                  <c:v>64.190956221198164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27-41C4-B3BE-33C3FBA175D0}"/>
            </c:ext>
          </c:extLst>
        </c:ser>
        <c:ser>
          <c:idx val="1"/>
          <c:order val="1"/>
          <c:tx>
            <c:strRef>
              <c:f>'FINANCIAL STATEMENTS'!$A$145</c:f>
              <c:strCache>
                <c:ptCount val="1"/>
                <c:pt idx="0">
                  <c:v>INTEREST COVERAGE (EBIT / FINANCE COSTS)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'FINANCIAL STATEMENTS'!$B$143:$G$143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'FINANCIAL STATEMENTS'!$B$145:$G$145</c:f>
              <c:numCache>
                <c:formatCode>0.00</c:formatCode>
                <c:ptCount val="6"/>
                <c:pt idx="0">
                  <c:v>112.6589552238806</c:v>
                </c:pt>
                <c:pt idx="1">
                  <c:v>86.761035903472589</c:v>
                </c:pt>
                <c:pt idx="2">
                  <c:v>59.397209985315698</c:v>
                </c:pt>
                <c:pt idx="3">
                  <c:v>59.454959691552787</c:v>
                </c:pt>
                <c:pt idx="4">
                  <c:v>82.353021045485377</c:v>
                </c:pt>
                <c:pt idx="5">
                  <c:v>81.243087557603701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27-41C4-B3BE-33C3FBA17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260287"/>
        <c:axId val="1058259327"/>
      </c:lineChart>
      <c:catAx>
        <c:axId val="1058260287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259327"/>
        <c:crosses val="autoZero"/>
        <c:auto val="0"/>
        <c:lblAlgn val="ctr"/>
        <c:lblOffset val="100"/>
        <c:noMultiLvlLbl val="0"/>
      </c:catAx>
      <c:valAx>
        <c:axId val="105825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26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ACTIVITY</a:t>
            </a:r>
            <a:r>
              <a:rPr lang="en-IN" baseline="0"/>
              <a:t> RATIOS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STATEMENTS'!$A$178</c:f>
              <c:strCache>
                <c:ptCount val="1"/>
                <c:pt idx="0">
                  <c:v>CASH CONVERSION CYCLE [DAYS INVENT + DAYS RECEIV. - DAYS PAYABLE]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'FINANCIAL STATEMENTS'!$B$177:$G$177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'FINANCIAL STATEMENTS'!$B$178:$G$178</c:f>
              <c:numCache>
                <c:formatCode>0.00</c:formatCode>
                <c:ptCount val="6"/>
                <c:pt idx="0">
                  <c:v>75.788380915077283</c:v>
                </c:pt>
                <c:pt idx="1">
                  <c:v>79.919891893146257</c:v>
                </c:pt>
                <c:pt idx="2">
                  <c:v>70.591875549453775</c:v>
                </c:pt>
                <c:pt idx="3">
                  <c:v>76.567985990762168</c:v>
                </c:pt>
                <c:pt idx="4">
                  <c:v>72.532773458452681</c:v>
                </c:pt>
                <c:pt idx="5">
                  <c:v>59.131745086835068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3A-49DC-839F-68672E3C1E89}"/>
            </c:ext>
          </c:extLst>
        </c:ser>
        <c:ser>
          <c:idx val="1"/>
          <c:order val="1"/>
          <c:tx>
            <c:strRef>
              <c:f>'FINANCIAL STATEMENTS'!$A$179</c:f>
              <c:strCache>
                <c:ptCount val="1"/>
                <c:pt idx="0">
                  <c:v>WORKING CAPITAL TURNOVER (SALES / AVG. WC)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'FINANCIAL STATEMENTS'!$B$177:$G$177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'FINANCIAL STATEMENTS'!$B$179:$G$179</c:f>
              <c:numCache>
                <c:formatCode>0.00</c:formatCode>
                <c:ptCount val="6"/>
                <c:pt idx="0">
                  <c:v>3.4281360299690342</c:v>
                </c:pt>
                <c:pt idx="1">
                  <c:v>5.2038658585587987</c:v>
                </c:pt>
                <c:pt idx="2">
                  <c:v>9.5480373952150472</c:v>
                </c:pt>
                <c:pt idx="3">
                  <c:v>7.0414530667029931</c:v>
                </c:pt>
                <c:pt idx="4">
                  <c:v>5.1998286431376934</c:v>
                </c:pt>
                <c:pt idx="5">
                  <c:v>3.8295759859666485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3A-49DC-839F-68672E3C1E89}"/>
            </c:ext>
          </c:extLst>
        </c:ser>
        <c:ser>
          <c:idx val="2"/>
          <c:order val="2"/>
          <c:tx>
            <c:strRef>
              <c:f>'FINANCIAL STATEMENTS'!$A$180</c:f>
              <c:strCache>
                <c:ptCount val="1"/>
                <c:pt idx="0">
                  <c:v>FIXED ASSET TURNOVER (SALES / TOTAL NON-CURRENT ASSETS)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'FINANCIAL STATEMENTS'!$B$177:$G$177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'FINANCIAL STATEMENTS'!$B$180:$G$180</c:f>
              <c:numCache>
                <c:formatCode>0.00</c:formatCode>
                <c:ptCount val="6"/>
                <c:pt idx="0">
                  <c:v>2.2673075546007877</c:v>
                </c:pt>
                <c:pt idx="1">
                  <c:v>1.1948414651023329</c:v>
                </c:pt>
                <c:pt idx="2">
                  <c:v>1.6016975550381987</c:v>
                </c:pt>
                <c:pt idx="3">
                  <c:v>1.7607669096975296</c:v>
                </c:pt>
                <c:pt idx="4">
                  <c:v>1.7577198532999636</c:v>
                </c:pt>
                <c:pt idx="5">
                  <c:v>1.80204076149421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3A-49DC-839F-68672E3C1E89}"/>
            </c:ext>
          </c:extLst>
        </c:ser>
        <c:ser>
          <c:idx val="3"/>
          <c:order val="3"/>
          <c:tx>
            <c:strRef>
              <c:f>'FINANCIAL STATEMENTS'!$A$181</c:f>
              <c:strCache>
                <c:ptCount val="1"/>
                <c:pt idx="0">
                  <c:v>TOTAL ASSET TURNOVER (SALES / AVG. TA)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'FINANCIAL STATEMENTS'!$B$177:$G$177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'FINANCIAL STATEMENTS'!$B$181:$G$181</c:f>
              <c:numCache>
                <c:formatCode>0.00</c:formatCode>
                <c:ptCount val="6"/>
                <c:pt idx="0">
                  <c:v>1.088249648568669</c:v>
                </c:pt>
                <c:pt idx="1">
                  <c:v>0.9248791330759899</c:v>
                </c:pt>
                <c:pt idx="2">
                  <c:v>1.0873658000535398</c:v>
                </c:pt>
                <c:pt idx="3">
                  <c:v>1.1506984825040041</c:v>
                </c:pt>
                <c:pt idx="4">
                  <c:v>1.0609499170818906</c:v>
                </c:pt>
                <c:pt idx="5">
                  <c:v>0.97985178896586267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3A-49DC-839F-68672E3C1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3408335"/>
        <c:axId val="1253399695"/>
      </c:lineChart>
      <c:catAx>
        <c:axId val="1253408335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399695"/>
        <c:crosses val="autoZero"/>
        <c:auto val="0"/>
        <c:lblAlgn val="ctr"/>
        <c:lblOffset val="100"/>
        <c:noMultiLvlLbl val="0"/>
      </c:catAx>
      <c:valAx>
        <c:axId val="125339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40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PROFITABILITY</a:t>
            </a:r>
            <a:r>
              <a:rPr lang="en-IN" baseline="0"/>
              <a:t> RATIOS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STATEMENTS'!$A$167</c:f>
              <c:strCache>
                <c:ptCount val="1"/>
                <c:pt idx="0">
                  <c:v>NET PROFIT MARGIN (PAT / SALES)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'FINANCIAL STATEMENTS'!$B$166:$G$166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'FINANCIAL STATEMENTS'!$B$167:$G$167</c:f>
              <c:numCache>
                <c:formatCode>0.00%</c:formatCode>
                <c:ptCount val="6"/>
                <c:pt idx="0">
                  <c:v>0.1739604174595229</c:v>
                </c:pt>
                <c:pt idx="1">
                  <c:v>0.17397081557767993</c:v>
                </c:pt>
                <c:pt idx="2">
                  <c:v>0.13393220483788645</c:v>
                </c:pt>
                <c:pt idx="3">
                  <c:v>0.11863467920849831</c:v>
                </c:pt>
                <c:pt idx="4">
                  <c:v>0.16114218986887216</c:v>
                </c:pt>
                <c:pt idx="5">
                  <c:v>0.17177847540318236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F-4F51-B505-D0942878F254}"/>
            </c:ext>
          </c:extLst>
        </c:ser>
        <c:ser>
          <c:idx val="1"/>
          <c:order val="1"/>
          <c:tx>
            <c:strRef>
              <c:f>'FINANCIAL STATEMENTS'!$A$168</c:f>
              <c:strCache>
                <c:ptCount val="1"/>
                <c:pt idx="0">
                  <c:v>GROSS PROFIT MARGIN (SALES - COGS) /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'FINANCIAL STATEMENTS'!$B$166:$G$166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'FINANCIAL STATEMENTS'!$B$168:$G$168</c:f>
              <c:numCache>
                <c:formatCode>0.00%</c:formatCode>
                <c:ptCount val="6"/>
                <c:pt idx="0">
                  <c:v>0.60194801810949394</c:v>
                </c:pt>
                <c:pt idx="1">
                  <c:v>0.60273505428444107</c:v>
                </c:pt>
                <c:pt idx="2">
                  <c:v>0.49152841510765977</c:v>
                </c:pt>
                <c:pt idx="3">
                  <c:v>0.49552376270044451</c:v>
                </c:pt>
                <c:pt idx="4">
                  <c:v>0.59521696574809457</c:v>
                </c:pt>
                <c:pt idx="5">
                  <c:v>0.59825888160891927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F-4F51-B505-D0942878F254}"/>
            </c:ext>
          </c:extLst>
        </c:ser>
        <c:ser>
          <c:idx val="2"/>
          <c:order val="2"/>
          <c:tx>
            <c:strRef>
              <c:f>'FINANCIAL STATEMENTS'!$A$169</c:f>
              <c:strCache>
                <c:ptCount val="1"/>
                <c:pt idx="0">
                  <c:v>RETURN ON TOTAL ASSETS [PAT + INT. EXP. (1 - TAX RATE)] / TOTAL AVG. ASSETS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'FINANCIAL STATEMENTS'!$B$166:$G$166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'FINANCIAL STATEMENTS'!$B$169:$G$169</c:f>
              <c:numCache>
                <c:formatCode>0.00%</c:formatCode>
                <c:ptCount val="6"/>
                <c:pt idx="0">
                  <c:v>0.19107775908460681</c:v>
                </c:pt>
                <c:pt idx="1">
                  <c:v>0.16277872313650288</c:v>
                </c:pt>
                <c:pt idx="2">
                  <c:v>0.1481271390821807</c:v>
                </c:pt>
                <c:pt idx="3">
                  <c:v>0.13884809457154096</c:v>
                </c:pt>
                <c:pt idx="4">
                  <c:v>0.17305904732233213</c:v>
                </c:pt>
                <c:pt idx="5">
                  <c:v>0.17043032975792172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F-4F51-B505-D0942878F254}"/>
            </c:ext>
          </c:extLst>
        </c:ser>
        <c:ser>
          <c:idx val="3"/>
          <c:order val="3"/>
          <c:tx>
            <c:strRef>
              <c:f>'FINANCIAL STATEMENTS'!$A$170</c:f>
              <c:strCache>
                <c:ptCount val="1"/>
                <c:pt idx="0">
                  <c:v>RETURN ON EQUITY [PAT / AVG. SE]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'FINANCIAL STATEMENTS'!$B$166:$G$166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'FINANCIAL STATEMENTS'!$B$170:$G$170</c:f>
              <c:numCache>
                <c:formatCode>0.00%</c:formatCode>
                <c:ptCount val="6"/>
                <c:pt idx="0">
                  <c:v>0.24673335095255799</c:v>
                </c:pt>
                <c:pt idx="1">
                  <c:v>0.21573023845905243</c:v>
                </c:pt>
                <c:pt idx="2">
                  <c:v>0.20015422195193244</c:v>
                </c:pt>
                <c:pt idx="3">
                  <c:v>0.18691541541467144</c:v>
                </c:pt>
                <c:pt idx="4">
                  <c:v>0.23300821272146335</c:v>
                </c:pt>
                <c:pt idx="5">
                  <c:v>0.23024915911643246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F-4F51-B505-D0942878F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3676447"/>
        <c:axId val="1143673567"/>
      </c:lineChart>
      <c:catAx>
        <c:axId val="1143676447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673567"/>
        <c:crosses val="autoZero"/>
        <c:auto val="0"/>
        <c:lblAlgn val="ctr"/>
        <c:lblOffset val="100"/>
        <c:noMultiLvlLbl val="0"/>
      </c:catAx>
      <c:valAx>
        <c:axId val="114367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67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SHAREHOLDERS!$B$1</c:f>
              <c:strCache>
                <c:ptCount val="1"/>
                <c:pt idx="0">
                  <c:v>HOLDING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F6-4792-8607-9695ABDA85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F6-4792-8607-9695ABDA85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F6-4792-8607-9695ABDA85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F6-4792-8607-9695ABDA85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SHAREHOLDERS!$A$2:$A$5</c:f>
              <c:strCache>
                <c:ptCount val="4"/>
                <c:pt idx="0">
                  <c:v>UTI,MUTUAL FUNDS,BANKS,INSURANCE COMPANIES</c:v>
                </c:pt>
                <c:pt idx="1">
                  <c:v>FII'S AND FPI'S</c:v>
                </c:pt>
                <c:pt idx="2">
                  <c:v>BODIES CORPORATE AND INDIAN PUBLIC</c:v>
                </c:pt>
                <c:pt idx="3">
                  <c:v>PROMOTER AND PROMOTER GROUP</c:v>
                </c:pt>
              </c:strCache>
            </c:strRef>
          </c:cat>
          <c:val>
            <c:numRef>
              <c:f>SHAREHOLDERS!$B$2:$B$5</c:f>
              <c:numCache>
                <c:formatCode>0.00%</c:formatCode>
                <c:ptCount val="4"/>
                <c:pt idx="0">
                  <c:v>9.0399999999999994E-2</c:v>
                </c:pt>
                <c:pt idx="1">
                  <c:v>0.11600000000000001</c:v>
                </c:pt>
                <c:pt idx="2">
                  <c:v>9.8599999999999993E-2</c:v>
                </c:pt>
                <c:pt idx="3">
                  <c:v>0.69499999999999995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9-433C-819B-DDF9435330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AND PROFITABILITY TRENDS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ANALYSIS'!$A$9</c:f>
              <c:strCache>
                <c:ptCount val="1"/>
                <c:pt idx="0">
                  <c:v>REVENUE FROM OPERATIONS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'TREND ANALYSIS'!$B$6:$G$6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'TREND ANALYSIS'!$B$9:$G$9</c:f>
              <c:numCache>
                <c:formatCode>0.00%</c:formatCode>
                <c:ptCount val="6"/>
                <c:pt idx="0">
                  <c:v>1</c:v>
                </c:pt>
                <c:pt idx="1">
                  <c:v>0.98164100312826186</c:v>
                </c:pt>
                <c:pt idx="2">
                  <c:v>1.404736450646576</c:v>
                </c:pt>
                <c:pt idx="3">
                  <c:v>1.6734179853740727</c:v>
                </c:pt>
                <c:pt idx="4">
                  <c:v>1.7634127584448067</c:v>
                </c:pt>
                <c:pt idx="5">
                  <c:v>1.9064395452729452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2C-47A0-BDD1-8E2FE3A97716}"/>
            </c:ext>
          </c:extLst>
        </c:ser>
        <c:ser>
          <c:idx val="1"/>
          <c:order val="1"/>
          <c:tx>
            <c:strRef>
              <c:f>'TREND ANALYSIS'!$A$36</c:f>
              <c:strCache>
                <c:ptCount val="1"/>
                <c:pt idx="0">
                  <c:v>TOTAL PROFIT FOR THE YEAR ( PROFIT AFTER TAX)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'TREND ANALYSIS'!$B$6:$G$6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'TREND ANALYSIS'!$B$36:$G$36</c:f>
              <c:numCache>
                <c:formatCode>0.00%</c:formatCode>
                <c:ptCount val="6"/>
                <c:pt idx="0">
                  <c:v>1</c:v>
                </c:pt>
                <c:pt idx="1">
                  <c:v>0.98169967865507068</c:v>
                </c:pt>
                <c:pt idx="2">
                  <c:v>1.0815072347996582</c:v>
                </c:pt>
                <c:pt idx="3">
                  <c:v>1.1412102176794185</c:v>
                </c:pt>
                <c:pt idx="4">
                  <c:v>1.6334761533015008</c:v>
                </c:pt>
                <c:pt idx="5">
                  <c:v>1.882527550334961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2C-47A0-BDD1-8E2FE3A97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490575"/>
        <c:axId val="1108491055"/>
      </c:lineChart>
      <c:catAx>
        <c:axId val="1108490575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491055"/>
        <c:crosses val="autoZero"/>
        <c:auto val="0"/>
        <c:lblAlgn val="ctr"/>
        <c:lblOffset val="100"/>
        <c:noMultiLvlLbl val="0"/>
      </c:catAx>
      <c:valAx>
        <c:axId val="110849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49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BALANCE</a:t>
            </a:r>
            <a:r>
              <a:rPr lang="en-IN" baseline="0"/>
              <a:t> SHEET TRENDS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'TREND ANALYSIS'!$O$55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'TREND ANALYSIS'!$P$54:$U$54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'TREND ANALYSIS'!$P$55:$U$55</c:f>
              <c:numCache>
                <c:formatCode>0.00%</c:formatCode>
                <c:ptCount val="6"/>
                <c:pt idx="0">
                  <c:v>1</c:v>
                </c:pt>
                <c:pt idx="1">
                  <c:v>1.31007585417576</c:v>
                </c:pt>
                <c:pt idx="2">
                  <c:v>1.5016806838217853</c:v>
                </c:pt>
                <c:pt idx="3">
                  <c:v>1.6635212560104207</c:v>
                </c:pt>
                <c:pt idx="4">
                  <c:v>1.9540544349087308</c:v>
                </c:pt>
                <c:pt idx="5">
                  <c:v>2.2806312359728205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05-464A-B605-28097D0A180E}"/>
            </c:ext>
          </c:extLst>
        </c:ser>
        <c:ser>
          <c:idx val="1"/>
          <c:order val="1"/>
          <c:tx>
            <c:strRef>
              <c:f>'TREND ANALYSIS'!$O$56</c:f>
              <c:strCache>
                <c:ptCount val="1"/>
                <c:pt idx="0">
                  <c:v>TOTAL EQUITY AND LIABILITIES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'TREND ANALYSIS'!$P$54:$U$54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'TREND ANALYSIS'!$P$56:$U$56</c:f>
              <c:numCache>
                <c:formatCode>0.00%</c:formatCode>
                <c:ptCount val="6"/>
                <c:pt idx="0">
                  <c:v>1</c:v>
                </c:pt>
                <c:pt idx="1">
                  <c:v>1.3100758541757602</c:v>
                </c:pt>
                <c:pt idx="2">
                  <c:v>1.5016806838217853</c:v>
                </c:pt>
                <c:pt idx="3">
                  <c:v>1.6635212560104209</c:v>
                </c:pt>
                <c:pt idx="4">
                  <c:v>1.9540544349087312</c:v>
                </c:pt>
                <c:pt idx="5">
                  <c:v>2.2806312359728205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05-464A-B605-28097D0A1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6403327"/>
        <c:axId val="1266402847"/>
      </c:lineChart>
      <c:catAx>
        <c:axId val="1266403327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402847"/>
        <c:crosses val="autoZero"/>
        <c:auto val="0"/>
        <c:lblAlgn val="ctr"/>
        <c:lblOffset val="100"/>
        <c:noMultiLvlLbl val="0"/>
      </c:catAx>
      <c:valAx>
        <c:axId val="126640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40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CASH</a:t>
            </a:r>
            <a:r>
              <a:rPr lang="en-IN" baseline="0"/>
              <a:t> TRENDS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ANALYSIS'!$K$78</c:f>
              <c:strCache>
                <c:ptCount val="1"/>
                <c:pt idx="0">
                  <c:v>CASH RATIO (CASH AND EQUIVALENTS / CL)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'TREND ANALYSIS'!$L$77:$Q$77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'TREND ANALYSIS'!$L$78:$Q$78</c:f>
              <c:numCache>
                <c:formatCode>0.00%</c:formatCode>
                <c:ptCount val="6"/>
                <c:pt idx="0">
                  <c:v>1</c:v>
                </c:pt>
                <c:pt idx="1">
                  <c:v>0.12211753899033104</c:v>
                </c:pt>
                <c:pt idx="2">
                  <c:v>0.16565167162600555</c:v>
                </c:pt>
                <c:pt idx="3">
                  <c:v>0.16233035978030322</c:v>
                </c:pt>
                <c:pt idx="4">
                  <c:v>0.32921445511975472</c:v>
                </c:pt>
                <c:pt idx="5">
                  <c:v>0.1542072210508719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F9-4075-B598-8E67599208EE}"/>
            </c:ext>
          </c:extLst>
        </c:ser>
        <c:ser>
          <c:idx val="1"/>
          <c:order val="1"/>
          <c:tx>
            <c:strRef>
              <c:f>'TREND ANALYSIS'!$K$79</c:f>
              <c:strCache>
                <c:ptCount val="1"/>
                <c:pt idx="0">
                  <c:v>TOTAL DEBT TO EQUITY RATIO [(CL + NCL) / AVG. SE]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'TREND ANALYSIS'!$L$77:$Q$77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'TREND ANALYSIS'!$L$79:$Q$79</c:f>
              <c:numCache>
                <c:formatCode>0.00%</c:formatCode>
                <c:ptCount val="6"/>
                <c:pt idx="0">
                  <c:v>1</c:v>
                </c:pt>
                <c:pt idx="1">
                  <c:v>1.3562431472809173</c:v>
                </c:pt>
                <c:pt idx="2">
                  <c:v>1.3263480565692174</c:v>
                </c:pt>
                <c:pt idx="3">
                  <c:v>1.2607293780390894</c:v>
                </c:pt>
                <c:pt idx="4">
                  <c:v>1.2949718350070596</c:v>
                </c:pt>
                <c:pt idx="5">
                  <c:v>1.3158291213915483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F9-4075-B598-8E6759920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7119487"/>
        <c:axId val="977119007"/>
      </c:lineChart>
      <c:catAx>
        <c:axId val="977119487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119007"/>
        <c:crosses val="autoZero"/>
        <c:auto val="0"/>
        <c:lblAlgn val="ctr"/>
        <c:lblOffset val="100"/>
        <c:noMultiLvlLbl val="0"/>
      </c:catAx>
      <c:valAx>
        <c:axId val="97711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11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OPERATIONAL</a:t>
            </a:r>
            <a:r>
              <a:rPr lang="en-IN" baseline="0"/>
              <a:t> EFFICIENCY TRENDS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ANALYSIS'!$A$143</c:f>
              <c:strCache>
                <c:ptCount val="1"/>
                <c:pt idx="0">
                  <c:v>INVENTORY TURNOVER [COGS / AVG. INVENTORY]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'TREND ANALYSIS'!$B$142:$G$142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'TREND ANALYSIS'!$B$143:$G$143</c:f>
              <c:numCache>
                <c:formatCode>0.00%</c:formatCode>
                <c:ptCount val="6"/>
                <c:pt idx="0">
                  <c:v>1</c:v>
                </c:pt>
                <c:pt idx="1">
                  <c:v>0.8262350032575384</c:v>
                </c:pt>
                <c:pt idx="2">
                  <c:v>1.0094429483032492</c:v>
                </c:pt>
                <c:pt idx="3">
                  <c:v>1.0178807678692585</c:v>
                </c:pt>
                <c:pt idx="4">
                  <c:v>0.95600204826164348</c:v>
                </c:pt>
                <c:pt idx="5">
                  <c:v>1.0052083639284344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F0-4E31-AA63-D85E0D4E7961}"/>
            </c:ext>
          </c:extLst>
        </c:ser>
        <c:ser>
          <c:idx val="1"/>
          <c:order val="1"/>
          <c:tx>
            <c:strRef>
              <c:f>'TREND ANALYSIS'!$A$144</c:f>
              <c:strCache>
                <c:ptCount val="1"/>
                <c:pt idx="0">
                  <c:v>RECEIVABLES TURNOVER (SALES / AVG. RECEIVABLES)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'TREND ANALYSIS'!$B$142:$G$142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'TREND ANALYSIS'!$B$144:$G$144</c:f>
              <c:numCache>
                <c:formatCode>0.00%</c:formatCode>
                <c:ptCount val="6"/>
                <c:pt idx="0">
                  <c:v>1</c:v>
                </c:pt>
                <c:pt idx="1">
                  <c:v>0.87701424623236146</c:v>
                </c:pt>
                <c:pt idx="2">
                  <c:v>1.0249591258198005</c:v>
                </c:pt>
                <c:pt idx="3">
                  <c:v>1.0725485386005746</c:v>
                </c:pt>
                <c:pt idx="4">
                  <c:v>1.0495059364686217</c:v>
                </c:pt>
                <c:pt idx="5">
                  <c:v>1.0385429591033521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F0-4E31-AA63-D85E0D4E7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2891152"/>
        <c:axId val="1222893072"/>
      </c:lineChart>
      <c:catAx>
        <c:axId val="1222891152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893072"/>
        <c:crosses val="autoZero"/>
        <c:auto val="0"/>
        <c:lblAlgn val="ctr"/>
        <c:lblOffset val="100"/>
        <c:noMultiLvlLbl val="0"/>
      </c:catAx>
      <c:valAx>
        <c:axId val="122289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89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'COMMON SIZE FINANCIAL STATMENT'!$A$11</c:f>
              <c:strCache>
                <c:ptCount val="1"/>
                <c:pt idx="0">
                  <c:v>TOTAL 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'COMMON SIZE FINANCIAL STATMENT'!$B$6:$G$6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'COMMON SIZE FINANCIAL STATMENT'!$B$11:$G$11</c:f>
              <c:numCache>
                <c:formatCode>0.00%</c:formatCode>
                <c:ptCount val="6"/>
                <c:pt idx="0">
                  <c:v>1.0239807093148301</c:v>
                </c:pt>
                <c:pt idx="1">
                  <c:v>1.0118220879522162</c:v>
                </c:pt>
                <c:pt idx="2">
                  <c:v>1.0044920983585179</c:v>
                </c:pt>
                <c:pt idx="3">
                  <c:v>1.0059488141533461</c:v>
                </c:pt>
                <c:pt idx="4">
                  <c:v>1.0148249704261765</c:v>
                </c:pt>
                <c:pt idx="5">
                  <c:v>1.0243806273658751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C-4906-B5FF-1DAC38909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202335"/>
        <c:axId val="646203775"/>
      </c:lineChart>
      <c:catAx>
        <c:axId val="646202335"/>
        <c:scaling>
          <c:orientation val="minMax"/>
          <c:max val="6"/>
          <c:min val="1"/>
        </c:scaling>
        <c:delete val="0"/>
        <c:axPos val="b"/>
        <c:numFmt formatCode="[$-809]dd\ mmmm\ 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203775"/>
        <c:crosses val="autoZero"/>
        <c:auto val="0"/>
        <c:lblAlgn val="ctr"/>
        <c:lblOffset val="100"/>
        <c:noMultiLvlLbl val="0"/>
      </c:catAx>
      <c:valAx>
        <c:axId val="64620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20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PROFITABLITY</a:t>
            </a:r>
            <a:r>
              <a:rPr lang="en-IN" baseline="0"/>
              <a:t>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'COMMON SIZE FINANCIAL STATMENT'!$A$22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'COMMON SIZE FINANCIAL STATMENT'!$B$6:$G$6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'COMMON SIZE FINANCIAL STATMENT'!$B$22:$G$22</c:f>
              <c:numCache>
                <c:formatCode>0.00%</c:formatCode>
                <c:ptCount val="6"/>
                <c:pt idx="0">
                  <c:v>0.25825452145172828</c:v>
                </c:pt>
                <c:pt idx="1">
                  <c:v>0.26079213941344798</c:v>
                </c:pt>
                <c:pt idx="2">
                  <c:v>0.20373622074683939</c:v>
                </c:pt>
                <c:pt idx="3">
                  <c:v>0.18101418599669541</c:v>
                </c:pt>
                <c:pt idx="4">
                  <c:v>0.24314832044860868</c:v>
                </c:pt>
                <c:pt idx="5">
                  <c:v>0.25919388372112284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6C-4701-A8FD-4421D4BE1D3A}"/>
            </c:ext>
          </c:extLst>
        </c:ser>
        <c:ser>
          <c:idx val="1"/>
          <c:order val="1"/>
          <c:tx>
            <c:strRef>
              <c:f>'COMMON SIZE FINANCIAL STATMENT'!$A$24</c:f>
              <c:strCache>
                <c:ptCount val="1"/>
                <c:pt idx="0">
                  <c:v>EBIT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'COMMON SIZE FINANCIAL STATMENT'!$B$6:$G$6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'COMMON SIZE FINANCIAL STATMENT'!$B$24:$G$24</c:f>
              <c:numCache>
                <c:formatCode>0.00%</c:formatCode>
                <c:ptCount val="6"/>
                <c:pt idx="0">
                  <c:v>0.23839061110856696</c:v>
                </c:pt>
                <c:pt idx="1">
                  <c:v>0.2371286595145366</c:v>
                </c:pt>
                <c:pt idx="2">
                  <c:v>0.1818850175704447</c:v>
                </c:pt>
                <c:pt idx="3">
                  <c:v>0.16006783007001002</c:v>
                </c:pt>
                <c:pt idx="4">
                  <c:v>0.21725857596107087</c:v>
                </c:pt>
                <c:pt idx="5">
                  <c:v>0.23364781697549017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6C-4701-A8FD-4421D4BE1D3A}"/>
            </c:ext>
          </c:extLst>
        </c:ser>
        <c:ser>
          <c:idx val="2"/>
          <c:order val="2"/>
          <c:tx>
            <c:strRef>
              <c:f>'COMMON SIZE FINANCIAL STATMENT'!$A$27</c:f>
              <c:strCache>
                <c:ptCount val="1"/>
                <c:pt idx="0">
                  <c:v>PROFIT BEFORE TAX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'COMMON SIZE FINANCIAL STATMENT'!$B$6:$G$6</c:f>
              <c:numCache>
                <c:formatCode>d\-mmm\-yy</c:formatCode>
                <c:ptCount val="6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</c:numCache>
            </c:numRef>
          </c:cat>
          <c:val>
            <c:numRef>
              <c:f>'COMMON SIZE FINANCIAL STATMENT'!$B$27:$G$27</c:f>
              <c:numCache>
                <c:formatCode>0.00%</c:formatCode>
                <c:ptCount val="6"/>
                <c:pt idx="0">
                  <c:v>0.22691347458149036</c:v>
                </c:pt>
                <c:pt idx="1">
                  <c:v>0.23432314565024689</c:v>
                </c:pt>
                <c:pt idx="2">
                  <c:v>0.17882283640713065</c:v>
                </c:pt>
                <c:pt idx="3">
                  <c:v>0.15737557645651121</c:v>
                </c:pt>
                <c:pt idx="4">
                  <c:v>0.21526071978343272</c:v>
                </c:pt>
                <c:pt idx="5">
                  <c:v>0.22910202357384843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6C-4701-A8FD-4421D4BE1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5022543"/>
        <c:axId val="645024943"/>
      </c:lineChart>
      <c:catAx>
        <c:axId val="645022543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024943"/>
        <c:crosses val="autoZero"/>
        <c:auto val="0"/>
        <c:lblAlgn val="ctr"/>
        <c:lblOffset val="100"/>
        <c:noMultiLvlLbl val="0"/>
      </c:catAx>
      <c:valAx>
        <c:axId val="64502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02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'COMPARATIVE FINANCIAL STATEMENT'!$A$9</c:f>
              <c:strCache>
                <c:ptCount val="1"/>
                <c:pt idx="0">
                  <c:v>REVENUE FROM OPERATIONS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'COMPARATIVE FINANCIAL STATEMENT'!$B$6:$F$6</c:f>
              <c:numCache>
                <c:formatCode>d\-mmm\-yy</c:formatCode>
                <c:ptCount val="5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</c:numCache>
            </c:numRef>
          </c:cat>
          <c:val>
            <c:numRef>
              <c:f>'COMPARATIVE FINANCIAL STATEMENT'!$B$9:$F$9</c:f>
              <c:numCache>
                <c:formatCode>0.00%</c:formatCode>
                <c:ptCount val="5"/>
                <c:pt idx="0">
                  <c:v>-1.8358996871738139E-2</c:v>
                </c:pt>
                <c:pt idx="1">
                  <c:v>0.43100832806495165</c:v>
                </c:pt>
                <c:pt idx="2">
                  <c:v>0.19126828708960125</c:v>
                </c:pt>
                <c:pt idx="3">
                  <c:v>5.3779016275253409E-2</c:v>
                </c:pt>
                <c:pt idx="4">
                  <c:v>8.1107946022958913E-2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C5-4672-8DF8-219527452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429919"/>
        <c:axId val="723429439"/>
      </c:lineChart>
      <c:catAx>
        <c:axId val="723429919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429439"/>
        <c:crosses val="autoZero"/>
        <c:auto val="0"/>
        <c:lblAlgn val="ctr"/>
        <c:lblOffset val="100"/>
        <c:noMultiLvlLbl val="0"/>
      </c:catAx>
      <c:valAx>
        <c:axId val="72342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42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AFTER TAX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'COMPARATIVE FINANCIAL STATEMENT'!$A$36</c:f>
              <c:strCache>
                <c:ptCount val="1"/>
                <c:pt idx="0">
                  <c:v>TOTAL PROFIT FOR THE YEAR ( PROFIT AFTER TAX)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'COMPARATIVE FINANCIAL STATEMENT'!$B$6:$F$6</c:f>
              <c:numCache>
                <c:formatCode>d\-mmm\-yy</c:formatCode>
                <c:ptCount val="5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</c:numCache>
            </c:numRef>
          </c:cat>
          <c:val>
            <c:numRef>
              <c:f>'COMPARATIVE FINANCIAL STATEMENT'!$B$36:$F$36</c:f>
              <c:numCache>
                <c:formatCode>0.00%</c:formatCode>
                <c:ptCount val="5"/>
                <c:pt idx="0">
                  <c:v>-1.8300321344929277E-2</c:v>
                </c:pt>
                <c:pt idx="1">
                  <c:v>0.10166811532557893</c:v>
                </c:pt>
                <c:pt idx="2">
                  <c:v>5.52034983758753E-2</c:v>
                </c:pt>
                <c:pt idx="3">
                  <c:v>0.43135430089565346</c:v>
                </c:pt>
                <c:pt idx="4">
                  <c:v>0.15246711531728824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41-47C3-840C-D400565D4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8392511"/>
        <c:axId val="1528403071"/>
      </c:lineChart>
      <c:catAx>
        <c:axId val="1528392511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403071"/>
        <c:crosses val="autoZero"/>
        <c:auto val="0"/>
        <c:lblAlgn val="ctr"/>
        <c:lblOffset val="100"/>
        <c:noMultiLvlLbl val="0"/>
      </c:catAx>
      <c:valAx>
        <c:axId val="152840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39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167640</xdr:colOff>
      <xdr:row>130</xdr:row>
      <xdr:rowOff>26670</xdr:rowOff>
    </xdr:from>
    <xdr:to>
      <xdr:col>13</xdr:col>
      <xdr:colOff>281940</xdr:colOff>
      <xdr:row>145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322DCF-4A2E-78C1-EA47-60D3344C0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182880</xdr:colOff>
      <xdr:row>145</xdr:row>
      <xdr:rowOff>156210</xdr:rowOff>
    </xdr:from>
    <xdr:to>
      <xdr:col>13</xdr:col>
      <xdr:colOff>297180</xdr:colOff>
      <xdr:row>160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2EC82D-A774-198D-013E-C58C920E4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402605</xdr:colOff>
      <xdr:row>122</xdr:row>
      <xdr:rowOff>153606</xdr:rowOff>
    </xdr:from>
    <xdr:to>
      <xdr:col>21</xdr:col>
      <xdr:colOff>111792</xdr:colOff>
      <xdr:row>137</xdr:row>
      <xdr:rowOff>153605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056424-60E2-C226-5FB2-A29065B65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19292</xdr:colOff>
      <xdr:row>140</xdr:row>
      <xdr:rowOff>12539</xdr:rowOff>
    </xdr:from>
    <xdr:to>
      <xdr:col>21</xdr:col>
      <xdr:colOff>337595</xdr:colOff>
      <xdr:row>155</xdr:row>
      <xdr:rowOff>6752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B98E8B-8DE8-06D5-8A5B-5AE7360A3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154329</xdr:colOff>
      <xdr:row>160</xdr:row>
      <xdr:rowOff>157222</xdr:rowOff>
    </xdr:from>
    <xdr:to>
      <xdr:col>21</xdr:col>
      <xdr:colOff>472632</xdr:colOff>
      <xdr:row>175</xdr:row>
      <xdr:rowOff>151435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659D4E4-C89E-8546-22BE-E3CF243F3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241140</xdr:colOff>
      <xdr:row>166</xdr:row>
      <xdr:rowOff>108994</xdr:rowOff>
    </xdr:from>
    <xdr:to>
      <xdr:col>13</xdr:col>
      <xdr:colOff>356886</xdr:colOff>
      <xdr:row>181</xdr:row>
      <xdr:rowOff>103207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D016E16-825C-B9BD-9EA8-2DEA9532E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5</xdr:row>
      <xdr:rowOff>41910</xdr:rowOff>
    </xdr:from>
    <xdr:to>
      <xdr:col>11</xdr:col>
      <xdr:colOff>198120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B4CCC0-09BA-34C0-3344-FF6C619C5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562639</xdr:colOff>
      <xdr:row>4</xdr:row>
      <xdr:rowOff>63795</xdr:rowOff>
    </xdr:from>
    <xdr:to>
      <xdr:col>15</xdr:col>
      <xdr:colOff>243662</xdr:colOff>
      <xdr:row>19</xdr:row>
      <xdr:rowOff>7088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81E68B-AB3F-217A-62C0-0E9E836F3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500617</xdr:colOff>
      <xdr:row>56</xdr:row>
      <xdr:rowOff>125819</xdr:rowOff>
    </xdr:from>
    <xdr:to>
      <xdr:col>14</xdr:col>
      <xdr:colOff>1404384</xdr:colOff>
      <xdr:row>71</xdr:row>
      <xdr:rowOff>77972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CB5A54-E36C-15FA-747C-C1DA65A83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1785383</xdr:colOff>
      <xdr:row>81</xdr:row>
      <xdr:rowOff>28354</xdr:rowOff>
    </xdr:from>
    <xdr:to>
      <xdr:col>14</xdr:col>
      <xdr:colOff>961360</xdr:colOff>
      <xdr:row>95</xdr:row>
      <xdr:rowOff>157717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10F572-8917-C052-1CB5-D53466A9E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598713</xdr:colOff>
      <xdr:row>123</xdr:row>
      <xdr:rowOff>59872</xdr:rowOff>
    </xdr:from>
    <xdr:to>
      <xdr:col>12</xdr:col>
      <xdr:colOff>576942</xdr:colOff>
      <xdr:row>138</xdr:row>
      <xdr:rowOff>27215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79A3CC-0949-C94B-65C3-DF006CDFE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145472</xdr:colOff>
      <xdr:row>4</xdr:row>
      <xdr:rowOff>176299</xdr:rowOff>
    </xdr:from>
    <xdr:to>
      <xdr:col>14</xdr:col>
      <xdr:colOff>446808</xdr:colOff>
      <xdr:row>19</xdr:row>
      <xdr:rowOff>168679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A7910D-BC33-888A-4AEE-CEC727E6C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163285</xdr:colOff>
      <xdr:row>20</xdr:row>
      <xdr:rowOff>157843</xdr:rowOff>
    </xdr:from>
    <xdr:to>
      <xdr:col>14</xdr:col>
      <xdr:colOff>468085</xdr:colOff>
      <xdr:row>35</xdr:row>
      <xdr:rowOff>48986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5E65BF-A640-802B-25F5-D34E1CA75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220980</xdr:colOff>
      <xdr:row>5</xdr:row>
      <xdr:rowOff>41910</xdr:rowOff>
    </xdr:from>
    <xdr:to>
      <xdr:col>13</xdr:col>
      <xdr:colOff>525780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9C8D4D-6F83-514E-58D7-A3955EA08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236220</xdr:colOff>
      <xdr:row>20</xdr:row>
      <xdr:rowOff>118110</xdr:rowOff>
    </xdr:from>
    <xdr:to>
      <xdr:col>13</xdr:col>
      <xdr:colOff>541020</xdr:colOff>
      <xdr:row>35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C0E799-AEC4-57DE-2298-4A4573C22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4C0D4-08E8-4419-8809-ECBA5D4C0EF6}">
  <sheetPr codeName="Sheet1"/>
  <dimension ref="A1:O181"/>
  <sheetViews>
    <sheetView tabSelected="1" topLeftCell="A19" zoomScale="84" zoomScaleNormal="85" workbookViewId="0">
      <pane xSplit="1" topLeftCell="B1" activePane="topRight" state="frozen"/>
      <selection activeCell="A4" sqref="A4"/>
      <selection pane="topRight" activeCell="I26" sqref="I26"/>
    </sheetView>
  </sheetViews>
  <sheetFormatPr defaultRowHeight="14.4" x14ac:dyDescent="0.3"/>
  <cols>
    <col min="1" max="1" width="118.5546875" style="74" customWidth="1"/>
    <col min="2" max="5" width="11.21875" style="1" bestFit="1" customWidth="1"/>
    <col min="6" max="7" width="12.21875" style="1" bestFit="1" customWidth="1"/>
    <col min="8" max="8" width="18.77734375" style="71" bestFit="1" customWidth="1"/>
    <col min="9" max="9" width="10.6640625" style="71" bestFit="1" customWidth="1"/>
    <col min="10" max="15" width="8.88671875" style="71"/>
    <col min="16" max="16384" width="8.88671875" style="2"/>
  </cols>
  <sheetData>
    <row r="1" spans="1:7" x14ac:dyDescent="0.3">
      <c r="A1" s="65"/>
    </row>
    <row r="2" spans="1:7" x14ac:dyDescent="0.3">
      <c r="A2" s="47" t="s">
        <v>42</v>
      </c>
    </row>
    <row r="3" spans="1:7" x14ac:dyDescent="0.3">
      <c r="A3" s="65"/>
    </row>
    <row r="4" spans="1:7" ht="15" thickBot="1" x14ac:dyDescent="0.35">
      <c r="A4" s="75" t="s">
        <v>43</v>
      </c>
    </row>
    <row r="5" spans="1:7" ht="15" thickTop="1" x14ac:dyDescent="0.3">
      <c r="A5" s="65"/>
    </row>
    <row r="6" spans="1:7" x14ac:dyDescent="0.3">
      <c r="A6" s="8" t="s">
        <v>45</v>
      </c>
      <c r="B6" s="15">
        <v>43921</v>
      </c>
      <c r="C6" s="15">
        <v>44286</v>
      </c>
      <c r="D6" s="15">
        <v>44651</v>
      </c>
      <c r="E6" s="15">
        <v>45016</v>
      </c>
      <c r="F6" s="15">
        <v>45382</v>
      </c>
      <c r="G6" s="15">
        <v>45747</v>
      </c>
    </row>
    <row r="7" spans="1:7" x14ac:dyDescent="0.3">
      <c r="A7" s="89" t="s">
        <v>49</v>
      </c>
      <c r="B7" s="89"/>
      <c r="C7" s="89"/>
      <c r="D7" s="89"/>
      <c r="E7" s="89"/>
      <c r="F7" s="89"/>
      <c r="G7" s="89"/>
    </row>
    <row r="8" spans="1:7" x14ac:dyDescent="0.3">
      <c r="A8" s="71"/>
      <c r="B8" s="71"/>
      <c r="C8" s="71"/>
      <c r="D8" s="71"/>
      <c r="E8" s="71"/>
      <c r="F8" s="71"/>
      <c r="G8" s="71"/>
    </row>
    <row r="9" spans="1:7" x14ac:dyDescent="0.3">
      <c r="A9" s="72" t="s">
        <v>46</v>
      </c>
      <c r="B9" s="16">
        <v>6332.59</v>
      </c>
      <c r="C9" s="16">
        <v>6216.33</v>
      </c>
      <c r="D9" s="16">
        <v>8895.6200000000008</v>
      </c>
      <c r="E9" s="16">
        <v>10597.07</v>
      </c>
      <c r="F9" s="16">
        <v>11166.97</v>
      </c>
      <c r="G9" s="16">
        <v>12072.7</v>
      </c>
    </row>
    <row r="10" spans="1:7" x14ac:dyDescent="0.3">
      <c r="A10" s="72" t="s">
        <v>47</v>
      </c>
      <c r="B10" s="16">
        <v>151.86000000000001</v>
      </c>
      <c r="C10" s="16">
        <v>73.489999999999995</v>
      </c>
      <c r="D10" s="16">
        <v>39.96</v>
      </c>
      <c r="E10" s="16">
        <v>63.04</v>
      </c>
      <c r="F10" s="16">
        <v>165.55</v>
      </c>
      <c r="G10" s="16">
        <v>294.33999999999997</v>
      </c>
    </row>
    <row r="11" spans="1:7" x14ac:dyDescent="0.3">
      <c r="A11" s="11" t="s">
        <v>48</v>
      </c>
      <c r="B11" s="17">
        <f t="shared" ref="B11:G11" si="0">SUM(B9:B10)</f>
        <v>6484.45</v>
      </c>
      <c r="C11" s="17">
        <f t="shared" si="0"/>
        <v>6289.82</v>
      </c>
      <c r="D11" s="17">
        <f t="shared" si="0"/>
        <v>8935.58</v>
      </c>
      <c r="E11" s="17">
        <f t="shared" si="0"/>
        <v>10660.11</v>
      </c>
      <c r="F11" s="17">
        <f t="shared" si="0"/>
        <v>11332.519999999999</v>
      </c>
      <c r="G11" s="17">
        <f t="shared" si="0"/>
        <v>12367.04</v>
      </c>
    </row>
    <row r="12" spans="1:7" x14ac:dyDescent="0.3">
      <c r="A12" s="71"/>
      <c r="B12" s="71"/>
      <c r="C12" s="71"/>
      <c r="D12" s="71"/>
      <c r="E12" s="71"/>
      <c r="F12" s="71"/>
      <c r="G12" s="71"/>
    </row>
    <row r="13" spans="1:7" x14ac:dyDescent="0.3">
      <c r="A13" s="89" t="s">
        <v>50</v>
      </c>
      <c r="B13" s="89"/>
      <c r="C13" s="89"/>
      <c r="D13" s="89"/>
      <c r="E13" s="89"/>
      <c r="F13" s="89"/>
      <c r="G13" s="89"/>
    </row>
    <row r="14" spans="1:7" x14ac:dyDescent="0.3">
      <c r="A14" s="71"/>
      <c r="B14" s="71"/>
      <c r="C14" s="71"/>
      <c r="D14" s="71"/>
      <c r="E14" s="71"/>
      <c r="F14" s="71"/>
      <c r="G14" s="71"/>
    </row>
    <row r="15" spans="1:7" x14ac:dyDescent="0.3">
      <c r="A15" s="72" t="s">
        <v>51</v>
      </c>
      <c r="B15" s="16">
        <v>2520.6999999999998</v>
      </c>
      <c r="C15" s="16">
        <v>2469.5300000000002</v>
      </c>
      <c r="D15" s="16">
        <v>4523.17</v>
      </c>
      <c r="E15" s="16">
        <v>5345.97</v>
      </c>
      <c r="F15" s="16">
        <v>4520.2</v>
      </c>
      <c r="G15" s="16">
        <v>4850.1000000000004</v>
      </c>
    </row>
    <row r="16" spans="1:7" x14ac:dyDescent="0.3">
      <c r="A16" s="72" t="s">
        <v>52</v>
      </c>
      <c r="B16" s="16">
        <v>387.71</v>
      </c>
      <c r="C16" s="16">
        <v>453.99</v>
      </c>
      <c r="D16" s="16">
        <v>607.84</v>
      </c>
      <c r="E16" s="16">
        <v>858.96</v>
      </c>
      <c r="F16" s="16">
        <v>837.67</v>
      </c>
      <c r="G16" s="16">
        <v>825.67</v>
      </c>
    </row>
    <row r="17" spans="1:7" x14ac:dyDescent="0.3">
      <c r="A17" s="72" t="s">
        <v>53</v>
      </c>
      <c r="B17" s="16">
        <v>27.98</v>
      </c>
      <c r="C17" s="16">
        <v>-89.77</v>
      </c>
      <c r="D17" s="16">
        <v>-225.52</v>
      </c>
      <c r="E17" s="16">
        <v>-61.02</v>
      </c>
      <c r="F17" s="16">
        <v>57.65</v>
      </c>
      <c r="G17" s="16">
        <v>-124.69</v>
      </c>
    </row>
    <row r="18" spans="1:7" x14ac:dyDescent="0.3">
      <c r="A18" s="72" t="s">
        <v>54</v>
      </c>
      <c r="B18" s="16">
        <v>736.89</v>
      </c>
      <c r="C18" s="16">
        <v>787.75</v>
      </c>
      <c r="D18" s="16">
        <v>926.76</v>
      </c>
      <c r="E18" s="16">
        <v>1044.83</v>
      </c>
      <c r="F18" s="16">
        <v>1254.32</v>
      </c>
      <c r="G18" s="16">
        <v>1545.47</v>
      </c>
    </row>
    <row r="19" spans="1:7" x14ac:dyDescent="0.3">
      <c r="A19" s="72" t="s">
        <v>57</v>
      </c>
      <c r="B19" s="16">
        <v>1175.75</v>
      </c>
      <c r="C19" s="16">
        <v>1047.1500000000001</v>
      </c>
      <c r="D19" s="16">
        <v>1290.97</v>
      </c>
      <c r="E19" s="16">
        <v>1553.15</v>
      </c>
      <c r="F19" s="16">
        <v>1947.45</v>
      </c>
      <c r="G19" s="16">
        <v>2141.3200000000002</v>
      </c>
    </row>
    <row r="20" spans="1:7" x14ac:dyDescent="0.3">
      <c r="A20" s="11" t="s">
        <v>70</v>
      </c>
      <c r="B20" s="17">
        <f t="shared" ref="B20:G20" si="1">SUM(B15:B19)</f>
        <v>4849.03</v>
      </c>
      <c r="C20" s="17">
        <f t="shared" si="1"/>
        <v>4668.6500000000005</v>
      </c>
      <c r="D20" s="17">
        <f t="shared" si="1"/>
        <v>7123.22</v>
      </c>
      <c r="E20" s="17">
        <f t="shared" si="1"/>
        <v>8741.89</v>
      </c>
      <c r="F20" s="17">
        <f t="shared" si="1"/>
        <v>8617.2899999999991</v>
      </c>
      <c r="G20" s="17">
        <f t="shared" si="1"/>
        <v>9237.8700000000008</v>
      </c>
    </row>
    <row r="21" spans="1:7" x14ac:dyDescent="0.3">
      <c r="A21" s="71"/>
      <c r="B21" s="71"/>
      <c r="C21" s="71"/>
      <c r="D21" s="71"/>
      <c r="E21" s="71"/>
      <c r="F21" s="71"/>
      <c r="G21" s="71"/>
    </row>
    <row r="22" spans="1:7" x14ac:dyDescent="0.3">
      <c r="A22" s="11" t="s">
        <v>58</v>
      </c>
      <c r="B22" s="17">
        <f t="shared" ref="B22:G22" si="2">B11-B20</f>
        <v>1635.42</v>
      </c>
      <c r="C22" s="17">
        <f t="shared" si="2"/>
        <v>1621.1699999999992</v>
      </c>
      <c r="D22" s="17">
        <f t="shared" si="2"/>
        <v>1812.3599999999997</v>
      </c>
      <c r="E22" s="17">
        <f t="shared" si="2"/>
        <v>1918.2200000000012</v>
      </c>
      <c r="F22" s="17">
        <f t="shared" si="2"/>
        <v>2715.2299999999996</v>
      </c>
      <c r="G22" s="17">
        <f t="shared" si="2"/>
        <v>3129.17</v>
      </c>
    </row>
    <row r="23" spans="1:7" x14ac:dyDescent="0.3">
      <c r="A23" s="72" t="s">
        <v>56</v>
      </c>
      <c r="B23" s="16">
        <v>125.79</v>
      </c>
      <c r="C23" s="16">
        <v>147.1</v>
      </c>
      <c r="D23" s="16">
        <v>194.38</v>
      </c>
      <c r="E23" s="16">
        <v>221.97</v>
      </c>
      <c r="F23" s="16">
        <v>289.11</v>
      </c>
      <c r="G23" s="16">
        <v>308.41000000000003</v>
      </c>
    </row>
    <row r="24" spans="1:7" x14ac:dyDescent="0.3">
      <c r="A24" s="11" t="s">
        <v>69</v>
      </c>
      <c r="B24" s="17">
        <f t="shared" ref="B24:G24" si="3">B22-B23</f>
        <v>1509.63</v>
      </c>
      <c r="C24" s="17">
        <f t="shared" si="3"/>
        <v>1474.0699999999993</v>
      </c>
      <c r="D24" s="17">
        <f t="shared" si="3"/>
        <v>1617.9799999999996</v>
      </c>
      <c r="E24" s="17">
        <f t="shared" si="3"/>
        <v>1696.2500000000011</v>
      </c>
      <c r="F24" s="17">
        <f t="shared" si="3"/>
        <v>2426.1199999999994</v>
      </c>
      <c r="G24" s="17">
        <f t="shared" si="3"/>
        <v>2820.76</v>
      </c>
    </row>
    <row r="25" spans="1:7" x14ac:dyDescent="0.3">
      <c r="A25" s="72" t="s">
        <v>55</v>
      </c>
      <c r="B25" s="16">
        <v>13.4</v>
      </c>
      <c r="C25" s="16">
        <v>16.989999999999998</v>
      </c>
      <c r="D25" s="16">
        <v>27.24</v>
      </c>
      <c r="E25" s="16">
        <v>28.53</v>
      </c>
      <c r="F25" s="16">
        <v>29.46</v>
      </c>
      <c r="G25" s="16">
        <v>34.72</v>
      </c>
    </row>
    <row r="26" spans="1:7" x14ac:dyDescent="0.3">
      <c r="A26" s="72" t="s">
        <v>59</v>
      </c>
      <c r="B26" s="16">
        <v>59.28</v>
      </c>
      <c r="C26" s="16">
        <v>0.45</v>
      </c>
      <c r="D26" s="16">
        <v>0</v>
      </c>
      <c r="E26" s="16">
        <v>0</v>
      </c>
      <c r="F26" s="16">
        <v>-7.15</v>
      </c>
      <c r="G26" s="16">
        <v>20.16</v>
      </c>
    </row>
    <row r="27" spans="1:7" x14ac:dyDescent="0.3">
      <c r="A27" s="11" t="s">
        <v>60</v>
      </c>
      <c r="B27" s="17">
        <f t="shared" ref="B27:G27" si="4">B24-SUM(B25:B26)</f>
        <v>1436.95</v>
      </c>
      <c r="C27" s="17">
        <f t="shared" si="4"/>
        <v>1456.6299999999992</v>
      </c>
      <c r="D27" s="17">
        <f t="shared" si="4"/>
        <v>1590.7399999999996</v>
      </c>
      <c r="E27" s="17">
        <f t="shared" si="4"/>
        <v>1667.7200000000012</v>
      </c>
      <c r="F27" s="17">
        <f t="shared" si="4"/>
        <v>2403.8099999999995</v>
      </c>
      <c r="G27" s="17">
        <f t="shared" si="4"/>
        <v>2765.88</v>
      </c>
    </row>
    <row r="28" spans="1:7" x14ac:dyDescent="0.3">
      <c r="A28" s="66"/>
      <c r="B28" s="16"/>
      <c r="C28" s="16"/>
      <c r="D28" s="16"/>
      <c r="E28" s="16"/>
      <c r="F28" s="16"/>
      <c r="G28" s="16"/>
    </row>
    <row r="29" spans="1:7" x14ac:dyDescent="0.3">
      <c r="A29" s="88" t="s">
        <v>61</v>
      </c>
      <c r="B29" s="88"/>
      <c r="C29" s="88"/>
      <c r="D29" s="88"/>
      <c r="E29" s="88"/>
      <c r="F29" s="88"/>
      <c r="G29" s="88"/>
    </row>
    <row r="30" spans="1:7" x14ac:dyDescent="0.3">
      <c r="A30" s="71"/>
      <c r="B30" s="71"/>
      <c r="C30" s="71"/>
      <c r="D30" s="71"/>
      <c r="E30" s="71"/>
      <c r="F30" s="71"/>
      <c r="G30" s="71"/>
    </row>
    <row r="31" spans="1:7" x14ac:dyDescent="0.3">
      <c r="A31" s="72" t="s">
        <v>62</v>
      </c>
      <c r="B31" s="16">
        <v>368.65</v>
      </c>
      <c r="C31" s="16">
        <v>375.05</v>
      </c>
      <c r="D31" s="16">
        <v>397.53</v>
      </c>
      <c r="E31" s="16">
        <v>423.05</v>
      </c>
      <c r="F31" s="16">
        <v>604.74</v>
      </c>
      <c r="G31" s="16">
        <v>676.08</v>
      </c>
    </row>
    <row r="32" spans="1:7" x14ac:dyDescent="0.3">
      <c r="A32" s="72" t="s">
        <v>63</v>
      </c>
      <c r="B32" s="16">
        <v>-33.32</v>
      </c>
      <c r="C32" s="16">
        <v>0.12</v>
      </c>
      <c r="D32" s="16">
        <v>1.8</v>
      </c>
      <c r="E32" s="16">
        <v>-12.51</v>
      </c>
      <c r="F32" s="16">
        <v>-0.4</v>
      </c>
      <c r="G32" s="16">
        <v>15.97</v>
      </c>
    </row>
    <row r="33" spans="1:7" x14ac:dyDescent="0.3">
      <c r="A33" s="11" t="s">
        <v>71</v>
      </c>
      <c r="B33" s="17">
        <f t="shared" ref="B33:G33" si="5">B31+B32</f>
        <v>335.33</v>
      </c>
      <c r="C33" s="17">
        <f t="shared" si="5"/>
        <v>375.17</v>
      </c>
      <c r="D33" s="17">
        <f t="shared" si="5"/>
        <v>399.33</v>
      </c>
      <c r="E33" s="17">
        <f t="shared" si="5"/>
        <v>410.54</v>
      </c>
      <c r="F33" s="17">
        <f t="shared" si="5"/>
        <v>604.34</v>
      </c>
      <c r="G33" s="17">
        <f t="shared" si="5"/>
        <v>692.05000000000007</v>
      </c>
    </row>
    <row r="34" spans="1:7" x14ac:dyDescent="0.3">
      <c r="A34" s="73" t="s">
        <v>112</v>
      </c>
      <c r="B34" s="27">
        <f t="shared" ref="B34:G34" si="6">B33/B27</f>
        <v>0.23336232993493161</v>
      </c>
      <c r="C34" s="27">
        <f t="shared" si="6"/>
        <v>0.25756025895388684</v>
      </c>
      <c r="D34" s="27">
        <f t="shared" si="6"/>
        <v>0.25103410991111064</v>
      </c>
      <c r="E34" s="27">
        <f t="shared" si="6"/>
        <v>0.24616842155757546</v>
      </c>
      <c r="F34" s="27">
        <f t="shared" si="6"/>
        <v>0.25140922119468684</v>
      </c>
      <c r="G34" s="27">
        <f t="shared" si="6"/>
        <v>0.25020969817924132</v>
      </c>
    </row>
    <row r="35" spans="1:7" x14ac:dyDescent="0.3">
      <c r="A35" s="71"/>
      <c r="B35" s="71"/>
      <c r="C35" s="71"/>
      <c r="D35" s="71"/>
      <c r="E35" s="71"/>
      <c r="F35" s="71"/>
      <c r="G35" s="71"/>
    </row>
    <row r="36" spans="1:7" ht="18" thickBot="1" x14ac:dyDescent="0.4">
      <c r="A36" s="77" t="s">
        <v>113</v>
      </c>
      <c r="B36" s="78">
        <f t="shared" ref="B36:G36" si="7">B27-B33</f>
        <v>1101.6200000000001</v>
      </c>
      <c r="C36" s="78">
        <f t="shared" si="7"/>
        <v>1081.4599999999991</v>
      </c>
      <c r="D36" s="78">
        <f t="shared" si="7"/>
        <v>1191.4099999999996</v>
      </c>
      <c r="E36" s="78">
        <f t="shared" si="7"/>
        <v>1257.1800000000012</v>
      </c>
      <c r="F36" s="78">
        <f t="shared" si="7"/>
        <v>1799.4699999999993</v>
      </c>
      <c r="G36" s="78">
        <f t="shared" si="7"/>
        <v>2073.83</v>
      </c>
    </row>
    <row r="37" spans="1:7" ht="15" thickTop="1" x14ac:dyDescent="0.3">
      <c r="A37" s="71"/>
      <c r="B37" s="71"/>
      <c r="C37" s="71"/>
      <c r="D37" s="71"/>
      <c r="E37" s="71"/>
      <c r="F37" s="71"/>
      <c r="G37" s="71"/>
    </row>
    <row r="38" spans="1:7" x14ac:dyDescent="0.3">
      <c r="A38" s="88" t="s">
        <v>72</v>
      </c>
      <c r="B38" s="88"/>
      <c r="C38" s="88"/>
      <c r="D38" s="88"/>
      <c r="E38" s="88"/>
      <c r="F38" s="88"/>
      <c r="G38" s="88"/>
    </row>
    <row r="39" spans="1:7" x14ac:dyDescent="0.3">
      <c r="A39" s="91" t="s">
        <v>73</v>
      </c>
      <c r="B39" s="91"/>
      <c r="C39" s="91"/>
      <c r="D39" s="91"/>
      <c r="E39" s="91"/>
      <c r="F39" s="91"/>
      <c r="G39" s="91"/>
    </row>
    <row r="40" spans="1:7" x14ac:dyDescent="0.3">
      <c r="A40" s="71"/>
      <c r="B40" s="71"/>
      <c r="C40" s="71"/>
      <c r="D40" s="71"/>
      <c r="E40" s="71"/>
      <c r="F40" s="71"/>
      <c r="G40" s="71"/>
    </row>
    <row r="41" spans="1:7" x14ac:dyDescent="0.3">
      <c r="A41" s="72" t="s">
        <v>74</v>
      </c>
      <c r="B41" s="16">
        <v>-14.88</v>
      </c>
      <c r="C41" s="16">
        <v>-0.95</v>
      </c>
      <c r="D41" s="16">
        <v>-12.11</v>
      </c>
      <c r="E41" s="16">
        <v>1.94</v>
      </c>
      <c r="F41" s="16">
        <v>-26.78</v>
      </c>
      <c r="G41" s="16">
        <v>-15.24</v>
      </c>
    </row>
    <row r="42" spans="1:7" x14ac:dyDescent="0.3">
      <c r="A42" s="72" t="s">
        <v>75</v>
      </c>
      <c r="B42" s="16">
        <v>3.08</v>
      </c>
      <c r="C42" s="16">
        <v>0.24</v>
      </c>
      <c r="D42" s="16">
        <v>3.05</v>
      </c>
      <c r="E42" s="16">
        <v>-0.49</v>
      </c>
      <c r="F42" s="16">
        <v>6.74</v>
      </c>
      <c r="G42" s="16">
        <v>3.84</v>
      </c>
    </row>
    <row r="43" spans="1:7" x14ac:dyDescent="0.3">
      <c r="A43" s="11" t="s">
        <v>64</v>
      </c>
      <c r="B43" s="17">
        <f t="shared" ref="B43:G43" si="8">B42+B41</f>
        <v>-11.8</v>
      </c>
      <c r="C43" s="17">
        <f t="shared" si="8"/>
        <v>-0.71</v>
      </c>
      <c r="D43" s="17">
        <f t="shared" si="8"/>
        <v>-9.0599999999999987</v>
      </c>
      <c r="E43" s="17">
        <f t="shared" si="8"/>
        <v>1.45</v>
      </c>
      <c r="F43" s="17">
        <f t="shared" si="8"/>
        <v>-20.04</v>
      </c>
      <c r="G43" s="17">
        <f t="shared" si="8"/>
        <v>-11.4</v>
      </c>
    </row>
    <row r="44" spans="1:7" x14ac:dyDescent="0.3">
      <c r="A44" s="71"/>
      <c r="B44" s="71"/>
      <c r="C44" s="71"/>
      <c r="D44" s="71"/>
      <c r="E44" s="71"/>
      <c r="F44" s="71"/>
      <c r="G44" s="71"/>
    </row>
    <row r="45" spans="1:7" ht="18" thickBot="1" x14ac:dyDescent="0.4">
      <c r="A45" s="77" t="s">
        <v>65</v>
      </c>
      <c r="B45" s="78">
        <f t="shared" ref="B45:G45" si="9">B36+B43</f>
        <v>1089.8200000000002</v>
      </c>
      <c r="C45" s="78">
        <f t="shared" si="9"/>
        <v>1080.7499999999991</v>
      </c>
      <c r="D45" s="78">
        <f t="shared" si="9"/>
        <v>1182.3499999999997</v>
      </c>
      <c r="E45" s="78">
        <f t="shared" si="9"/>
        <v>1258.6300000000012</v>
      </c>
      <c r="F45" s="78">
        <f t="shared" si="9"/>
        <v>1779.4299999999994</v>
      </c>
      <c r="G45" s="78">
        <f t="shared" si="9"/>
        <v>2062.4299999999998</v>
      </c>
    </row>
    <row r="46" spans="1:7" ht="15" thickTop="1" x14ac:dyDescent="0.3">
      <c r="B46" s="71"/>
      <c r="C46" s="71"/>
      <c r="D46" s="71"/>
      <c r="E46" s="71"/>
      <c r="F46" s="71"/>
      <c r="G46" s="71"/>
    </row>
    <row r="47" spans="1:7" x14ac:dyDescent="0.3">
      <c r="A47" s="88" t="s">
        <v>66</v>
      </c>
      <c r="B47" s="88"/>
      <c r="C47" s="88"/>
      <c r="D47" s="88"/>
      <c r="E47" s="88"/>
      <c r="F47" s="88"/>
      <c r="G47" s="88"/>
    </row>
    <row r="48" spans="1:7" x14ac:dyDescent="0.3">
      <c r="B48" s="71"/>
      <c r="C48" s="71"/>
      <c r="D48" s="71"/>
      <c r="E48" s="71"/>
      <c r="F48" s="71"/>
      <c r="G48" s="71"/>
    </row>
    <row r="49" spans="1:7" x14ac:dyDescent="0.3">
      <c r="A49" s="72" t="s">
        <v>67</v>
      </c>
      <c r="B49" s="16">
        <v>21.69</v>
      </c>
      <c r="C49" s="16">
        <v>21.28</v>
      </c>
      <c r="D49" s="16">
        <v>23.45</v>
      </c>
      <c r="E49" s="16">
        <v>24.73</v>
      </c>
      <c r="F49" s="16">
        <v>35.39</v>
      </c>
      <c r="G49" s="16">
        <v>40.770000000000003</v>
      </c>
    </row>
    <row r="50" spans="1:7" x14ac:dyDescent="0.3">
      <c r="A50" s="72" t="s">
        <v>68</v>
      </c>
      <c r="B50" s="16">
        <v>21.68</v>
      </c>
      <c r="C50" s="16">
        <v>21.27</v>
      </c>
      <c r="D50" s="16">
        <v>23.43</v>
      </c>
      <c r="E50" s="16">
        <v>24.72</v>
      </c>
      <c r="F50" s="16">
        <v>35.35</v>
      </c>
      <c r="G50" s="16">
        <v>40.68</v>
      </c>
    </row>
    <row r="51" spans="1:7" x14ac:dyDescent="0.3">
      <c r="A51" s="65"/>
    </row>
    <row r="52" spans="1:7" x14ac:dyDescent="0.3">
      <c r="A52" s="65"/>
    </row>
    <row r="53" spans="1:7" ht="20.399999999999999" thickBot="1" x14ac:dyDescent="0.45">
      <c r="A53" s="3" t="s">
        <v>44</v>
      </c>
    </row>
    <row r="54" spans="1:7" ht="15" thickTop="1" x14ac:dyDescent="0.3">
      <c r="A54" s="66"/>
    </row>
    <row r="55" spans="1:7" x14ac:dyDescent="0.3">
      <c r="A55" s="40" t="s">
        <v>45</v>
      </c>
      <c r="B55" s="41">
        <v>43921</v>
      </c>
      <c r="C55" s="41">
        <v>44286</v>
      </c>
      <c r="D55" s="41">
        <v>44651</v>
      </c>
      <c r="E55" s="41">
        <v>45016</v>
      </c>
      <c r="F55" s="41">
        <v>45382</v>
      </c>
      <c r="G55" s="15">
        <v>45747</v>
      </c>
    </row>
    <row r="56" spans="1:7" x14ac:dyDescent="0.3">
      <c r="A56" s="89" t="s">
        <v>0</v>
      </c>
      <c r="B56" s="89"/>
      <c r="C56" s="89"/>
      <c r="D56" s="89"/>
      <c r="E56" s="89"/>
      <c r="F56" s="89"/>
      <c r="G56" s="89"/>
    </row>
    <row r="57" spans="1:7" x14ac:dyDescent="0.3">
      <c r="B57" s="71"/>
      <c r="C57" s="71"/>
      <c r="D57" s="71"/>
      <c r="E57" s="71"/>
      <c r="F57" s="71"/>
      <c r="G57" s="71"/>
    </row>
    <row r="58" spans="1:7" x14ac:dyDescent="0.3">
      <c r="A58" s="88" t="s">
        <v>1</v>
      </c>
      <c r="B58" s="88"/>
      <c r="C58" s="88"/>
      <c r="D58" s="88"/>
      <c r="E58" s="88"/>
      <c r="F58" s="88"/>
      <c r="G58" s="88"/>
    </row>
    <row r="59" spans="1:7" x14ac:dyDescent="0.3">
      <c r="B59" s="71"/>
      <c r="C59" s="71"/>
      <c r="D59" s="71"/>
      <c r="E59" s="71"/>
      <c r="F59" s="71"/>
      <c r="G59" s="71"/>
    </row>
    <row r="60" spans="1:7" x14ac:dyDescent="0.3">
      <c r="A60" s="72" t="s">
        <v>2</v>
      </c>
      <c r="B60" s="16">
        <v>861.24</v>
      </c>
      <c r="C60" s="16">
        <v>1023.38</v>
      </c>
      <c r="D60" s="16">
        <v>1322.77</v>
      </c>
      <c r="E60" s="16">
        <v>1443.37</v>
      </c>
      <c r="F60" s="16">
        <v>1897.08</v>
      </c>
      <c r="G60" s="16">
        <v>2096.0700000000002</v>
      </c>
    </row>
    <row r="61" spans="1:7" x14ac:dyDescent="0.3">
      <c r="A61" s="72" t="s">
        <v>3</v>
      </c>
      <c r="B61" s="16">
        <v>109.15</v>
      </c>
      <c r="C61" s="16">
        <v>118.67</v>
      </c>
      <c r="D61" s="16">
        <v>170.95</v>
      </c>
      <c r="E61" s="16">
        <v>272.95</v>
      </c>
      <c r="F61" s="16">
        <v>313.64999999999998</v>
      </c>
      <c r="G61" s="16">
        <v>397.42</v>
      </c>
    </row>
    <row r="62" spans="1:7" x14ac:dyDescent="0.3">
      <c r="A62" s="72" t="s">
        <v>4</v>
      </c>
      <c r="B62" s="16">
        <v>247.64</v>
      </c>
      <c r="C62" s="16">
        <v>281.5</v>
      </c>
      <c r="D62" s="16">
        <v>207.34</v>
      </c>
      <c r="E62" s="16">
        <v>351</v>
      </c>
      <c r="F62" s="16">
        <v>135.46</v>
      </c>
      <c r="G62" s="16">
        <v>105.82</v>
      </c>
    </row>
    <row r="63" spans="1:7" x14ac:dyDescent="0.3">
      <c r="A63" s="72" t="s">
        <v>5</v>
      </c>
      <c r="B63" s="16">
        <v>86.11</v>
      </c>
      <c r="C63" s="16">
        <v>86.34</v>
      </c>
      <c r="D63" s="16">
        <v>1184.8499999999999</v>
      </c>
      <c r="E63" s="16">
        <v>1184.8499999999999</v>
      </c>
      <c r="F63" s="16">
        <v>1184.8499999999999</v>
      </c>
      <c r="G63" s="16">
        <v>1184.8499999999999</v>
      </c>
    </row>
    <row r="64" spans="1:7" x14ac:dyDescent="0.3">
      <c r="A64" s="72" t="s">
        <v>6</v>
      </c>
      <c r="B64" s="16">
        <v>192.99</v>
      </c>
      <c r="C64" s="16">
        <v>194.17</v>
      </c>
      <c r="D64" s="16">
        <v>1556.88</v>
      </c>
      <c r="E64" s="16">
        <v>1536.24</v>
      </c>
      <c r="F64" s="16">
        <v>1539.05</v>
      </c>
      <c r="G64" s="16">
        <v>1523.17</v>
      </c>
    </row>
    <row r="65" spans="1:7" x14ac:dyDescent="0.3">
      <c r="A65" s="72" t="s">
        <v>7</v>
      </c>
      <c r="B65" s="16">
        <v>1108.3399999999999</v>
      </c>
      <c r="C65" s="16">
        <v>3312.26</v>
      </c>
      <c r="D65" s="16">
        <v>914.46</v>
      </c>
      <c r="E65" s="16">
        <v>1003.91</v>
      </c>
      <c r="F65" s="16">
        <v>1053.8499999999999</v>
      </c>
      <c r="G65" s="16">
        <v>1136.0999999999999</v>
      </c>
    </row>
    <row r="66" spans="1:7" x14ac:dyDescent="0.3">
      <c r="A66" s="72" t="s">
        <v>8</v>
      </c>
      <c r="B66" s="16">
        <v>4.04</v>
      </c>
      <c r="C66" s="16">
        <v>4.82</v>
      </c>
      <c r="D66" s="16">
        <v>5.05</v>
      </c>
      <c r="E66" s="16">
        <v>6.2</v>
      </c>
      <c r="F66" s="16">
        <v>7.75</v>
      </c>
      <c r="G66" s="16">
        <v>7.37</v>
      </c>
    </row>
    <row r="67" spans="1:7" x14ac:dyDescent="0.3">
      <c r="A67" s="72" t="s">
        <v>9</v>
      </c>
      <c r="B67" s="16">
        <v>13.12</v>
      </c>
      <c r="C67" s="16">
        <v>15.15</v>
      </c>
      <c r="D67" s="16">
        <v>19.45</v>
      </c>
      <c r="E67" s="16">
        <v>34.950000000000003</v>
      </c>
      <c r="F67" s="16">
        <v>39.51</v>
      </c>
      <c r="G67" s="16">
        <v>45.04</v>
      </c>
    </row>
    <row r="68" spans="1:7" x14ac:dyDescent="0.3">
      <c r="A68" s="72" t="s">
        <v>10</v>
      </c>
      <c r="B68" s="16">
        <v>105.8</v>
      </c>
      <c r="C68" s="16">
        <v>86.98</v>
      </c>
      <c r="D68" s="16">
        <v>129.91999999999999</v>
      </c>
      <c r="E68" s="16">
        <v>137.21</v>
      </c>
      <c r="F68" s="16">
        <v>129.58000000000001</v>
      </c>
      <c r="G68" s="16">
        <v>158.07</v>
      </c>
    </row>
    <row r="69" spans="1:7" x14ac:dyDescent="0.3">
      <c r="A69" s="72" t="s">
        <v>11</v>
      </c>
      <c r="B69" s="16">
        <v>64.569999999999993</v>
      </c>
      <c r="C69" s="16">
        <v>79.37</v>
      </c>
      <c r="D69" s="16">
        <v>42.2</v>
      </c>
      <c r="E69" s="16">
        <v>47.76</v>
      </c>
      <c r="F69" s="16">
        <v>52.32</v>
      </c>
      <c r="G69" s="16">
        <v>45.55</v>
      </c>
    </row>
    <row r="70" spans="1:7" x14ac:dyDescent="0.3">
      <c r="A70" s="71"/>
      <c r="B70" s="71"/>
      <c r="C70" s="71"/>
      <c r="D70" s="71"/>
      <c r="E70" s="71"/>
      <c r="F70" s="71"/>
      <c r="G70" s="71"/>
    </row>
    <row r="71" spans="1:7" x14ac:dyDescent="0.3">
      <c r="A71" s="11" t="s">
        <v>12</v>
      </c>
      <c r="B71" s="17">
        <f t="shared" ref="B71:G71" si="10">SUM(B60:B69)</f>
        <v>2793</v>
      </c>
      <c r="C71" s="17">
        <f t="shared" si="10"/>
        <v>5202.6399999999985</v>
      </c>
      <c r="D71" s="17">
        <f t="shared" si="10"/>
        <v>5553.87</v>
      </c>
      <c r="E71" s="17">
        <f t="shared" si="10"/>
        <v>6018.44</v>
      </c>
      <c r="F71" s="17">
        <f t="shared" si="10"/>
        <v>6353.1</v>
      </c>
      <c r="G71" s="17">
        <f t="shared" si="10"/>
        <v>6699.46</v>
      </c>
    </row>
    <row r="72" spans="1:7" x14ac:dyDescent="0.3">
      <c r="B72" s="71"/>
      <c r="C72" s="71"/>
      <c r="D72" s="71"/>
      <c r="E72" s="71"/>
      <c r="F72" s="71"/>
      <c r="G72" s="71"/>
    </row>
    <row r="73" spans="1:7" x14ac:dyDescent="0.3">
      <c r="A73" s="88" t="s">
        <v>13</v>
      </c>
      <c r="B73" s="88"/>
      <c r="C73" s="88"/>
      <c r="D73" s="88"/>
      <c r="E73" s="88"/>
      <c r="F73" s="88"/>
      <c r="G73" s="88"/>
    </row>
    <row r="74" spans="1:7" x14ac:dyDescent="0.3">
      <c r="B74" s="71"/>
      <c r="C74" s="71"/>
      <c r="D74" s="71"/>
      <c r="E74" s="71"/>
      <c r="F74" s="71"/>
      <c r="G74" s="71"/>
    </row>
    <row r="75" spans="1:7" x14ac:dyDescent="0.3">
      <c r="A75" s="72" t="s">
        <v>19</v>
      </c>
      <c r="B75" s="16">
        <v>730.49</v>
      </c>
      <c r="C75" s="16">
        <v>975.94</v>
      </c>
      <c r="D75" s="16">
        <v>1441.92</v>
      </c>
      <c r="E75" s="16">
        <v>1561.24</v>
      </c>
      <c r="F75" s="16">
        <v>1257.22</v>
      </c>
      <c r="G75" s="16">
        <v>1490.37</v>
      </c>
    </row>
    <row r="76" spans="1:7" x14ac:dyDescent="0.3">
      <c r="A76" s="72" t="s">
        <v>7</v>
      </c>
      <c r="B76" s="16">
        <v>715.18</v>
      </c>
      <c r="C76" s="16">
        <v>169.35</v>
      </c>
      <c r="D76" s="16">
        <v>170.31</v>
      </c>
      <c r="E76" s="16">
        <v>442.71</v>
      </c>
      <c r="F76" s="16">
        <v>1759.39</v>
      </c>
      <c r="G76" s="16">
        <v>3036.92</v>
      </c>
    </row>
    <row r="77" spans="1:7" x14ac:dyDescent="0.3">
      <c r="A77" s="72" t="s">
        <v>14</v>
      </c>
      <c r="B77" s="16">
        <v>806.63</v>
      </c>
      <c r="C77" s="16">
        <v>999.09</v>
      </c>
      <c r="D77" s="16">
        <v>1211.93</v>
      </c>
      <c r="E77" s="16">
        <v>1305.1199999999999</v>
      </c>
      <c r="F77" s="16">
        <v>1405.53</v>
      </c>
      <c r="G77" s="16">
        <v>1555.91</v>
      </c>
    </row>
    <row r="78" spans="1:7" x14ac:dyDescent="0.3">
      <c r="A78" s="72" t="s">
        <v>15</v>
      </c>
      <c r="B78" s="16">
        <v>564.16999999999996</v>
      </c>
      <c r="C78" s="16">
        <v>109.81</v>
      </c>
      <c r="D78" s="16">
        <v>147.69999999999999</v>
      </c>
      <c r="E78" s="16">
        <v>153.30000000000001</v>
      </c>
      <c r="F78" s="16">
        <v>379.87</v>
      </c>
      <c r="G78" s="16">
        <v>212.06</v>
      </c>
    </row>
    <row r="79" spans="1:7" x14ac:dyDescent="0.3">
      <c r="A79" s="72" t="s">
        <v>16</v>
      </c>
      <c r="B79" s="16">
        <v>4.67</v>
      </c>
      <c r="C79" s="16">
        <v>2.56</v>
      </c>
      <c r="D79" s="16">
        <v>2.87</v>
      </c>
      <c r="E79" s="16">
        <v>2.75</v>
      </c>
      <c r="F79" s="16">
        <v>2.2999999999999998</v>
      </c>
      <c r="G79" s="16">
        <v>2.58</v>
      </c>
    </row>
    <row r="80" spans="1:7" x14ac:dyDescent="0.3">
      <c r="A80" s="72" t="s">
        <v>8</v>
      </c>
      <c r="B80" s="16">
        <v>25.38</v>
      </c>
      <c r="C80" s="16">
        <v>16.25</v>
      </c>
      <c r="D80" s="16">
        <v>17.809999999999999</v>
      </c>
      <c r="E80" s="16">
        <v>23.96</v>
      </c>
      <c r="F80" s="16">
        <v>29.61</v>
      </c>
      <c r="G80" s="16">
        <v>22.75</v>
      </c>
    </row>
    <row r="81" spans="1:7" x14ac:dyDescent="0.3">
      <c r="A81" s="72" t="s">
        <v>9</v>
      </c>
      <c r="B81" s="16">
        <v>8.23</v>
      </c>
      <c r="C81" s="16">
        <v>7.34</v>
      </c>
      <c r="D81" s="16">
        <v>11.4</v>
      </c>
      <c r="E81" s="16">
        <v>7.7</v>
      </c>
      <c r="F81" s="16">
        <v>5.82</v>
      </c>
      <c r="G81" s="16">
        <v>7.52</v>
      </c>
    </row>
    <row r="82" spans="1:7" x14ac:dyDescent="0.3">
      <c r="A82" s="72" t="s">
        <v>17</v>
      </c>
      <c r="B82" s="16">
        <v>171.31</v>
      </c>
      <c r="C82" s="16">
        <v>140.43</v>
      </c>
      <c r="D82" s="16">
        <v>180.56</v>
      </c>
      <c r="E82" s="16">
        <v>164.91</v>
      </c>
      <c r="F82" s="16">
        <v>174.51</v>
      </c>
      <c r="G82" s="16">
        <v>243.56</v>
      </c>
    </row>
    <row r="83" spans="1:7" x14ac:dyDescent="0.3">
      <c r="A83" s="72" t="s">
        <v>119</v>
      </c>
      <c r="B83" s="16">
        <v>0</v>
      </c>
      <c r="C83" s="16">
        <v>0</v>
      </c>
      <c r="D83" s="16">
        <v>0</v>
      </c>
      <c r="E83" s="16">
        <v>0</v>
      </c>
      <c r="F83" s="16">
        <v>3.41</v>
      </c>
      <c r="G83" s="16">
        <v>0</v>
      </c>
    </row>
    <row r="84" spans="1:7" x14ac:dyDescent="0.3">
      <c r="A84" s="71"/>
      <c r="B84" s="71"/>
      <c r="C84" s="71"/>
      <c r="D84" s="71"/>
      <c r="E84" s="71"/>
      <c r="F84" s="71"/>
      <c r="G84" s="71"/>
    </row>
    <row r="85" spans="1:7" x14ac:dyDescent="0.3">
      <c r="A85" s="11" t="s">
        <v>18</v>
      </c>
      <c r="B85" s="17">
        <f t="shared" ref="B85:G85" si="11">SUM(B75:B83)</f>
        <v>3026.0600000000004</v>
      </c>
      <c r="C85" s="17">
        <f t="shared" si="11"/>
        <v>2420.77</v>
      </c>
      <c r="D85" s="17">
        <f t="shared" si="11"/>
        <v>3184.4999999999995</v>
      </c>
      <c r="E85" s="17">
        <f t="shared" si="11"/>
        <v>3661.6899999999996</v>
      </c>
      <c r="F85" s="17">
        <f t="shared" si="11"/>
        <v>5017.66</v>
      </c>
      <c r="G85" s="17">
        <f t="shared" si="11"/>
        <v>6571.670000000001</v>
      </c>
    </row>
    <row r="86" spans="1:7" x14ac:dyDescent="0.3">
      <c r="A86" s="71"/>
      <c r="B86" s="70"/>
      <c r="C86" s="70"/>
      <c r="D86" s="70"/>
      <c r="E86" s="70"/>
      <c r="F86" s="70"/>
      <c r="G86" s="70"/>
    </row>
    <row r="87" spans="1:7" ht="18" thickBot="1" x14ac:dyDescent="0.4">
      <c r="A87" s="77" t="s">
        <v>20</v>
      </c>
      <c r="B87" s="78">
        <f t="shared" ref="B87:G87" si="12">B71+B85</f>
        <v>5819.06</v>
      </c>
      <c r="C87" s="78">
        <f t="shared" si="12"/>
        <v>7623.409999999998</v>
      </c>
      <c r="D87" s="78">
        <f t="shared" si="12"/>
        <v>8738.369999999999</v>
      </c>
      <c r="E87" s="78">
        <f t="shared" si="12"/>
        <v>9680.1299999999992</v>
      </c>
      <c r="F87" s="78">
        <f t="shared" si="12"/>
        <v>11370.76</v>
      </c>
      <c r="G87" s="78">
        <f t="shared" si="12"/>
        <v>13271.130000000001</v>
      </c>
    </row>
    <row r="88" spans="1:7" ht="15" thickTop="1" x14ac:dyDescent="0.3">
      <c r="B88" s="71"/>
      <c r="C88" s="71"/>
      <c r="D88" s="71"/>
      <c r="E88" s="71"/>
      <c r="F88" s="71"/>
      <c r="G88" s="71"/>
    </row>
    <row r="89" spans="1:7" x14ac:dyDescent="0.3">
      <c r="A89" s="89" t="s">
        <v>21</v>
      </c>
      <c r="B89" s="89"/>
      <c r="C89" s="89"/>
      <c r="D89" s="89"/>
      <c r="E89" s="89"/>
      <c r="F89" s="89"/>
      <c r="G89" s="89"/>
    </row>
    <row r="90" spans="1:7" x14ac:dyDescent="0.3">
      <c r="B90" s="71"/>
      <c r="C90" s="71"/>
      <c r="D90" s="71"/>
      <c r="E90" s="71"/>
      <c r="F90" s="71"/>
      <c r="G90" s="71"/>
    </row>
    <row r="91" spans="1:7" x14ac:dyDescent="0.3">
      <c r="A91" s="88" t="s">
        <v>22</v>
      </c>
      <c r="B91" s="88"/>
      <c r="C91" s="88"/>
      <c r="D91" s="88"/>
      <c r="E91" s="88"/>
      <c r="F91" s="88"/>
      <c r="G91" s="88"/>
    </row>
    <row r="92" spans="1:7" x14ac:dyDescent="0.3">
      <c r="A92" s="71"/>
      <c r="B92" s="71"/>
      <c r="C92" s="71"/>
      <c r="D92" s="71"/>
      <c r="E92" s="71"/>
      <c r="F92" s="71"/>
      <c r="G92" s="71"/>
    </row>
    <row r="93" spans="1:7" x14ac:dyDescent="0.3">
      <c r="A93" s="84" t="s">
        <v>23</v>
      </c>
      <c r="B93" s="16">
        <v>50.81</v>
      </c>
      <c r="C93" s="16">
        <v>50.82</v>
      </c>
      <c r="D93" s="16">
        <v>50.83</v>
      </c>
      <c r="E93" s="16">
        <v>50.83</v>
      </c>
      <c r="F93" s="16">
        <v>50.86</v>
      </c>
      <c r="G93" s="16">
        <v>50.86</v>
      </c>
    </row>
    <row r="94" spans="1:7" x14ac:dyDescent="0.3">
      <c r="A94" s="84" t="s">
        <v>22</v>
      </c>
      <c r="B94" s="16">
        <v>4414.01</v>
      </c>
      <c r="C94" s="16">
        <v>5510.4</v>
      </c>
      <c r="D94" s="16">
        <v>6292.87</v>
      </c>
      <c r="E94" s="16">
        <v>7057.33</v>
      </c>
      <c r="F94" s="16">
        <v>8286.5300000000007</v>
      </c>
      <c r="G94" s="16">
        <v>9625.5400000000009</v>
      </c>
    </row>
    <row r="95" spans="1:7" x14ac:dyDescent="0.3">
      <c r="A95" s="11" t="s">
        <v>24</v>
      </c>
      <c r="B95" s="17">
        <f t="shared" ref="B95:G95" si="13">SUM(B93,B94)</f>
        <v>4464.8200000000006</v>
      </c>
      <c r="C95" s="17">
        <f t="shared" si="13"/>
        <v>5561.2199999999993</v>
      </c>
      <c r="D95" s="17">
        <f t="shared" si="13"/>
        <v>6343.7</v>
      </c>
      <c r="E95" s="17">
        <f t="shared" si="13"/>
        <v>7108.16</v>
      </c>
      <c r="F95" s="17">
        <f t="shared" si="13"/>
        <v>8337.3900000000012</v>
      </c>
      <c r="G95" s="17">
        <f t="shared" si="13"/>
        <v>9676.4000000000015</v>
      </c>
    </row>
    <row r="96" spans="1:7" x14ac:dyDescent="0.3">
      <c r="B96" s="71"/>
      <c r="C96" s="71"/>
      <c r="D96" s="71"/>
      <c r="E96" s="71"/>
      <c r="F96" s="71"/>
      <c r="G96" s="71"/>
    </row>
    <row r="97" spans="1:7" x14ac:dyDescent="0.3">
      <c r="A97" s="88" t="s">
        <v>25</v>
      </c>
      <c r="B97" s="88"/>
      <c r="C97" s="88"/>
      <c r="D97" s="88"/>
      <c r="E97" s="88"/>
      <c r="F97" s="88"/>
      <c r="G97" s="88"/>
    </row>
    <row r="98" spans="1:7" x14ac:dyDescent="0.3">
      <c r="A98" s="71"/>
      <c r="B98" s="71"/>
      <c r="C98" s="71"/>
      <c r="D98" s="71"/>
      <c r="E98" s="71"/>
      <c r="F98" s="71"/>
      <c r="G98" s="71"/>
    </row>
    <row r="99" spans="1:7" x14ac:dyDescent="0.3">
      <c r="A99" s="90" t="s">
        <v>26</v>
      </c>
      <c r="B99" s="90"/>
      <c r="C99" s="90"/>
      <c r="D99" s="90"/>
      <c r="E99" s="90"/>
      <c r="F99" s="90"/>
      <c r="G99" s="90"/>
    </row>
    <row r="100" spans="1:7" x14ac:dyDescent="0.3">
      <c r="A100" s="71"/>
      <c r="B100" s="71"/>
      <c r="C100" s="71"/>
      <c r="D100" s="71"/>
      <c r="E100" s="71"/>
      <c r="F100" s="71"/>
      <c r="G100" s="71"/>
    </row>
    <row r="101" spans="1:7" x14ac:dyDescent="0.3">
      <c r="A101" s="84" t="s">
        <v>27</v>
      </c>
      <c r="B101" s="16">
        <v>51.3</v>
      </c>
      <c r="C101" s="16">
        <v>48.79</v>
      </c>
      <c r="D101" s="16">
        <v>66.94</v>
      </c>
      <c r="E101" s="16">
        <v>143.15</v>
      </c>
      <c r="F101" s="16">
        <v>162.33000000000001</v>
      </c>
      <c r="G101" s="16">
        <v>212.79</v>
      </c>
    </row>
    <row r="102" spans="1:7" x14ac:dyDescent="0.3">
      <c r="A102" s="84" t="s">
        <v>28</v>
      </c>
      <c r="B102" s="16">
        <v>7.26</v>
      </c>
      <c r="C102" s="16">
        <v>13.63</v>
      </c>
      <c r="D102" s="16">
        <v>19.940000000000001</v>
      </c>
      <c r="E102" s="16">
        <v>14.45</v>
      </c>
      <c r="F102" s="16">
        <v>4.41</v>
      </c>
      <c r="G102" s="16">
        <v>3.87</v>
      </c>
    </row>
    <row r="103" spans="1:7" x14ac:dyDescent="0.3">
      <c r="A103" s="84" t="s">
        <v>29</v>
      </c>
      <c r="B103" s="16">
        <v>40.89</v>
      </c>
      <c r="C103" s="16">
        <v>45.02</v>
      </c>
      <c r="D103" s="16">
        <v>56.22</v>
      </c>
      <c r="E103" s="16">
        <v>64.62</v>
      </c>
      <c r="F103" s="16">
        <v>79.540000000000006</v>
      </c>
      <c r="G103" s="16">
        <v>112.62</v>
      </c>
    </row>
    <row r="104" spans="1:7" x14ac:dyDescent="0.3">
      <c r="A104" s="84" t="s">
        <v>30</v>
      </c>
      <c r="B104" s="16">
        <v>75.97</v>
      </c>
      <c r="C104" s="16">
        <v>75.86</v>
      </c>
      <c r="D104" s="16">
        <v>388.53</v>
      </c>
      <c r="E104" s="16">
        <v>376.51</v>
      </c>
      <c r="F104" s="16">
        <v>376.11</v>
      </c>
      <c r="G104" s="16">
        <v>392.08</v>
      </c>
    </row>
    <row r="105" spans="1:7" x14ac:dyDescent="0.3">
      <c r="A105" s="11" t="s">
        <v>31</v>
      </c>
      <c r="B105" s="17">
        <f t="shared" ref="B105:G105" si="14">SUM(B101:B104)</f>
        <v>175.42</v>
      </c>
      <c r="C105" s="17">
        <f t="shared" si="14"/>
        <v>183.3</v>
      </c>
      <c r="D105" s="17">
        <f t="shared" si="14"/>
        <v>531.63</v>
      </c>
      <c r="E105" s="17">
        <f t="shared" si="14"/>
        <v>598.73</v>
      </c>
      <c r="F105" s="17">
        <f t="shared" si="14"/>
        <v>622.3900000000001</v>
      </c>
      <c r="G105" s="17">
        <f t="shared" si="14"/>
        <v>721.3599999999999</v>
      </c>
    </row>
    <row r="106" spans="1:7" x14ac:dyDescent="0.3">
      <c r="B106" s="71"/>
      <c r="C106" s="71"/>
      <c r="D106" s="71"/>
      <c r="E106" s="71"/>
      <c r="F106" s="71"/>
      <c r="G106" s="71"/>
    </row>
    <row r="107" spans="1:7" x14ac:dyDescent="0.3">
      <c r="A107" s="90" t="s">
        <v>32</v>
      </c>
      <c r="B107" s="90"/>
      <c r="C107" s="90"/>
      <c r="D107" s="90"/>
      <c r="E107" s="90"/>
      <c r="F107" s="90"/>
      <c r="G107" s="90"/>
    </row>
    <row r="108" spans="1:7" x14ac:dyDescent="0.3">
      <c r="A108"/>
      <c r="B108"/>
      <c r="C108"/>
      <c r="D108"/>
      <c r="E108"/>
      <c r="F108"/>
      <c r="G108"/>
    </row>
    <row r="109" spans="1:7" x14ac:dyDescent="0.3">
      <c r="A109" s="84" t="s">
        <v>33</v>
      </c>
      <c r="B109" s="16">
        <v>0</v>
      </c>
      <c r="C109" s="16">
        <v>55</v>
      </c>
      <c r="D109" s="16">
        <v>105</v>
      </c>
      <c r="E109" s="16">
        <v>0</v>
      </c>
      <c r="F109" s="16">
        <v>0</v>
      </c>
      <c r="G109" s="16">
        <v>0</v>
      </c>
    </row>
    <row r="110" spans="1:7" x14ac:dyDescent="0.3">
      <c r="A110" s="84" t="s">
        <v>34</v>
      </c>
      <c r="B110" s="16">
        <v>9.3000000000000007</v>
      </c>
      <c r="C110" s="16">
        <v>67.040000000000006</v>
      </c>
      <c r="D110" s="16">
        <v>68.150000000000006</v>
      </c>
      <c r="E110" s="16">
        <v>52.82</v>
      </c>
      <c r="F110" s="16">
        <v>68.95</v>
      </c>
      <c r="G110" s="16">
        <v>33.78</v>
      </c>
    </row>
    <row r="111" spans="1:7" x14ac:dyDescent="0.3">
      <c r="A111" s="84" t="s">
        <v>35</v>
      </c>
      <c r="B111" s="16">
        <v>485.51</v>
      </c>
      <c r="C111" s="16">
        <v>726.78</v>
      </c>
      <c r="D111" s="16">
        <v>877.69</v>
      </c>
      <c r="E111" s="16">
        <v>886.14</v>
      </c>
      <c r="F111" s="16">
        <v>972.76</v>
      </c>
      <c r="G111" s="16">
        <v>1235.18</v>
      </c>
    </row>
    <row r="112" spans="1:7" x14ac:dyDescent="0.3">
      <c r="A112" s="84" t="s">
        <v>36</v>
      </c>
      <c r="B112" s="16">
        <v>22.04</v>
      </c>
      <c r="C112" s="16">
        <v>18.54</v>
      </c>
      <c r="D112" s="16">
        <v>26.48</v>
      </c>
      <c r="E112" s="16">
        <v>43.47</v>
      </c>
      <c r="F112" s="16">
        <v>49.36</v>
      </c>
      <c r="G112" s="16">
        <v>59.48</v>
      </c>
    </row>
    <row r="113" spans="1:7" x14ac:dyDescent="0.3">
      <c r="A113" s="84" t="s">
        <v>28</v>
      </c>
      <c r="B113" s="16">
        <v>552.41999999999996</v>
      </c>
      <c r="C113" s="16">
        <v>900.44</v>
      </c>
      <c r="D113" s="16">
        <v>659.62</v>
      </c>
      <c r="E113" s="16">
        <v>834.38</v>
      </c>
      <c r="F113" s="16">
        <v>1007.84</v>
      </c>
      <c r="G113" s="16">
        <v>1191.57</v>
      </c>
    </row>
    <row r="114" spans="1:7" x14ac:dyDescent="0.3">
      <c r="A114" s="84" t="s">
        <v>37</v>
      </c>
      <c r="B114" s="16">
        <v>90.03</v>
      </c>
      <c r="C114" s="16">
        <v>72.66</v>
      </c>
      <c r="D114" s="16">
        <v>82.1</v>
      </c>
      <c r="E114" s="16">
        <v>87.94</v>
      </c>
      <c r="F114" s="16">
        <v>98.64</v>
      </c>
      <c r="G114" s="16">
        <v>88.62</v>
      </c>
    </row>
    <row r="115" spans="1:7" x14ac:dyDescent="0.3">
      <c r="A115" s="84" t="s">
        <v>29</v>
      </c>
      <c r="B115" s="16">
        <v>11.78</v>
      </c>
      <c r="C115" s="16">
        <v>16.48</v>
      </c>
      <c r="D115" s="16">
        <v>34.94</v>
      </c>
      <c r="E115" s="16">
        <v>30.24</v>
      </c>
      <c r="F115" s="16">
        <v>190.32</v>
      </c>
      <c r="G115" s="16">
        <v>244.28</v>
      </c>
    </row>
    <row r="116" spans="1:7" x14ac:dyDescent="0.3">
      <c r="A116" s="84" t="s">
        <v>38</v>
      </c>
      <c r="B116" s="16">
        <v>7.74</v>
      </c>
      <c r="C116" s="16">
        <v>21.95</v>
      </c>
      <c r="D116" s="16">
        <v>9.06</v>
      </c>
      <c r="E116" s="16">
        <v>38.25</v>
      </c>
      <c r="F116" s="16">
        <v>23.11</v>
      </c>
      <c r="G116" s="16">
        <v>20.46</v>
      </c>
    </row>
    <row r="117" spans="1:7" x14ac:dyDescent="0.3">
      <c r="A117" s="11" t="s">
        <v>39</v>
      </c>
      <c r="B117" s="17">
        <f t="shared" ref="B117:G117" si="15">SUM(B109:B116)</f>
        <v>1178.82</v>
      </c>
      <c r="C117" s="17">
        <f t="shared" si="15"/>
        <v>1878.89</v>
      </c>
      <c r="D117" s="17">
        <f t="shared" si="15"/>
        <v>1863.04</v>
      </c>
      <c r="E117" s="17">
        <f t="shared" si="15"/>
        <v>1973.24</v>
      </c>
      <c r="F117" s="17">
        <f t="shared" si="15"/>
        <v>2410.98</v>
      </c>
      <c r="G117" s="17">
        <f t="shared" si="15"/>
        <v>2873.3700000000003</v>
      </c>
    </row>
    <row r="118" spans="1:7" x14ac:dyDescent="0.3">
      <c r="A118"/>
      <c r="B118"/>
      <c r="C118"/>
      <c r="D118"/>
      <c r="E118"/>
      <c r="F118"/>
      <c r="G118"/>
    </row>
    <row r="119" spans="1:7" x14ac:dyDescent="0.3">
      <c r="A119" s="13" t="s">
        <v>40</v>
      </c>
      <c r="B119" s="17">
        <f t="shared" ref="B119:G119" si="16">SUM(B105,B117)</f>
        <v>1354.24</v>
      </c>
      <c r="C119" s="17">
        <f t="shared" si="16"/>
        <v>2062.19</v>
      </c>
      <c r="D119" s="17">
        <f t="shared" si="16"/>
        <v>2394.67</v>
      </c>
      <c r="E119" s="17">
        <f t="shared" si="16"/>
        <v>2571.9700000000003</v>
      </c>
      <c r="F119" s="17">
        <f t="shared" si="16"/>
        <v>3033.37</v>
      </c>
      <c r="G119" s="17">
        <f t="shared" si="16"/>
        <v>3594.7300000000005</v>
      </c>
    </row>
    <row r="120" spans="1:7" x14ac:dyDescent="0.3">
      <c r="A120" s="76"/>
      <c r="B120" s="70"/>
      <c r="C120" s="70"/>
      <c r="D120" s="70"/>
      <c r="E120" s="70"/>
      <c r="F120" s="70"/>
      <c r="G120" s="70"/>
    </row>
    <row r="121" spans="1:7" ht="18" thickBot="1" x14ac:dyDescent="0.4">
      <c r="A121" s="77" t="s">
        <v>41</v>
      </c>
      <c r="B121" s="78">
        <f t="shared" ref="B121:G121" si="17">SUM(B119,B95)</f>
        <v>5819.06</v>
      </c>
      <c r="C121" s="78">
        <f t="shared" si="17"/>
        <v>7623.41</v>
      </c>
      <c r="D121" s="78">
        <f t="shared" si="17"/>
        <v>8738.369999999999</v>
      </c>
      <c r="E121" s="78">
        <f t="shared" si="17"/>
        <v>9680.130000000001</v>
      </c>
      <c r="F121" s="78">
        <f t="shared" si="17"/>
        <v>11370.760000000002</v>
      </c>
      <c r="G121" s="78">
        <f t="shared" si="17"/>
        <v>13271.130000000001</v>
      </c>
    </row>
    <row r="122" spans="1:7" ht="15" thickTop="1" x14ac:dyDescent="0.3">
      <c r="B122" s="71"/>
      <c r="C122" s="71"/>
      <c r="D122" s="71"/>
      <c r="E122" s="71"/>
      <c r="F122" s="71"/>
      <c r="G122" s="71"/>
    </row>
    <row r="123" spans="1:7" x14ac:dyDescent="0.3">
      <c r="A123" s="67" t="s">
        <v>76</v>
      </c>
      <c r="B123" s="16">
        <f>B77</f>
        <v>806.63</v>
      </c>
      <c r="C123" s="16">
        <f>AVERAGE(C77,B77)</f>
        <v>902.86</v>
      </c>
      <c r="D123" s="16">
        <f>AVERAGE(D77,C77)</f>
        <v>1105.51</v>
      </c>
      <c r="E123" s="16">
        <f>AVERAGE(E77,D77)</f>
        <v>1258.5250000000001</v>
      </c>
      <c r="F123" s="16">
        <f>AVERAGE(F77,E77)</f>
        <v>1355.3249999999998</v>
      </c>
      <c r="G123" s="16">
        <f>AVERAGE(G77,F77)</f>
        <v>1480.72</v>
      </c>
    </row>
    <row r="124" spans="1:7" x14ac:dyDescent="0.3">
      <c r="A124" s="68" t="s">
        <v>77</v>
      </c>
      <c r="B124" s="16">
        <f>B75</f>
        <v>730.49</v>
      </c>
      <c r="C124" s="16">
        <f>AVERAGE(C75,B75)</f>
        <v>853.21500000000003</v>
      </c>
      <c r="D124" s="16">
        <f>AVERAGE(D75,C75)</f>
        <v>1208.93</v>
      </c>
      <c r="E124" s="16">
        <f>AVERAGE(E75,D75)</f>
        <v>1501.58</v>
      </c>
      <c r="F124" s="16">
        <f>AVERAGE(F75,E75)</f>
        <v>1409.23</v>
      </c>
      <c r="G124" s="16">
        <f>AVERAGE(G75,F75)</f>
        <v>1373.7950000000001</v>
      </c>
    </row>
    <row r="125" spans="1:7" x14ac:dyDescent="0.3">
      <c r="A125" s="68" t="s">
        <v>78</v>
      </c>
      <c r="B125" s="16">
        <f>B111+B110</f>
        <v>494.81</v>
      </c>
      <c r="C125" s="16">
        <f>AVERAGE((C111+C110),(B111+B110))</f>
        <v>644.31499999999994</v>
      </c>
      <c r="D125" s="16">
        <f>AVERAGE((D111+D110),(C111+C110))</f>
        <v>869.82999999999993</v>
      </c>
      <c r="E125" s="16">
        <f>AVERAGE((E111+E110),(D111+D110))</f>
        <v>942.40000000000009</v>
      </c>
      <c r="F125" s="16">
        <f>AVERAGE((F111+F110),(E111+E110))</f>
        <v>990.33500000000004</v>
      </c>
      <c r="G125" s="16">
        <f>AVERAGE((G111+G110),(F111+F110))</f>
        <v>1155.335</v>
      </c>
    </row>
    <row r="126" spans="1:7" x14ac:dyDescent="0.3">
      <c r="A126" s="68" t="s">
        <v>79</v>
      </c>
      <c r="B126" s="16">
        <f>B87</f>
        <v>5819.06</v>
      </c>
      <c r="C126" s="16">
        <f>AVERAGE(C87,B87)</f>
        <v>6721.2349999999988</v>
      </c>
      <c r="D126" s="16">
        <f>AVERAGE(D87,C87)</f>
        <v>8180.8899999999985</v>
      </c>
      <c r="E126" s="16">
        <f>AVERAGE(E87,D87)</f>
        <v>9209.25</v>
      </c>
      <c r="F126" s="16">
        <f>AVERAGE(F87,E87)</f>
        <v>10525.445</v>
      </c>
      <c r="G126" s="16">
        <f>AVERAGE(G87,F87)</f>
        <v>12320.945</v>
      </c>
    </row>
    <row r="127" spans="1:7" x14ac:dyDescent="0.3">
      <c r="A127" s="68" t="s">
        <v>80</v>
      </c>
      <c r="B127" s="16">
        <f t="shared" ref="B127:G127" si="18">B85-B117</f>
        <v>1847.2400000000005</v>
      </c>
      <c r="C127" s="16">
        <f t="shared" si="18"/>
        <v>541.87999999999988</v>
      </c>
      <c r="D127" s="16">
        <f t="shared" si="18"/>
        <v>1321.4599999999996</v>
      </c>
      <c r="E127" s="16">
        <f t="shared" si="18"/>
        <v>1688.4499999999996</v>
      </c>
      <c r="F127" s="16">
        <f t="shared" si="18"/>
        <v>2606.6799999999998</v>
      </c>
      <c r="G127" s="16">
        <f t="shared" si="18"/>
        <v>3698.3000000000006</v>
      </c>
    </row>
    <row r="128" spans="1:7" x14ac:dyDescent="0.3">
      <c r="A128" s="69" t="s">
        <v>81</v>
      </c>
      <c r="B128" s="16">
        <f>B127</f>
        <v>1847.2400000000005</v>
      </c>
      <c r="C128" s="16">
        <f>AVERAGE(C127,B127)</f>
        <v>1194.5600000000002</v>
      </c>
      <c r="D128" s="16">
        <f>AVERAGE(D127,C127)</f>
        <v>931.66999999999973</v>
      </c>
      <c r="E128" s="16">
        <f>AVERAGE(E127,D127)</f>
        <v>1504.9549999999995</v>
      </c>
      <c r="F128" s="16">
        <f>AVERAGE(F127,E127)</f>
        <v>2147.5649999999996</v>
      </c>
      <c r="G128" s="16">
        <f>AVERAGE(G127,F127)</f>
        <v>3152.4900000000002</v>
      </c>
    </row>
    <row r="129" spans="1:7" x14ac:dyDescent="0.3">
      <c r="A129" s="67" t="s">
        <v>82</v>
      </c>
      <c r="B129" s="16">
        <f>B95</f>
        <v>4464.8200000000006</v>
      </c>
      <c r="C129" s="16">
        <f>AVERAGE(C95,B95)</f>
        <v>5013.0200000000004</v>
      </c>
      <c r="D129" s="16">
        <f>AVERAGE(D95,C95)</f>
        <v>5952.4599999999991</v>
      </c>
      <c r="E129" s="16">
        <f>AVERAGE(E95,D95)</f>
        <v>6725.93</v>
      </c>
      <c r="F129" s="16">
        <f>AVERAGE(F95,E95)</f>
        <v>7722.7750000000005</v>
      </c>
      <c r="G129" s="16">
        <f>AVERAGE(G95,F95)</f>
        <v>9006.8950000000004</v>
      </c>
    </row>
    <row r="130" spans="1:7" x14ac:dyDescent="0.3">
      <c r="B130" s="71"/>
      <c r="C130" s="71"/>
      <c r="D130" s="71"/>
      <c r="E130" s="71"/>
      <c r="F130" s="71"/>
      <c r="G130" s="71"/>
    </row>
    <row r="131" spans="1:7" x14ac:dyDescent="0.3">
      <c r="A131" s="86" t="s">
        <v>111</v>
      </c>
      <c r="B131" s="87"/>
      <c r="C131" s="87"/>
      <c r="D131" s="87"/>
      <c r="E131" s="87"/>
      <c r="F131" s="87"/>
      <c r="G131" s="87"/>
    </row>
    <row r="132" spans="1:7" x14ac:dyDescent="0.3">
      <c r="A132" s="23" t="s">
        <v>83</v>
      </c>
      <c r="B132" s="15">
        <v>43921</v>
      </c>
      <c r="C132" s="15">
        <v>44286</v>
      </c>
      <c r="D132" s="15">
        <v>44651</v>
      </c>
      <c r="E132" s="15">
        <v>45016</v>
      </c>
      <c r="F132" s="15">
        <v>45382</v>
      </c>
      <c r="G132" s="15">
        <v>45747</v>
      </c>
    </row>
    <row r="133" spans="1:7" x14ac:dyDescent="0.3">
      <c r="A133" s="66" t="s">
        <v>84</v>
      </c>
      <c r="B133" s="16">
        <f t="shared" ref="B133:G133" si="19">B85/B117</f>
        <v>2.5670246517704149</v>
      </c>
      <c r="C133" s="16">
        <f t="shared" si="19"/>
        <v>1.2884043238294951</v>
      </c>
      <c r="D133" s="16">
        <f t="shared" si="19"/>
        <v>1.7093030745448297</v>
      </c>
      <c r="E133" s="16">
        <f t="shared" si="19"/>
        <v>1.8556739170095882</v>
      </c>
      <c r="F133" s="16">
        <f t="shared" si="19"/>
        <v>2.0811703124870382</v>
      </c>
      <c r="G133" s="16">
        <f t="shared" si="19"/>
        <v>2.2870949442640525</v>
      </c>
    </row>
    <row r="134" spans="1:7" x14ac:dyDescent="0.3">
      <c r="A134" s="66" t="s">
        <v>117</v>
      </c>
      <c r="B134" s="16">
        <f t="shared" ref="B134:G134" si="20">(B85-B75)/B119</f>
        <v>1.695098357750473</v>
      </c>
      <c r="C134" s="16">
        <f t="shared" si="20"/>
        <v>0.70062894301688972</v>
      </c>
      <c r="D134" s="16">
        <f t="shared" si="20"/>
        <v>0.72769108060818377</v>
      </c>
      <c r="E134" s="16">
        <f t="shared" si="20"/>
        <v>0.81666971232168317</v>
      </c>
      <c r="F134" s="16">
        <f t="shared" si="20"/>
        <v>1.2396905092356025</v>
      </c>
      <c r="G134" s="16">
        <f t="shared" si="20"/>
        <v>1.4135414899032752</v>
      </c>
    </row>
    <row r="135" spans="1:7" x14ac:dyDescent="0.3">
      <c r="A135" s="66" t="s">
        <v>85</v>
      </c>
      <c r="B135" s="16">
        <f t="shared" ref="B135:G135" si="21">B78/B117</f>
        <v>0.4785887582497752</v>
      </c>
      <c r="C135" s="16">
        <f t="shared" si="21"/>
        <v>5.8444081345901039E-2</v>
      </c>
      <c r="D135" s="16">
        <f t="shared" si="21"/>
        <v>7.9279027825489512E-2</v>
      </c>
      <c r="E135" s="16">
        <f t="shared" si="21"/>
        <v>7.7689485313494566E-2</v>
      </c>
      <c r="F135" s="16">
        <f t="shared" si="21"/>
        <v>0.15755833727363977</v>
      </c>
      <c r="G135" s="16">
        <f t="shared" si="21"/>
        <v>7.3801842435885376E-2</v>
      </c>
    </row>
    <row r="136" spans="1:7" x14ac:dyDescent="0.3">
      <c r="A136" s="66"/>
      <c r="B136" s="16"/>
      <c r="C136" s="16"/>
      <c r="D136" s="16"/>
      <c r="E136" s="16"/>
      <c r="F136" s="16"/>
      <c r="G136" s="16"/>
    </row>
    <row r="137" spans="1:7" x14ac:dyDescent="0.3">
      <c r="A137" s="9" t="s">
        <v>86</v>
      </c>
      <c r="B137" s="15">
        <v>43921</v>
      </c>
      <c r="C137" s="15">
        <v>44286</v>
      </c>
      <c r="D137" s="15">
        <v>44651</v>
      </c>
      <c r="E137" s="15">
        <v>45016</v>
      </c>
      <c r="F137" s="15">
        <v>45382</v>
      </c>
      <c r="G137" s="15">
        <v>45747</v>
      </c>
    </row>
    <row r="138" spans="1:7" x14ac:dyDescent="0.3">
      <c r="A138" s="66" t="s">
        <v>114</v>
      </c>
      <c r="B138" s="16">
        <f t="shared" ref="B138:G138" si="22">(B117+B105)/B126</f>
        <v>0.23272487308946804</v>
      </c>
      <c r="C138" s="16">
        <f t="shared" si="22"/>
        <v>0.3068171251265579</v>
      </c>
      <c r="D138" s="16">
        <f t="shared" si="22"/>
        <v>0.29271509579031141</v>
      </c>
      <c r="E138" s="16">
        <f t="shared" si="22"/>
        <v>0.27928115753182942</v>
      </c>
      <c r="F138" s="16">
        <f t="shared" si="22"/>
        <v>0.28819399084789288</v>
      </c>
      <c r="G138" s="16">
        <f t="shared" si="22"/>
        <v>0.291757653329351</v>
      </c>
    </row>
    <row r="139" spans="1:7" x14ac:dyDescent="0.3">
      <c r="A139" s="66" t="s">
        <v>87</v>
      </c>
      <c r="B139" s="16">
        <f t="shared" ref="B139:G139" si="23">B126/B129</f>
        <v>1.3033134594451734</v>
      </c>
      <c r="C139" s="16">
        <f t="shared" si="23"/>
        <v>1.340755672229514</v>
      </c>
      <c r="D139" s="16">
        <f t="shared" si="23"/>
        <v>1.3743712683495564</v>
      </c>
      <c r="E139" s="16">
        <f t="shared" si="23"/>
        <v>1.3692158556511886</v>
      </c>
      <c r="F139" s="16">
        <f t="shared" si="23"/>
        <v>1.3629097053843986</v>
      </c>
      <c r="G139" s="16">
        <f t="shared" si="23"/>
        <v>1.3679458903428983</v>
      </c>
    </row>
    <row r="140" spans="1:7" x14ac:dyDescent="0.3">
      <c r="A140" s="66" t="s">
        <v>115</v>
      </c>
      <c r="B140" s="16">
        <f t="shared" ref="B140:G140" si="24">B105/B129</f>
        <v>3.9289377847259228E-2</v>
      </c>
      <c r="C140" s="16">
        <f t="shared" si="24"/>
        <v>3.6564785299081193E-2</v>
      </c>
      <c r="D140" s="16">
        <f t="shared" si="24"/>
        <v>8.9312653927955843E-2</v>
      </c>
      <c r="E140" s="16">
        <f t="shared" si="24"/>
        <v>8.9018172951547223E-2</v>
      </c>
      <c r="F140" s="16">
        <f t="shared" si="24"/>
        <v>8.0591497227356756E-2</v>
      </c>
      <c r="G140" s="16">
        <f t="shared" si="24"/>
        <v>8.0089753461098395E-2</v>
      </c>
    </row>
    <row r="141" spans="1:7" x14ac:dyDescent="0.3">
      <c r="A141" s="66" t="s">
        <v>116</v>
      </c>
      <c r="B141" s="16">
        <f t="shared" ref="B141:G141" si="25">(B117+B105)/B129</f>
        <v>0.30331345944517357</v>
      </c>
      <c r="C141" s="16">
        <f t="shared" si="25"/>
        <v>0.41136680085058508</v>
      </c>
      <c r="D141" s="16">
        <f t="shared" si="25"/>
        <v>0.40229921746639213</v>
      </c>
      <c r="E141" s="16">
        <f t="shared" si="25"/>
        <v>0.38239618907719825</v>
      </c>
      <c r="F141" s="16">
        <f t="shared" si="25"/>
        <v>0.39278238716005576</v>
      </c>
      <c r="G141" s="16">
        <f t="shared" si="25"/>
        <v>0.39910868284797374</v>
      </c>
    </row>
    <row r="142" spans="1:7" x14ac:dyDescent="0.3">
      <c r="A142" s="66"/>
      <c r="B142" s="16"/>
      <c r="C142" s="16"/>
      <c r="D142" s="16"/>
      <c r="E142" s="16"/>
      <c r="F142" s="16"/>
      <c r="G142" s="16"/>
    </row>
    <row r="143" spans="1:7" x14ac:dyDescent="0.3">
      <c r="A143" s="9" t="s">
        <v>88</v>
      </c>
      <c r="B143" s="15">
        <v>43921</v>
      </c>
      <c r="C143" s="15">
        <v>44286</v>
      </c>
      <c r="D143" s="15">
        <v>44651</v>
      </c>
      <c r="E143" s="15">
        <v>45016</v>
      </c>
      <c r="F143" s="15">
        <v>45382</v>
      </c>
      <c r="G143" s="15">
        <v>45747</v>
      </c>
    </row>
    <row r="144" spans="1:7" x14ac:dyDescent="0.3">
      <c r="A144" s="66" t="s">
        <v>89</v>
      </c>
      <c r="B144" s="16">
        <f>'CASH FLOW STATEMENT'!B53/'FINANCIAL STATEMENTS'!B25</f>
        <v>91.65447761194028</v>
      </c>
      <c r="C144" s="16">
        <f>'CASH FLOW STATEMENT'!C53/'FINANCIAL STATEMENTS'!C25</f>
        <v>70.660388463802249</v>
      </c>
      <c r="D144" s="16">
        <f>'CASH FLOW STATEMENT'!D53/'FINANCIAL STATEMENTS'!D25</f>
        <v>31.458149779735688</v>
      </c>
      <c r="E144" s="16">
        <f>'CASH FLOW STATEMENT'!E53/'FINANCIAL STATEMENTS'!E25</f>
        <v>50.20539782684893</v>
      </c>
      <c r="F144" s="16">
        <f>'CASH FLOW STATEMENT'!F53/'FINANCIAL STATEMENTS'!F25</f>
        <v>87.776646300067867</v>
      </c>
      <c r="G144" s="16">
        <f>'CASH FLOW STATEMENT'!G53/'FINANCIAL STATEMENTS'!G25</f>
        <v>64.190956221198164</v>
      </c>
    </row>
    <row r="145" spans="1:7" x14ac:dyDescent="0.3">
      <c r="A145" s="66" t="s">
        <v>118</v>
      </c>
      <c r="B145" s="16">
        <f t="shared" ref="B145:G145" si="26">B24/B25</f>
        <v>112.6589552238806</v>
      </c>
      <c r="C145" s="16">
        <f t="shared" si="26"/>
        <v>86.761035903472589</v>
      </c>
      <c r="D145" s="16">
        <f t="shared" si="26"/>
        <v>59.397209985315698</v>
      </c>
      <c r="E145" s="16">
        <f t="shared" si="26"/>
        <v>59.454959691552787</v>
      </c>
      <c r="F145" s="16">
        <f t="shared" si="26"/>
        <v>82.353021045485377</v>
      </c>
      <c r="G145" s="16">
        <f t="shared" si="26"/>
        <v>81.243087557603701</v>
      </c>
    </row>
    <row r="146" spans="1:7" x14ac:dyDescent="0.3">
      <c r="A146" s="66"/>
      <c r="B146" s="16"/>
      <c r="C146" s="16"/>
      <c r="D146" s="16"/>
      <c r="E146" s="16"/>
      <c r="F146" s="16"/>
      <c r="G146" s="16"/>
    </row>
    <row r="147" spans="1:7" x14ac:dyDescent="0.3">
      <c r="A147" s="9" t="s">
        <v>90</v>
      </c>
      <c r="B147" s="15">
        <v>43921</v>
      </c>
      <c r="C147" s="15">
        <v>44286</v>
      </c>
      <c r="D147" s="15">
        <v>44651</v>
      </c>
      <c r="E147" s="15">
        <v>45016</v>
      </c>
      <c r="F147" s="15">
        <v>45382</v>
      </c>
      <c r="G147" s="15">
        <v>45747</v>
      </c>
    </row>
    <row r="148" spans="1:7" x14ac:dyDescent="0.3">
      <c r="A148" s="66" t="s">
        <v>98</v>
      </c>
      <c r="B148" s="16">
        <f t="shared" ref="B148:G148" si="27">B36/B129</f>
        <v>0.24673335095255799</v>
      </c>
      <c r="C148" s="16">
        <f t="shared" si="27"/>
        <v>0.21573023845905243</v>
      </c>
      <c r="D148" s="16">
        <f t="shared" si="27"/>
        <v>0.20015422195193244</v>
      </c>
      <c r="E148" s="16">
        <f t="shared" si="27"/>
        <v>0.18691541541467144</v>
      </c>
      <c r="F148" s="16">
        <f t="shared" si="27"/>
        <v>0.23300821272146335</v>
      </c>
      <c r="G148" s="16">
        <f t="shared" si="27"/>
        <v>0.23024915911643246</v>
      </c>
    </row>
    <row r="149" spans="1:7" x14ac:dyDescent="0.3">
      <c r="A149" s="66" t="s">
        <v>91</v>
      </c>
      <c r="B149" s="16">
        <f t="shared" ref="B149:G149" si="28">B36/B9</f>
        <v>0.1739604174595229</v>
      </c>
      <c r="C149" s="16">
        <f t="shared" si="28"/>
        <v>0.17397081557767993</v>
      </c>
      <c r="D149" s="16">
        <f t="shared" si="28"/>
        <v>0.13393220483788645</v>
      </c>
      <c r="E149" s="16">
        <f t="shared" si="28"/>
        <v>0.11863467920849831</v>
      </c>
      <c r="F149" s="16">
        <f t="shared" si="28"/>
        <v>0.16114218986887216</v>
      </c>
      <c r="G149" s="16">
        <f t="shared" si="28"/>
        <v>0.17177847540318236</v>
      </c>
    </row>
    <row r="150" spans="1:7" x14ac:dyDescent="0.3">
      <c r="A150" s="66" t="s">
        <v>87</v>
      </c>
      <c r="B150" s="16">
        <f t="shared" ref="B150:G150" si="29">B126/B129</f>
        <v>1.3033134594451734</v>
      </c>
      <c r="C150" s="16">
        <f t="shared" si="29"/>
        <v>1.340755672229514</v>
      </c>
      <c r="D150" s="16">
        <f t="shared" si="29"/>
        <v>1.3743712683495564</v>
      </c>
      <c r="E150" s="16">
        <f t="shared" si="29"/>
        <v>1.3692158556511886</v>
      </c>
      <c r="F150" s="16">
        <f t="shared" si="29"/>
        <v>1.3629097053843986</v>
      </c>
      <c r="G150" s="16">
        <f t="shared" si="29"/>
        <v>1.3679458903428983</v>
      </c>
    </row>
    <row r="151" spans="1:7" x14ac:dyDescent="0.3">
      <c r="A151" s="66" t="s">
        <v>92</v>
      </c>
      <c r="B151" s="16">
        <f t="shared" ref="B151:G151" si="30">B9/B126</f>
        <v>1.088249648568669</v>
      </c>
      <c r="C151" s="16">
        <f t="shared" si="30"/>
        <v>0.9248791330759899</v>
      </c>
      <c r="D151" s="16">
        <f t="shared" si="30"/>
        <v>1.0873658000535398</v>
      </c>
      <c r="E151" s="16">
        <f t="shared" si="30"/>
        <v>1.1506984825040041</v>
      </c>
      <c r="F151" s="16">
        <f t="shared" si="30"/>
        <v>1.0609499170818906</v>
      </c>
      <c r="G151" s="16">
        <f t="shared" si="30"/>
        <v>0.97985178896586267</v>
      </c>
    </row>
    <row r="152" spans="1:7" x14ac:dyDescent="0.3">
      <c r="A152" s="66" t="s">
        <v>93</v>
      </c>
      <c r="B152" s="16">
        <f t="shared" ref="B152:G152" si="31">PRODUCT(B149:B151)</f>
        <v>0.24673335095255794</v>
      </c>
      <c r="C152" s="16">
        <f t="shared" si="31"/>
        <v>0.21573023845905243</v>
      </c>
      <c r="D152" s="16">
        <f t="shared" si="31"/>
        <v>0.20015422195193247</v>
      </c>
      <c r="E152" s="16">
        <f t="shared" si="31"/>
        <v>0.18691541541467144</v>
      </c>
      <c r="F152" s="16">
        <f t="shared" si="31"/>
        <v>0.23300821272146335</v>
      </c>
      <c r="G152" s="16">
        <f t="shared" si="31"/>
        <v>0.23024915911643243</v>
      </c>
    </row>
    <row r="153" spans="1:7" x14ac:dyDescent="0.3">
      <c r="A153" s="66"/>
      <c r="B153" s="16"/>
      <c r="C153" s="16"/>
      <c r="D153" s="16"/>
      <c r="E153" s="16"/>
      <c r="F153" s="16"/>
      <c r="G153" s="16"/>
    </row>
    <row r="154" spans="1:7" x14ac:dyDescent="0.3">
      <c r="A154" s="9" t="s">
        <v>94</v>
      </c>
      <c r="B154" s="15">
        <v>43921</v>
      </c>
      <c r="C154" s="15">
        <v>44286</v>
      </c>
      <c r="D154" s="15">
        <v>44651</v>
      </c>
      <c r="E154" s="15">
        <v>45016</v>
      </c>
      <c r="F154" s="15">
        <v>45382</v>
      </c>
      <c r="G154" s="15">
        <v>45747</v>
      </c>
    </row>
    <row r="155" spans="1:7" x14ac:dyDescent="0.3">
      <c r="A155" s="66" t="s">
        <v>194</v>
      </c>
      <c r="B155" s="16">
        <f>(B15+B16+B17)/B124</f>
        <v>4.0197538638448167</v>
      </c>
      <c r="C155" s="16">
        <f t="shared" ref="C155:G155" si="32">(C15+C16+C17)/C124</f>
        <v>3.3212613467883245</v>
      </c>
      <c r="D155" s="16">
        <f t="shared" si="32"/>
        <v>4.0577121917728896</v>
      </c>
      <c r="E155" s="16">
        <f t="shared" si="32"/>
        <v>4.0916301495757805</v>
      </c>
      <c r="F155" s="16">
        <f t="shared" si="32"/>
        <v>3.8428929273433003</v>
      </c>
      <c r="G155" s="16">
        <f t="shared" si="32"/>
        <v>4.0406902048704509</v>
      </c>
    </row>
    <row r="156" spans="1:7" x14ac:dyDescent="0.3">
      <c r="A156" s="66" t="s">
        <v>95</v>
      </c>
      <c r="B156" s="16">
        <f t="shared" ref="B156:G156" si="33">B9/B123</f>
        <v>7.8506750306832132</v>
      </c>
      <c r="C156" s="16">
        <f t="shared" si="33"/>
        <v>6.8851538444498592</v>
      </c>
      <c r="D156" s="16">
        <f t="shared" si="33"/>
        <v>8.0466210165444014</v>
      </c>
      <c r="E156" s="16">
        <f t="shared" si="33"/>
        <v>8.4202300311873017</v>
      </c>
      <c r="F156" s="16">
        <f t="shared" si="33"/>
        <v>8.2393300499880109</v>
      </c>
      <c r="G156" s="16">
        <f t="shared" si="33"/>
        <v>8.1532632773245446</v>
      </c>
    </row>
    <row r="157" spans="1:7" x14ac:dyDescent="0.3">
      <c r="A157" s="66" t="s">
        <v>96</v>
      </c>
      <c r="B157" s="16">
        <f>(B15+B16+B17)/B125</f>
        <v>5.9343788524888339</v>
      </c>
      <c r="C157" s="16">
        <f t="shared" ref="C157:G157" si="34">(C15+C16+C17)/C125</f>
        <v>4.3980816836485275</v>
      </c>
      <c r="D157" s="16">
        <f t="shared" si="34"/>
        <v>5.6395962429440241</v>
      </c>
      <c r="E157" s="16">
        <f t="shared" si="34"/>
        <v>6.5194291171477072</v>
      </c>
      <c r="F157" s="16">
        <f t="shared" si="34"/>
        <v>5.4683718135782327</v>
      </c>
      <c r="G157" s="16">
        <f t="shared" si="34"/>
        <v>4.8047362886089324</v>
      </c>
    </row>
    <row r="158" spans="1:7" x14ac:dyDescent="0.3">
      <c r="A158" s="66" t="s">
        <v>97</v>
      </c>
      <c r="B158" s="16">
        <f t="shared" ref="B158:F160" si="35">365/B155</f>
        <v>90.801579490462771</v>
      </c>
      <c r="C158" s="16">
        <f t="shared" si="35"/>
        <v>109.8980061755624</v>
      </c>
      <c r="D158" s="16">
        <f t="shared" si="35"/>
        <v>89.952165838682788</v>
      </c>
      <c r="E158" s="16">
        <f t="shared" si="35"/>
        <v>89.206498793113823</v>
      </c>
      <c r="F158" s="16">
        <f t="shared" si="35"/>
        <v>94.980528185659011</v>
      </c>
      <c r="G158" s="16">
        <f t="shared" ref="G158" si="36">365/G155</f>
        <v>90.331102235961268</v>
      </c>
    </row>
    <row r="159" spans="1:7" x14ac:dyDescent="0.3">
      <c r="A159" s="66" t="s">
        <v>99</v>
      </c>
      <c r="B159" s="16">
        <f t="shared" si="35"/>
        <v>46.492817314874323</v>
      </c>
      <c r="C159" s="16">
        <f t="shared" si="35"/>
        <v>53.012613551725856</v>
      </c>
      <c r="D159" s="16">
        <f t="shared" si="35"/>
        <v>45.360655018986868</v>
      </c>
      <c r="E159" s="16">
        <f t="shared" si="35"/>
        <v>43.347984395686737</v>
      </c>
      <c r="F159" s="16">
        <f t="shared" si="35"/>
        <v>44.299718276309505</v>
      </c>
      <c r="G159" s="16">
        <f t="shared" ref="G159" si="37">365/G156</f>
        <v>44.767351131064302</v>
      </c>
    </row>
    <row r="160" spans="1:7" x14ac:dyDescent="0.3">
      <c r="A160" s="66" t="s">
        <v>100</v>
      </c>
      <c r="B160" s="16">
        <f t="shared" si="35"/>
        <v>61.50601589025981</v>
      </c>
      <c r="C160" s="16">
        <f t="shared" si="35"/>
        <v>82.990727834142007</v>
      </c>
      <c r="D160" s="16">
        <f t="shared" si="35"/>
        <v>64.720945308215889</v>
      </c>
      <c r="E160" s="16">
        <f t="shared" si="35"/>
        <v>55.986497198038386</v>
      </c>
      <c r="F160" s="16">
        <f t="shared" si="35"/>
        <v>66.747473003515836</v>
      </c>
      <c r="G160" s="16">
        <f t="shared" ref="G160" si="38">365/G157</f>
        <v>75.966708280190502</v>
      </c>
    </row>
    <row r="161" spans="1:7" x14ac:dyDescent="0.3">
      <c r="A161" s="66" t="s">
        <v>101</v>
      </c>
      <c r="B161" s="16">
        <f t="shared" ref="B161:G161" si="39">B158+B159-B160</f>
        <v>75.788380915077283</v>
      </c>
      <c r="C161" s="16">
        <f t="shared" si="39"/>
        <v>79.919891893146257</v>
      </c>
      <c r="D161" s="16">
        <f t="shared" si="39"/>
        <v>70.591875549453775</v>
      </c>
      <c r="E161" s="16">
        <f t="shared" si="39"/>
        <v>76.567985990762168</v>
      </c>
      <c r="F161" s="16">
        <f t="shared" si="39"/>
        <v>72.532773458452681</v>
      </c>
      <c r="G161" s="16">
        <f t="shared" si="39"/>
        <v>59.131745086835068</v>
      </c>
    </row>
    <row r="162" spans="1:7" x14ac:dyDescent="0.3">
      <c r="A162" s="66" t="s">
        <v>102</v>
      </c>
      <c r="B162" s="16">
        <f t="shared" ref="B162:G162" si="40">B9/B128</f>
        <v>3.4281360299690342</v>
      </c>
      <c r="C162" s="16">
        <f t="shared" si="40"/>
        <v>5.2038658585587987</v>
      </c>
      <c r="D162" s="16">
        <f t="shared" si="40"/>
        <v>9.5480373952150472</v>
      </c>
      <c r="E162" s="16">
        <f t="shared" si="40"/>
        <v>7.0414530667029931</v>
      </c>
      <c r="F162" s="16">
        <f t="shared" si="40"/>
        <v>5.1998286431376934</v>
      </c>
      <c r="G162" s="16">
        <f t="shared" si="40"/>
        <v>3.8295759859666485</v>
      </c>
    </row>
    <row r="163" spans="1:7" x14ac:dyDescent="0.3">
      <c r="A163" s="66" t="s">
        <v>103</v>
      </c>
      <c r="B163" s="16">
        <f t="shared" ref="B163:G163" si="41">B9/B71</f>
        <v>2.2673075546007877</v>
      </c>
      <c r="C163" s="16">
        <f t="shared" si="41"/>
        <v>1.1948414651023329</v>
      </c>
      <c r="D163" s="16">
        <f t="shared" si="41"/>
        <v>1.6016975550381987</v>
      </c>
      <c r="E163" s="16">
        <f t="shared" si="41"/>
        <v>1.7607669096975296</v>
      </c>
      <c r="F163" s="16">
        <f t="shared" si="41"/>
        <v>1.7577198532999636</v>
      </c>
      <c r="G163" s="16">
        <f t="shared" si="41"/>
        <v>1.80204076149421</v>
      </c>
    </row>
    <row r="164" spans="1:7" x14ac:dyDescent="0.3">
      <c r="A164" s="66" t="s">
        <v>92</v>
      </c>
      <c r="B164" s="16">
        <f t="shared" ref="B164:G164" si="42">B9/B126</f>
        <v>1.088249648568669</v>
      </c>
      <c r="C164" s="16">
        <f t="shared" si="42"/>
        <v>0.9248791330759899</v>
      </c>
      <c r="D164" s="16">
        <f t="shared" si="42"/>
        <v>1.0873658000535398</v>
      </c>
      <c r="E164" s="16">
        <f t="shared" si="42"/>
        <v>1.1506984825040041</v>
      </c>
      <c r="F164" s="16">
        <f t="shared" si="42"/>
        <v>1.0609499170818906</v>
      </c>
      <c r="G164" s="16">
        <f t="shared" si="42"/>
        <v>0.97985178896586267</v>
      </c>
    </row>
    <row r="165" spans="1:7" x14ac:dyDescent="0.3">
      <c r="A165" s="66"/>
      <c r="B165" s="16"/>
      <c r="C165" s="16"/>
      <c r="D165" s="16"/>
      <c r="E165" s="16"/>
      <c r="F165" s="16"/>
      <c r="G165" s="16"/>
    </row>
    <row r="166" spans="1:7" x14ac:dyDescent="0.3">
      <c r="A166" s="9" t="s">
        <v>104</v>
      </c>
      <c r="B166" s="15">
        <v>43921</v>
      </c>
      <c r="C166" s="15">
        <v>44286</v>
      </c>
      <c r="D166" s="15">
        <v>44651</v>
      </c>
      <c r="E166" s="15">
        <v>45016</v>
      </c>
      <c r="F166" s="15">
        <v>45382</v>
      </c>
      <c r="G166" s="15">
        <v>45747</v>
      </c>
    </row>
    <row r="167" spans="1:7" x14ac:dyDescent="0.3">
      <c r="A167" s="66" t="s">
        <v>91</v>
      </c>
      <c r="B167" s="18">
        <f t="shared" ref="B167:G167" si="43">B36/B9</f>
        <v>0.1739604174595229</v>
      </c>
      <c r="C167" s="18">
        <f t="shared" si="43"/>
        <v>0.17397081557767993</v>
      </c>
      <c r="D167" s="18">
        <f t="shared" si="43"/>
        <v>0.13393220483788645</v>
      </c>
      <c r="E167" s="18">
        <f t="shared" si="43"/>
        <v>0.11863467920849831</v>
      </c>
      <c r="F167" s="18">
        <f t="shared" si="43"/>
        <v>0.16114218986887216</v>
      </c>
      <c r="G167" s="18">
        <f t="shared" si="43"/>
        <v>0.17177847540318236</v>
      </c>
    </row>
    <row r="168" spans="1:7" x14ac:dyDescent="0.3">
      <c r="A168" s="66" t="s">
        <v>195</v>
      </c>
      <c r="B168" s="18">
        <f t="shared" ref="B168:G168" si="44">(B9-B15)/B9</f>
        <v>0.60194801810949394</v>
      </c>
      <c r="C168" s="18">
        <f t="shared" si="44"/>
        <v>0.60273505428444107</v>
      </c>
      <c r="D168" s="18">
        <f t="shared" si="44"/>
        <v>0.49152841510765977</v>
      </c>
      <c r="E168" s="18">
        <f t="shared" si="44"/>
        <v>0.49552376270044451</v>
      </c>
      <c r="F168" s="18">
        <f t="shared" si="44"/>
        <v>0.59521696574809457</v>
      </c>
      <c r="G168" s="18">
        <f t="shared" si="44"/>
        <v>0.59825888160891927</v>
      </c>
    </row>
    <row r="169" spans="1:7" x14ac:dyDescent="0.3">
      <c r="A169" s="66" t="s">
        <v>106</v>
      </c>
      <c r="B169" s="18">
        <f t="shared" ref="B169:G169" si="45">(B36+B25*(1-B34))/B126</f>
        <v>0.19107775908460681</v>
      </c>
      <c r="C169" s="18">
        <f t="shared" si="45"/>
        <v>0.16277872313650288</v>
      </c>
      <c r="D169" s="18">
        <f t="shared" si="45"/>
        <v>0.1481271390821807</v>
      </c>
      <c r="E169" s="18">
        <f t="shared" si="45"/>
        <v>0.13884809457154096</v>
      </c>
      <c r="F169" s="18">
        <f t="shared" si="45"/>
        <v>0.17305904732233213</v>
      </c>
      <c r="G169" s="18">
        <f t="shared" si="45"/>
        <v>0.17043032975792172</v>
      </c>
    </row>
    <row r="170" spans="1:7" x14ac:dyDescent="0.3">
      <c r="A170" s="66" t="s">
        <v>98</v>
      </c>
      <c r="B170" s="18">
        <f t="shared" ref="B170:G170" si="46">B36/B129</f>
        <v>0.24673335095255799</v>
      </c>
      <c r="C170" s="18">
        <f t="shared" si="46"/>
        <v>0.21573023845905243</v>
      </c>
      <c r="D170" s="18">
        <f t="shared" si="46"/>
        <v>0.20015422195193244</v>
      </c>
      <c r="E170" s="18">
        <f t="shared" si="46"/>
        <v>0.18691541541467144</v>
      </c>
      <c r="F170" s="18">
        <f t="shared" si="46"/>
        <v>0.23300821272146335</v>
      </c>
      <c r="G170" s="18">
        <f t="shared" si="46"/>
        <v>0.23024915911643246</v>
      </c>
    </row>
    <row r="171" spans="1:7" x14ac:dyDescent="0.3">
      <c r="A171" s="66"/>
      <c r="B171" s="16"/>
      <c r="C171" s="16"/>
      <c r="D171" s="16"/>
      <c r="E171" s="16"/>
      <c r="F171" s="16"/>
      <c r="G171" s="16"/>
    </row>
    <row r="172" spans="1:7" x14ac:dyDescent="0.3">
      <c r="A172" s="9" t="s">
        <v>107</v>
      </c>
      <c r="B172" s="15">
        <v>43921</v>
      </c>
      <c r="C172" s="15">
        <v>44286</v>
      </c>
      <c r="D172" s="15">
        <v>44651</v>
      </c>
      <c r="E172" s="15">
        <v>45016</v>
      </c>
      <c r="F172" s="15">
        <v>45382</v>
      </c>
      <c r="G172" s="15">
        <v>45747</v>
      </c>
    </row>
    <row r="173" spans="1:7" x14ac:dyDescent="0.3">
      <c r="A173" s="66" t="s">
        <v>108</v>
      </c>
      <c r="B173" s="18">
        <f>'CASH FLOW STATEMENT'!B53/'FINANCIAL STATEMENTS'!B129</f>
        <v>0.27507715876563887</v>
      </c>
      <c r="C173" s="18">
        <f>'CASH FLOW STATEMENT'!C53/'FINANCIAL STATEMENTS'!C129</f>
        <v>0.23948039305648094</v>
      </c>
      <c r="D173" s="18">
        <f>'CASH FLOW STATEMENT'!D53/'FINANCIAL STATEMENTS'!D129</f>
        <v>0.14396064820259191</v>
      </c>
      <c r="E173" s="18">
        <f>'CASH FLOW STATEMENT'!E53/'FINANCIAL STATEMENTS'!E129</f>
        <v>0.21296088421972872</v>
      </c>
      <c r="F173" s="18">
        <f>'CASH FLOW STATEMENT'!F53/'FINANCIAL STATEMENTS'!F129</f>
        <v>0.33484077938305851</v>
      </c>
      <c r="G173" s="18">
        <f>'CASH FLOW STATEMENT'!G53/'FINANCIAL STATEMENTS'!G129</f>
        <v>0.24744487417694999</v>
      </c>
    </row>
    <row r="174" spans="1:7" x14ac:dyDescent="0.3">
      <c r="A174" s="66" t="s">
        <v>109</v>
      </c>
      <c r="B174" s="18">
        <f>'CASH FLOW STATEMENT'!B53/B126</f>
        <v>0.21105986190209411</v>
      </c>
      <c r="C174" s="18">
        <f>'CASH FLOW STATEMENT'!C53/C126</f>
        <v>0.17861598352088573</v>
      </c>
      <c r="D174" s="18">
        <f>'CASH FLOW STATEMENT'!D53/D126</f>
        <v>0.10474654958079135</v>
      </c>
      <c r="E174" s="18">
        <f>'CASH FLOW STATEMENT'!E53/E126</f>
        <v>0.15553492412520023</v>
      </c>
      <c r="F174" s="18">
        <f>'CASH FLOW STATEMENT'!F53/F126</f>
        <v>0.24568082394616092</v>
      </c>
      <c r="G174" s="18">
        <f>'CASH FLOW STATEMENT'!G53/G126</f>
        <v>0.18088791078931041</v>
      </c>
    </row>
    <row r="175" spans="1:7" x14ac:dyDescent="0.3">
      <c r="A175" s="66" t="s">
        <v>110</v>
      </c>
      <c r="B175" s="18">
        <f>'CASH FLOW STATEMENT'!B53/B11</f>
        <v>0.18940233944282089</v>
      </c>
      <c r="C175" s="18">
        <f>'CASH FLOW STATEMENT'!C53/C11</f>
        <v>0.19086714723155834</v>
      </c>
      <c r="D175" s="18">
        <f>'CASH FLOW STATEMENT'!D53/D11</f>
        <v>9.589976252241042E-2</v>
      </c>
      <c r="E175" s="18">
        <f>'CASH FLOW STATEMENT'!E53/E11</f>
        <v>0.1343663433116544</v>
      </c>
      <c r="F175" s="18">
        <f>'CASH FLOW STATEMENT'!F53/F11</f>
        <v>0.22818402261809376</v>
      </c>
      <c r="G175" s="18">
        <f>'CASH FLOW STATEMENT'!G53/G11</f>
        <v>0.18021369705281134</v>
      </c>
    </row>
    <row r="177" spans="1:7" x14ac:dyDescent="0.3">
      <c r="A177" s="9" t="s">
        <v>94</v>
      </c>
      <c r="B177" s="15">
        <v>43921</v>
      </c>
      <c r="C177" s="15">
        <v>44286</v>
      </c>
      <c r="D177" s="15">
        <v>44651</v>
      </c>
      <c r="E177" s="15">
        <v>45016</v>
      </c>
      <c r="F177" s="15">
        <v>45382</v>
      </c>
      <c r="G177" s="15">
        <v>45747</v>
      </c>
    </row>
    <row r="178" spans="1:7" x14ac:dyDescent="0.3">
      <c r="A178" s="66" t="s">
        <v>101</v>
      </c>
      <c r="B178" s="16">
        <v>75.788380915077283</v>
      </c>
      <c r="C178" s="16">
        <v>79.919891893146257</v>
      </c>
      <c r="D178" s="16">
        <v>70.591875549453775</v>
      </c>
      <c r="E178" s="16">
        <v>76.567985990762168</v>
      </c>
      <c r="F178" s="16">
        <v>72.532773458452681</v>
      </c>
      <c r="G178" s="16">
        <v>59.131745086835068</v>
      </c>
    </row>
    <row r="179" spans="1:7" x14ac:dyDescent="0.3">
      <c r="A179" s="66" t="s">
        <v>102</v>
      </c>
      <c r="B179" s="16">
        <v>3.4281360299690342</v>
      </c>
      <c r="C179" s="16">
        <v>5.2038658585587987</v>
      </c>
      <c r="D179" s="16">
        <v>9.5480373952150472</v>
      </c>
      <c r="E179" s="16">
        <v>7.0414530667029931</v>
      </c>
      <c r="F179" s="16">
        <v>5.1998286431376934</v>
      </c>
      <c r="G179" s="16">
        <v>3.8295759859666485</v>
      </c>
    </row>
    <row r="180" spans="1:7" x14ac:dyDescent="0.3">
      <c r="A180" s="66" t="s">
        <v>103</v>
      </c>
      <c r="B180" s="16">
        <v>2.2673075546007877</v>
      </c>
      <c r="C180" s="16">
        <v>1.1948414651023329</v>
      </c>
      <c r="D180" s="16">
        <v>1.6016975550381987</v>
      </c>
      <c r="E180" s="16">
        <v>1.7607669096975296</v>
      </c>
      <c r="F180" s="16">
        <v>1.7577198532999636</v>
      </c>
      <c r="G180" s="16">
        <v>1.80204076149421</v>
      </c>
    </row>
    <row r="181" spans="1:7" x14ac:dyDescent="0.3">
      <c r="A181" s="66" t="s">
        <v>92</v>
      </c>
      <c r="B181" s="16">
        <v>1.088249648568669</v>
      </c>
      <c r="C181" s="16">
        <v>0.9248791330759899</v>
      </c>
      <c r="D181" s="16">
        <v>1.0873658000535398</v>
      </c>
      <c r="E181" s="16">
        <v>1.1506984825040041</v>
      </c>
      <c r="F181" s="16">
        <v>1.0609499170818906</v>
      </c>
      <c r="G181" s="16">
        <v>0.97985178896586267</v>
      </c>
    </row>
  </sheetData>
  <mergeCells count="15">
    <mergeCell ref="A131:G131"/>
    <mergeCell ref="A97:G97"/>
    <mergeCell ref="A91:G91"/>
    <mergeCell ref="A56:G56"/>
    <mergeCell ref="A7:G7"/>
    <mergeCell ref="A13:G13"/>
    <mergeCell ref="A107:G107"/>
    <mergeCell ref="A99:G99"/>
    <mergeCell ref="A29:G29"/>
    <mergeCell ref="A39:G39"/>
    <mergeCell ref="A38:G38"/>
    <mergeCell ref="A47:G47"/>
    <mergeCell ref="A58:G58"/>
    <mergeCell ref="A73:G73"/>
    <mergeCell ref="A89:G8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517E-F845-40B5-9893-3BAFCBD328DF}">
  <dimension ref="A1:B5"/>
  <sheetViews>
    <sheetView workbookViewId="0">
      <selection sqref="A1:B5"/>
    </sheetView>
  </sheetViews>
  <sheetFormatPr defaultRowHeight="14.4" x14ac:dyDescent="0.3"/>
  <cols>
    <col min="1" max="1" width="44.6640625" bestFit="1" customWidth="1"/>
    <col min="2" max="2" width="9.109375" style="30" bestFit="1" customWidth="1"/>
  </cols>
  <sheetData>
    <row r="1" spans="1:2" x14ac:dyDescent="0.3">
      <c r="A1" t="s">
        <v>188</v>
      </c>
      <c r="B1" s="30" t="s">
        <v>189</v>
      </c>
    </row>
    <row r="2" spans="1:2" x14ac:dyDescent="0.3">
      <c r="A2" t="s">
        <v>190</v>
      </c>
      <c r="B2" s="83">
        <v>9.0399999999999994E-2</v>
      </c>
    </row>
    <row r="3" spans="1:2" x14ac:dyDescent="0.3">
      <c r="A3" t="s">
        <v>191</v>
      </c>
      <c r="B3" s="30">
        <v>0.11600000000000001</v>
      </c>
    </row>
    <row r="4" spans="1:2" x14ac:dyDescent="0.3">
      <c r="A4" t="s">
        <v>192</v>
      </c>
      <c r="B4" s="30">
        <v>9.8599999999999993E-2</v>
      </c>
    </row>
    <row r="5" spans="1:2" x14ac:dyDescent="0.3">
      <c r="A5" t="s">
        <v>193</v>
      </c>
      <c r="B5" s="30">
        <v>0.69499999999999995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02EE-7FE1-4B14-A8B4-DF1C3D7A6E03}">
  <dimension ref="A1:U163"/>
  <sheetViews>
    <sheetView topLeftCell="G181" zoomScale="102" zoomScaleNormal="102" workbookViewId="0">
      <selection activeCell="H65" sqref="H65"/>
    </sheetView>
  </sheetViews>
  <sheetFormatPr defaultRowHeight="14.4" x14ac:dyDescent="0.3"/>
  <cols>
    <col min="1" max="1" width="115.44140625" bestFit="1" customWidth="1"/>
    <col min="2" max="6" width="10.21875" style="1" bestFit="1" customWidth="1"/>
    <col min="7" max="7" width="10.21875" bestFit="1" customWidth="1"/>
    <col min="11" max="11" width="48" bestFit="1" customWidth="1"/>
    <col min="12" max="14" width="10.21875" bestFit="1" customWidth="1"/>
    <col min="15" max="15" width="49" bestFit="1" customWidth="1"/>
    <col min="16" max="21" width="10.21875" bestFit="1" customWidth="1"/>
  </cols>
  <sheetData>
    <row r="1" spans="1:7" x14ac:dyDescent="0.3">
      <c r="A1" s="2"/>
    </row>
    <row r="2" spans="1:7" x14ac:dyDescent="0.3">
      <c r="A2" s="6" t="s">
        <v>120</v>
      </c>
    </row>
    <row r="3" spans="1:7" x14ac:dyDescent="0.3">
      <c r="A3" s="2"/>
    </row>
    <row r="4" spans="1:7" ht="20.399999999999999" thickBot="1" x14ac:dyDescent="0.45">
      <c r="A4" s="3" t="s">
        <v>43</v>
      </c>
    </row>
    <row r="5" spans="1:7" ht="15" thickTop="1" x14ac:dyDescent="0.3">
      <c r="A5" s="2"/>
    </row>
    <row r="6" spans="1:7" x14ac:dyDescent="0.3">
      <c r="A6" s="43" t="s">
        <v>45</v>
      </c>
      <c r="B6" s="41">
        <v>43921</v>
      </c>
      <c r="C6" s="41">
        <v>44286</v>
      </c>
      <c r="D6" s="41">
        <v>44651</v>
      </c>
      <c r="E6" s="41">
        <v>45016</v>
      </c>
      <c r="F6" s="41">
        <v>45382</v>
      </c>
      <c r="G6" s="41">
        <v>45747</v>
      </c>
    </row>
    <row r="7" spans="1:7" x14ac:dyDescent="0.3">
      <c r="A7" s="89" t="s">
        <v>49</v>
      </c>
      <c r="B7" s="89"/>
      <c r="C7" s="89"/>
      <c r="D7" s="89"/>
      <c r="E7" s="89"/>
      <c r="F7" s="89"/>
      <c r="G7" s="89"/>
    </row>
    <row r="8" spans="1:7" x14ac:dyDescent="0.3">
      <c r="B8"/>
      <c r="C8"/>
      <c r="D8"/>
      <c r="E8"/>
      <c r="F8"/>
    </row>
    <row r="9" spans="1:7" x14ac:dyDescent="0.3">
      <c r="A9" s="10" t="s">
        <v>46</v>
      </c>
      <c r="B9" s="18">
        <f>'FINANCIAL STATEMENTS'!B9/'FINANCIAL STATEMENTS'!$B9</f>
        <v>1</v>
      </c>
      <c r="C9" s="18">
        <f>'FINANCIAL STATEMENTS'!C9/'FINANCIAL STATEMENTS'!$B9</f>
        <v>0.98164100312826186</v>
      </c>
      <c r="D9" s="18">
        <f>'FINANCIAL STATEMENTS'!D9/'FINANCIAL STATEMENTS'!$B9</f>
        <v>1.404736450646576</v>
      </c>
      <c r="E9" s="18">
        <f>'FINANCIAL STATEMENTS'!E9/'FINANCIAL STATEMENTS'!$B9</f>
        <v>1.6734179853740727</v>
      </c>
      <c r="F9" s="18">
        <f>'FINANCIAL STATEMENTS'!F9/'FINANCIAL STATEMENTS'!$B9</f>
        <v>1.7634127584448067</v>
      </c>
      <c r="G9" s="18">
        <f>'FINANCIAL STATEMENTS'!G9/'FINANCIAL STATEMENTS'!$B9</f>
        <v>1.9064395452729452</v>
      </c>
    </row>
    <row r="10" spans="1:7" x14ac:dyDescent="0.3">
      <c r="A10" s="10" t="s">
        <v>47</v>
      </c>
      <c r="B10" s="18">
        <f>'FINANCIAL STATEMENTS'!B10/'FINANCIAL STATEMENTS'!$B10</f>
        <v>1</v>
      </c>
      <c r="C10" s="18">
        <f>'FINANCIAL STATEMENTS'!C10/'FINANCIAL STATEMENTS'!$B10</f>
        <v>0.4839325694718819</v>
      </c>
      <c r="D10" s="18">
        <f>'FINANCIAL STATEMENTS'!D10/'FINANCIAL STATEMENTS'!$B10</f>
        <v>0.2631370999604899</v>
      </c>
      <c r="E10" s="18">
        <f>'FINANCIAL STATEMENTS'!E10/'FINANCIAL STATEMENTS'!$B10</f>
        <v>0.41511918872645853</v>
      </c>
      <c r="F10" s="18">
        <f>'FINANCIAL STATEMENTS'!F10/'FINANCIAL STATEMENTS'!$B10</f>
        <v>1.0901488212827604</v>
      </c>
      <c r="G10" s="18">
        <f>'FINANCIAL STATEMENTS'!G10/'FINANCIAL STATEMENTS'!$B10</f>
        <v>1.9382325826419067</v>
      </c>
    </row>
    <row r="11" spans="1:7" s="31" customFormat="1" x14ac:dyDescent="0.3">
      <c r="A11" s="11" t="s">
        <v>48</v>
      </c>
      <c r="B11" s="27">
        <f>'FINANCIAL STATEMENTS'!B11/'FINANCIAL STATEMENTS'!$B11</f>
        <v>1</v>
      </c>
      <c r="C11" s="27">
        <f>'FINANCIAL STATEMENTS'!C11/'FINANCIAL STATEMENTS'!$B11</f>
        <v>0.96998511824441547</v>
      </c>
      <c r="D11" s="27">
        <f>'FINANCIAL STATEMENTS'!D11/'FINANCIAL STATEMENTS'!$B11</f>
        <v>1.3780012182991619</v>
      </c>
      <c r="E11" s="27">
        <f>'FINANCIAL STATEMENTS'!E11/'FINANCIAL STATEMENTS'!$B11</f>
        <v>1.6439497567257055</v>
      </c>
      <c r="F11" s="27">
        <f>'FINANCIAL STATEMENTS'!F11/'FINANCIAL STATEMENTS'!$B11</f>
        <v>1.7476455212084292</v>
      </c>
      <c r="G11" s="27">
        <f>'FINANCIAL STATEMENTS'!G11/'FINANCIAL STATEMENTS'!$B11</f>
        <v>1.9071841096777677</v>
      </c>
    </row>
    <row r="12" spans="1:7" x14ac:dyDescent="0.3">
      <c r="B12"/>
      <c r="C12"/>
      <c r="D12"/>
      <c r="E12"/>
      <c r="F12"/>
    </row>
    <row r="13" spans="1:7" x14ac:dyDescent="0.3">
      <c r="A13" s="89" t="s">
        <v>50</v>
      </c>
      <c r="B13" s="89"/>
      <c r="C13" s="89"/>
      <c r="D13" s="89"/>
      <c r="E13" s="89"/>
      <c r="F13" s="89"/>
      <c r="G13" s="89"/>
    </row>
    <row r="14" spans="1:7" x14ac:dyDescent="0.3">
      <c r="A14" s="29"/>
      <c r="B14" s="35"/>
      <c r="C14" s="35"/>
      <c r="D14" s="35"/>
      <c r="E14" s="35"/>
      <c r="F14" s="35"/>
    </row>
    <row r="15" spans="1:7" x14ac:dyDescent="0.3">
      <c r="A15" s="10" t="s">
        <v>51</v>
      </c>
      <c r="B15" s="18">
        <f>'FINANCIAL STATEMENTS'!B15/'FINANCIAL STATEMENTS'!$B15</f>
        <v>1</v>
      </c>
      <c r="C15" s="18">
        <f>'FINANCIAL STATEMENTS'!C15/'FINANCIAL STATEMENTS'!$B15</f>
        <v>0.97970008331019176</v>
      </c>
      <c r="D15" s="18">
        <f>'FINANCIAL STATEMENTS'!D15/'FINANCIAL STATEMENTS'!$B15</f>
        <v>1.7944102828579365</v>
      </c>
      <c r="E15" s="18">
        <f>'FINANCIAL STATEMENTS'!E15/'FINANCIAL STATEMENTS'!$B15</f>
        <v>2.1208275479033603</v>
      </c>
      <c r="F15" s="18">
        <f>'FINANCIAL STATEMENTS'!F15/'FINANCIAL STATEMENTS'!$B15</f>
        <v>1.7932320387194034</v>
      </c>
      <c r="G15" s="18">
        <f>'FINANCIAL STATEMENTS'!G15/'FINANCIAL STATEMENTS'!$B15</f>
        <v>1.9241083825921375</v>
      </c>
    </row>
    <row r="16" spans="1:7" x14ac:dyDescent="0.3">
      <c r="A16" s="10" t="s">
        <v>52</v>
      </c>
      <c r="B16" s="18">
        <f>'FINANCIAL STATEMENTS'!B16/'FINANCIAL STATEMENTS'!$B16</f>
        <v>1</v>
      </c>
      <c r="C16" s="18">
        <f>'FINANCIAL STATEMENTS'!C16/'FINANCIAL STATEMENTS'!$B16</f>
        <v>1.170952516055815</v>
      </c>
      <c r="D16" s="18">
        <f>'FINANCIAL STATEMENTS'!D16/'FINANCIAL STATEMENTS'!$B16</f>
        <v>1.5677697247943052</v>
      </c>
      <c r="E16" s="18">
        <f>'FINANCIAL STATEMENTS'!E16/'FINANCIAL STATEMENTS'!$B16</f>
        <v>2.2154703257589436</v>
      </c>
      <c r="F16" s="18">
        <f>'FINANCIAL STATEMENTS'!F16/'FINANCIAL STATEMENTS'!$B16</f>
        <v>2.1605581491320831</v>
      </c>
      <c r="G16" s="18">
        <f>'FINANCIAL STATEMENTS'!G16/'FINANCIAL STATEMENTS'!$B16</f>
        <v>2.1296071806246939</v>
      </c>
    </row>
    <row r="17" spans="1:7" x14ac:dyDescent="0.3">
      <c r="A17" s="10" t="s">
        <v>53</v>
      </c>
      <c r="B17" s="18">
        <f>'FINANCIAL STATEMENTS'!B17/'FINANCIAL STATEMENTS'!$B17</f>
        <v>1</v>
      </c>
      <c r="C17" s="18">
        <f>'FINANCIAL STATEMENTS'!C17/'FINANCIAL STATEMENTS'!$B17</f>
        <v>-3.2083631165117938</v>
      </c>
      <c r="D17" s="18">
        <f>'FINANCIAL STATEMENTS'!D17/'FINANCIAL STATEMENTS'!$B17</f>
        <v>-8.0600428877769836</v>
      </c>
      <c r="E17" s="18">
        <f>'FINANCIAL STATEMENTS'!E17/'FINANCIAL STATEMENTS'!$B17</f>
        <v>-2.1808434596140103</v>
      </c>
      <c r="F17" s="18">
        <f>'FINANCIAL STATEMENTS'!F17/'FINANCIAL STATEMENTS'!$B17</f>
        <v>2.0604002859185133</v>
      </c>
      <c r="G17" s="18">
        <f>'FINANCIAL STATEMENTS'!G17/'FINANCIAL STATEMENTS'!$B17</f>
        <v>-4.456397426733381</v>
      </c>
    </row>
    <row r="18" spans="1:7" x14ac:dyDescent="0.3">
      <c r="A18" s="10" t="s">
        <v>54</v>
      </c>
      <c r="B18" s="18">
        <f>'FINANCIAL STATEMENTS'!B18/'FINANCIAL STATEMENTS'!$B18</f>
        <v>1</v>
      </c>
      <c r="C18" s="18">
        <f>'FINANCIAL STATEMENTS'!C18/'FINANCIAL STATEMENTS'!$B18</f>
        <v>1.0690197994273229</v>
      </c>
      <c r="D18" s="18">
        <f>'FINANCIAL STATEMENTS'!D18/'FINANCIAL STATEMENTS'!$B18</f>
        <v>1.2576639661279161</v>
      </c>
      <c r="E18" s="18">
        <f>'FINANCIAL STATEMENTS'!E18/'FINANCIAL STATEMENTS'!$B18</f>
        <v>1.4178914084870198</v>
      </c>
      <c r="F18" s="18">
        <f>'FINANCIAL STATEMENTS'!F18/'FINANCIAL STATEMENTS'!$B18</f>
        <v>1.7021807868202852</v>
      </c>
      <c r="G18" s="18">
        <f>'FINANCIAL STATEMENTS'!G18/'FINANCIAL STATEMENTS'!$B18</f>
        <v>2.0972872477574671</v>
      </c>
    </row>
    <row r="19" spans="1:7" x14ac:dyDescent="0.3">
      <c r="A19" s="10" t="s">
        <v>57</v>
      </c>
      <c r="B19" s="18">
        <f>'FINANCIAL STATEMENTS'!B19/'FINANCIAL STATEMENTS'!$B19</f>
        <v>1</v>
      </c>
      <c r="C19" s="18">
        <f>'FINANCIAL STATEMENTS'!C19/'FINANCIAL STATEMENTS'!$B19</f>
        <v>0.89062300659153737</v>
      </c>
      <c r="D19" s="18">
        <f>'FINANCIAL STATEMENTS'!D19/'FINANCIAL STATEMENTS'!$B19</f>
        <v>1.0979970231766958</v>
      </c>
      <c r="E19" s="18">
        <f>'FINANCIAL STATEMENTS'!E19/'FINANCIAL STATEMENTS'!$B19</f>
        <v>1.3209866042951308</v>
      </c>
      <c r="F19" s="18">
        <f>'FINANCIAL STATEMENTS'!F19/'FINANCIAL STATEMENTS'!$B19</f>
        <v>1.656347012545184</v>
      </c>
      <c r="G19" s="18">
        <f>'FINANCIAL STATEMENTS'!G19/'FINANCIAL STATEMENTS'!$B19</f>
        <v>1.821237507973634</v>
      </c>
    </row>
    <row r="20" spans="1:7" s="31" customFormat="1" x14ac:dyDescent="0.3">
      <c r="A20" s="11" t="s">
        <v>70</v>
      </c>
      <c r="B20" s="27">
        <f>'FINANCIAL STATEMENTS'!B20/'FINANCIAL STATEMENTS'!$B20</f>
        <v>1</v>
      </c>
      <c r="C20" s="27">
        <f>'FINANCIAL STATEMENTS'!C20/'FINANCIAL STATEMENTS'!$B20</f>
        <v>0.96280080758419739</v>
      </c>
      <c r="D20" s="27">
        <f>'FINANCIAL STATEMENTS'!D20/'FINANCIAL STATEMENTS'!$B20</f>
        <v>1.4689989544300615</v>
      </c>
      <c r="E20" s="27">
        <f>'FINANCIAL STATEMENTS'!E20/'FINANCIAL STATEMENTS'!$B20</f>
        <v>1.8028121088135152</v>
      </c>
      <c r="F20" s="27">
        <f>'FINANCIAL STATEMENTS'!F20/'FINANCIAL STATEMENTS'!$B20</f>
        <v>1.7771162479918663</v>
      </c>
      <c r="G20" s="27">
        <f>'FINANCIAL STATEMENTS'!G20/'FINANCIAL STATEMENTS'!$B20</f>
        <v>1.9050964832141688</v>
      </c>
    </row>
    <row r="21" spans="1:7" x14ac:dyDescent="0.3">
      <c r="A21" s="10"/>
      <c r="B21" s="18"/>
      <c r="C21" s="18"/>
      <c r="D21" s="18"/>
      <c r="E21" s="18"/>
      <c r="F21" s="18"/>
    </row>
    <row r="22" spans="1:7" s="31" customFormat="1" x14ac:dyDescent="0.3">
      <c r="A22" s="11" t="s">
        <v>58</v>
      </c>
      <c r="B22" s="27">
        <f>'FINANCIAL STATEMENTS'!B22/'FINANCIAL STATEMENTS'!$B22</f>
        <v>1</v>
      </c>
      <c r="C22" s="27">
        <f>'FINANCIAL STATEMENTS'!C22/'FINANCIAL STATEMENTS'!$B22</f>
        <v>0.99128664196353178</v>
      </c>
      <c r="D22" s="27">
        <f>'FINANCIAL STATEMENTS'!D22/'FINANCIAL STATEMENTS'!$B22</f>
        <v>1.108192390945445</v>
      </c>
      <c r="E22" s="27">
        <f>'FINANCIAL STATEMENTS'!E22/'FINANCIAL STATEMENTS'!$B22</f>
        <v>1.1729219405412683</v>
      </c>
      <c r="F22" s="27">
        <f>'FINANCIAL STATEMENTS'!F22/'FINANCIAL STATEMENTS'!$B22</f>
        <v>1.6602646414988196</v>
      </c>
      <c r="G22" s="27">
        <f>'FINANCIAL STATEMENTS'!G22/'FINANCIAL STATEMENTS'!$B22</f>
        <v>1.9133739345244647</v>
      </c>
    </row>
    <row r="23" spans="1:7" x14ac:dyDescent="0.3">
      <c r="A23" s="10" t="s">
        <v>56</v>
      </c>
      <c r="B23" s="18">
        <f>'FINANCIAL STATEMENTS'!B23/'FINANCIAL STATEMENTS'!$B23</f>
        <v>1</v>
      </c>
      <c r="C23" s="18">
        <f>'FINANCIAL STATEMENTS'!C23/'FINANCIAL STATEMENTS'!$B23</f>
        <v>1.169409333015343</v>
      </c>
      <c r="D23" s="18">
        <f>'FINANCIAL STATEMENTS'!D23/'FINANCIAL STATEMENTS'!$B23</f>
        <v>1.5452738691469909</v>
      </c>
      <c r="E23" s="18">
        <f>'FINANCIAL STATEMENTS'!E23/'FINANCIAL STATEMENTS'!$B23</f>
        <v>1.7646076794657761</v>
      </c>
      <c r="F23" s="18">
        <f>'FINANCIAL STATEMENTS'!F23/'FINANCIAL STATEMENTS'!$B23</f>
        <v>2.2983544001907941</v>
      </c>
      <c r="G23" s="18">
        <f>'FINANCIAL STATEMENTS'!G23/'FINANCIAL STATEMENTS'!$B23</f>
        <v>2.4517847205660228</v>
      </c>
    </row>
    <row r="24" spans="1:7" s="31" customFormat="1" x14ac:dyDescent="0.3">
      <c r="A24" s="11" t="s">
        <v>69</v>
      </c>
      <c r="B24" s="27">
        <f>'FINANCIAL STATEMENTS'!B24/'FINANCIAL STATEMENTS'!$B24</f>
        <v>1</v>
      </c>
      <c r="C24" s="27">
        <f>'FINANCIAL STATEMENTS'!C24/'FINANCIAL STATEMENTS'!$B24</f>
        <v>0.97644455926286522</v>
      </c>
      <c r="D24" s="27">
        <f>'FINANCIAL STATEMENTS'!D24/'FINANCIAL STATEMENTS'!$B24</f>
        <v>1.0717725535396088</v>
      </c>
      <c r="E24" s="27">
        <f>'FINANCIAL STATEMENTS'!E24/'FINANCIAL STATEMENTS'!$B24</f>
        <v>1.1236196948921267</v>
      </c>
      <c r="F24" s="27">
        <f>'FINANCIAL STATEMENTS'!F24/'FINANCIAL STATEMENTS'!$B24</f>
        <v>1.6070957784357751</v>
      </c>
      <c r="G24" s="27">
        <f>'FINANCIAL STATEMENTS'!G24/'FINANCIAL STATEMENTS'!$B24</f>
        <v>1.8685108271563231</v>
      </c>
    </row>
    <row r="25" spans="1:7" x14ac:dyDescent="0.3">
      <c r="A25" s="10" t="s">
        <v>55</v>
      </c>
      <c r="B25" s="18">
        <f>'FINANCIAL STATEMENTS'!B25/'FINANCIAL STATEMENTS'!$B25</f>
        <v>1</v>
      </c>
      <c r="C25" s="18">
        <f>'FINANCIAL STATEMENTS'!C25/'FINANCIAL STATEMENTS'!$B25</f>
        <v>1.2679104477611938</v>
      </c>
      <c r="D25" s="18">
        <f>'FINANCIAL STATEMENTS'!D25/'FINANCIAL STATEMENTS'!$B25</f>
        <v>2.0328358208955222</v>
      </c>
      <c r="E25" s="18">
        <f>'FINANCIAL STATEMENTS'!E25/'FINANCIAL STATEMENTS'!$B25</f>
        <v>2.1291044776119401</v>
      </c>
      <c r="F25" s="18">
        <f>'FINANCIAL STATEMENTS'!F25/'FINANCIAL STATEMENTS'!$B25</f>
        <v>2.198507462686567</v>
      </c>
      <c r="G25" s="18">
        <f>'FINANCIAL STATEMENTS'!G25/'FINANCIAL STATEMENTS'!$B25</f>
        <v>2.5910447761194026</v>
      </c>
    </row>
    <row r="26" spans="1:7" x14ac:dyDescent="0.3">
      <c r="A26" s="10" t="s">
        <v>59</v>
      </c>
      <c r="B26" s="18">
        <f>'FINANCIAL STATEMENTS'!B26/'FINANCIAL STATEMENTS'!$B26</f>
        <v>1</v>
      </c>
      <c r="C26" s="18">
        <f>'FINANCIAL STATEMENTS'!C26/'FINANCIAL STATEMENTS'!$B26</f>
        <v>7.5910931174089065E-3</v>
      </c>
      <c r="D26" s="18">
        <f>'FINANCIAL STATEMENTS'!D26/'FINANCIAL STATEMENTS'!$B26</f>
        <v>0</v>
      </c>
      <c r="E26" s="18">
        <f>'FINANCIAL STATEMENTS'!E26/'FINANCIAL STATEMENTS'!$B26</f>
        <v>0</v>
      </c>
      <c r="F26" s="18">
        <f>'FINANCIAL STATEMENTS'!F26/'FINANCIAL STATEMENTS'!$B26</f>
        <v>-0.1206140350877193</v>
      </c>
      <c r="G26" s="18">
        <f>'FINANCIAL STATEMENTS'!G26/'FINANCIAL STATEMENTS'!$B26</f>
        <v>0.34008097165991902</v>
      </c>
    </row>
    <row r="27" spans="1:7" s="31" customFormat="1" x14ac:dyDescent="0.3">
      <c r="A27" s="11" t="s">
        <v>60</v>
      </c>
      <c r="B27" s="27">
        <f>'FINANCIAL STATEMENTS'!B27/'FINANCIAL STATEMENTS'!$B27</f>
        <v>1</v>
      </c>
      <c r="C27" s="27">
        <f>'FINANCIAL STATEMENTS'!C27/'FINANCIAL STATEMENTS'!$B27</f>
        <v>1.013695674866905</v>
      </c>
      <c r="D27" s="27">
        <f>'FINANCIAL STATEMENTS'!D27/'FINANCIAL STATEMENTS'!$B27</f>
        <v>1.1070252966352341</v>
      </c>
      <c r="E27" s="27">
        <f>'FINANCIAL STATEMENTS'!E27/'FINANCIAL STATEMENTS'!$B27</f>
        <v>1.1605970980201128</v>
      </c>
      <c r="F27" s="27">
        <f>'FINANCIAL STATEMENTS'!F27/'FINANCIAL STATEMENTS'!$B27</f>
        <v>1.6728557013118059</v>
      </c>
      <c r="G27" s="27">
        <f>'FINANCIAL STATEMENTS'!G27/'FINANCIAL STATEMENTS'!$B27</f>
        <v>1.9248268902884582</v>
      </c>
    </row>
    <row r="28" spans="1:7" x14ac:dyDescent="0.3">
      <c r="B28"/>
      <c r="C28"/>
      <c r="D28"/>
      <c r="E28"/>
      <c r="F28"/>
    </row>
    <row r="29" spans="1:7" x14ac:dyDescent="0.3">
      <c r="A29" s="88" t="s">
        <v>61</v>
      </c>
      <c r="B29" s="88"/>
      <c r="C29" s="88"/>
      <c r="D29" s="88"/>
      <c r="E29" s="88"/>
      <c r="F29" s="88"/>
      <c r="G29" s="88"/>
    </row>
    <row r="30" spans="1:7" x14ac:dyDescent="0.3">
      <c r="A30" s="29"/>
      <c r="B30" s="35"/>
      <c r="C30" s="35"/>
      <c r="D30" s="35"/>
      <c r="E30" s="35"/>
      <c r="F30" s="35"/>
    </row>
    <row r="31" spans="1:7" x14ac:dyDescent="0.3">
      <c r="A31" s="10" t="s">
        <v>62</v>
      </c>
      <c r="B31" s="18">
        <f>'FINANCIAL STATEMENTS'!B31/'FINANCIAL STATEMENTS'!$B31</f>
        <v>1</v>
      </c>
      <c r="C31" s="18">
        <f>'FINANCIAL STATEMENTS'!C31/'FINANCIAL STATEMENTS'!$B31</f>
        <v>1.0173606401736064</v>
      </c>
      <c r="D31" s="18">
        <f>'FINANCIAL STATEMENTS'!D31/'FINANCIAL STATEMENTS'!$B31</f>
        <v>1.0783398887833988</v>
      </c>
      <c r="E31" s="18">
        <f>'FINANCIAL STATEMENTS'!E31/'FINANCIAL STATEMENTS'!$B31</f>
        <v>1.1475654414756544</v>
      </c>
      <c r="F31" s="18">
        <f>'FINANCIAL STATEMENTS'!F31/'FINANCIAL STATEMENTS'!$B31</f>
        <v>1.6404177404041775</v>
      </c>
      <c r="G31" s="18">
        <f>'FINANCIAL STATEMENTS'!G31/'FINANCIAL STATEMENTS'!$B31</f>
        <v>1.8339346263393466</v>
      </c>
    </row>
    <row r="32" spans="1:7" x14ac:dyDescent="0.3">
      <c r="A32" s="10" t="s">
        <v>63</v>
      </c>
      <c r="B32" s="18">
        <f>'FINANCIAL STATEMENTS'!B32/'FINANCIAL STATEMENTS'!$B32</f>
        <v>1</v>
      </c>
      <c r="C32" s="18">
        <f>'FINANCIAL STATEMENTS'!C32/'FINANCIAL STATEMENTS'!$B32</f>
        <v>-3.6014405762304922E-3</v>
      </c>
      <c r="D32" s="18">
        <f>'FINANCIAL STATEMENTS'!D32/'FINANCIAL STATEMENTS'!$B32</f>
        <v>-5.4021608643457383E-2</v>
      </c>
      <c r="E32" s="18">
        <f>'FINANCIAL STATEMENTS'!E32/'FINANCIAL STATEMENTS'!$B32</f>
        <v>0.37545018007202879</v>
      </c>
      <c r="F32" s="18">
        <f>'FINANCIAL STATEMENTS'!F32/'FINANCIAL STATEMENTS'!$B32</f>
        <v>1.2004801920768308E-2</v>
      </c>
      <c r="G32" s="18">
        <f>'FINANCIAL STATEMENTS'!G32/'FINANCIAL STATEMENTS'!$B32</f>
        <v>-0.4792917166866747</v>
      </c>
    </row>
    <row r="33" spans="1:7" s="31" customFormat="1" x14ac:dyDescent="0.3">
      <c r="A33" s="11" t="s">
        <v>71</v>
      </c>
      <c r="B33" s="27">
        <f>'FINANCIAL STATEMENTS'!B33/'FINANCIAL STATEMENTS'!$B33</f>
        <v>1</v>
      </c>
      <c r="C33" s="27">
        <f>'FINANCIAL STATEMENTS'!C33/'FINANCIAL STATEMENTS'!$B33</f>
        <v>1.1188083380550504</v>
      </c>
      <c r="D33" s="27">
        <f>'FINANCIAL STATEMENTS'!D33/'FINANCIAL STATEMENTS'!$B33</f>
        <v>1.19085676795992</v>
      </c>
      <c r="E33" s="27">
        <f>'FINANCIAL STATEMENTS'!E33/'FINANCIAL STATEMENTS'!$B33</f>
        <v>1.2242865237228999</v>
      </c>
      <c r="F33" s="27">
        <f>'FINANCIAL STATEMENTS'!F33/'FINANCIAL STATEMENTS'!$B33</f>
        <v>1.8022246742015331</v>
      </c>
      <c r="G33" s="27">
        <f>'FINANCIAL STATEMENTS'!G33/'FINANCIAL STATEMENTS'!$B33</f>
        <v>2.0637879104166048</v>
      </c>
    </row>
    <row r="34" spans="1:7" x14ac:dyDescent="0.3">
      <c r="A34" s="10" t="s">
        <v>112</v>
      </c>
      <c r="B34" s="18">
        <f>'FINANCIAL STATEMENTS'!B34/'FINANCIAL STATEMENTS'!$B34</f>
        <v>1</v>
      </c>
      <c r="C34" s="18">
        <f>'FINANCIAL STATEMENTS'!C34/'FINANCIAL STATEMENTS'!$B34</f>
        <v>1.1036925240920519</v>
      </c>
      <c r="D34" s="18">
        <f>'FINANCIAL STATEMENTS'!D34/'FINANCIAL STATEMENTS'!$B34</f>
        <v>1.0757267892427473</v>
      </c>
      <c r="E34" s="18">
        <f>'FINANCIAL STATEMENTS'!E34/'FINANCIAL STATEMENTS'!$B34</f>
        <v>1.0548764302542513</v>
      </c>
      <c r="F34" s="18">
        <f>'FINANCIAL STATEMENTS'!F34/'FINANCIAL STATEMENTS'!$B34</f>
        <v>1.0773342092735672</v>
      </c>
      <c r="G34" s="18">
        <f>'FINANCIAL STATEMENTS'!G34/'FINANCIAL STATEMENTS'!$B34</f>
        <v>1.0721940351255803</v>
      </c>
    </row>
    <row r="35" spans="1:7" x14ac:dyDescent="0.3">
      <c r="A35" s="10"/>
      <c r="B35" s="18"/>
      <c r="C35" s="18"/>
      <c r="D35" s="18"/>
      <c r="E35" s="18"/>
      <c r="F35" s="18"/>
      <c r="G35" s="18"/>
    </row>
    <row r="36" spans="1:7" s="31" customFormat="1" x14ac:dyDescent="0.3">
      <c r="A36" s="12" t="s">
        <v>113</v>
      </c>
      <c r="B36" s="27">
        <f>'FINANCIAL STATEMENTS'!B36/'FINANCIAL STATEMENTS'!$B36</f>
        <v>1</v>
      </c>
      <c r="C36" s="27">
        <f>'FINANCIAL STATEMENTS'!C36/'FINANCIAL STATEMENTS'!$B36</f>
        <v>0.98169967865507068</v>
      </c>
      <c r="D36" s="27">
        <f>'FINANCIAL STATEMENTS'!D36/'FINANCIAL STATEMENTS'!$B36</f>
        <v>1.0815072347996582</v>
      </c>
      <c r="E36" s="27">
        <f>'FINANCIAL STATEMENTS'!E36/'FINANCIAL STATEMENTS'!$B36</f>
        <v>1.1412102176794185</v>
      </c>
      <c r="F36" s="27">
        <f>'FINANCIAL STATEMENTS'!F36/'FINANCIAL STATEMENTS'!$B36</f>
        <v>1.6334761533015008</v>
      </c>
      <c r="G36" s="27">
        <f>'FINANCIAL STATEMENTS'!G36/'FINANCIAL STATEMENTS'!$B36</f>
        <v>1.882527550334961</v>
      </c>
    </row>
    <row r="37" spans="1:7" x14ac:dyDescent="0.3">
      <c r="B37"/>
      <c r="C37"/>
      <c r="D37"/>
      <c r="E37"/>
      <c r="F37"/>
    </row>
    <row r="38" spans="1:7" x14ac:dyDescent="0.3">
      <c r="A38" s="88" t="s">
        <v>72</v>
      </c>
      <c r="B38" s="88"/>
      <c r="C38" s="88"/>
      <c r="D38" s="88"/>
      <c r="E38" s="88"/>
      <c r="F38" s="88"/>
      <c r="G38" s="88"/>
    </row>
    <row r="39" spans="1:7" x14ac:dyDescent="0.3">
      <c r="A39" s="92" t="s">
        <v>73</v>
      </c>
      <c r="B39" s="92"/>
      <c r="C39" s="92"/>
      <c r="D39" s="92"/>
      <c r="E39" s="92"/>
      <c r="F39" s="92"/>
      <c r="G39" s="92"/>
    </row>
    <row r="40" spans="1:7" x14ac:dyDescent="0.3">
      <c r="B40"/>
      <c r="C40"/>
      <c r="D40"/>
      <c r="E40"/>
      <c r="F40"/>
    </row>
    <row r="41" spans="1:7" x14ac:dyDescent="0.3">
      <c r="A41" s="10" t="s">
        <v>74</v>
      </c>
      <c r="B41" s="18">
        <f>'FINANCIAL STATEMENTS'!B41/'FINANCIAL STATEMENTS'!$B41</f>
        <v>1</v>
      </c>
      <c r="C41" s="18">
        <f>'FINANCIAL STATEMENTS'!C41/'FINANCIAL STATEMENTS'!$B41</f>
        <v>6.3844086021505375E-2</v>
      </c>
      <c r="D41" s="18">
        <f>'FINANCIAL STATEMENTS'!D41/'FINANCIAL STATEMENTS'!$B41</f>
        <v>0.81384408602150526</v>
      </c>
      <c r="E41" s="18">
        <f>'FINANCIAL STATEMENTS'!E41/'FINANCIAL STATEMENTS'!$B41</f>
        <v>-0.1303763440860215</v>
      </c>
      <c r="F41" s="18">
        <f>'FINANCIAL STATEMENTS'!F41/'FINANCIAL STATEMENTS'!$B41</f>
        <v>1.799731182795699</v>
      </c>
      <c r="G41" s="18">
        <f>'FINANCIAL STATEMENTS'!G41/'FINANCIAL STATEMENTS'!$B41</f>
        <v>1.0241935483870968</v>
      </c>
    </row>
    <row r="42" spans="1:7" x14ac:dyDescent="0.3">
      <c r="A42" s="10" t="s">
        <v>75</v>
      </c>
      <c r="B42" s="18">
        <f>'FINANCIAL STATEMENTS'!B42/'FINANCIAL STATEMENTS'!$B42</f>
        <v>1</v>
      </c>
      <c r="C42" s="18">
        <f>'FINANCIAL STATEMENTS'!C42/'FINANCIAL STATEMENTS'!$B42</f>
        <v>7.792207792207792E-2</v>
      </c>
      <c r="D42" s="18">
        <f>'FINANCIAL STATEMENTS'!D42/'FINANCIAL STATEMENTS'!$B42</f>
        <v>0.99025974025974017</v>
      </c>
      <c r="E42" s="18">
        <f>'FINANCIAL STATEMENTS'!E42/'FINANCIAL STATEMENTS'!$B42</f>
        <v>-0.15909090909090909</v>
      </c>
      <c r="F42" s="18">
        <f>'FINANCIAL STATEMENTS'!F42/'FINANCIAL STATEMENTS'!$B42</f>
        <v>2.1883116883116882</v>
      </c>
      <c r="G42" s="18">
        <f>'FINANCIAL STATEMENTS'!G42/'FINANCIAL STATEMENTS'!$B42</f>
        <v>1.2467532467532467</v>
      </c>
    </row>
    <row r="43" spans="1:7" s="31" customFormat="1" x14ac:dyDescent="0.3">
      <c r="A43" s="11" t="s">
        <v>64</v>
      </c>
      <c r="B43" s="27">
        <f>'FINANCIAL STATEMENTS'!B43/'FINANCIAL STATEMENTS'!$B43</f>
        <v>1</v>
      </c>
      <c r="C43" s="27">
        <f>'FINANCIAL STATEMENTS'!C43/'FINANCIAL STATEMENTS'!$B43</f>
        <v>6.0169491525423724E-2</v>
      </c>
      <c r="D43" s="27">
        <f>'FINANCIAL STATEMENTS'!D43/'FINANCIAL STATEMENTS'!$B43</f>
        <v>0.76779661016949141</v>
      </c>
      <c r="E43" s="27">
        <f>'FINANCIAL STATEMENTS'!E43/'FINANCIAL STATEMENTS'!$B43</f>
        <v>-0.12288135593220338</v>
      </c>
      <c r="F43" s="27">
        <f>'FINANCIAL STATEMENTS'!F43/'FINANCIAL STATEMENTS'!$B43</f>
        <v>1.6983050847457626</v>
      </c>
      <c r="G43" s="27">
        <f>'FINANCIAL STATEMENTS'!G43/'FINANCIAL STATEMENTS'!$B43</f>
        <v>0.96610169491525422</v>
      </c>
    </row>
    <row r="44" spans="1:7" x14ac:dyDescent="0.3">
      <c r="A44" s="10"/>
      <c r="B44" s="18"/>
      <c r="C44" s="18"/>
      <c r="D44" s="18"/>
      <c r="E44" s="18"/>
      <c r="F44" s="18"/>
      <c r="G44" s="18"/>
    </row>
    <row r="45" spans="1:7" s="31" customFormat="1" x14ac:dyDescent="0.3">
      <c r="A45" s="12" t="s">
        <v>65</v>
      </c>
      <c r="B45" s="27">
        <f>'FINANCIAL STATEMENTS'!B45/'FINANCIAL STATEMENTS'!$B45</f>
        <v>1</v>
      </c>
      <c r="C45" s="27">
        <f>'FINANCIAL STATEMENTS'!C45/'FINANCIAL STATEMENTS'!$B45</f>
        <v>0.99167752472885329</v>
      </c>
      <c r="D45" s="27">
        <f>'FINANCIAL STATEMENTS'!D45/'FINANCIAL STATEMENTS'!$B45</f>
        <v>1.0849039290892069</v>
      </c>
      <c r="E45" s="27">
        <f>'FINANCIAL STATEMENTS'!E45/'FINANCIAL STATEMENTS'!$B45</f>
        <v>1.1548971389770797</v>
      </c>
      <c r="F45" s="27">
        <f>'FINANCIAL STATEMENTS'!F45/'FINANCIAL STATEMENTS'!$B45</f>
        <v>1.6327742195958959</v>
      </c>
      <c r="G45" s="27">
        <f>'FINANCIAL STATEMENTS'!G45/'FINANCIAL STATEMENTS'!$B45</f>
        <v>1.8924501293791631</v>
      </c>
    </row>
    <row r="46" spans="1:7" x14ac:dyDescent="0.3">
      <c r="B46"/>
      <c r="C46"/>
      <c r="D46"/>
      <c r="E46"/>
      <c r="F46"/>
    </row>
    <row r="47" spans="1:7" s="31" customFormat="1" x14ac:dyDescent="0.3">
      <c r="A47" s="88" t="s">
        <v>66</v>
      </c>
      <c r="B47" s="88"/>
      <c r="C47" s="88"/>
      <c r="D47" s="88"/>
      <c r="E47" s="88"/>
      <c r="F47" s="88"/>
      <c r="G47" s="88"/>
    </row>
    <row r="48" spans="1:7" x14ac:dyDescent="0.3">
      <c r="A48" s="29" t="s">
        <v>67</v>
      </c>
      <c r="B48" s="35">
        <f>'FINANCIAL STATEMENTS'!B49/'FINANCIAL STATEMENTS'!$B49</f>
        <v>1</v>
      </c>
      <c r="C48" s="35">
        <f>'FINANCIAL STATEMENTS'!C49/'FINANCIAL STATEMENTS'!$B49</f>
        <v>0.98109727985246653</v>
      </c>
      <c r="D48" s="35">
        <f>'FINANCIAL STATEMENTS'!D49/'FINANCIAL STATEMENTS'!$B49</f>
        <v>1.0811433840479483</v>
      </c>
      <c r="E48" s="35">
        <f>'FINANCIAL STATEMENTS'!E49/'FINANCIAL STATEMENTS'!$B49</f>
        <v>1.140156754264638</v>
      </c>
      <c r="F48" s="35">
        <f>'FINANCIAL STATEMENTS'!F49/'FINANCIAL STATEMENTS'!$B49</f>
        <v>1.6316274781005071</v>
      </c>
      <c r="G48" s="35">
        <f>'FINANCIAL STATEMENTS'!G49/'FINANCIAL STATEMENTS'!$B49</f>
        <v>1.8796680497925311</v>
      </c>
    </row>
    <row r="49" spans="1:21" x14ac:dyDescent="0.3">
      <c r="A49" s="7" t="s">
        <v>68</v>
      </c>
      <c r="B49" s="18">
        <f>'FINANCIAL STATEMENTS'!B50/'FINANCIAL STATEMENTS'!$B50</f>
        <v>1</v>
      </c>
      <c r="C49" s="18">
        <f>'FINANCIAL STATEMENTS'!C50/'FINANCIAL STATEMENTS'!$B50</f>
        <v>0.98108856088560881</v>
      </c>
      <c r="D49" s="18">
        <f>'FINANCIAL STATEMENTS'!D50/'FINANCIAL STATEMENTS'!$B50</f>
        <v>1.0807195571955719</v>
      </c>
      <c r="E49" s="18">
        <f>'FINANCIAL STATEMENTS'!E50/'FINANCIAL STATEMENTS'!$B50</f>
        <v>1.140221402214022</v>
      </c>
      <c r="F49" s="18">
        <f>'FINANCIAL STATEMENTS'!F50/'FINANCIAL STATEMENTS'!$B50</f>
        <v>1.6305350553505535</v>
      </c>
      <c r="G49" s="35">
        <f>'FINANCIAL STATEMENTS'!G50/'FINANCIAL STATEMENTS'!$B50</f>
        <v>1.8763837638376384</v>
      </c>
    </row>
    <row r="50" spans="1:21" x14ac:dyDescent="0.3">
      <c r="A50" s="2"/>
      <c r="B50" s="20"/>
      <c r="C50" s="20"/>
      <c r="D50" s="20"/>
      <c r="E50" s="20"/>
      <c r="F50" s="20"/>
    </row>
    <row r="51" spans="1:21" x14ac:dyDescent="0.3">
      <c r="A51" s="2"/>
      <c r="B51" s="20"/>
      <c r="C51" s="20"/>
      <c r="D51" s="20"/>
      <c r="E51" s="20"/>
      <c r="F51" s="20"/>
    </row>
    <row r="52" spans="1:21" ht="20.399999999999999" thickBot="1" x14ac:dyDescent="0.45">
      <c r="A52" s="3" t="s">
        <v>44</v>
      </c>
      <c r="B52" s="20"/>
      <c r="C52" s="20"/>
      <c r="D52" s="20"/>
      <c r="E52" s="20"/>
      <c r="F52" s="20"/>
    </row>
    <row r="53" spans="1:21" ht="15" thickTop="1" x14ac:dyDescent="0.3">
      <c r="A53" s="29"/>
      <c r="B53" s="20"/>
      <c r="C53" s="20"/>
      <c r="D53" s="20"/>
      <c r="E53" s="20"/>
      <c r="F53" s="20"/>
    </row>
    <row r="54" spans="1:21" s="31" customFormat="1" x14ac:dyDescent="0.3">
      <c r="A54" s="40" t="s">
        <v>45</v>
      </c>
      <c r="B54" s="41">
        <v>43921</v>
      </c>
      <c r="C54" s="41">
        <v>44286</v>
      </c>
      <c r="D54" s="41">
        <v>44651</v>
      </c>
      <c r="E54" s="41">
        <v>45016</v>
      </c>
      <c r="F54" s="41">
        <v>45382</v>
      </c>
      <c r="G54" s="15">
        <v>45747</v>
      </c>
      <c r="O54" s="40" t="s">
        <v>45</v>
      </c>
      <c r="P54" s="41">
        <v>43921</v>
      </c>
      <c r="Q54" s="41">
        <v>44286</v>
      </c>
      <c r="R54" s="41">
        <v>44651</v>
      </c>
      <c r="S54" s="41">
        <v>45016</v>
      </c>
      <c r="T54" s="41">
        <v>45382</v>
      </c>
      <c r="U54" s="15">
        <v>45747</v>
      </c>
    </row>
    <row r="55" spans="1:21" x14ac:dyDescent="0.3">
      <c r="A55" s="89" t="s">
        <v>0</v>
      </c>
      <c r="B55" s="89"/>
      <c r="C55" s="89"/>
      <c r="D55" s="89"/>
      <c r="E55" s="89"/>
      <c r="F55" s="89"/>
      <c r="G55" s="89"/>
      <c r="O55" s="30" t="s">
        <v>20</v>
      </c>
      <c r="P55" s="30">
        <v>1</v>
      </c>
      <c r="Q55" s="30">
        <v>1.31007585417576</v>
      </c>
      <c r="R55" s="30">
        <v>1.5016806838217853</v>
      </c>
      <c r="S55" s="30">
        <v>1.6635212560104207</v>
      </c>
      <c r="T55" s="30">
        <v>1.9540544349087308</v>
      </c>
      <c r="U55" s="30">
        <v>2.2806312359728205</v>
      </c>
    </row>
    <row r="56" spans="1:21" x14ac:dyDescent="0.3">
      <c r="B56"/>
      <c r="C56"/>
      <c r="D56"/>
      <c r="E56"/>
      <c r="F56"/>
      <c r="O56" s="30" t="s">
        <v>41</v>
      </c>
      <c r="P56" s="30">
        <v>1</v>
      </c>
      <c r="Q56" s="30">
        <v>1.3100758541757602</v>
      </c>
      <c r="R56" s="30">
        <v>1.5016806838217853</v>
      </c>
      <c r="S56" s="30">
        <v>1.6635212560104209</v>
      </c>
      <c r="T56" s="30">
        <v>1.9540544349087312</v>
      </c>
      <c r="U56" s="30">
        <v>2.2806312359728205</v>
      </c>
    </row>
    <row r="57" spans="1:21" x14ac:dyDescent="0.3">
      <c r="A57" s="88" t="s">
        <v>1</v>
      </c>
      <c r="B57" s="88"/>
      <c r="C57" s="88"/>
      <c r="D57" s="88"/>
      <c r="E57" s="88"/>
      <c r="F57" s="88"/>
      <c r="G57" s="88"/>
    </row>
    <row r="58" spans="1:21" x14ac:dyDescent="0.3">
      <c r="A58" s="29" t="s">
        <v>2</v>
      </c>
      <c r="B58" s="35">
        <f>'FINANCIAL STATEMENTS'!B60/'FINANCIAL STATEMENTS'!$B60</f>
        <v>1</v>
      </c>
      <c r="C58" s="35">
        <f>'FINANCIAL STATEMENTS'!C60/'FINANCIAL STATEMENTS'!$B60</f>
        <v>1.1882634341182481</v>
      </c>
      <c r="D58" s="35">
        <f>'FINANCIAL STATEMENTS'!D60/'FINANCIAL STATEMENTS'!$B60</f>
        <v>1.5358901119316335</v>
      </c>
      <c r="E58" s="35">
        <f>'FINANCIAL STATEMENTS'!E60/'FINANCIAL STATEMENTS'!$B60</f>
        <v>1.6759207654080162</v>
      </c>
      <c r="F58" s="35">
        <f>'FINANCIAL STATEMENTS'!F60/'FINANCIAL STATEMENTS'!$B60</f>
        <v>2.2027309460777484</v>
      </c>
      <c r="G58" s="35">
        <f>'FINANCIAL STATEMENTS'!G60/'FINANCIAL STATEMENTS'!$B60</f>
        <v>2.4337815243137801</v>
      </c>
    </row>
    <row r="59" spans="1:21" x14ac:dyDescent="0.3">
      <c r="A59" s="10" t="s">
        <v>3</v>
      </c>
      <c r="B59" s="18">
        <f>'FINANCIAL STATEMENTS'!B61/'FINANCIAL STATEMENTS'!$B61</f>
        <v>1</v>
      </c>
      <c r="C59" s="18">
        <f>'FINANCIAL STATEMENTS'!C61/'FINANCIAL STATEMENTS'!$B61</f>
        <v>1.0872194228126431</v>
      </c>
      <c r="D59" s="18">
        <f>'FINANCIAL STATEMENTS'!D61/'FINANCIAL STATEMENTS'!$B61</f>
        <v>1.5661933119560236</v>
      </c>
      <c r="E59" s="18">
        <f>'FINANCIAL STATEMENTS'!E61/'FINANCIAL STATEMENTS'!$B61</f>
        <v>2.5006871278057718</v>
      </c>
      <c r="F59" s="18">
        <f>'FINANCIAL STATEMENTS'!F61/'FINANCIAL STATEMENTS'!$B61</f>
        <v>2.8735684837379747</v>
      </c>
      <c r="G59" s="35">
        <f>'FINANCIAL STATEMENTS'!G61/'FINANCIAL STATEMENTS'!$B61</f>
        <v>3.6410444342647734</v>
      </c>
    </row>
    <row r="60" spans="1:21" x14ac:dyDescent="0.3">
      <c r="A60" s="10" t="s">
        <v>4</v>
      </c>
      <c r="B60" s="18">
        <f>'FINANCIAL STATEMENTS'!B62/'FINANCIAL STATEMENTS'!$B62</f>
        <v>1</v>
      </c>
      <c r="C60" s="18">
        <f>'FINANCIAL STATEMENTS'!C62/'FINANCIAL STATEMENTS'!$B62</f>
        <v>1.1367307381683089</v>
      </c>
      <c r="D60" s="18">
        <f>'FINANCIAL STATEMENTS'!D62/'FINANCIAL STATEMENTS'!$B62</f>
        <v>0.83726376998869334</v>
      </c>
      <c r="E60" s="18">
        <f>'FINANCIAL STATEMENTS'!E62/'FINANCIAL STATEMENTS'!$B62</f>
        <v>1.4173800678404136</v>
      </c>
      <c r="F60" s="18">
        <f>'FINANCIAL STATEMENTS'!F62/'FINANCIAL STATEMENTS'!$B62</f>
        <v>0.54700371507026335</v>
      </c>
      <c r="G60" s="35">
        <f>'FINANCIAL STATEMENTS'!G62/'FINANCIAL STATEMENTS'!$B62</f>
        <v>0.42731384267485056</v>
      </c>
    </row>
    <row r="61" spans="1:21" x14ac:dyDescent="0.3">
      <c r="A61" s="10" t="s">
        <v>5</v>
      </c>
      <c r="B61" s="18">
        <f>'FINANCIAL STATEMENTS'!B63/'FINANCIAL STATEMENTS'!$B63</f>
        <v>1</v>
      </c>
      <c r="C61" s="18">
        <f>'FINANCIAL STATEMENTS'!C63/'FINANCIAL STATEMENTS'!$B63</f>
        <v>1.0026710022064802</v>
      </c>
      <c r="D61" s="18">
        <f>'FINANCIAL STATEMENTS'!D63/'FINANCIAL STATEMENTS'!$B63</f>
        <v>13.759725931947507</v>
      </c>
      <c r="E61" s="18">
        <f>'FINANCIAL STATEMENTS'!E63/'FINANCIAL STATEMENTS'!$B63</f>
        <v>13.759725931947507</v>
      </c>
      <c r="F61" s="18">
        <f>'FINANCIAL STATEMENTS'!F63/'FINANCIAL STATEMENTS'!$B63</f>
        <v>13.759725931947507</v>
      </c>
      <c r="G61" s="35">
        <f>'FINANCIAL STATEMENTS'!G63/'FINANCIAL STATEMENTS'!$B63</f>
        <v>13.759725931947507</v>
      </c>
    </row>
    <row r="62" spans="1:21" x14ac:dyDescent="0.3">
      <c r="A62" s="10" t="s">
        <v>6</v>
      </c>
      <c r="B62" s="18">
        <f>'FINANCIAL STATEMENTS'!B64/'FINANCIAL STATEMENTS'!$B64</f>
        <v>1</v>
      </c>
      <c r="C62" s="18">
        <f>'FINANCIAL STATEMENTS'!C64/'FINANCIAL STATEMENTS'!$B64</f>
        <v>1.0061143064407481</v>
      </c>
      <c r="D62" s="18">
        <f>'FINANCIAL STATEMENTS'!D64/'FINANCIAL STATEMENTS'!$B64</f>
        <v>8.0671537385356764</v>
      </c>
      <c r="E62" s="18">
        <f>'FINANCIAL STATEMENTS'!E64/'FINANCIAL STATEMENTS'!$B64</f>
        <v>7.9602051919788588</v>
      </c>
      <c r="F62" s="18">
        <f>'FINANCIAL STATEMENTS'!F64/'FINANCIAL STATEMENTS'!$B64</f>
        <v>7.9747655318928432</v>
      </c>
      <c r="G62" s="35">
        <f>'FINANCIAL STATEMENTS'!G64/'FINANCIAL STATEMENTS'!$B64</f>
        <v>7.8924814757241304</v>
      </c>
    </row>
    <row r="63" spans="1:21" x14ac:dyDescent="0.3">
      <c r="A63" s="10" t="s">
        <v>7</v>
      </c>
      <c r="B63" s="18">
        <f>'FINANCIAL STATEMENTS'!B65/'FINANCIAL STATEMENTS'!$B65</f>
        <v>1</v>
      </c>
      <c r="C63" s="18">
        <f>'FINANCIAL STATEMENTS'!C65/'FINANCIAL STATEMENTS'!$B65</f>
        <v>2.9884872872945127</v>
      </c>
      <c r="D63" s="18">
        <f>'FINANCIAL STATEMENTS'!D65/'FINANCIAL STATEMENTS'!$B65</f>
        <v>0.82507172889185643</v>
      </c>
      <c r="E63" s="18">
        <f>'FINANCIAL STATEMENTS'!E65/'FINANCIAL STATEMENTS'!$B65</f>
        <v>0.90577801035783245</v>
      </c>
      <c r="F63" s="18">
        <f>'FINANCIAL STATEMENTS'!F65/'FINANCIAL STATEMENTS'!$B65</f>
        <v>0.95083638594655073</v>
      </c>
      <c r="G63" s="35">
        <f>'FINANCIAL STATEMENTS'!G65/'FINANCIAL STATEMENTS'!$B65</f>
        <v>1.0250464658859195</v>
      </c>
    </row>
    <row r="64" spans="1:21" x14ac:dyDescent="0.3">
      <c r="A64" s="10" t="s">
        <v>8</v>
      </c>
      <c r="B64" s="18">
        <f>'FINANCIAL STATEMENTS'!B66/'FINANCIAL STATEMENTS'!$B66</f>
        <v>1</v>
      </c>
      <c r="C64" s="18">
        <f>'FINANCIAL STATEMENTS'!C66/'FINANCIAL STATEMENTS'!$B66</f>
        <v>1.193069306930693</v>
      </c>
      <c r="D64" s="18">
        <f>'FINANCIAL STATEMENTS'!D66/'FINANCIAL STATEMENTS'!$B66</f>
        <v>1.25</v>
      </c>
      <c r="E64" s="18">
        <f>'FINANCIAL STATEMENTS'!E66/'FINANCIAL STATEMENTS'!$B66</f>
        <v>1.5346534653465347</v>
      </c>
      <c r="F64" s="18">
        <f>'FINANCIAL STATEMENTS'!F66/'FINANCIAL STATEMENTS'!$B66</f>
        <v>1.9183168316831682</v>
      </c>
      <c r="G64" s="35">
        <f>'FINANCIAL STATEMENTS'!G66/'FINANCIAL STATEMENTS'!$B66</f>
        <v>1.8242574257425743</v>
      </c>
    </row>
    <row r="65" spans="1:17" x14ac:dyDescent="0.3">
      <c r="A65" s="10" t="s">
        <v>9</v>
      </c>
      <c r="B65" s="18">
        <f>'FINANCIAL STATEMENTS'!B67/'FINANCIAL STATEMENTS'!$B67</f>
        <v>1</v>
      </c>
      <c r="C65" s="18">
        <f>'FINANCIAL STATEMENTS'!C67/'FINANCIAL STATEMENTS'!$B67</f>
        <v>1.1547256097560976</v>
      </c>
      <c r="D65" s="18">
        <f>'FINANCIAL STATEMENTS'!D67/'FINANCIAL STATEMENTS'!$B67</f>
        <v>1.4824695121951219</v>
      </c>
      <c r="E65" s="18">
        <f>'FINANCIAL STATEMENTS'!E67/'FINANCIAL STATEMENTS'!$B67</f>
        <v>2.6638719512195124</v>
      </c>
      <c r="F65" s="18">
        <f>'FINANCIAL STATEMENTS'!F67/'FINANCIAL STATEMENTS'!$B67</f>
        <v>3.0114329268292681</v>
      </c>
      <c r="G65" s="35">
        <f>'FINANCIAL STATEMENTS'!G67/'FINANCIAL STATEMENTS'!$B67</f>
        <v>3.4329268292682928</v>
      </c>
    </row>
    <row r="66" spans="1:17" x14ac:dyDescent="0.3">
      <c r="A66" s="10" t="s">
        <v>10</v>
      </c>
      <c r="B66" s="18">
        <f>'FINANCIAL STATEMENTS'!B68/'FINANCIAL STATEMENTS'!$B68</f>
        <v>1</v>
      </c>
      <c r="C66" s="18">
        <f>'FINANCIAL STATEMENTS'!C68/'FINANCIAL STATEMENTS'!$B68</f>
        <v>0.8221172022684311</v>
      </c>
      <c r="D66" s="18">
        <f>'FINANCIAL STATEMENTS'!D68/'FINANCIAL STATEMENTS'!$B68</f>
        <v>1.2279773156899809</v>
      </c>
      <c r="E66" s="18">
        <f>'FINANCIAL STATEMENTS'!E68/'FINANCIAL STATEMENTS'!$B68</f>
        <v>1.2968809073724008</v>
      </c>
      <c r="F66" s="18">
        <f>'FINANCIAL STATEMENTS'!F68/'FINANCIAL STATEMENTS'!$B68</f>
        <v>1.2247637051039699</v>
      </c>
      <c r="G66" s="35">
        <f>'FINANCIAL STATEMENTS'!G68/'FINANCIAL STATEMENTS'!$B68</f>
        <v>1.4940453686200377</v>
      </c>
    </row>
    <row r="67" spans="1:17" x14ac:dyDescent="0.3">
      <c r="A67" s="10" t="s">
        <v>11</v>
      </c>
      <c r="B67" s="18">
        <f>'FINANCIAL STATEMENTS'!B69/'FINANCIAL STATEMENTS'!$B69</f>
        <v>1</v>
      </c>
      <c r="C67" s="18">
        <f>'FINANCIAL STATEMENTS'!C69/'FINANCIAL STATEMENTS'!$B69</f>
        <v>1.2292086108099738</v>
      </c>
      <c r="D67" s="18">
        <f>'FINANCIAL STATEMENTS'!D69/'FINANCIAL STATEMENTS'!$B69</f>
        <v>0.65355428217438449</v>
      </c>
      <c r="E67" s="18">
        <f>'FINANCIAL STATEMENTS'!E69/'FINANCIAL STATEMENTS'!$B69</f>
        <v>0.73966238191110423</v>
      </c>
      <c r="F67" s="18">
        <f>'FINANCIAL STATEMENTS'!F69/'FINANCIAL STATEMENTS'!$B69</f>
        <v>0.81028341334985299</v>
      </c>
      <c r="G67" s="35">
        <f>'FINANCIAL STATEMENTS'!G69/'FINANCIAL STATEMENTS'!$B69</f>
        <v>0.70543596097258787</v>
      </c>
    </row>
    <row r="68" spans="1:17" s="31" customFormat="1" x14ac:dyDescent="0.3">
      <c r="A68" s="11" t="s">
        <v>12</v>
      </c>
      <c r="B68" s="27">
        <f>'FINANCIAL STATEMENTS'!B71/'FINANCIAL STATEMENTS'!$B71</f>
        <v>1</v>
      </c>
      <c r="C68" s="27">
        <f>'FINANCIAL STATEMENTS'!C71/'FINANCIAL STATEMENTS'!$B71</f>
        <v>1.8627425707124949</v>
      </c>
      <c r="D68" s="27">
        <f>'FINANCIAL STATEMENTS'!D71/'FINANCIAL STATEMENTS'!$B71</f>
        <v>1.9884962406015037</v>
      </c>
      <c r="E68" s="27">
        <f>'FINANCIAL STATEMENTS'!E71/'FINANCIAL STATEMENTS'!$B71</f>
        <v>2.154829931972789</v>
      </c>
      <c r="F68" s="27">
        <f>'FINANCIAL STATEMENTS'!F71/'FINANCIAL STATEMENTS'!$B71</f>
        <v>2.2746509129967776</v>
      </c>
      <c r="G68" s="79">
        <f>'FINANCIAL STATEMENTS'!G71/'FINANCIAL STATEMENTS'!$B71</f>
        <v>2.3986609380594341</v>
      </c>
    </row>
    <row r="69" spans="1:17" x14ac:dyDescent="0.3">
      <c r="B69"/>
      <c r="C69"/>
      <c r="D69"/>
      <c r="E69"/>
      <c r="F69"/>
    </row>
    <row r="70" spans="1:17" x14ac:dyDescent="0.3">
      <c r="A70" s="88" t="s">
        <v>13</v>
      </c>
      <c r="B70" s="88"/>
      <c r="C70" s="88"/>
      <c r="D70" s="88"/>
      <c r="E70" s="88"/>
      <c r="F70" s="88"/>
      <c r="G70" s="88"/>
    </row>
    <row r="71" spans="1:17" x14ac:dyDescent="0.3">
      <c r="A71" s="29" t="s">
        <v>19</v>
      </c>
      <c r="B71" s="35">
        <f>'FINANCIAL STATEMENTS'!B75/'FINANCIAL STATEMENTS'!$B75</f>
        <v>1</v>
      </c>
      <c r="C71" s="35">
        <f>'FINANCIAL STATEMENTS'!C75/'FINANCIAL STATEMENTS'!$B75</f>
        <v>1.336007337540555</v>
      </c>
      <c r="D71" s="35">
        <f>'FINANCIAL STATEMENTS'!D75/'FINANCIAL STATEMENTS'!$B75</f>
        <v>1.9739079248175884</v>
      </c>
      <c r="E71" s="35">
        <f>'FINANCIAL STATEMENTS'!E75/'FINANCIAL STATEMENTS'!$B75</f>
        <v>2.137250338813673</v>
      </c>
      <c r="F71" s="35">
        <f>'FINANCIAL STATEMENTS'!F75/'FINANCIAL STATEMENTS'!$B75</f>
        <v>1.7210639433804706</v>
      </c>
      <c r="G71" s="35">
        <f>'FINANCIAL STATEMENTS'!G75/'FINANCIAL STATEMENTS'!$B75</f>
        <v>2.0402332680803297</v>
      </c>
    </row>
    <row r="72" spans="1:17" x14ac:dyDescent="0.3">
      <c r="A72" s="10" t="s">
        <v>7</v>
      </c>
      <c r="B72" s="18">
        <f>'FINANCIAL STATEMENTS'!B76/'FINANCIAL STATEMENTS'!$B76</f>
        <v>1</v>
      </c>
      <c r="C72" s="18">
        <f>'FINANCIAL STATEMENTS'!C76/'FINANCIAL STATEMENTS'!$B76</f>
        <v>0.2367935344948125</v>
      </c>
      <c r="D72" s="18">
        <f>'FINANCIAL STATEMENTS'!D76/'FINANCIAL STATEMENTS'!$B76</f>
        <v>0.23813585391090356</v>
      </c>
      <c r="E72" s="18">
        <f>'FINANCIAL STATEMENTS'!E76/'FINANCIAL STATEMENTS'!$B76</f>
        <v>0.61901898822674017</v>
      </c>
      <c r="F72" s="18">
        <f>'FINANCIAL STATEMENTS'!F76/'FINANCIAL STATEMENTS'!$B76</f>
        <v>2.4600659973712915</v>
      </c>
      <c r="G72" s="35">
        <f>'FINANCIAL STATEMENTS'!G76/'FINANCIAL STATEMENTS'!$B76</f>
        <v>4.2463715428283795</v>
      </c>
    </row>
    <row r="73" spans="1:17" x14ac:dyDescent="0.3">
      <c r="A73" s="10" t="s">
        <v>14</v>
      </c>
      <c r="B73" s="18">
        <f>'FINANCIAL STATEMENTS'!B77/'FINANCIAL STATEMENTS'!$B77</f>
        <v>1</v>
      </c>
      <c r="C73" s="18">
        <f>'FINANCIAL STATEMENTS'!C77/'FINANCIAL STATEMENTS'!$B77</f>
        <v>1.238597622205968</v>
      </c>
      <c r="D73" s="18">
        <f>'FINANCIAL STATEMENTS'!D77/'FINANCIAL STATEMENTS'!$B77</f>
        <v>1.5024608556587284</v>
      </c>
      <c r="E73" s="18">
        <f>'FINANCIAL STATEMENTS'!E77/'FINANCIAL STATEMENTS'!$B77</f>
        <v>1.6179909004128286</v>
      </c>
      <c r="F73" s="18">
        <f>'FINANCIAL STATEMENTS'!F77/'FINANCIAL STATEMENTS'!$B77</f>
        <v>1.7424717652455277</v>
      </c>
      <c r="G73" s="35">
        <f>'FINANCIAL STATEMENTS'!G77/'FINANCIAL STATEMENTS'!$B77</f>
        <v>1.9289017269380013</v>
      </c>
    </row>
    <row r="74" spans="1:17" x14ac:dyDescent="0.3">
      <c r="A74" s="10" t="s">
        <v>15</v>
      </c>
      <c r="B74" s="18">
        <f>'FINANCIAL STATEMENTS'!B78/'FINANCIAL STATEMENTS'!$B78</f>
        <v>1</v>
      </c>
      <c r="C74" s="18">
        <f>'FINANCIAL STATEMENTS'!C78/'FINANCIAL STATEMENTS'!$B78</f>
        <v>0.19463991350124965</v>
      </c>
      <c r="D74" s="18">
        <f>'FINANCIAL STATEMENTS'!D78/'FINANCIAL STATEMENTS'!$B78</f>
        <v>0.26180052111952073</v>
      </c>
      <c r="E74" s="18">
        <f>'FINANCIAL STATEMENTS'!E78/'FINANCIAL STATEMENTS'!$B78</f>
        <v>0.27172660722831776</v>
      </c>
      <c r="F74" s="18">
        <f>'FINANCIAL STATEMENTS'!F78/'FINANCIAL STATEMENTS'!$B78</f>
        <v>0.67332541609798469</v>
      </c>
      <c r="G74" s="35">
        <f>'FINANCIAL STATEMENTS'!G78/'FINANCIAL STATEMENTS'!$B78</f>
        <v>0.37587961075562332</v>
      </c>
    </row>
    <row r="75" spans="1:17" x14ac:dyDescent="0.3">
      <c r="A75" s="10" t="s">
        <v>16</v>
      </c>
      <c r="B75" s="18">
        <f>'FINANCIAL STATEMENTS'!B79/'FINANCIAL STATEMENTS'!$B79</f>
        <v>1</v>
      </c>
      <c r="C75" s="18">
        <f>'FINANCIAL STATEMENTS'!C79/'FINANCIAL STATEMENTS'!$B79</f>
        <v>0.54817987152034264</v>
      </c>
      <c r="D75" s="18">
        <f>'FINANCIAL STATEMENTS'!D79/'FINANCIAL STATEMENTS'!$B79</f>
        <v>0.61456102783725908</v>
      </c>
      <c r="E75" s="18">
        <f>'FINANCIAL STATEMENTS'!E79/'FINANCIAL STATEMENTS'!$B79</f>
        <v>0.58886509635974305</v>
      </c>
      <c r="F75" s="18">
        <f>'FINANCIAL STATEMENTS'!F79/'FINANCIAL STATEMENTS'!$B79</f>
        <v>0.49250535331905776</v>
      </c>
      <c r="G75" s="35">
        <f>'FINANCIAL STATEMENTS'!G79/'FINANCIAL STATEMENTS'!$B79</f>
        <v>0.55246252676659535</v>
      </c>
    </row>
    <row r="76" spans="1:17" x14ac:dyDescent="0.3">
      <c r="A76" s="10" t="s">
        <v>8</v>
      </c>
      <c r="B76" s="18">
        <f>'FINANCIAL STATEMENTS'!B80/'FINANCIAL STATEMENTS'!$B80</f>
        <v>1</v>
      </c>
      <c r="C76" s="18">
        <f>'FINANCIAL STATEMENTS'!C80/'FINANCIAL STATEMENTS'!$B80</f>
        <v>0.64026792750197004</v>
      </c>
      <c r="D76" s="18">
        <f>'FINANCIAL STATEMENTS'!D80/'FINANCIAL STATEMENTS'!$B80</f>
        <v>0.70173364854215914</v>
      </c>
      <c r="E76" s="18">
        <f>'FINANCIAL STATEMENTS'!E80/'FINANCIAL STATEMENTS'!$B80</f>
        <v>0.94405043341213557</v>
      </c>
      <c r="F76" s="18">
        <f>'FINANCIAL STATEMENTS'!F80/'FINANCIAL STATEMENTS'!$B80</f>
        <v>1.1666666666666667</v>
      </c>
      <c r="G76" s="35">
        <f>'FINANCIAL STATEMENTS'!G80/'FINANCIAL STATEMENTS'!$B80</f>
        <v>0.89637509850275809</v>
      </c>
    </row>
    <row r="77" spans="1:17" x14ac:dyDescent="0.3">
      <c r="A77" s="10" t="s">
        <v>9</v>
      </c>
      <c r="B77" s="18">
        <f>'FINANCIAL STATEMENTS'!B81/'FINANCIAL STATEMENTS'!$B81</f>
        <v>1</v>
      </c>
      <c r="C77" s="18">
        <f>'FINANCIAL STATEMENTS'!C81/'FINANCIAL STATEMENTS'!$B81</f>
        <v>0.89185905224787354</v>
      </c>
      <c r="D77" s="18">
        <f>'FINANCIAL STATEMENTS'!D81/'FINANCIAL STATEMENTS'!$B81</f>
        <v>1.385176184690158</v>
      </c>
      <c r="E77" s="18">
        <f>'FINANCIAL STATEMENTS'!E81/'FINANCIAL STATEMENTS'!$B81</f>
        <v>0.93560145808019435</v>
      </c>
      <c r="F77" s="18">
        <f>'FINANCIAL STATEMENTS'!F81/'FINANCIAL STATEMENTS'!$B81</f>
        <v>0.70716889428918595</v>
      </c>
      <c r="G77" s="35">
        <f>'FINANCIAL STATEMENTS'!G81/'FINANCIAL STATEMENTS'!$B81</f>
        <v>0.91373025516403394</v>
      </c>
      <c r="K77" s="23" t="s">
        <v>83</v>
      </c>
      <c r="L77" s="45">
        <v>43921</v>
      </c>
      <c r="M77" s="45">
        <v>44286</v>
      </c>
      <c r="N77" s="45">
        <v>44651</v>
      </c>
      <c r="O77" s="45">
        <v>45016</v>
      </c>
      <c r="P77" s="45">
        <v>45382</v>
      </c>
      <c r="Q77" s="15">
        <v>45747</v>
      </c>
    </row>
    <row r="78" spans="1:17" x14ac:dyDescent="0.3">
      <c r="A78" s="10" t="s">
        <v>17</v>
      </c>
      <c r="B78" s="18">
        <f>'FINANCIAL STATEMENTS'!B82/'FINANCIAL STATEMENTS'!$B82</f>
        <v>1</v>
      </c>
      <c r="C78" s="18">
        <f>'FINANCIAL STATEMENTS'!C82/'FINANCIAL STATEMENTS'!$B82</f>
        <v>0.81974198820851096</v>
      </c>
      <c r="D78" s="18">
        <f>'FINANCIAL STATEMENTS'!D82/'FINANCIAL STATEMENTS'!$B82</f>
        <v>1.0539956803455723</v>
      </c>
      <c r="E78" s="18">
        <f>'FINANCIAL STATEMENTS'!E82/'FINANCIAL STATEMENTS'!$B82</f>
        <v>0.96264082657171202</v>
      </c>
      <c r="F78" s="18">
        <f>'FINANCIAL STATEMENTS'!F82/'FINANCIAL STATEMENTS'!$B82</f>
        <v>1.0186795867141438</v>
      </c>
      <c r="G78" s="35">
        <f>'FINANCIAL STATEMENTS'!G82/'FINANCIAL STATEMENTS'!$B82</f>
        <v>1.4217500437802812</v>
      </c>
      <c r="K78" s="85" t="s">
        <v>85</v>
      </c>
      <c r="L78" s="18">
        <v>1</v>
      </c>
      <c r="M78" s="18">
        <v>0.12211753899033104</v>
      </c>
      <c r="N78" s="18">
        <v>0.16565167162600555</v>
      </c>
      <c r="O78" s="18">
        <v>0.16233035978030322</v>
      </c>
      <c r="P78" s="18">
        <v>0.32921445511975472</v>
      </c>
      <c r="Q78" s="18">
        <v>0.1542072210508719</v>
      </c>
    </row>
    <row r="79" spans="1:17" x14ac:dyDescent="0.3">
      <c r="A79" s="10" t="s">
        <v>119</v>
      </c>
      <c r="B79" s="18"/>
      <c r="C79" s="18"/>
      <c r="D79" s="18"/>
      <c r="E79" s="18"/>
      <c r="F79" s="18"/>
      <c r="G79" s="35"/>
      <c r="K79" s="30" t="s">
        <v>116</v>
      </c>
      <c r="L79" s="30">
        <v>1</v>
      </c>
      <c r="M79" s="30">
        <v>1.3562431472809173</v>
      </c>
      <c r="N79" s="30">
        <v>1.3263480565692174</v>
      </c>
      <c r="O79" s="30">
        <v>1.2607293780390894</v>
      </c>
      <c r="P79" s="30">
        <v>1.2949718350070596</v>
      </c>
      <c r="Q79" s="30">
        <v>1.3158291213915483</v>
      </c>
    </row>
    <row r="80" spans="1:17" s="31" customFormat="1" x14ac:dyDescent="0.3">
      <c r="A80" s="11" t="s">
        <v>18</v>
      </c>
      <c r="B80" s="27">
        <f>'FINANCIAL STATEMENTS'!B85/'FINANCIAL STATEMENTS'!$B85</f>
        <v>1</v>
      </c>
      <c r="C80" s="27">
        <f>'FINANCIAL STATEMENTS'!C85/'FINANCIAL STATEMENTS'!$B85</f>
        <v>0.7999742239083163</v>
      </c>
      <c r="D80" s="27">
        <f>'FINANCIAL STATEMENTS'!D85/'FINANCIAL STATEMENTS'!$B85</f>
        <v>1.0523585123890469</v>
      </c>
      <c r="E80" s="27">
        <f>'FINANCIAL STATEMENTS'!E85/'FINANCIAL STATEMENTS'!$B85</f>
        <v>1.2100520148311662</v>
      </c>
      <c r="F80" s="27">
        <f>'FINANCIAL STATEMENTS'!F85/'FINANCIAL STATEMENTS'!$B85</f>
        <v>1.6581495409872902</v>
      </c>
      <c r="G80" s="79">
        <f>'FINANCIAL STATEMENTS'!G85/'FINANCIAL STATEMENTS'!$B85</f>
        <v>2.1716919030025843</v>
      </c>
    </row>
    <row r="81" spans="1:7" ht="18" thickBot="1" x14ac:dyDescent="0.4">
      <c r="A81" s="80" t="s">
        <v>20</v>
      </c>
      <c r="B81" s="80">
        <f>'FINANCIAL STATEMENTS'!B87/'FINANCIAL STATEMENTS'!$B87</f>
        <v>1</v>
      </c>
      <c r="C81" s="80">
        <f>'FINANCIAL STATEMENTS'!C87/'FINANCIAL STATEMENTS'!$B87</f>
        <v>1.31007585417576</v>
      </c>
      <c r="D81" s="80">
        <f>'FINANCIAL STATEMENTS'!D87/'FINANCIAL STATEMENTS'!$B87</f>
        <v>1.5016806838217853</v>
      </c>
      <c r="E81" s="80">
        <f>'FINANCIAL STATEMENTS'!E87/'FINANCIAL STATEMENTS'!$B87</f>
        <v>1.6635212560104207</v>
      </c>
      <c r="F81" s="80">
        <f>'FINANCIAL STATEMENTS'!F87/'FINANCIAL STATEMENTS'!$B87</f>
        <v>1.9540544349087308</v>
      </c>
      <c r="G81" s="80">
        <f>'FINANCIAL STATEMENTS'!G87/'FINANCIAL STATEMENTS'!$B87</f>
        <v>2.2806312359728205</v>
      </c>
    </row>
    <row r="82" spans="1:7" ht="15" thickTop="1" x14ac:dyDescent="0.3">
      <c r="A82" s="33"/>
      <c r="B82" s="20"/>
      <c r="C82" s="20"/>
      <c r="D82" s="20"/>
      <c r="E82" s="20"/>
      <c r="F82" s="20"/>
    </row>
    <row r="83" spans="1:7" x14ac:dyDescent="0.3">
      <c r="A83" s="89" t="s">
        <v>21</v>
      </c>
      <c r="B83" s="89"/>
      <c r="C83" s="89"/>
      <c r="D83" s="89"/>
      <c r="E83" s="89"/>
      <c r="F83" s="89"/>
      <c r="G83" s="89"/>
    </row>
    <row r="84" spans="1:7" x14ac:dyDescent="0.3">
      <c r="A84" s="34"/>
      <c r="B84" s="20"/>
      <c r="C84" s="20"/>
      <c r="D84" s="20"/>
      <c r="E84" s="20"/>
      <c r="F84" s="20"/>
    </row>
    <row r="85" spans="1:7" x14ac:dyDescent="0.3">
      <c r="A85" s="88" t="s">
        <v>22</v>
      </c>
      <c r="B85" s="88"/>
      <c r="C85" s="88"/>
      <c r="D85" s="88"/>
      <c r="E85" s="88"/>
      <c r="F85" s="88"/>
      <c r="G85" s="88"/>
    </row>
    <row r="86" spans="1:7" x14ac:dyDescent="0.3">
      <c r="A86" s="29" t="s">
        <v>23</v>
      </c>
      <c r="B86" s="35">
        <f>'FINANCIAL STATEMENTS'!B93/'FINANCIAL STATEMENTS'!$B93</f>
        <v>1</v>
      </c>
      <c r="C86" s="35">
        <f>'FINANCIAL STATEMENTS'!C93/'FINANCIAL STATEMENTS'!$B93</f>
        <v>1.0001968116512496</v>
      </c>
      <c r="D86" s="35">
        <f>'FINANCIAL STATEMENTS'!D93/'FINANCIAL STATEMENTS'!$B93</f>
        <v>1.0003936233024995</v>
      </c>
      <c r="E86" s="35">
        <f>'FINANCIAL STATEMENTS'!E93/'FINANCIAL STATEMENTS'!$B93</f>
        <v>1.0003936233024995</v>
      </c>
      <c r="F86" s="35">
        <f>'FINANCIAL STATEMENTS'!F93/'FINANCIAL STATEMENTS'!$B93</f>
        <v>1.0009840582562488</v>
      </c>
      <c r="G86" s="35">
        <f>'FINANCIAL STATEMENTS'!G93/'FINANCIAL STATEMENTS'!$B93</f>
        <v>1.0009840582562488</v>
      </c>
    </row>
    <row r="87" spans="1:7" x14ac:dyDescent="0.3">
      <c r="A87" s="10" t="s">
        <v>22</v>
      </c>
      <c r="B87" s="18">
        <f>'FINANCIAL STATEMENTS'!B94/'FINANCIAL STATEMENTS'!$B94</f>
        <v>1</v>
      </c>
      <c r="C87" s="18">
        <f>'FINANCIAL STATEMENTS'!C94/'FINANCIAL STATEMENTS'!$B94</f>
        <v>1.2483886534013289</v>
      </c>
      <c r="D87" s="18">
        <f>'FINANCIAL STATEMENTS'!D94/'FINANCIAL STATEMENTS'!$B94</f>
        <v>1.4256583016350211</v>
      </c>
      <c r="E87" s="18">
        <f>'FINANCIAL STATEMENTS'!E94/'FINANCIAL STATEMENTS'!$B94</f>
        <v>1.598847759746806</v>
      </c>
      <c r="F87" s="18">
        <f>'FINANCIAL STATEMENTS'!F94/'FINANCIAL STATEMENTS'!$B94</f>
        <v>1.8773247002159035</v>
      </c>
      <c r="G87" s="35">
        <f>'FINANCIAL STATEMENTS'!G94/'FINANCIAL STATEMENTS'!$B94</f>
        <v>2.180679246308912</v>
      </c>
    </row>
    <row r="88" spans="1:7" s="31" customFormat="1" x14ac:dyDescent="0.3">
      <c r="A88" s="11" t="s">
        <v>24</v>
      </c>
      <c r="B88" s="27">
        <f>'FINANCIAL STATEMENTS'!B95/'FINANCIAL STATEMENTS'!$B95</f>
        <v>1</v>
      </c>
      <c r="C88" s="27">
        <f>'FINANCIAL STATEMENTS'!C95/'FINANCIAL STATEMENTS'!$B95</f>
        <v>1.2455642108752421</v>
      </c>
      <c r="D88" s="27">
        <f>'FINANCIAL STATEMENTS'!D95/'FINANCIAL STATEMENTS'!$B95</f>
        <v>1.4208187564112325</v>
      </c>
      <c r="E88" s="27">
        <f>'FINANCIAL STATEMENTS'!E95/'FINANCIAL STATEMENTS'!$B95</f>
        <v>1.5920373049753402</v>
      </c>
      <c r="F88" s="27">
        <f>'FINANCIAL STATEMENTS'!F95/'FINANCIAL STATEMENTS'!$B95</f>
        <v>1.8673518753275609</v>
      </c>
      <c r="G88" s="79">
        <f>'FINANCIAL STATEMENTS'!G95/'FINANCIAL STATEMENTS'!$B95</f>
        <v>2.1672542230145897</v>
      </c>
    </row>
    <row r="89" spans="1:7" x14ac:dyDescent="0.3">
      <c r="B89"/>
      <c r="C89"/>
      <c r="D89"/>
      <c r="E89"/>
      <c r="F89"/>
    </row>
    <row r="90" spans="1:7" x14ac:dyDescent="0.3">
      <c r="A90" s="88" t="s">
        <v>25</v>
      </c>
      <c r="B90" s="88"/>
      <c r="C90" s="88"/>
      <c r="D90" s="88"/>
      <c r="E90" s="88"/>
      <c r="F90" s="88"/>
      <c r="G90" s="88"/>
    </row>
    <row r="91" spans="1:7" x14ac:dyDescent="0.3">
      <c r="A91" s="91" t="s">
        <v>26</v>
      </c>
      <c r="B91" s="91"/>
      <c r="C91" s="91"/>
      <c r="D91" s="91"/>
      <c r="E91" s="91"/>
      <c r="F91" s="91"/>
      <c r="G91" s="91"/>
    </row>
    <row r="92" spans="1:7" x14ac:dyDescent="0.3">
      <c r="A92" s="29" t="s">
        <v>27</v>
      </c>
      <c r="B92" s="35">
        <f>'FINANCIAL STATEMENTS'!B101/'FINANCIAL STATEMENTS'!$B101</f>
        <v>1</v>
      </c>
      <c r="C92" s="35">
        <f>'FINANCIAL STATEMENTS'!C101/'FINANCIAL STATEMENTS'!$B101</f>
        <v>0.95107212475633529</v>
      </c>
      <c r="D92" s="35">
        <f>'FINANCIAL STATEMENTS'!D101/'FINANCIAL STATEMENTS'!$B101</f>
        <v>1.3048732943469785</v>
      </c>
      <c r="E92" s="35">
        <f>'FINANCIAL STATEMENTS'!E101/'FINANCIAL STATEMENTS'!$B101</f>
        <v>2.7904483430799223</v>
      </c>
      <c r="F92" s="35">
        <f>'FINANCIAL STATEMENTS'!F101/'FINANCIAL STATEMENTS'!$B101</f>
        <v>3.1643274853801175</v>
      </c>
      <c r="G92" s="35">
        <f>'FINANCIAL STATEMENTS'!G101/'FINANCIAL STATEMENTS'!$B101</f>
        <v>4.1479532163742689</v>
      </c>
    </row>
    <row r="93" spans="1:7" x14ac:dyDescent="0.3">
      <c r="A93" s="10" t="s">
        <v>28</v>
      </c>
      <c r="B93" s="18">
        <f>'FINANCIAL STATEMENTS'!B102/'FINANCIAL STATEMENTS'!$B102</f>
        <v>1</v>
      </c>
      <c r="C93" s="18">
        <f>'FINANCIAL STATEMENTS'!C102/'FINANCIAL STATEMENTS'!$B102</f>
        <v>1.8774104683195594</v>
      </c>
      <c r="D93" s="18">
        <f>'FINANCIAL STATEMENTS'!D102/'FINANCIAL STATEMENTS'!$B102</f>
        <v>2.7465564738292012</v>
      </c>
      <c r="E93" s="18">
        <f>'FINANCIAL STATEMENTS'!E102/'FINANCIAL STATEMENTS'!$B102</f>
        <v>1.9903581267217632</v>
      </c>
      <c r="F93" s="18">
        <f>'FINANCIAL STATEMENTS'!F102/'FINANCIAL STATEMENTS'!$B102</f>
        <v>0.60743801652892571</v>
      </c>
      <c r="G93" s="35">
        <f>'FINANCIAL STATEMENTS'!G102/'FINANCIAL STATEMENTS'!$B102</f>
        <v>0.53305785123966942</v>
      </c>
    </row>
    <row r="94" spans="1:7" x14ac:dyDescent="0.3">
      <c r="A94" s="10" t="s">
        <v>29</v>
      </c>
      <c r="B94" s="18">
        <f>'FINANCIAL STATEMENTS'!B103/'FINANCIAL STATEMENTS'!$B103</f>
        <v>1</v>
      </c>
      <c r="C94" s="18">
        <f>'FINANCIAL STATEMENTS'!C103/'FINANCIAL STATEMENTS'!$B103</f>
        <v>1.1010026901442895</v>
      </c>
      <c r="D94" s="18">
        <f>'FINANCIAL STATEMENTS'!D103/'FINANCIAL STATEMENTS'!$B103</f>
        <v>1.3749082905355832</v>
      </c>
      <c r="E94" s="18">
        <f>'FINANCIAL STATEMENTS'!E103/'FINANCIAL STATEMENTS'!$B103</f>
        <v>1.5803374908290537</v>
      </c>
      <c r="F94" s="18">
        <f>'FINANCIAL STATEMENTS'!F103/'FINANCIAL STATEMENTS'!$B103</f>
        <v>1.9452188799217414</v>
      </c>
      <c r="G94" s="35">
        <f>'FINANCIAL STATEMENTS'!G103/'FINANCIAL STATEMENTS'!$B103</f>
        <v>2.7542186353631695</v>
      </c>
    </row>
    <row r="95" spans="1:7" x14ac:dyDescent="0.3">
      <c r="A95" s="10" t="s">
        <v>30</v>
      </c>
      <c r="B95" s="18">
        <f>'FINANCIAL STATEMENTS'!B104/'FINANCIAL STATEMENTS'!$B104</f>
        <v>1</v>
      </c>
      <c r="C95" s="18">
        <f>'FINANCIAL STATEMENTS'!C104/'FINANCIAL STATEMENTS'!$B104</f>
        <v>0.99855206002369357</v>
      </c>
      <c r="D95" s="18">
        <f>'FINANCIAL STATEMENTS'!D104/'FINANCIAL STATEMENTS'!$B104</f>
        <v>5.1142556272212714</v>
      </c>
      <c r="E95" s="18">
        <f>'FINANCIAL STATEMENTS'!E104/'FINANCIAL STATEMENTS'!$B104</f>
        <v>4.9560352770830587</v>
      </c>
      <c r="F95" s="18">
        <f>'FINANCIAL STATEMENTS'!F104/'FINANCIAL STATEMENTS'!$B104</f>
        <v>4.9507700408055815</v>
      </c>
      <c r="G95" s="35">
        <f>'FINANCIAL STATEMENTS'!G104/'FINANCIAL STATEMENTS'!$B104</f>
        <v>5.1609845991838883</v>
      </c>
    </row>
    <row r="96" spans="1:7" s="31" customFormat="1" x14ac:dyDescent="0.3">
      <c r="A96" s="11" t="s">
        <v>31</v>
      </c>
      <c r="B96" s="27">
        <f>'FINANCIAL STATEMENTS'!B105/'FINANCIAL STATEMENTS'!$B105</f>
        <v>1</v>
      </c>
      <c r="C96" s="27">
        <f>'FINANCIAL STATEMENTS'!C105/'FINANCIAL STATEMENTS'!$B105</f>
        <v>1.0449207616007299</v>
      </c>
      <c r="D96" s="27">
        <f>'FINANCIAL STATEMENTS'!D105/'FINANCIAL STATEMENTS'!$B105</f>
        <v>3.0306122448979593</v>
      </c>
      <c r="E96" s="27">
        <f>'FINANCIAL STATEMENTS'!E105/'FINANCIAL STATEMENTS'!$B105</f>
        <v>3.4131227910158479</v>
      </c>
      <c r="F96" s="27">
        <f>'FINANCIAL STATEMENTS'!F105/'FINANCIAL STATEMENTS'!$B105</f>
        <v>3.5479990879033187</v>
      </c>
      <c r="G96" s="79">
        <f>'FINANCIAL STATEMENTS'!G105/'FINANCIAL STATEMENTS'!$B105</f>
        <v>4.1121878919165429</v>
      </c>
    </row>
    <row r="97" spans="1:7" x14ac:dyDescent="0.3">
      <c r="B97"/>
      <c r="C97"/>
      <c r="D97"/>
      <c r="E97"/>
      <c r="F97"/>
    </row>
    <row r="98" spans="1:7" x14ac:dyDescent="0.3">
      <c r="A98" s="91" t="s">
        <v>32</v>
      </c>
      <c r="B98" s="91"/>
      <c r="C98" s="91"/>
      <c r="D98" s="91"/>
      <c r="E98" s="91"/>
      <c r="F98" s="91"/>
      <c r="G98" s="91"/>
    </row>
    <row r="99" spans="1:7" x14ac:dyDescent="0.3">
      <c r="A99" s="10" t="s">
        <v>33</v>
      </c>
      <c r="B99" s="18"/>
      <c r="C99" s="18"/>
      <c r="D99" s="18"/>
      <c r="E99" s="18"/>
      <c r="F99" s="18"/>
      <c r="G99" s="18"/>
    </row>
    <row r="100" spans="1:7" x14ac:dyDescent="0.3">
      <c r="A100" s="10" t="s">
        <v>34</v>
      </c>
      <c r="B100" s="18">
        <f>'FINANCIAL STATEMENTS'!B110/'FINANCIAL STATEMENTS'!$B110</f>
        <v>1</v>
      </c>
      <c r="C100" s="18">
        <f>'FINANCIAL STATEMENTS'!C110/'FINANCIAL STATEMENTS'!$B110</f>
        <v>7.2086021505376348</v>
      </c>
      <c r="D100" s="18">
        <f>'FINANCIAL STATEMENTS'!D110/'FINANCIAL STATEMENTS'!$B110</f>
        <v>7.327956989247312</v>
      </c>
      <c r="E100" s="18">
        <f>'FINANCIAL STATEMENTS'!E110/'FINANCIAL STATEMENTS'!$B110</f>
        <v>5.6795698924731175</v>
      </c>
      <c r="F100" s="18">
        <f>'FINANCIAL STATEMENTS'!F110/'FINANCIAL STATEMENTS'!$B110</f>
        <v>7.413978494623656</v>
      </c>
      <c r="G100" s="18">
        <f>'FINANCIAL STATEMENTS'!G110/'FINANCIAL STATEMENTS'!$B110</f>
        <v>3.6322580645161291</v>
      </c>
    </row>
    <row r="101" spans="1:7" x14ac:dyDescent="0.3">
      <c r="A101" s="10" t="s">
        <v>35</v>
      </c>
      <c r="B101" s="18">
        <f>'FINANCIAL STATEMENTS'!B111/'FINANCIAL STATEMENTS'!$B111</f>
        <v>1</v>
      </c>
      <c r="C101" s="18">
        <f>'FINANCIAL STATEMENTS'!C111/'FINANCIAL STATEMENTS'!$B111</f>
        <v>1.4969413606310888</v>
      </c>
      <c r="D101" s="18">
        <f>'FINANCIAL STATEMENTS'!D111/'FINANCIAL STATEMENTS'!$B111</f>
        <v>1.8077691499660153</v>
      </c>
      <c r="E101" s="18">
        <f>'FINANCIAL STATEMENTS'!E111/'FINANCIAL STATEMENTS'!$B111</f>
        <v>1.8251735288665527</v>
      </c>
      <c r="F101" s="18">
        <f>'FINANCIAL STATEMENTS'!F111/'FINANCIAL STATEMENTS'!$B111</f>
        <v>2.0035838602706431</v>
      </c>
      <c r="G101" s="18">
        <f>'FINANCIAL STATEMENTS'!G111/'FINANCIAL STATEMENTS'!$B111</f>
        <v>2.5440876603983442</v>
      </c>
    </row>
    <row r="102" spans="1:7" x14ac:dyDescent="0.3">
      <c r="A102" s="10" t="s">
        <v>36</v>
      </c>
      <c r="B102" s="18">
        <f>'FINANCIAL STATEMENTS'!B112/'FINANCIAL STATEMENTS'!$B112</f>
        <v>1</v>
      </c>
      <c r="C102" s="18">
        <f>'FINANCIAL STATEMENTS'!C112/'FINANCIAL STATEMENTS'!$B112</f>
        <v>0.8411978221415608</v>
      </c>
      <c r="D102" s="18">
        <f>'FINANCIAL STATEMENTS'!D112/'FINANCIAL STATEMENTS'!$B112</f>
        <v>1.2014519056261344</v>
      </c>
      <c r="E102" s="18">
        <f>'FINANCIAL STATEMENTS'!E112/'FINANCIAL STATEMENTS'!$B112</f>
        <v>1.9723230490018149</v>
      </c>
      <c r="F102" s="18">
        <f>'FINANCIAL STATEMENTS'!F112/'FINANCIAL STATEMENTS'!$B112</f>
        <v>2.2395644283121596</v>
      </c>
      <c r="G102" s="18">
        <f>'FINANCIAL STATEMENTS'!G112/'FINANCIAL STATEMENTS'!$B112</f>
        <v>2.6987295825771325</v>
      </c>
    </row>
    <row r="103" spans="1:7" x14ac:dyDescent="0.3">
      <c r="A103" s="10" t="s">
        <v>28</v>
      </c>
      <c r="B103" s="18">
        <f>'FINANCIAL STATEMENTS'!B113/'FINANCIAL STATEMENTS'!$B113</f>
        <v>1</v>
      </c>
      <c r="C103" s="18">
        <f>'FINANCIAL STATEMENTS'!C113/'FINANCIAL STATEMENTS'!$B113</f>
        <v>1.629991673002426</v>
      </c>
      <c r="D103" s="18">
        <f>'FINANCIAL STATEMENTS'!D113/'FINANCIAL STATEMENTS'!$B113</f>
        <v>1.1940552478186888</v>
      </c>
      <c r="E103" s="18">
        <f>'FINANCIAL STATEMENTS'!E113/'FINANCIAL STATEMENTS'!$B113</f>
        <v>1.5104087469678869</v>
      </c>
      <c r="F103" s="18">
        <f>'FINANCIAL STATEMENTS'!F113/'FINANCIAL STATEMENTS'!$B113</f>
        <v>1.8244089641939105</v>
      </c>
      <c r="G103" s="18">
        <f>'FINANCIAL STATEMENTS'!G113/'FINANCIAL STATEMENTS'!$B113</f>
        <v>2.1570001086130119</v>
      </c>
    </row>
    <row r="104" spans="1:7" x14ac:dyDescent="0.3">
      <c r="A104" s="10" t="s">
        <v>37</v>
      </c>
      <c r="B104" s="18">
        <f>'FINANCIAL STATEMENTS'!B114/'FINANCIAL STATEMENTS'!$B114</f>
        <v>1</v>
      </c>
      <c r="C104" s="18">
        <f>'FINANCIAL STATEMENTS'!C114/'FINANCIAL STATEMENTS'!$B114</f>
        <v>0.80706431189603456</v>
      </c>
      <c r="D104" s="18">
        <f>'FINANCIAL STATEMENTS'!D114/'FINANCIAL STATEMENTS'!$B114</f>
        <v>0.91191824947239797</v>
      </c>
      <c r="E104" s="18">
        <f>'FINANCIAL STATEMENTS'!E114/'FINANCIAL STATEMENTS'!$B114</f>
        <v>0.97678551593913132</v>
      </c>
      <c r="F104" s="18">
        <f>'FINANCIAL STATEMENTS'!F114/'FINANCIAL STATEMENTS'!$B114</f>
        <v>1.0956347884038653</v>
      </c>
      <c r="G104" s="18">
        <f>'FINANCIAL STATEMENTS'!G114/'FINANCIAL STATEMENTS'!$B114</f>
        <v>0.98433855381539492</v>
      </c>
    </row>
    <row r="105" spans="1:7" x14ac:dyDescent="0.3">
      <c r="A105" s="10" t="s">
        <v>29</v>
      </c>
      <c r="B105" s="18">
        <f>'FINANCIAL STATEMENTS'!B115/'FINANCIAL STATEMENTS'!$B115</f>
        <v>1</v>
      </c>
      <c r="C105" s="18">
        <f>'FINANCIAL STATEMENTS'!C115/'FINANCIAL STATEMENTS'!$B115</f>
        <v>1.3989813242784381</v>
      </c>
      <c r="D105" s="18">
        <f>'FINANCIAL STATEMENTS'!D115/'FINANCIAL STATEMENTS'!$B115</f>
        <v>2.9660441426146011</v>
      </c>
      <c r="E105" s="18">
        <f>'FINANCIAL STATEMENTS'!E115/'FINANCIAL STATEMENTS'!$B115</f>
        <v>2.5670628183361628</v>
      </c>
      <c r="F105" s="18">
        <f>'FINANCIAL STATEMENTS'!F115/'FINANCIAL STATEMENTS'!$B115</f>
        <v>16.156196943972837</v>
      </c>
      <c r="G105" s="18">
        <f>'FINANCIAL STATEMENTS'!G115/'FINANCIAL STATEMENTS'!$B115</f>
        <v>20.736842105263158</v>
      </c>
    </row>
    <row r="106" spans="1:7" x14ac:dyDescent="0.3">
      <c r="A106" s="10" t="s">
        <v>38</v>
      </c>
      <c r="B106" s="18">
        <f>'FINANCIAL STATEMENTS'!B116/'FINANCIAL STATEMENTS'!$B116</f>
        <v>1</v>
      </c>
      <c r="C106" s="18">
        <f>'FINANCIAL STATEMENTS'!C116/'FINANCIAL STATEMENTS'!$B116</f>
        <v>2.8359173126614987</v>
      </c>
      <c r="D106" s="18">
        <f>'FINANCIAL STATEMENTS'!D116/'FINANCIAL STATEMENTS'!$B116</f>
        <v>1.1705426356589148</v>
      </c>
      <c r="E106" s="18">
        <f>'FINANCIAL STATEMENTS'!E116/'FINANCIAL STATEMENTS'!$B116</f>
        <v>4.941860465116279</v>
      </c>
      <c r="F106" s="18">
        <f>'FINANCIAL STATEMENTS'!F116/'FINANCIAL STATEMENTS'!$B116</f>
        <v>2.9857881136950901</v>
      </c>
      <c r="G106" s="18">
        <f>'FINANCIAL STATEMENTS'!G116/'FINANCIAL STATEMENTS'!$B116</f>
        <v>2.6434108527131785</v>
      </c>
    </row>
    <row r="107" spans="1:7" s="31" customFormat="1" x14ac:dyDescent="0.3">
      <c r="A107" s="11" t="s">
        <v>39</v>
      </c>
      <c r="B107" s="27">
        <f>'FINANCIAL STATEMENTS'!B117/'FINANCIAL STATEMENTS'!$B117</f>
        <v>1</v>
      </c>
      <c r="C107" s="27">
        <f>'FINANCIAL STATEMENTS'!C117/'FINANCIAL STATEMENTS'!$B117</f>
        <v>1.5938735345515007</v>
      </c>
      <c r="D107" s="27">
        <f>'FINANCIAL STATEMENTS'!D117/'FINANCIAL STATEMENTS'!$B117</f>
        <v>1.5804278855126312</v>
      </c>
      <c r="E107" s="27">
        <f>'FINANCIAL STATEMENTS'!E117/'FINANCIAL STATEMENTS'!$B117</f>
        <v>1.6739111993349283</v>
      </c>
      <c r="F107" s="27">
        <f>'FINANCIAL STATEMENTS'!F117/'FINANCIAL STATEMENTS'!$B117</f>
        <v>2.0452486384689776</v>
      </c>
      <c r="G107" s="27">
        <f>'FINANCIAL STATEMENTS'!G117/'FINANCIAL STATEMENTS'!$B117</f>
        <v>2.4374968188527513</v>
      </c>
    </row>
    <row r="108" spans="1:7" s="31" customFormat="1" x14ac:dyDescent="0.3">
      <c r="A108" s="13" t="s">
        <v>40</v>
      </c>
      <c r="B108" s="27">
        <f>'FINANCIAL STATEMENTS'!B119/'FINANCIAL STATEMENTS'!$B119</f>
        <v>1</v>
      </c>
      <c r="C108" s="27">
        <f>'FINANCIAL STATEMENTS'!C119/'FINANCIAL STATEMENTS'!$B119</f>
        <v>1.5227655363894139</v>
      </c>
      <c r="D108" s="27">
        <f>'FINANCIAL STATEMENTS'!D119/'FINANCIAL STATEMENTS'!$B119</f>
        <v>1.7682759333648395</v>
      </c>
      <c r="E108" s="27">
        <f>'FINANCIAL STATEMENTS'!E119/'FINANCIAL STATEMENTS'!$B119</f>
        <v>1.8991980741965975</v>
      </c>
      <c r="F108" s="27">
        <f>'FINANCIAL STATEMENTS'!F119/'FINANCIAL STATEMENTS'!$B119</f>
        <v>2.239905777410208</v>
      </c>
      <c r="G108" s="18">
        <f>'FINANCIAL STATEMENTS'!G119/'FINANCIAL STATEMENTS'!$B119</f>
        <v>2.6544260987712667</v>
      </c>
    </row>
    <row r="109" spans="1:7" ht="18" thickBot="1" x14ac:dyDescent="0.4">
      <c r="A109" s="46" t="s">
        <v>41</v>
      </c>
      <c r="B109" s="80">
        <f>'FINANCIAL STATEMENTS'!B121/'FINANCIAL STATEMENTS'!$B121</f>
        <v>1</v>
      </c>
      <c r="C109" s="80">
        <f>'FINANCIAL STATEMENTS'!C121/'FINANCIAL STATEMENTS'!$B121</f>
        <v>1.3100758541757602</v>
      </c>
      <c r="D109" s="80">
        <f>'FINANCIAL STATEMENTS'!D121/'FINANCIAL STATEMENTS'!$B121</f>
        <v>1.5016806838217853</v>
      </c>
      <c r="E109" s="80">
        <f>'FINANCIAL STATEMENTS'!E121/'FINANCIAL STATEMENTS'!$B121</f>
        <v>1.6635212560104209</v>
      </c>
      <c r="F109" s="80">
        <f>'FINANCIAL STATEMENTS'!F121/'FINANCIAL STATEMENTS'!$B121</f>
        <v>1.9540544349087312</v>
      </c>
      <c r="G109" s="80">
        <f>'FINANCIAL STATEMENTS'!G121/'FINANCIAL STATEMENTS'!$B121</f>
        <v>2.2806312359728205</v>
      </c>
    </row>
    <row r="110" spans="1:7" ht="15" thickTop="1" x14ac:dyDescent="0.3">
      <c r="B110"/>
      <c r="C110"/>
      <c r="D110"/>
      <c r="E110"/>
      <c r="F110"/>
    </row>
    <row r="111" spans="1:7" x14ac:dyDescent="0.3">
      <c r="A111" s="25" t="s">
        <v>76</v>
      </c>
      <c r="B111" s="18">
        <f>'FINANCIAL STATEMENTS'!B123/'FINANCIAL STATEMENTS'!$B123</f>
        <v>1</v>
      </c>
      <c r="C111" s="18">
        <f>'FINANCIAL STATEMENTS'!C123/'FINANCIAL STATEMENTS'!$B123</f>
        <v>1.119298811102984</v>
      </c>
      <c r="D111" s="18">
        <f>'FINANCIAL STATEMENTS'!D123/'FINANCIAL STATEMENTS'!$B123</f>
        <v>1.3705292389323482</v>
      </c>
      <c r="E111" s="18">
        <f>'FINANCIAL STATEMENTS'!E123/'FINANCIAL STATEMENTS'!$B123</f>
        <v>1.5602258780357785</v>
      </c>
      <c r="F111" s="18">
        <f>'FINANCIAL STATEMENTS'!F123/'FINANCIAL STATEMENTS'!$B123</f>
        <v>1.680231332829178</v>
      </c>
      <c r="G111" s="18">
        <f>'FINANCIAL STATEMENTS'!G123/'FINANCIAL STATEMENTS'!$B123</f>
        <v>1.8356867460917645</v>
      </c>
    </row>
    <row r="112" spans="1:7" x14ac:dyDescent="0.3">
      <c r="A112" s="14" t="s">
        <v>77</v>
      </c>
      <c r="B112" s="18">
        <f>'FINANCIAL STATEMENTS'!B124/'FINANCIAL STATEMENTS'!$B124</f>
        <v>1</v>
      </c>
      <c r="C112" s="18">
        <f>'FINANCIAL STATEMENTS'!C124/'FINANCIAL STATEMENTS'!$B124</f>
        <v>1.1680036687702775</v>
      </c>
      <c r="D112" s="18">
        <f>'FINANCIAL STATEMENTS'!D124/'FINANCIAL STATEMENTS'!$B124</f>
        <v>1.6549576311790717</v>
      </c>
      <c r="E112" s="18">
        <f>'FINANCIAL STATEMENTS'!E124/'FINANCIAL STATEMENTS'!$B124</f>
        <v>2.0555791318156307</v>
      </c>
      <c r="F112" s="18">
        <f>'FINANCIAL STATEMENTS'!F124/'FINANCIAL STATEMENTS'!$B124</f>
        <v>1.9291571410970718</v>
      </c>
      <c r="G112" s="18">
        <f>'FINANCIAL STATEMENTS'!G124/'FINANCIAL STATEMENTS'!$B124</f>
        <v>1.8806486057304002</v>
      </c>
    </row>
    <row r="113" spans="1:7" x14ac:dyDescent="0.3">
      <c r="A113" s="14" t="s">
        <v>78</v>
      </c>
      <c r="B113" s="18">
        <f>'FINANCIAL STATEMENTS'!B125/'FINANCIAL STATEMENTS'!$B125</f>
        <v>1</v>
      </c>
      <c r="C113" s="18">
        <f>'FINANCIAL STATEMENTS'!C125/'FINANCIAL STATEMENTS'!$B125</f>
        <v>1.3021462783694751</v>
      </c>
      <c r="D113" s="18">
        <f>'FINANCIAL STATEMENTS'!D125/'FINANCIAL STATEMENTS'!$B125</f>
        <v>1.7579070754430992</v>
      </c>
      <c r="E113" s="18">
        <f>'FINANCIAL STATEMENTS'!E125/'FINANCIAL STATEMENTS'!$B125</f>
        <v>1.9045694306905683</v>
      </c>
      <c r="F113" s="18">
        <f>'FINANCIAL STATEMENTS'!F125/'FINANCIAL STATEMENTS'!$B125</f>
        <v>2.0014449990905603</v>
      </c>
      <c r="G113" s="18">
        <f>'FINANCIAL STATEMENTS'!G125/'FINANCIAL STATEMENTS'!$B125</f>
        <v>2.3349063276813324</v>
      </c>
    </row>
    <row r="114" spans="1:7" x14ac:dyDescent="0.3">
      <c r="A114" s="14" t="s">
        <v>79</v>
      </c>
      <c r="B114" s="18">
        <f>'FINANCIAL STATEMENTS'!B126/'FINANCIAL STATEMENTS'!$B126</f>
        <v>1</v>
      </c>
      <c r="C114" s="18">
        <f>'FINANCIAL STATEMENTS'!C126/'FINANCIAL STATEMENTS'!$B126</f>
        <v>1.1550379270878799</v>
      </c>
      <c r="D114" s="18">
        <f>'FINANCIAL STATEMENTS'!D126/'FINANCIAL STATEMENTS'!$B126</f>
        <v>1.4058782689987726</v>
      </c>
      <c r="E114" s="18">
        <f>'FINANCIAL STATEMENTS'!E126/'FINANCIAL STATEMENTS'!$B126</f>
        <v>1.5826009699161032</v>
      </c>
      <c r="F114" s="18">
        <f>'FINANCIAL STATEMENTS'!F126/'FINANCIAL STATEMENTS'!$B126</f>
        <v>1.8087878454595758</v>
      </c>
      <c r="G114" s="18">
        <f>'FINANCIAL STATEMENTS'!G126/'FINANCIAL STATEMENTS'!$B126</f>
        <v>2.1173428354407755</v>
      </c>
    </row>
    <row r="115" spans="1:7" x14ac:dyDescent="0.3">
      <c r="A115" s="14" t="s">
        <v>80</v>
      </c>
      <c r="B115" s="18">
        <f>'FINANCIAL STATEMENTS'!B127/'FINANCIAL STATEMENTS'!$B127</f>
        <v>1</v>
      </c>
      <c r="C115" s="18">
        <f>'FINANCIAL STATEMENTS'!C127/'FINANCIAL STATEMENTS'!$B127</f>
        <v>0.29334574825144527</v>
      </c>
      <c r="D115" s="18">
        <f>'FINANCIAL STATEMENTS'!D127/'FINANCIAL STATEMENTS'!$B127</f>
        <v>0.71536995734176356</v>
      </c>
      <c r="E115" s="18">
        <f>'FINANCIAL STATEMENTS'!E127/'FINANCIAL STATEMENTS'!$B127</f>
        <v>0.914039323531322</v>
      </c>
      <c r="F115" s="18">
        <f>'FINANCIAL STATEMENTS'!F127/'FINANCIAL STATEMENTS'!$B127</f>
        <v>1.411121456876204</v>
      </c>
      <c r="G115" s="18">
        <f>'FINANCIAL STATEMENTS'!G127/'FINANCIAL STATEMENTS'!$B127</f>
        <v>2.0020679500227363</v>
      </c>
    </row>
    <row r="116" spans="1:7" x14ac:dyDescent="0.3">
      <c r="A116" s="24" t="s">
        <v>81</v>
      </c>
      <c r="B116" s="18">
        <f>'FINANCIAL STATEMENTS'!B128/'FINANCIAL STATEMENTS'!$B128</f>
        <v>1</v>
      </c>
      <c r="C116" s="18">
        <f>'FINANCIAL STATEMENTS'!C128/'FINANCIAL STATEMENTS'!$B128</f>
        <v>0.64667287412572261</v>
      </c>
      <c r="D116" s="18">
        <f>'FINANCIAL STATEMENTS'!D128/'FINANCIAL STATEMENTS'!$B128</f>
        <v>0.50435785279660439</v>
      </c>
      <c r="E116" s="18">
        <f>'FINANCIAL STATEMENTS'!E128/'FINANCIAL STATEMENTS'!$B128</f>
        <v>0.81470464043654267</v>
      </c>
      <c r="F116" s="18">
        <f>'FINANCIAL STATEMENTS'!F128/'FINANCIAL STATEMENTS'!$B128</f>
        <v>1.162580390203763</v>
      </c>
      <c r="G116" s="18">
        <f>'FINANCIAL STATEMENTS'!G128/'FINANCIAL STATEMENTS'!$B128</f>
        <v>1.7065947034494702</v>
      </c>
    </row>
    <row r="117" spans="1:7" x14ac:dyDescent="0.3">
      <c r="A117" s="5" t="s">
        <v>82</v>
      </c>
      <c r="B117" s="18">
        <f>'FINANCIAL STATEMENTS'!B129/'FINANCIAL STATEMENTS'!$B129</f>
        <v>1</v>
      </c>
      <c r="C117" s="18">
        <f>'FINANCIAL STATEMENTS'!C129/'FINANCIAL STATEMENTS'!$B129</f>
        <v>1.1227821054376212</v>
      </c>
      <c r="D117" s="18">
        <f>'FINANCIAL STATEMENTS'!D129/'FINANCIAL STATEMENTS'!$B129</f>
        <v>1.3331914836432373</v>
      </c>
      <c r="E117" s="18">
        <f>'FINANCIAL STATEMENTS'!E129/'FINANCIAL STATEMENTS'!$B129</f>
        <v>1.5064280306932865</v>
      </c>
      <c r="F117" s="18">
        <f>'FINANCIAL STATEMENTS'!F129/'FINANCIAL STATEMENTS'!$B129</f>
        <v>1.7296945901514507</v>
      </c>
      <c r="G117" s="18">
        <f>'FINANCIAL STATEMENTS'!G129/'FINANCIAL STATEMENTS'!$B129</f>
        <v>2.0173030491710748</v>
      </c>
    </row>
    <row r="118" spans="1:7" x14ac:dyDescent="0.3">
      <c r="B118" s="30"/>
      <c r="C118" s="30"/>
      <c r="D118" s="30"/>
      <c r="E118" s="30"/>
      <c r="F118" s="30"/>
    </row>
    <row r="119" spans="1:7" x14ac:dyDescent="0.3">
      <c r="A119" s="88" t="s">
        <v>111</v>
      </c>
      <c r="B119" s="88"/>
      <c r="C119" s="88"/>
      <c r="D119" s="88"/>
      <c r="E119" s="88"/>
      <c r="F119" s="88"/>
      <c r="G119" s="88"/>
    </row>
    <row r="120" spans="1:7" s="31" customFormat="1" x14ac:dyDescent="0.3">
      <c r="A120" s="23" t="s">
        <v>83</v>
      </c>
      <c r="B120" s="45">
        <v>43921</v>
      </c>
      <c r="C120" s="45">
        <v>44286</v>
      </c>
      <c r="D120" s="45">
        <v>44651</v>
      </c>
      <c r="E120" s="45">
        <v>45016</v>
      </c>
      <c r="F120" s="45">
        <v>45382</v>
      </c>
      <c r="G120" s="15">
        <v>45747</v>
      </c>
    </row>
    <row r="121" spans="1:7" x14ac:dyDescent="0.3">
      <c r="A121" s="10" t="s">
        <v>84</v>
      </c>
      <c r="B121" s="18">
        <f>'FINANCIAL STATEMENTS'!B133/'FINANCIAL STATEMENTS'!$B133</f>
        <v>1</v>
      </c>
      <c r="C121" s="18">
        <f>'FINANCIAL STATEMENTS'!C133/'FINANCIAL STATEMENTS'!$B133</f>
        <v>0.50190570742704543</v>
      </c>
      <c r="D121" s="18">
        <f>'FINANCIAL STATEMENTS'!D133/'FINANCIAL STATEMENTS'!$B133</f>
        <v>0.66586936489525517</v>
      </c>
      <c r="E121" s="18">
        <f>'FINANCIAL STATEMENTS'!E133/'FINANCIAL STATEMENTS'!$B133</f>
        <v>0.72288901305633146</v>
      </c>
      <c r="F121" s="18">
        <f>'FINANCIAL STATEMENTS'!F133/'FINANCIAL STATEMENTS'!$B133</f>
        <v>0.81073249960872218</v>
      </c>
      <c r="G121" s="18">
        <f>'FINANCIAL STATEMENTS'!G133/'FINANCIAL STATEMENTS'!$B133</f>
        <v>0.89095168707737116</v>
      </c>
    </row>
    <row r="122" spans="1:7" x14ac:dyDescent="0.3">
      <c r="A122" s="10" t="s">
        <v>117</v>
      </c>
      <c r="B122" s="18">
        <f>'FINANCIAL STATEMENTS'!B134/'FINANCIAL STATEMENTS'!$B134</f>
        <v>1</v>
      </c>
      <c r="C122" s="18">
        <f>'FINANCIAL STATEMENTS'!C134/'FINANCIAL STATEMENTS'!$B134</f>
        <v>0.4133264242829417</v>
      </c>
      <c r="D122" s="18">
        <f>'FINANCIAL STATEMENTS'!D134/'FINANCIAL STATEMENTS'!$B134</f>
        <v>0.42929136075259156</v>
      </c>
      <c r="E122" s="18">
        <f>'FINANCIAL STATEMENTS'!E134/'FINANCIAL STATEMENTS'!$B134</f>
        <v>0.48178308272651932</v>
      </c>
      <c r="F122" s="18">
        <f>'FINANCIAL STATEMENTS'!F134/'FINANCIAL STATEMENTS'!$B134</f>
        <v>0.73133839317782601</v>
      </c>
      <c r="G122" s="18">
        <f>'FINANCIAL STATEMENTS'!G134/'FINANCIAL STATEMENTS'!$B134</f>
        <v>0.83389939199702512</v>
      </c>
    </row>
    <row r="123" spans="1:7" x14ac:dyDescent="0.3">
      <c r="A123" s="10" t="s">
        <v>85</v>
      </c>
      <c r="B123" s="18">
        <f>'FINANCIAL STATEMENTS'!B135/'FINANCIAL STATEMENTS'!$B135</f>
        <v>1</v>
      </c>
      <c r="C123" s="18">
        <f>'FINANCIAL STATEMENTS'!C135/'FINANCIAL STATEMENTS'!$B135</f>
        <v>0.12211753899033104</v>
      </c>
      <c r="D123" s="18">
        <f>'FINANCIAL STATEMENTS'!D135/'FINANCIAL STATEMENTS'!$B135</f>
        <v>0.16565167162600555</v>
      </c>
      <c r="E123" s="18">
        <f>'FINANCIAL STATEMENTS'!E135/'FINANCIAL STATEMENTS'!$B135</f>
        <v>0.16233035978030322</v>
      </c>
      <c r="F123" s="18">
        <f>'FINANCIAL STATEMENTS'!F135/'FINANCIAL STATEMENTS'!$B135</f>
        <v>0.32921445511975472</v>
      </c>
      <c r="G123" s="18">
        <f>'FINANCIAL STATEMENTS'!G135/'FINANCIAL STATEMENTS'!$B135</f>
        <v>0.1542072210508719</v>
      </c>
    </row>
    <row r="124" spans="1:7" x14ac:dyDescent="0.3">
      <c r="A124" s="10"/>
      <c r="B124" s="18"/>
      <c r="C124" s="18"/>
      <c r="D124" s="18"/>
      <c r="E124" s="18"/>
      <c r="F124" s="18"/>
    </row>
    <row r="125" spans="1:7" s="31" customFormat="1" x14ac:dyDescent="0.3">
      <c r="A125" s="9" t="s">
        <v>86</v>
      </c>
      <c r="B125" s="15">
        <v>43921</v>
      </c>
      <c r="C125" s="15">
        <v>44286</v>
      </c>
      <c r="D125" s="15">
        <v>44651</v>
      </c>
      <c r="E125" s="15">
        <v>45016</v>
      </c>
      <c r="F125" s="15">
        <v>45382</v>
      </c>
      <c r="G125" s="15">
        <v>45747</v>
      </c>
    </row>
    <row r="126" spans="1:7" x14ac:dyDescent="0.3">
      <c r="A126" s="10" t="s">
        <v>114</v>
      </c>
      <c r="B126" s="18">
        <f>'FINANCIAL STATEMENTS'!B138/'FINANCIAL STATEMENTS'!$B138</f>
        <v>1</v>
      </c>
      <c r="C126" s="18">
        <f>'FINANCIAL STATEMENTS'!C138/'FINANCIAL STATEMENTS'!$B138</f>
        <v>1.3183684281508063</v>
      </c>
      <c r="D126" s="18">
        <f>'FINANCIAL STATEMENTS'!D138/'FINANCIAL STATEMENTS'!$B138</f>
        <v>1.2577731460520807</v>
      </c>
      <c r="E126" s="18">
        <f>'FINANCIAL STATEMENTS'!E138/'FINANCIAL STATEMENTS'!$B138</f>
        <v>1.200048597403095</v>
      </c>
      <c r="F126" s="18">
        <f>'FINANCIAL STATEMENTS'!F138/'FINANCIAL STATEMENTS'!$B138</f>
        <v>1.2383463229437468</v>
      </c>
      <c r="G126" s="18">
        <f>'FINANCIAL STATEMENTS'!G138/'FINANCIAL STATEMENTS'!$B138</f>
        <v>1.2536590930578726</v>
      </c>
    </row>
    <row r="127" spans="1:7" x14ac:dyDescent="0.3">
      <c r="A127" s="10" t="s">
        <v>87</v>
      </c>
      <c r="B127" s="18">
        <f>'FINANCIAL STATEMENTS'!B139/'FINANCIAL STATEMENTS'!$B139</f>
        <v>1</v>
      </c>
      <c r="C127" s="18">
        <f>'FINANCIAL STATEMENTS'!C139/'FINANCIAL STATEMENTS'!$B139</f>
        <v>1.0287284785659161</v>
      </c>
      <c r="D127" s="18">
        <f>'FINANCIAL STATEMENTS'!D139/'FINANCIAL STATEMENTS'!$B139</f>
        <v>1.0545208893450948</v>
      </c>
      <c r="E127" s="18">
        <f>'FINANCIAL STATEMENTS'!E139/'FINANCIAL STATEMENTS'!$B139</f>
        <v>1.0505652694126786</v>
      </c>
      <c r="F127" s="18">
        <f>'FINANCIAL STATEMENTS'!F139/'FINANCIAL STATEMENTS'!$B139</f>
        <v>1.0457267171664102</v>
      </c>
      <c r="G127" s="18">
        <f>'FINANCIAL STATEMENTS'!G139/'FINANCIAL STATEMENTS'!$B139</f>
        <v>1.049590856619588</v>
      </c>
    </row>
    <row r="128" spans="1:7" x14ac:dyDescent="0.3">
      <c r="A128" s="10" t="s">
        <v>115</v>
      </c>
      <c r="B128" s="18">
        <f>'FINANCIAL STATEMENTS'!B140/'FINANCIAL STATEMENTS'!$B140</f>
        <v>1</v>
      </c>
      <c r="C128" s="18">
        <f>'FINANCIAL STATEMENTS'!C140/'FINANCIAL STATEMENTS'!$B140</f>
        <v>0.93065320202396384</v>
      </c>
      <c r="D128" s="18">
        <f>'FINANCIAL STATEMENTS'!D140/'FINANCIAL STATEMENTS'!$B140</f>
        <v>2.2732010233189825</v>
      </c>
      <c r="E128" s="18">
        <f>'FINANCIAL STATEMENTS'!E140/'FINANCIAL STATEMENTS'!$B140</f>
        <v>2.2657058428772499</v>
      </c>
      <c r="F128" s="18">
        <f>'FINANCIAL STATEMENTS'!F140/'FINANCIAL STATEMENTS'!$B140</f>
        <v>2.0512286435449041</v>
      </c>
      <c r="G128" s="18">
        <f>'FINANCIAL STATEMENTS'!G140/'FINANCIAL STATEMENTS'!$B140</f>
        <v>2.0384581749411779</v>
      </c>
    </row>
    <row r="129" spans="1:7" x14ac:dyDescent="0.3">
      <c r="A129" s="10" t="s">
        <v>116</v>
      </c>
      <c r="B129" s="18">
        <f>'FINANCIAL STATEMENTS'!B141/'FINANCIAL STATEMENTS'!$B141</f>
        <v>1</v>
      </c>
      <c r="C129" s="18">
        <f>'FINANCIAL STATEMENTS'!C141/'FINANCIAL STATEMENTS'!$B141</f>
        <v>1.3562431472809173</v>
      </c>
      <c r="D129" s="18">
        <f>'FINANCIAL STATEMENTS'!D141/'FINANCIAL STATEMENTS'!$B141</f>
        <v>1.3263480565692174</v>
      </c>
      <c r="E129" s="18">
        <f>'FINANCIAL STATEMENTS'!E141/'FINANCIAL STATEMENTS'!$B141</f>
        <v>1.2607293780390894</v>
      </c>
      <c r="F129" s="18">
        <f>'FINANCIAL STATEMENTS'!F141/'FINANCIAL STATEMENTS'!$B141</f>
        <v>1.2949718350070596</v>
      </c>
      <c r="G129" s="18">
        <f>'FINANCIAL STATEMENTS'!G141/'FINANCIAL STATEMENTS'!$B141</f>
        <v>1.3158291213915483</v>
      </c>
    </row>
    <row r="130" spans="1:7" x14ac:dyDescent="0.3">
      <c r="A130" s="10"/>
      <c r="B130" s="18"/>
      <c r="C130" s="18"/>
      <c r="D130" s="18"/>
      <c r="E130" s="18"/>
      <c r="F130" s="18"/>
    </row>
    <row r="131" spans="1:7" s="31" customFormat="1" x14ac:dyDescent="0.3">
      <c r="A131" s="9" t="s">
        <v>88</v>
      </c>
      <c r="B131" s="15">
        <v>43921</v>
      </c>
      <c r="C131" s="15">
        <v>44286</v>
      </c>
      <c r="D131" s="15">
        <v>44651</v>
      </c>
      <c r="E131" s="15">
        <v>45016</v>
      </c>
      <c r="F131" s="15">
        <v>45382</v>
      </c>
      <c r="G131" s="15">
        <v>45747</v>
      </c>
    </row>
    <row r="132" spans="1:7" x14ac:dyDescent="0.3">
      <c r="A132" s="10" t="s">
        <v>89</v>
      </c>
      <c r="B132" s="18"/>
      <c r="C132" s="18"/>
      <c r="D132" s="18"/>
      <c r="E132" s="18"/>
      <c r="F132" s="18"/>
    </row>
    <row r="133" spans="1:7" x14ac:dyDescent="0.3">
      <c r="A133" s="10" t="s">
        <v>118</v>
      </c>
      <c r="B133" s="18">
        <f>'FINANCIAL STATEMENTS'!B145/'FINANCIAL STATEMENTS'!$B145</f>
        <v>1</v>
      </c>
      <c r="C133" s="18">
        <f>'FINANCIAL STATEMENTS'!C145/'FINANCIAL STATEMENTS'!$B145</f>
        <v>0.77012107675823394</v>
      </c>
      <c r="D133" s="18">
        <f>'FINANCIAL STATEMENTS'!D145/'FINANCIAL STATEMENTS'!$B145</f>
        <v>0.52723025761493236</v>
      </c>
      <c r="E133" s="18">
        <f>'FINANCIAL STATEMENTS'!E145/'FINANCIAL STATEMENTS'!$B145</f>
        <v>0.52774286405729043</v>
      </c>
      <c r="F133" s="18">
        <f>'FINANCIAL STATEMENTS'!F145/'FINANCIAL STATEMENTS'!$B145</f>
        <v>0.73099400648470425</v>
      </c>
      <c r="G133" s="18">
        <f>'FINANCIAL STATEMENTS'!G145/'FINANCIAL STATEMENTS'!$B145</f>
        <v>0.72114185149466403</v>
      </c>
    </row>
    <row r="134" spans="1:7" x14ac:dyDescent="0.3">
      <c r="A134" s="10"/>
      <c r="B134" s="18"/>
      <c r="C134" s="18"/>
      <c r="D134" s="18"/>
      <c r="E134" s="18"/>
      <c r="F134" s="18"/>
    </row>
    <row r="135" spans="1:7" s="31" customFormat="1" x14ac:dyDescent="0.3">
      <c r="A135" s="9" t="s">
        <v>90</v>
      </c>
      <c r="B135" s="15">
        <v>43921</v>
      </c>
      <c r="C135" s="15">
        <v>44286</v>
      </c>
      <c r="D135" s="15">
        <v>44651</v>
      </c>
      <c r="E135" s="15">
        <v>45016</v>
      </c>
      <c r="F135" s="15">
        <v>45382</v>
      </c>
      <c r="G135" s="15">
        <v>45747</v>
      </c>
    </row>
    <row r="136" spans="1:7" x14ac:dyDescent="0.3">
      <c r="A136" s="10" t="s">
        <v>98</v>
      </c>
      <c r="B136" s="18">
        <f>'FINANCIAL STATEMENTS'!B148/'FINANCIAL STATEMENTS'!$B148</f>
        <v>1</v>
      </c>
      <c r="C136" s="18">
        <f>'FINANCIAL STATEMENTS'!C148/'FINANCIAL STATEMENTS'!$B148</f>
        <v>0.87434567571099508</v>
      </c>
      <c r="D136" s="18">
        <f>'FINANCIAL STATEMENTS'!D148/'FINANCIAL STATEMENTS'!$B148</f>
        <v>0.81121672923097532</v>
      </c>
      <c r="E136" s="18">
        <f>'FINANCIAL STATEMENTS'!E148/'FINANCIAL STATEMENTS'!$B148</f>
        <v>0.75756039746167769</v>
      </c>
      <c r="F136" s="18">
        <f>'FINANCIAL STATEMENTS'!F148/'FINANCIAL STATEMENTS'!$B148</f>
        <v>0.94437258612138852</v>
      </c>
      <c r="G136" s="18">
        <f>'FINANCIAL STATEMENTS'!G148/'FINANCIAL STATEMENTS'!$B148</f>
        <v>0.93319025671849631</v>
      </c>
    </row>
    <row r="137" spans="1:7" x14ac:dyDescent="0.3">
      <c r="A137" s="10" t="s">
        <v>91</v>
      </c>
      <c r="B137" s="18">
        <f>'FINANCIAL STATEMENTS'!B149/'FINANCIAL STATEMENTS'!$B149</f>
        <v>1</v>
      </c>
      <c r="C137" s="18">
        <f>'FINANCIAL STATEMENTS'!C149/'FINANCIAL STATEMENTS'!$B149</f>
        <v>1.0000597728972422</v>
      </c>
      <c r="D137" s="18">
        <f>'FINANCIAL STATEMENTS'!D149/'FINANCIAL STATEMENTS'!$B149</f>
        <v>0.76990045663146212</v>
      </c>
      <c r="E137" s="18">
        <f>'FINANCIAL STATEMENTS'!E149/'FINANCIAL STATEMENTS'!$B149</f>
        <v>0.68196363828629136</v>
      </c>
      <c r="F137" s="18">
        <f>'FINANCIAL STATEMENTS'!F149/'FINANCIAL STATEMENTS'!$B149</f>
        <v>0.92631526310499179</v>
      </c>
      <c r="G137" s="18">
        <f>'FINANCIAL STATEMENTS'!G149/'FINANCIAL STATEMENTS'!$B149</f>
        <v>0.98745724982610927</v>
      </c>
    </row>
    <row r="138" spans="1:7" x14ac:dyDescent="0.3">
      <c r="A138" s="10" t="s">
        <v>87</v>
      </c>
      <c r="B138" s="18">
        <f>'FINANCIAL STATEMENTS'!B150/'FINANCIAL STATEMENTS'!$B150</f>
        <v>1</v>
      </c>
      <c r="C138" s="18">
        <f>'FINANCIAL STATEMENTS'!C150/'FINANCIAL STATEMENTS'!$B150</f>
        <v>1.0287284785659161</v>
      </c>
      <c r="D138" s="18">
        <f>'FINANCIAL STATEMENTS'!D150/'FINANCIAL STATEMENTS'!$B150</f>
        <v>1.0545208893450948</v>
      </c>
      <c r="E138" s="18">
        <f>'FINANCIAL STATEMENTS'!E150/'FINANCIAL STATEMENTS'!$B150</f>
        <v>1.0505652694126786</v>
      </c>
      <c r="F138" s="18">
        <f>'FINANCIAL STATEMENTS'!F150/'FINANCIAL STATEMENTS'!$B150</f>
        <v>1.0457267171664102</v>
      </c>
      <c r="G138" s="18">
        <f>'FINANCIAL STATEMENTS'!G150/'FINANCIAL STATEMENTS'!$B150</f>
        <v>1.049590856619588</v>
      </c>
    </row>
    <row r="139" spans="1:7" x14ac:dyDescent="0.3">
      <c r="A139" s="10" t="s">
        <v>92</v>
      </c>
      <c r="B139" s="18">
        <f>'FINANCIAL STATEMENTS'!B151/'FINANCIAL STATEMENTS'!$B151</f>
        <v>1</v>
      </c>
      <c r="C139" s="18">
        <f>'FINANCIAL STATEMENTS'!C151/'FINANCIAL STATEMENTS'!$B151</f>
        <v>0.8498777227196409</v>
      </c>
      <c r="D139" s="18">
        <f>'FINANCIAL STATEMENTS'!D151/'FINANCIAL STATEMENTS'!$B151</f>
        <v>0.99918782559103814</v>
      </c>
      <c r="E139" s="18">
        <f>'FINANCIAL STATEMENTS'!E151/'FINANCIAL STATEMENTS'!$B151</f>
        <v>1.057384658030877</v>
      </c>
      <c r="F139" s="18">
        <f>'FINANCIAL STATEMENTS'!F151/'FINANCIAL STATEMENTS'!$B151</f>
        <v>0.97491409115299543</v>
      </c>
      <c r="G139" s="18">
        <f>'FINANCIAL STATEMENTS'!G151/'FINANCIAL STATEMENTS'!$B151</f>
        <v>0.9003924699214213</v>
      </c>
    </row>
    <row r="140" spans="1:7" x14ac:dyDescent="0.3">
      <c r="A140" s="10" t="s">
        <v>93</v>
      </c>
      <c r="B140" s="18">
        <f>'FINANCIAL STATEMENTS'!B152/'FINANCIAL STATEMENTS'!$B152</f>
        <v>1</v>
      </c>
      <c r="C140" s="18">
        <f>'FINANCIAL STATEMENTS'!C152/'FINANCIAL STATEMENTS'!$B152</f>
        <v>0.87434567571099531</v>
      </c>
      <c r="D140" s="18">
        <f>'FINANCIAL STATEMENTS'!D152/'FINANCIAL STATEMENTS'!$B152</f>
        <v>0.81121672923097565</v>
      </c>
      <c r="E140" s="18">
        <f>'FINANCIAL STATEMENTS'!E152/'FINANCIAL STATEMENTS'!$B152</f>
        <v>0.7575603974616778</v>
      </c>
      <c r="F140" s="18">
        <f>'FINANCIAL STATEMENTS'!F152/'FINANCIAL STATEMENTS'!$B152</f>
        <v>0.94437258612138875</v>
      </c>
      <c r="G140" s="18">
        <f>'FINANCIAL STATEMENTS'!G152/'FINANCIAL STATEMENTS'!$B152</f>
        <v>0.93319025671849642</v>
      </c>
    </row>
    <row r="141" spans="1:7" x14ac:dyDescent="0.3">
      <c r="A141" s="10"/>
      <c r="B141" s="18"/>
      <c r="C141" s="18"/>
      <c r="D141" s="18"/>
      <c r="E141" s="18"/>
      <c r="F141" s="18"/>
    </row>
    <row r="142" spans="1:7" s="31" customFormat="1" x14ac:dyDescent="0.3">
      <c r="A142" s="9" t="s">
        <v>94</v>
      </c>
      <c r="B142" s="15">
        <v>43921</v>
      </c>
      <c r="C142" s="15">
        <v>44286</v>
      </c>
      <c r="D142" s="15">
        <v>44651</v>
      </c>
      <c r="E142" s="15">
        <v>45016</v>
      </c>
      <c r="F142" s="15">
        <v>45382</v>
      </c>
      <c r="G142" s="15">
        <v>45747</v>
      </c>
    </row>
    <row r="143" spans="1:7" x14ac:dyDescent="0.3">
      <c r="A143" s="10" t="s">
        <v>196</v>
      </c>
      <c r="B143" s="18">
        <f>'FINANCIAL STATEMENTS'!B155/'FINANCIAL STATEMENTS'!$B155</f>
        <v>1</v>
      </c>
      <c r="C143" s="18">
        <f>'FINANCIAL STATEMENTS'!C155/'FINANCIAL STATEMENTS'!$B155</f>
        <v>0.8262350032575384</v>
      </c>
      <c r="D143" s="18">
        <f>'FINANCIAL STATEMENTS'!D155/'FINANCIAL STATEMENTS'!$B155</f>
        <v>1.0094429483032492</v>
      </c>
      <c r="E143" s="18">
        <f>'FINANCIAL STATEMENTS'!E155/'FINANCIAL STATEMENTS'!$B155</f>
        <v>1.0178807678692585</v>
      </c>
      <c r="F143" s="18">
        <f>'FINANCIAL STATEMENTS'!F155/'FINANCIAL STATEMENTS'!$B155</f>
        <v>0.95600204826164348</v>
      </c>
      <c r="G143" s="18">
        <f>'FINANCIAL STATEMENTS'!G155/'FINANCIAL STATEMENTS'!$B155</f>
        <v>1.0052083639284344</v>
      </c>
    </row>
    <row r="144" spans="1:7" x14ac:dyDescent="0.3">
      <c r="A144" s="10" t="s">
        <v>95</v>
      </c>
      <c r="B144" s="18">
        <f>'FINANCIAL STATEMENTS'!B156/'FINANCIAL STATEMENTS'!$B156</f>
        <v>1</v>
      </c>
      <c r="C144" s="18">
        <f>'FINANCIAL STATEMENTS'!C156/'FINANCIAL STATEMENTS'!$B156</f>
        <v>0.87701424623236146</v>
      </c>
      <c r="D144" s="18">
        <f>'FINANCIAL STATEMENTS'!D156/'FINANCIAL STATEMENTS'!$B156</f>
        <v>1.0249591258198005</v>
      </c>
      <c r="E144" s="18">
        <f>'FINANCIAL STATEMENTS'!E156/'FINANCIAL STATEMENTS'!$B156</f>
        <v>1.0725485386005746</v>
      </c>
      <c r="F144" s="18">
        <f>'FINANCIAL STATEMENTS'!F156/'FINANCIAL STATEMENTS'!$B156</f>
        <v>1.0495059364686217</v>
      </c>
      <c r="G144" s="18">
        <f>'FINANCIAL STATEMENTS'!G156/'FINANCIAL STATEMENTS'!$B156</f>
        <v>1.0385429591033521</v>
      </c>
    </row>
    <row r="145" spans="1:7" x14ac:dyDescent="0.3">
      <c r="A145" s="10" t="s">
        <v>96</v>
      </c>
      <c r="B145" s="18">
        <f>'FINANCIAL STATEMENTS'!B157/'FINANCIAL STATEMENTS'!$B157</f>
        <v>1</v>
      </c>
      <c r="C145" s="18">
        <f>'FINANCIAL STATEMENTS'!C157/'FINANCIAL STATEMENTS'!$B157</f>
        <v>0.74111912855108752</v>
      </c>
      <c r="D145" s="18">
        <f>'FINANCIAL STATEMENTS'!D157/'FINANCIAL STATEMENTS'!$B157</f>
        <v>0.95032629077579367</v>
      </c>
      <c r="E145" s="18">
        <f>'FINANCIAL STATEMENTS'!E157/'FINANCIAL STATEMENTS'!$B157</f>
        <v>1.0985866051361901</v>
      </c>
      <c r="F145" s="18">
        <f>'FINANCIAL STATEMENTS'!F157/'FINANCIAL STATEMENTS'!$B157</f>
        <v>0.92147332509531954</v>
      </c>
      <c r="G145" s="18">
        <f>'FINANCIAL STATEMENTS'!G157/'FINANCIAL STATEMENTS'!$B157</f>
        <v>0.80964434661832585</v>
      </c>
    </row>
    <row r="146" spans="1:7" x14ac:dyDescent="0.3">
      <c r="A146" s="10" t="s">
        <v>97</v>
      </c>
      <c r="B146" s="18">
        <f>'FINANCIAL STATEMENTS'!B158/'FINANCIAL STATEMENTS'!$B158</f>
        <v>1</v>
      </c>
      <c r="C146" s="18">
        <f>'FINANCIAL STATEMENTS'!C158/'FINANCIAL STATEMENTS'!$B158</f>
        <v>1.2103094108302972</v>
      </c>
      <c r="D146" s="18">
        <f>'FINANCIAL STATEMENTS'!D158/'FINANCIAL STATEMENTS'!$B158</f>
        <v>0.99064538682535586</v>
      </c>
      <c r="E146" s="18">
        <f>'FINANCIAL STATEMENTS'!E158/'FINANCIAL STATEMENTS'!$B158</f>
        <v>0.98243333754434869</v>
      </c>
      <c r="F146" s="18">
        <f>'FINANCIAL STATEMENTS'!F158/'FINANCIAL STATEMENTS'!$B158</f>
        <v>1.0460228634639024</v>
      </c>
      <c r="G146" s="18">
        <f>'FINANCIAL STATEMENTS'!G158/'FINANCIAL STATEMENTS'!$B158</f>
        <v>0.99481862257086706</v>
      </c>
    </row>
    <row r="147" spans="1:7" x14ac:dyDescent="0.3">
      <c r="A147" s="10" t="s">
        <v>99</v>
      </c>
      <c r="B147" s="18">
        <f>'FINANCIAL STATEMENTS'!B159/'FINANCIAL STATEMENTS'!$B159</f>
        <v>1</v>
      </c>
      <c r="C147" s="18">
        <f>'FINANCIAL STATEMENTS'!C159/'FINANCIAL STATEMENTS'!$B159</f>
        <v>1.1402323329364183</v>
      </c>
      <c r="D147" s="18">
        <f>'FINANCIAL STATEMENTS'!D159/'FINANCIAL STATEMENTS'!$B159</f>
        <v>0.97564866228217917</v>
      </c>
      <c r="E147" s="18">
        <f>'FINANCIAL STATEMENTS'!E159/'FINANCIAL STATEMENTS'!$B159</f>
        <v>0.93235873623469434</v>
      </c>
      <c r="F147" s="18">
        <f>'FINANCIAL STATEMENTS'!F159/'FINANCIAL STATEMENTS'!$B159</f>
        <v>0.95282929352910639</v>
      </c>
      <c r="G147" s="18">
        <f>'FINANCIAL STATEMENTS'!G159/'FINANCIAL STATEMENTS'!$B159</f>
        <v>0.96288746771088884</v>
      </c>
    </row>
    <row r="148" spans="1:7" x14ac:dyDescent="0.3">
      <c r="A148" s="10" t="s">
        <v>100</v>
      </c>
      <c r="B148" s="18">
        <f>'FINANCIAL STATEMENTS'!B160/'FINANCIAL STATEMENTS'!$B160</f>
        <v>1</v>
      </c>
      <c r="C148" s="18">
        <f>'FINANCIAL STATEMENTS'!C160/'FINANCIAL STATEMENTS'!$B160</f>
        <v>1.3493107403057227</v>
      </c>
      <c r="D148" s="18">
        <f>'FINANCIAL STATEMENTS'!D160/'FINANCIAL STATEMENTS'!$B160</f>
        <v>1.0522701620552406</v>
      </c>
      <c r="E148" s="18">
        <f>'FINANCIAL STATEMENTS'!E160/'FINANCIAL STATEMENTS'!$B160</f>
        <v>0.91026050684099824</v>
      </c>
      <c r="F148" s="18">
        <f>'FINANCIAL STATEMENTS'!F160/'FINANCIAL STATEMENTS'!$B160</f>
        <v>1.0852186089017362</v>
      </c>
      <c r="G148" s="18">
        <f>'FINANCIAL STATEMENTS'!G160/'FINANCIAL STATEMENTS'!$B160</f>
        <v>1.2351102112634271</v>
      </c>
    </row>
    <row r="149" spans="1:7" x14ac:dyDescent="0.3">
      <c r="A149" s="10" t="s">
        <v>101</v>
      </c>
      <c r="B149" s="18">
        <f>'FINANCIAL STATEMENTS'!B161/'FINANCIAL STATEMENTS'!$B161</f>
        <v>1</v>
      </c>
      <c r="C149" s="18">
        <f>'FINANCIAL STATEMENTS'!C161/'FINANCIAL STATEMENTS'!$B161</f>
        <v>1.0545137780776506</v>
      </c>
      <c r="D149" s="18">
        <f>'FINANCIAL STATEMENTS'!D161/'FINANCIAL STATEMENTS'!$B161</f>
        <v>0.93143401003055704</v>
      </c>
      <c r="E149" s="18">
        <f>'FINANCIAL STATEMENTS'!E161/'FINANCIAL STATEMENTS'!$B161</f>
        <v>1.0102866041769443</v>
      </c>
      <c r="F149" s="18">
        <f>'FINANCIAL STATEMENTS'!F161/'FINANCIAL STATEMENTS'!$B161</f>
        <v>0.95704344891240534</v>
      </c>
      <c r="G149" s="18">
        <f>'FINANCIAL STATEMENTS'!G161/'FINANCIAL STATEMENTS'!$B161</f>
        <v>0.78022177506461865</v>
      </c>
    </row>
    <row r="150" spans="1:7" x14ac:dyDescent="0.3">
      <c r="A150" s="10" t="s">
        <v>102</v>
      </c>
      <c r="B150" s="18">
        <f>'FINANCIAL STATEMENTS'!B162/'FINANCIAL STATEMENTS'!$B162</f>
        <v>1</v>
      </c>
      <c r="C150" s="18">
        <f>'FINANCIAL STATEMENTS'!C162/'FINANCIAL STATEMENTS'!$B162</f>
        <v>1.5179869798240779</v>
      </c>
      <c r="D150" s="18">
        <f>'FINANCIAL STATEMENTS'!D162/'FINANCIAL STATEMENTS'!$B162</f>
        <v>2.7851979360636085</v>
      </c>
      <c r="E150" s="18">
        <f>'FINANCIAL STATEMENTS'!E162/'FINANCIAL STATEMENTS'!$B162</f>
        <v>2.0540179867852553</v>
      </c>
      <c r="F150" s="18">
        <f>'FINANCIAL STATEMENTS'!F162/'FINANCIAL STATEMENTS'!$B162</f>
        <v>1.5168093091057016</v>
      </c>
      <c r="G150" s="18">
        <f>'FINANCIAL STATEMENTS'!G162/'FINANCIAL STATEMENTS'!$B162</f>
        <v>1.1171015247026941</v>
      </c>
    </row>
    <row r="151" spans="1:7" x14ac:dyDescent="0.3">
      <c r="A151" s="10" t="s">
        <v>103</v>
      </c>
      <c r="B151" s="18">
        <f>'FINANCIAL STATEMENTS'!B163/'FINANCIAL STATEMENTS'!$B163</f>
        <v>1</v>
      </c>
      <c r="C151" s="18">
        <f>'FINANCIAL STATEMENTS'!C163/'FINANCIAL STATEMENTS'!$B163</f>
        <v>0.52698693773492611</v>
      </c>
      <c r="D151" s="18">
        <f>'FINANCIAL STATEMENTS'!D163/'FINANCIAL STATEMENTS'!$B163</f>
        <v>0.70643153452563467</v>
      </c>
      <c r="E151" s="18">
        <f>'FINANCIAL STATEMENTS'!E163/'FINANCIAL STATEMENTS'!$B163</f>
        <v>0.7765893542429243</v>
      </c>
      <c r="F151" s="18">
        <f>'FINANCIAL STATEMENTS'!F163/'FINANCIAL STATEMENTS'!$B163</f>
        <v>0.77524544463904943</v>
      </c>
      <c r="G151" s="18">
        <f>'FINANCIAL STATEMENTS'!G163/'FINANCIAL STATEMENTS'!$B163</f>
        <v>0.79479325944887136</v>
      </c>
    </row>
    <row r="152" spans="1:7" x14ac:dyDescent="0.3">
      <c r="A152" s="10" t="s">
        <v>92</v>
      </c>
      <c r="B152" s="18">
        <f>'FINANCIAL STATEMENTS'!B164/'FINANCIAL STATEMENTS'!$B164</f>
        <v>1</v>
      </c>
      <c r="C152" s="18">
        <f>'FINANCIAL STATEMENTS'!C164/'FINANCIAL STATEMENTS'!$B164</f>
        <v>0.8498777227196409</v>
      </c>
      <c r="D152" s="18">
        <f>'FINANCIAL STATEMENTS'!D164/'FINANCIAL STATEMENTS'!$B164</f>
        <v>0.99918782559103814</v>
      </c>
      <c r="E152" s="18">
        <f>'FINANCIAL STATEMENTS'!E164/'FINANCIAL STATEMENTS'!$B164</f>
        <v>1.057384658030877</v>
      </c>
      <c r="F152" s="18">
        <f>'FINANCIAL STATEMENTS'!F164/'FINANCIAL STATEMENTS'!$B164</f>
        <v>0.97491409115299543</v>
      </c>
      <c r="G152" s="18">
        <f>'FINANCIAL STATEMENTS'!G164/'FINANCIAL STATEMENTS'!$B164</f>
        <v>0.9003924699214213</v>
      </c>
    </row>
    <row r="153" spans="1:7" x14ac:dyDescent="0.3">
      <c r="A153" s="10"/>
      <c r="B153" s="18"/>
      <c r="C153" s="18"/>
      <c r="D153" s="18"/>
      <c r="E153" s="18"/>
      <c r="F153" s="18"/>
    </row>
    <row r="154" spans="1:7" s="31" customFormat="1" x14ac:dyDescent="0.3">
      <c r="A154" s="9" t="s">
        <v>104</v>
      </c>
      <c r="B154" s="15">
        <v>43921</v>
      </c>
      <c r="C154" s="15">
        <v>44286</v>
      </c>
      <c r="D154" s="15">
        <v>44651</v>
      </c>
      <c r="E154" s="15">
        <v>45016</v>
      </c>
      <c r="F154" s="15">
        <v>45382</v>
      </c>
      <c r="G154" s="15">
        <v>45747</v>
      </c>
    </row>
    <row r="155" spans="1:7" x14ac:dyDescent="0.3">
      <c r="A155" s="10" t="s">
        <v>91</v>
      </c>
      <c r="B155" s="18">
        <f>'FINANCIAL STATEMENTS'!B167/'FINANCIAL STATEMENTS'!$B167</f>
        <v>1</v>
      </c>
      <c r="C155" s="18">
        <f>'FINANCIAL STATEMENTS'!C167/'FINANCIAL STATEMENTS'!$B167</f>
        <v>1.0000597728972422</v>
      </c>
      <c r="D155" s="18">
        <f>'FINANCIAL STATEMENTS'!D167/'FINANCIAL STATEMENTS'!$B167</f>
        <v>0.76990045663146212</v>
      </c>
      <c r="E155" s="18">
        <f>'FINANCIAL STATEMENTS'!E167/'FINANCIAL STATEMENTS'!$B167</f>
        <v>0.68196363828629136</v>
      </c>
      <c r="F155" s="18">
        <f>'FINANCIAL STATEMENTS'!F167/'FINANCIAL STATEMENTS'!$B167</f>
        <v>0.92631526310499179</v>
      </c>
      <c r="G155" s="18">
        <f>'FINANCIAL STATEMENTS'!G167/'FINANCIAL STATEMENTS'!$B167</f>
        <v>0.98745724982610927</v>
      </c>
    </row>
    <row r="156" spans="1:7" x14ac:dyDescent="0.3">
      <c r="A156" s="10" t="s">
        <v>105</v>
      </c>
      <c r="B156" s="18">
        <f>'FINANCIAL STATEMENTS'!B168/'FINANCIAL STATEMENTS'!$B168</f>
        <v>1</v>
      </c>
      <c r="C156" s="18">
        <f>'FINANCIAL STATEMENTS'!C168/'FINANCIAL STATEMENTS'!$B168</f>
        <v>1.0013074819606831</v>
      </c>
      <c r="D156" s="18">
        <f>'FINANCIAL STATEMENTS'!D168/'FINANCIAL STATEMENTS'!$B168</f>
        <v>0.81656289300756713</v>
      </c>
      <c r="E156" s="18">
        <f>'FINANCIAL STATEMENTS'!E168/'FINANCIAL STATEMENTS'!$B168</f>
        <v>0.82320025615618697</v>
      </c>
      <c r="F156" s="18">
        <f>'FINANCIAL STATEMENTS'!F168/'FINANCIAL STATEMENTS'!$B168</f>
        <v>0.98881788433735651</v>
      </c>
      <c r="G156" s="18">
        <f>'FINANCIAL STATEMENTS'!G168/'FINANCIAL STATEMENTS'!$B168</f>
        <v>0.9938713370763127</v>
      </c>
    </row>
    <row r="157" spans="1:7" x14ac:dyDescent="0.3">
      <c r="A157" s="10" t="s">
        <v>106</v>
      </c>
      <c r="B157" s="18">
        <f>'FINANCIAL STATEMENTS'!B169/'FINANCIAL STATEMENTS'!$B169</f>
        <v>1</v>
      </c>
      <c r="C157" s="18">
        <f>'FINANCIAL STATEMENTS'!C169/'FINANCIAL STATEMENTS'!$B169</f>
        <v>0.85189780284384919</v>
      </c>
      <c r="D157" s="18">
        <f>'FINANCIAL STATEMENTS'!D169/'FINANCIAL STATEMENTS'!$B169</f>
        <v>0.77521915576051881</v>
      </c>
      <c r="E157" s="18">
        <f>'FINANCIAL STATEMENTS'!E169/'FINANCIAL STATEMENTS'!$B169</f>
        <v>0.72665754108022995</v>
      </c>
      <c r="F157" s="18">
        <f>'FINANCIAL STATEMENTS'!F169/'FINANCIAL STATEMENTS'!$B169</f>
        <v>0.90569958613395596</v>
      </c>
      <c r="G157" s="18">
        <f>'FINANCIAL STATEMENTS'!G169/'FINANCIAL STATEMENTS'!$B169</f>
        <v>0.8919422677678428</v>
      </c>
    </row>
    <row r="158" spans="1:7" x14ac:dyDescent="0.3">
      <c r="A158" s="10" t="s">
        <v>98</v>
      </c>
      <c r="B158" s="18">
        <f>'FINANCIAL STATEMENTS'!B170/'FINANCIAL STATEMENTS'!$B170</f>
        <v>1</v>
      </c>
      <c r="C158" s="18">
        <f>'FINANCIAL STATEMENTS'!C170/'FINANCIAL STATEMENTS'!$B170</f>
        <v>0.87434567571099508</v>
      </c>
      <c r="D158" s="18">
        <f>'FINANCIAL STATEMENTS'!D170/'FINANCIAL STATEMENTS'!$B170</f>
        <v>0.81121672923097532</v>
      </c>
      <c r="E158" s="18">
        <f>'FINANCIAL STATEMENTS'!E170/'FINANCIAL STATEMENTS'!$B170</f>
        <v>0.75756039746167769</v>
      </c>
      <c r="F158" s="18">
        <f>'FINANCIAL STATEMENTS'!F170/'FINANCIAL STATEMENTS'!$B170</f>
        <v>0.94437258612138852</v>
      </c>
      <c r="G158" s="18">
        <f>'FINANCIAL STATEMENTS'!G170/'FINANCIAL STATEMENTS'!$B170</f>
        <v>0.93319025671849631</v>
      </c>
    </row>
    <row r="159" spans="1:7" x14ac:dyDescent="0.3">
      <c r="A159" s="10"/>
      <c r="B159" s="18"/>
      <c r="C159" s="18"/>
      <c r="D159" s="18"/>
      <c r="E159" s="18"/>
      <c r="F159" s="18"/>
    </row>
    <row r="160" spans="1:7" s="31" customFormat="1" x14ac:dyDescent="0.3">
      <c r="A160" s="9" t="s">
        <v>107</v>
      </c>
      <c r="B160" s="15">
        <v>43921</v>
      </c>
      <c r="C160" s="15">
        <v>44286</v>
      </c>
      <c r="D160" s="15">
        <v>44651</v>
      </c>
      <c r="E160" s="15">
        <v>45016</v>
      </c>
      <c r="F160" s="15">
        <v>45382</v>
      </c>
      <c r="G160" s="15">
        <v>45747</v>
      </c>
    </row>
    <row r="161" spans="1:7" x14ac:dyDescent="0.3">
      <c r="A161" s="10" t="s">
        <v>108</v>
      </c>
      <c r="B161" s="18">
        <f>'FINANCIAL STATEMENTS'!B173/'FINANCIAL STATEMENTS'!$B173</f>
        <v>1</v>
      </c>
      <c r="C161" s="18">
        <f>'FINANCIAL STATEMENTS'!C173/'FINANCIAL STATEMENTS'!$B173</f>
        <v>0.87059352412649504</v>
      </c>
      <c r="D161" s="18">
        <f>'FINANCIAL STATEMENTS'!D173/'FINANCIAL STATEMENTS'!$B173</f>
        <v>0.5233464270482886</v>
      </c>
      <c r="E161" s="18">
        <f>'FINANCIAL STATEMENTS'!E173/'FINANCIAL STATEMENTS'!$B173</f>
        <v>0.77418599630501428</v>
      </c>
      <c r="F161" s="18">
        <f>'FINANCIAL STATEMENTS'!F173/'FINANCIAL STATEMENTS'!$B173</f>
        <v>1.2172612981957445</v>
      </c>
      <c r="G161" s="18">
        <f>'FINANCIAL STATEMENTS'!G173/'FINANCIAL STATEMENTS'!$B173</f>
        <v>0.89954714992446494</v>
      </c>
    </row>
    <row r="162" spans="1:7" x14ac:dyDescent="0.3">
      <c r="A162" s="10" t="s">
        <v>109</v>
      </c>
      <c r="B162" s="18">
        <f>'FINANCIAL STATEMENTS'!B174/'FINANCIAL STATEMENTS'!$B174</f>
        <v>1</v>
      </c>
      <c r="C162" s="18">
        <f>'FINANCIAL STATEMENTS'!C174/'FINANCIAL STATEMENTS'!$B174</f>
        <v>0.84628115412935145</v>
      </c>
      <c r="D162" s="18">
        <f>'FINANCIAL STATEMENTS'!D174/'FINANCIAL STATEMENTS'!$B174</f>
        <v>0.49628834510173664</v>
      </c>
      <c r="E162" s="18">
        <f>'FINANCIAL STATEMENTS'!E174/'FINANCIAL STATEMENTS'!$B174</f>
        <v>0.73692327249484013</v>
      </c>
      <c r="F162" s="18">
        <f>'FINANCIAL STATEMENTS'!F174/'FINANCIAL STATEMENTS'!$B174</f>
        <v>1.1640338514962485</v>
      </c>
      <c r="G162" s="18">
        <f>'FINANCIAL STATEMENTS'!G174/'FINANCIAL STATEMENTS'!$B174</f>
        <v>0.85704552802758971</v>
      </c>
    </row>
    <row r="163" spans="1:7" x14ac:dyDescent="0.3">
      <c r="A163" s="10" t="s">
        <v>110</v>
      </c>
      <c r="B163" s="18">
        <f>'FINANCIAL STATEMENTS'!B175/'FINANCIAL STATEMENTS'!$B175</f>
        <v>1</v>
      </c>
      <c r="C163" s="18">
        <f>'FINANCIAL STATEMENTS'!C175/'FINANCIAL STATEMENTS'!$B175</f>
        <v>1.0077338421111723</v>
      </c>
      <c r="D163" s="18">
        <f>'FINANCIAL STATEMENTS'!D175/'FINANCIAL STATEMENTS'!$B175</f>
        <v>0.50632828931535889</v>
      </c>
      <c r="E163" s="18">
        <f>'FINANCIAL STATEMENTS'!E175/'FINANCIAL STATEMENTS'!$B175</f>
        <v>0.70942282818116176</v>
      </c>
      <c r="F163" s="18">
        <f>'FINANCIAL STATEMENTS'!F175/'FINANCIAL STATEMENTS'!$B175</f>
        <v>1.2047582056766557</v>
      </c>
      <c r="G163" s="18">
        <f>'FINANCIAL STATEMENTS'!G175/'FINANCIAL STATEMENTS'!$B175</f>
        <v>0.95148611988088183</v>
      </c>
    </row>
  </sheetData>
  <mergeCells count="15">
    <mergeCell ref="A7:G7"/>
    <mergeCell ref="A13:G13"/>
    <mergeCell ref="A29:G29"/>
    <mergeCell ref="A119:G119"/>
    <mergeCell ref="A98:G98"/>
    <mergeCell ref="A90:G90"/>
    <mergeCell ref="A85:G85"/>
    <mergeCell ref="A83:G83"/>
    <mergeCell ref="A70:G70"/>
    <mergeCell ref="A57:G57"/>
    <mergeCell ref="A55:G55"/>
    <mergeCell ref="A47:G47"/>
    <mergeCell ref="A39:G39"/>
    <mergeCell ref="A38:G38"/>
    <mergeCell ref="A91:G9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E6BDD-FC5E-49F6-B472-39C80CAA952B}">
  <dimension ref="A2:G99"/>
  <sheetViews>
    <sheetView topLeftCell="A21" zoomScaleNormal="100" workbookViewId="0">
      <selection activeCell="A42" sqref="A42"/>
    </sheetView>
  </sheetViews>
  <sheetFormatPr defaultRowHeight="14.4" x14ac:dyDescent="0.3"/>
  <cols>
    <col min="1" max="1" width="108.21875" style="58" bestFit="1" customWidth="1"/>
    <col min="2" max="7" width="12.77734375" style="48" bestFit="1" customWidth="1"/>
    <col min="8" max="16384" width="8.88671875" style="55"/>
  </cols>
  <sheetData>
    <row r="2" spans="1:7" x14ac:dyDescent="0.3">
      <c r="A2" s="47" t="s">
        <v>123</v>
      </c>
    </row>
    <row r="5" spans="1:7" ht="15" thickBot="1" x14ac:dyDescent="0.35">
      <c r="A5" s="56" t="s">
        <v>124</v>
      </c>
      <c r="B5" s="49">
        <v>43921</v>
      </c>
      <c r="C5" s="49">
        <v>44286</v>
      </c>
      <c r="D5" s="49">
        <v>44651</v>
      </c>
      <c r="E5" s="49">
        <v>45016</v>
      </c>
      <c r="F5" s="49">
        <v>45382</v>
      </c>
      <c r="G5" s="49">
        <v>45747</v>
      </c>
    </row>
    <row r="6" spans="1:7" ht="15.6" thickTop="1" thickBot="1" x14ac:dyDescent="0.35">
      <c r="A6" s="93" t="s">
        <v>125</v>
      </c>
      <c r="B6" s="93"/>
      <c r="C6" s="93"/>
      <c r="D6" s="93"/>
      <c r="E6" s="93"/>
      <c r="F6" s="93"/>
      <c r="G6" s="93"/>
    </row>
    <row r="7" spans="1:7" ht="21" thickTop="1" thickBot="1" x14ac:dyDescent="0.45">
      <c r="A7" s="57" t="s">
        <v>60</v>
      </c>
      <c r="B7" s="50">
        <v>1436.95</v>
      </c>
      <c r="C7" s="50">
        <v>1456.63</v>
      </c>
      <c r="D7" s="50">
        <v>1590.74</v>
      </c>
      <c r="E7" s="50">
        <v>1667.72</v>
      </c>
      <c r="F7" s="50">
        <v>2403.81</v>
      </c>
      <c r="G7" s="50">
        <v>2765.88</v>
      </c>
    </row>
    <row r="8" spans="1:7" ht="15" thickTop="1" x14ac:dyDescent="0.3"/>
    <row r="9" spans="1:7" ht="15" thickBot="1" x14ac:dyDescent="0.35">
      <c r="A9" s="59" t="s">
        <v>126</v>
      </c>
    </row>
    <row r="10" spans="1:7" ht="15" thickTop="1" x14ac:dyDescent="0.3"/>
    <row r="11" spans="1:7" x14ac:dyDescent="0.3">
      <c r="A11" s="60" t="s">
        <v>55</v>
      </c>
      <c r="B11" s="51">
        <v>13.4</v>
      </c>
      <c r="C11" s="51">
        <v>16.989999999999998</v>
      </c>
      <c r="D11" s="51">
        <v>27.24</v>
      </c>
      <c r="E11" s="51">
        <v>28.53</v>
      </c>
      <c r="F11" s="51">
        <v>29.46</v>
      </c>
      <c r="G11" s="51">
        <v>34.72</v>
      </c>
    </row>
    <row r="12" spans="1:7" x14ac:dyDescent="0.3">
      <c r="A12" s="60" t="s">
        <v>127</v>
      </c>
      <c r="B12" s="51">
        <v>-5.93</v>
      </c>
      <c r="C12" s="51">
        <v>-12.78</v>
      </c>
      <c r="D12" s="51">
        <v>-2.41</v>
      </c>
      <c r="E12" s="51">
        <v>-4.9000000000000004</v>
      </c>
      <c r="F12" s="51">
        <v>-7.59</v>
      </c>
      <c r="G12" s="51">
        <v>-5.63</v>
      </c>
    </row>
    <row r="13" spans="1:7" x14ac:dyDescent="0.3">
      <c r="A13" s="60" t="s">
        <v>128</v>
      </c>
      <c r="B13" s="51">
        <v>-13.38</v>
      </c>
      <c r="C13" s="51">
        <v>-2.78</v>
      </c>
      <c r="D13" s="51">
        <v>-4.01</v>
      </c>
      <c r="E13" s="51">
        <v>-17.46</v>
      </c>
      <c r="F13" s="51">
        <v>-39.97</v>
      </c>
      <c r="G13" s="51">
        <v>-54.82</v>
      </c>
    </row>
    <row r="14" spans="1:7" x14ac:dyDescent="0.3">
      <c r="A14" s="60" t="s">
        <v>129</v>
      </c>
      <c r="B14" s="51">
        <v>-2.67</v>
      </c>
      <c r="C14" s="51">
        <v>5.85</v>
      </c>
      <c r="D14" s="51">
        <v>8.1999999999999993</v>
      </c>
      <c r="E14" s="51">
        <v>-1.96</v>
      </c>
      <c r="F14" s="51">
        <v>8.8800000000000008</v>
      </c>
      <c r="G14" s="51">
        <v>1.36</v>
      </c>
    </row>
    <row r="15" spans="1:7" x14ac:dyDescent="0.3">
      <c r="A15" s="60" t="s">
        <v>130</v>
      </c>
      <c r="B15" s="51">
        <v>-110.39</v>
      </c>
      <c r="C15" s="51">
        <v>-39.99</v>
      </c>
      <c r="D15" s="51">
        <v>-11.37</v>
      </c>
      <c r="E15" s="51">
        <v>-16.78</v>
      </c>
      <c r="F15" s="51">
        <v>-84.94</v>
      </c>
      <c r="G15" s="51">
        <v>-214.23</v>
      </c>
    </row>
    <row r="16" spans="1:7" x14ac:dyDescent="0.3">
      <c r="A16" s="60" t="s">
        <v>131</v>
      </c>
      <c r="B16" s="51">
        <v>0</v>
      </c>
      <c r="C16" s="51">
        <v>3.73</v>
      </c>
      <c r="D16" s="51">
        <v>-2.57</v>
      </c>
      <c r="E16" s="51">
        <v>4.6399999999999997</v>
      </c>
      <c r="F16" s="51">
        <v>4</v>
      </c>
      <c r="G16" s="51">
        <v>6.87</v>
      </c>
    </row>
    <row r="17" spans="1:7" x14ac:dyDescent="0.3">
      <c r="A17" s="60" t="s">
        <v>182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5.34</v>
      </c>
    </row>
    <row r="18" spans="1:7" x14ac:dyDescent="0.3">
      <c r="A18" s="60" t="s">
        <v>179</v>
      </c>
      <c r="B18" s="51">
        <v>0</v>
      </c>
      <c r="C18" s="51">
        <v>0</v>
      </c>
      <c r="D18" s="51">
        <v>0</v>
      </c>
      <c r="E18" s="51">
        <v>0</v>
      </c>
      <c r="F18" s="51">
        <v>-3.77</v>
      </c>
      <c r="G18" s="51">
        <v>-2.25</v>
      </c>
    </row>
    <row r="19" spans="1:7" x14ac:dyDescent="0.3">
      <c r="A19" s="60" t="s">
        <v>132</v>
      </c>
      <c r="B19" s="51">
        <v>-5.8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</row>
    <row r="20" spans="1:7" x14ac:dyDescent="0.3">
      <c r="A20" s="60" t="s">
        <v>183</v>
      </c>
      <c r="B20" s="51">
        <v>59.28</v>
      </c>
      <c r="C20" s="51">
        <v>0.45</v>
      </c>
      <c r="D20" s="51">
        <v>194.38</v>
      </c>
      <c r="E20" s="51">
        <v>0</v>
      </c>
      <c r="F20" s="51">
        <v>-7.15</v>
      </c>
      <c r="G20" s="51">
        <v>20.16</v>
      </c>
    </row>
    <row r="21" spans="1:7" x14ac:dyDescent="0.3">
      <c r="A21" s="60" t="s">
        <v>133</v>
      </c>
      <c r="B21" s="51">
        <v>125.79</v>
      </c>
      <c r="C21" s="51">
        <v>147.1</v>
      </c>
      <c r="D21" s="51">
        <v>3.75</v>
      </c>
      <c r="E21" s="51">
        <v>221.97</v>
      </c>
      <c r="F21" s="51">
        <v>289.11</v>
      </c>
      <c r="G21" s="51">
        <v>308.41000000000003</v>
      </c>
    </row>
    <row r="22" spans="1:7" x14ac:dyDescent="0.3">
      <c r="A22" s="60" t="s">
        <v>184</v>
      </c>
      <c r="B22" s="51">
        <v>-0.15</v>
      </c>
      <c r="C22" s="51">
        <v>-1.88</v>
      </c>
      <c r="D22" s="51">
        <v>15.79</v>
      </c>
      <c r="E22" s="51">
        <v>4.7300000000000004</v>
      </c>
      <c r="F22" s="51">
        <v>-6.73</v>
      </c>
      <c r="G22" s="51">
        <v>0.56999999999999995</v>
      </c>
    </row>
    <row r="23" spans="1:7" x14ac:dyDescent="0.3">
      <c r="A23" s="60" t="s">
        <v>134</v>
      </c>
      <c r="B23" s="51">
        <v>-11.36</v>
      </c>
      <c r="C23" s="51">
        <v>7.89</v>
      </c>
      <c r="D23" s="51">
        <v>-1.1100000000000001</v>
      </c>
      <c r="E23" s="51">
        <v>5.64</v>
      </c>
      <c r="F23" s="51">
        <v>14.57</v>
      </c>
      <c r="G23" s="51">
        <v>14.44</v>
      </c>
    </row>
    <row r="24" spans="1:7" x14ac:dyDescent="0.3">
      <c r="A24" s="60" t="s">
        <v>135</v>
      </c>
      <c r="B24" s="51">
        <v>14.31</v>
      </c>
      <c r="C24" s="51">
        <v>17.28</v>
      </c>
      <c r="D24" s="51">
        <v>28.09</v>
      </c>
      <c r="E24" s="51">
        <v>14.13</v>
      </c>
      <c r="F24" s="51">
        <v>9.07</v>
      </c>
      <c r="G24" s="51">
        <v>88.78</v>
      </c>
    </row>
    <row r="25" spans="1:7" x14ac:dyDescent="0.3">
      <c r="A25" s="60" t="s">
        <v>185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-2.14</v>
      </c>
    </row>
    <row r="26" spans="1:7" x14ac:dyDescent="0.3">
      <c r="A26" s="60" t="s">
        <v>178</v>
      </c>
      <c r="B26" s="51">
        <v>0</v>
      </c>
      <c r="C26" s="51">
        <v>0</v>
      </c>
      <c r="D26" s="51">
        <v>0</v>
      </c>
      <c r="E26" s="51">
        <v>0</v>
      </c>
      <c r="F26" s="51">
        <v>48.02</v>
      </c>
      <c r="G26" s="51">
        <v>57.37</v>
      </c>
    </row>
    <row r="28" spans="1:7" x14ac:dyDescent="0.3">
      <c r="A28" s="61" t="s">
        <v>136</v>
      </c>
      <c r="B28" s="52">
        <f t="shared" ref="B28:G28" si="0">B7+SUM(B11:B26)</f>
        <v>1500.05</v>
      </c>
      <c r="C28" s="52">
        <f t="shared" si="0"/>
        <v>1598.4900000000002</v>
      </c>
      <c r="D28" s="52">
        <f t="shared" si="0"/>
        <v>1846.72</v>
      </c>
      <c r="E28" s="52">
        <f t="shared" si="0"/>
        <v>1906.26</v>
      </c>
      <c r="F28" s="52">
        <f t="shared" si="0"/>
        <v>2656.77</v>
      </c>
      <c r="G28" s="52">
        <f t="shared" si="0"/>
        <v>3024.83</v>
      </c>
    </row>
    <row r="30" spans="1:7" x14ac:dyDescent="0.3">
      <c r="A30" s="94" t="s">
        <v>137</v>
      </c>
      <c r="B30" s="94"/>
      <c r="C30" s="94"/>
      <c r="D30" s="94"/>
      <c r="E30" s="94"/>
      <c r="F30" s="94"/>
      <c r="G30" s="94"/>
    </row>
    <row r="31" spans="1:7" ht="15" thickBot="1" x14ac:dyDescent="0.35">
      <c r="A31" s="59" t="s">
        <v>138</v>
      </c>
    </row>
    <row r="32" spans="1:7" ht="15" thickTop="1" x14ac:dyDescent="0.3"/>
    <row r="33" spans="1:7" x14ac:dyDescent="0.3">
      <c r="A33" s="60" t="s">
        <v>14</v>
      </c>
      <c r="B33" s="51">
        <v>-17.940000000000001</v>
      </c>
      <c r="C33" s="51">
        <v>-200.06</v>
      </c>
      <c r="D33" s="51">
        <v>-122.46</v>
      </c>
      <c r="E33" s="51">
        <v>-99.3</v>
      </c>
      <c r="F33" s="51">
        <v>-104.06</v>
      </c>
      <c r="G33" s="51">
        <v>-157.35</v>
      </c>
    </row>
    <row r="34" spans="1:7" x14ac:dyDescent="0.3">
      <c r="A34" s="60" t="s">
        <v>19</v>
      </c>
      <c r="B34" s="51">
        <v>3.81</v>
      </c>
      <c r="C34" s="51">
        <v>-240.47</v>
      </c>
      <c r="D34" s="51">
        <v>-415.73</v>
      </c>
      <c r="E34" s="51">
        <v>-119.32</v>
      </c>
      <c r="F34" s="51">
        <v>304.02</v>
      </c>
      <c r="G34" s="51">
        <v>-238.49</v>
      </c>
    </row>
    <row r="35" spans="1:7" x14ac:dyDescent="0.3">
      <c r="A35" s="60" t="s">
        <v>139</v>
      </c>
      <c r="B35" s="51">
        <v>-1.1000000000000001</v>
      </c>
      <c r="C35" s="51">
        <v>-0.78</v>
      </c>
      <c r="D35" s="51">
        <v>-0.2</v>
      </c>
      <c r="E35" s="51">
        <v>-1.1499999999999999</v>
      </c>
      <c r="F35" s="51">
        <v>-1.93</v>
      </c>
      <c r="G35" s="51">
        <v>-0.24</v>
      </c>
    </row>
    <row r="36" spans="1:7" x14ac:dyDescent="0.3">
      <c r="A36" s="60" t="s">
        <v>140</v>
      </c>
      <c r="B36" s="51">
        <v>-10</v>
      </c>
      <c r="C36" s="51">
        <v>-7.87</v>
      </c>
      <c r="D36" s="51">
        <v>-1.36</v>
      </c>
      <c r="E36" s="51">
        <v>-6.15</v>
      </c>
      <c r="F36" s="51">
        <v>2.35</v>
      </c>
      <c r="G36" s="51">
        <v>-0.18</v>
      </c>
    </row>
    <row r="37" spans="1:7" x14ac:dyDescent="0.3">
      <c r="A37" s="60" t="s">
        <v>141</v>
      </c>
      <c r="B37" s="51">
        <v>5.39</v>
      </c>
      <c r="C37" s="51">
        <v>0.02</v>
      </c>
      <c r="D37" s="51">
        <v>-3.64</v>
      </c>
      <c r="E37" s="51">
        <v>-15.5</v>
      </c>
      <c r="F37" s="51">
        <v>-4.5599999999999996</v>
      </c>
      <c r="G37" s="51">
        <v>-3.11</v>
      </c>
    </row>
    <row r="38" spans="1:7" x14ac:dyDescent="0.3">
      <c r="A38" s="60" t="s">
        <v>142</v>
      </c>
      <c r="B38" s="51">
        <v>1.02</v>
      </c>
      <c r="C38" s="51">
        <v>0.89</v>
      </c>
      <c r="D38" s="51">
        <v>-2.9</v>
      </c>
      <c r="E38" s="51">
        <v>3.7</v>
      </c>
      <c r="F38" s="51">
        <v>1.88</v>
      </c>
      <c r="G38" s="51">
        <v>-1.71</v>
      </c>
    </row>
    <row r="39" spans="1:7" x14ac:dyDescent="0.3">
      <c r="A39" s="60" t="s">
        <v>143</v>
      </c>
      <c r="B39" s="51">
        <v>2.83</v>
      </c>
      <c r="C39" s="51">
        <v>-27.8</v>
      </c>
      <c r="D39" s="51">
        <v>-21.06</v>
      </c>
      <c r="E39" s="51">
        <v>-17.32</v>
      </c>
      <c r="F39" s="51">
        <v>-0.14000000000000001</v>
      </c>
      <c r="G39" s="51">
        <v>-4.92</v>
      </c>
    </row>
    <row r="40" spans="1:7" x14ac:dyDescent="0.3">
      <c r="A40" s="60" t="s">
        <v>144</v>
      </c>
      <c r="B40" s="51">
        <v>-25.7</v>
      </c>
      <c r="C40" s="51">
        <v>13.39</v>
      </c>
      <c r="D40" s="51">
        <v>-15.39</v>
      </c>
      <c r="E40" s="51">
        <v>15.59</v>
      </c>
      <c r="F40" s="51">
        <v>-10.27</v>
      </c>
      <c r="G40" s="51">
        <v>-69.05</v>
      </c>
    </row>
    <row r="42" spans="1:7" ht="15" thickBot="1" x14ac:dyDescent="0.35">
      <c r="A42" s="59" t="s">
        <v>197</v>
      </c>
    </row>
    <row r="43" spans="1:7" ht="15" thickTop="1" x14ac:dyDescent="0.3"/>
    <row r="44" spans="1:7" x14ac:dyDescent="0.3">
      <c r="A44" s="60" t="s">
        <v>145</v>
      </c>
      <c r="B44" s="51">
        <v>37.89</v>
      </c>
      <c r="C44" s="51">
        <v>296.33999999999997</v>
      </c>
      <c r="D44" s="51">
        <v>-1.91</v>
      </c>
      <c r="E44" s="51">
        <v>-10.050000000000001</v>
      </c>
      <c r="F44" s="51">
        <v>109.72</v>
      </c>
      <c r="G44" s="51">
        <v>229.09</v>
      </c>
    </row>
    <row r="45" spans="1:7" x14ac:dyDescent="0.3">
      <c r="A45" s="60" t="s">
        <v>146</v>
      </c>
      <c r="B45" s="51">
        <v>113.99</v>
      </c>
      <c r="C45" s="51">
        <v>121.42</v>
      </c>
      <c r="D45" s="51">
        <v>35.020000000000003</v>
      </c>
      <c r="E45" s="51">
        <v>173.36</v>
      </c>
      <c r="F45" s="51">
        <v>226.72</v>
      </c>
      <c r="G45" s="51">
        <v>163.24</v>
      </c>
    </row>
    <row r="46" spans="1:7" x14ac:dyDescent="0.3">
      <c r="A46" s="60" t="s">
        <v>147</v>
      </c>
      <c r="B46" s="51">
        <v>-38.75</v>
      </c>
      <c r="C46" s="51">
        <v>6.37</v>
      </c>
      <c r="D46" s="51">
        <v>6.31</v>
      </c>
      <c r="E46" s="51">
        <v>-5.49</v>
      </c>
      <c r="F46" s="51">
        <v>0</v>
      </c>
      <c r="G46" s="51">
        <v>0</v>
      </c>
    </row>
    <row r="47" spans="1:7" x14ac:dyDescent="0.3">
      <c r="A47" s="60" t="s">
        <v>148</v>
      </c>
      <c r="B47" s="51">
        <v>32.6</v>
      </c>
      <c r="C47" s="51">
        <v>-17.399999999999999</v>
      </c>
      <c r="D47" s="51">
        <v>2.48</v>
      </c>
      <c r="E47" s="51">
        <v>6.3</v>
      </c>
      <c r="F47" s="51">
        <v>10.91</v>
      </c>
      <c r="G47" s="51">
        <v>-10.02</v>
      </c>
    </row>
    <row r="49" spans="1:7" x14ac:dyDescent="0.3">
      <c r="A49" s="61" t="s">
        <v>150</v>
      </c>
      <c r="B49" s="52">
        <f>SUM(B33:B40)+SUM(B44:B47)+B28</f>
        <v>1604.09</v>
      </c>
      <c r="C49" s="52">
        <f t="shared" ref="C49:G49" si="1">SUM(C33:C40)+SUM(C44:C47)+C28</f>
        <v>1542.5400000000002</v>
      </c>
      <c r="D49" s="52">
        <f t="shared" si="1"/>
        <v>1305.8800000000001</v>
      </c>
      <c r="E49" s="52">
        <f t="shared" si="1"/>
        <v>1830.93</v>
      </c>
      <c r="F49" s="52">
        <f t="shared" si="1"/>
        <v>3191.41</v>
      </c>
      <c r="G49" s="52">
        <f t="shared" si="1"/>
        <v>2932.09</v>
      </c>
    </row>
    <row r="51" spans="1:7" x14ac:dyDescent="0.3">
      <c r="A51" s="62" t="s">
        <v>149</v>
      </c>
      <c r="B51" s="51">
        <v>-375.92</v>
      </c>
      <c r="C51" s="51">
        <v>-342.02</v>
      </c>
      <c r="D51" s="51">
        <v>-448.96</v>
      </c>
      <c r="E51" s="51">
        <v>-398.57</v>
      </c>
      <c r="F51" s="51">
        <v>-605.51</v>
      </c>
      <c r="G51" s="51">
        <v>-703.38</v>
      </c>
    </row>
    <row r="53" spans="1:7" x14ac:dyDescent="0.3">
      <c r="A53" s="61" t="s">
        <v>167</v>
      </c>
      <c r="B53" s="52">
        <f>B49+B51</f>
        <v>1228.1699999999998</v>
      </c>
      <c r="C53" s="52">
        <f t="shared" ref="C53:G53" si="2">C49+C51</f>
        <v>1200.5200000000002</v>
      </c>
      <c r="D53" s="52">
        <f t="shared" si="2"/>
        <v>856.92000000000007</v>
      </c>
      <c r="E53" s="52">
        <f t="shared" si="2"/>
        <v>1432.3600000000001</v>
      </c>
      <c r="F53" s="52">
        <f t="shared" si="2"/>
        <v>2585.8999999999996</v>
      </c>
      <c r="G53" s="52">
        <f t="shared" si="2"/>
        <v>2228.71</v>
      </c>
    </row>
    <row r="54" spans="1:7" ht="15" thickBot="1" x14ac:dyDescent="0.35"/>
    <row r="55" spans="1:7" ht="15.6" thickTop="1" thickBot="1" x14ac:dyDescent="0.35">
      <c r="A55" s="93" t="s">
        <v>151</v>
      </c>
      <c r="B55" s="93"/>
      <c r="C55" s="93"/>
      <c r="D55" s="93"/>
      <c r="E55" s="93"/>
      <c r="F55" s="93"/>
      <c r="G55" s="93"/>
    </row>
    <row r="56" spans="1:7" ht="15" thickTop="1" x14ac:dyDescent="0.3"/>
    <row r="57" spans="1:7" x14ac:dyDescent="0.3">
      <c r="A57" s="62" t="s">
        <v>152</v>
      </c>
      <c r="B57" s="51">
        <v>-398.86</v>
      </c>
      <c r="C57" s="51">
        <v>-323.97000000000003</v>
      </c>
      <c r="D57" s="51">
        <v>-322.57</v>
      </c>
      <c r="E57" s="51">
        <v>-435.6</v>
      </c>
      <c r="F57" s="51">
        <v>-510.07</v>
      </c>
      <c r="G57" s="51">
        <v>-433.46</v>
      </c>
    </row>
    <row r="58" spans="1:7" x14ac:dyDescent="0.3">
      <c r="A58" s="62" t="s">
        <v>153</v>
      </c>
      <c r="B58" s="51">
        <v>5.03</v>
      </c>
      <c r="C58" s="51">
        <v>1.76</v>
      </c>
      <c r="D58" s="51">
        <v>0.77</v>
      </c>
      <c r="E58" s="51">
        <v>7</v>
      </c>
      <c r="F58" s="51">
        <v>5.76</v>
      </c>
      <c r="G58" s="51">
        <v>4.2699999999999996</v>
      </c>
    </row>
    <row r="59" spans="1:7" x14ac:dyDescent="0.3">
      <c r="A59" s="62" t="s">
        <v>154</v>
      </c>
      <c r="B59" s="51">
        <v>-127.44</v>
      </c>
      <c r="C59" s="51">
        <v>-2109.9499999999998</v>
      </c>
      <c r="D59" s="51">
        <v>-359.95</v>
      </c>
      <c r="E59" s="51">
        <v>-78.95</v>
      </c>
      <c r="F59" s="51">
        <v>-170.6</v>
      </c>
      <c r="G59" s="51">
        <v>-68.31</v>
      </c>
    </row>
    <row r="60" spans="1:7" x14ac:dyDescent="0.3">
      <c r="A60" s="62" t="s">
        <v>155</v>
      </c>
      <c r="B60" s="51">
        <v>-1305.53</v>
      </c>
      <c r="C60" s="51">
        <v>-2898.47</v>
      </c>
      <c r="D60" s="51">
        <v>11.28</v>
      </c>
      <c r="E60" s="51">
        <v>0</v>
      </c>
      <c r="F60" s="51">
        <v>126.95</v>
      </c>
      <c r="G60" s="51">
        <v>11.54</v>
      </c>
    </row>
    <row r="61" spans="1:7" x14ac:dyDescent="0.3">
      <c r="A61" s="62" t="s">
        <v>156</v>
      </c>
      <c r="B61" s="51">
        <v>1907.3</v>
      </c>
      <c r="C61" s="51">
        <v>3634.27</v>
      </c>
      <c r="D61" s="51">
        <v>-49</v>
      </c>
      <c r="E61" s="51">
        <v>-1713.68</v>
      </c>
      <c r="F61" s="51">
        <v>-2544.85</v>
      </c>
      <c r="G61" s="51">
        <v>-4444.22</v>
      </c>
    </row>
    <row r="62" spans="1:7" x14ac:dyDescent="0.3">
      <c r="A62" s="62" t="s">
        <v>157</v>
      </c>
      <c r="B62" s="51">
        <v>-18.739999999999998</v>
      </c>
      <c r="C62" s="51">
        <v>0</v>
      </c>
      <c r="D62" s="51">
        <v>170.24</v>
      </c>
      <c r="E62" s="51">
        <v>1447.81</v>
      </c>
      <c r="F62" s="51">
        <v>1315.25</v>
      </c>
      <c r="G62" s="51">
        <v>3364.87</v>
      </c>
    </row>
    <row r="63" spans="1:7" x14ac:dyDescent="0.3">
      <c r="A63" s="62" t="s">
        <v>180</v>
      </c>
      <c r="B63" s="51">
        <v>0</v>
      </c>
      <c r="C63" s="51">
        <v>0</v>
      </c>
      <c r="D63" s="51">
        <v>0</v>
      </c>
      <c r="E63" s="51">
        <v>0</v>
      </c>
      <c r="F63" s="51">
        <v>-7.5</v>
      </c>
      <c r="G63" s="51">
        <v>-7.66</v>
      </c>
    </row>
    <row r="64" spans="1:7" x14ac:dyDescent="0.3">
      <c r="A64" s="62" t="s">
        <v>186</v>
      </c>
      <c r="B64" s="51">
        <v>0</v>
      </c>
      <c r="C64" s="51">
        <v>0</v>
      </c>
      <c r="D64" s="51">
        <v>0</v>
      </c>
      <c r="E64" s="51">
        <v>0</v>
      </c>
      <c r="F64" s="51">
        <v>0</v>
      </c>
      <c r="G64" s="51">
        <v>-2</v>
      </c>
    </row>
    <row r="65" spans="1:7" x14ac:dyDescent="0.3">
      <c r="A65" s="62" t="s">
        <v>158</v>
      </c>
      <c r="B65" s="51">
        <v>53.67</v>
      </c>
      <c r="C65" s="51">
        <v>1.42</v>
      </c>
      <c r="D65" s="51">
        <v>3.01</v>
      </c>
      <c r="E65" s="51">
        <v>0.12</v>
      </c>
      <c r="F65" s="51">
        <v>0.15</v>
      </c>
      <c r="G65" s="51">
        <v>-0.1</v>
      </c>
    </row>
    <row r="66" spans="1:7" x14ac:dyDescent="0.3">
      <c r="A66" s="62" t="s">
        <v>159</v>
      </c>
      <c r="B66" s="51">
        <v>-1.4</v>
      </c>
      <c r="C66" s="51">
        <v>0.69</v>
      </c>
      <c r="D66" s="51">
        <v>-0.08</v>
      </c>
      <c r="E66" s="51">
        <v>0</v>
      </c>
      <c r="F66" s="51">
        <v>0.45</v>
      </c>
      <c r="G66" s="51">
        <v>-0.39</v>
      </c>
    </row>
    <row r="67" spans="1:7" x14ac:dyDescent="0.3">
      <c r="A67" s="62" t="s">
        <v>160</v>
      </c>
      <c r="B67" s="51">
        <v>5.93</v>
      </c>
      <c r="C67" s="51">
        <v>12.78</v>
      </c>
      <c r="D67" s="51">
        <v>2.41</v>
      </c>
      <c r="E67" s="51">
        <v>2.3199999999999998</v>
      </c>
      <c r="F67" s="51">
        <v>7.59</v>
      </c>
      <c r="G67" s="51">
        <v>5.63</v>
      </c>
    </row>
    <row r="68" spans="1:7" x14ac:dyDescent="0.3">
      <c r="A68" s="62" t="s">
        <v>161</v>
      </c>
      <c r="B68" s="51">
        <v>13.38</v>
      </c>
      <c r="C68" s="51">
        <v>2.78</v>
      </c>
      <c r="D68" s="51">
        <v>4.01</v>
      </c>
      <c r="E68" s="51">
        <v>17.46</v>
      </c>
      <c r="F68" s="51">
        <v>39.97</v>
      </c>
      <c r="G68" s="51">
        <v>54.82</v>
      </c>
    </row>
    <row r="70" spans="1:7" x14ac:dyDescent="0.3">
      <c r="A70" s="61" t="s">
        <v>168</v>
      </c>
      <c r="B70" s="52">
        <f>SUM(B57:B68)</f>
        <v>133.34</v>
      </c>
      <c r="C70" s="52">
        <f t="shared" ref="C70:G70" si="3">SUM(C57:C68)</f>
        <v>-1678.6899999999991</v>
      </c>
      <c r="D70" s="52">
        <f t="shared" si="3"/>
        <v>-539.88000000000011</v>
      </c>
      <c r="E70" s="52">
        <f t="shared" si="3"/>
        <v>-753.52</v>
      </c>
      <c r="F70" s="52">
        <f t="shared" si="3"/>
        <v>-1736.8999999999999</v>
      </c>
      <c r="G70" s="52">
        <f t="shared" si="3"/>
        <v>-1515.0100000000004</v>
      </c>
    </row>
    <row r="71" spans="1:7" ht="15" thickBot="1" x14ac:dyDescent="0.35"/>
    <row r="72" spans="1:7" ht="15.6" thickTop="1" thickBot="1" x14ac:dyDescent="0.35">
      <c r="A72" s="93" t="s">
        <v>162</v>
      </c>
      <c r="B72" s="93"/>
      <c r="C72" s="93"/>
      <c r="D72" s="93"/>
      <c r="E72" s="93"/>
      <c r="F72" s="93"/>
      <c r="G72" s="93"/>
    </row>
    <row r="73" spans="1:7" ht="15" thickTop="1" x14ac:dyDescent="0.3"/>
    <row r="74" spans="1:7" x14ac:dyDescent="0.3">
      <c r="A74" s="62" t="s">
        <v>163</v>
      </c>
      <c r="B74" s="51">
        <v>0</v>
      </c>
      <c r="C74" s="51">
        <v>55</v>
      </c>
      <c r="D74" s="51">
        <v>50</v>
      </c>
      <c r="E74" s="51">
        <v>-105</v>
      </c>
      <c r="F74" s="51">
        <v>0</v>
      </c>
      <c r="G74" s="51">
        <v>0</v>
      </c>
    </row>
    <row r="75" spans="1:7" x14ac:dyDescent="0.3">
      <c r="A75" s="62" t="s">
        <v>164</v>
      </c>
      <c r="B75" s="51">
        <v>0.01</v>
      </c>
      <c r="C75" s="51">
        <v>0.01</v>
      </c>
      <c r="D75" s="51">
        <v>0</v>
      </c>
      <c r="E75" s="48">
        <v>0</v>
      </c>
      <c r="F75" s="51">
        <v>0.03</v>
      </c>
      <c r="G75" s="51">
        <v>1.59</v>
      </c>
    </row>
    <row r="76" spans="1:7" x14ac:dyDescent="0.3">
      <c r="A76" s="62" t="s">
        <v>187</v>
      </c>
      <c r="B76" s="51">
        <v>-25.05</v>
      </c>
      <c r="C76" s="51">
        <v>-24.08</v>
      </c>
      <c r="D76" s="51">
        <v>-33.630000000000003</v>
      </c>
      <c r="E76" s="51">
        <v>-41.8</v>
      </c>
      <c r="F76" s="51">
        <f>-47.93-14.91</f>
        <v>-62.84</v>
      </c>
      <c r="G76" s="51">
        <f>-49.52-18.82</f>
        <v>-68.34</v>
      </c>
    </row>
    <row r="77" spans="1:7" x14ac:dyDescent="0.3">
      <c r="A77" s="62" t="s">
        <v>165</v>
      </c>
      <c r="B77" s="51">
        <v>-825.36</v>
      </c>
      <c r="C77" s="51">
        <v>-0.69</v>
      </c>
      <c r="D77" s="51">
        <v>-431.85</v>
      </c>
      <c r="E77" s="51">
        <v>-508.3</v>
      </c>
      <c r="F77" s="51">
        <v>-559.75</v>
      </c>
      <c r="G77" s="51">
        <v>-813.38</v>
      </c>
    </row>
    <row r="78" spans="1:7" x14ac:dyDescent="0.3">
      <c r="A78" s="62" t="s">
        <v>181</v>
      </c>
      <c r="B78" s="51">
        <v>-7.32</v>
      </c>
      <c r="C78" s="51">
        <v>-11.53</v>
      </c>
      <c r="D78" s="51">
        <v>-20.12</v>
      </c>
      <c r="E78" s="51">
        <v>-17.59</v>
      </c>
      <c r="F78" s="51">
        <v>-0.35</v>
      </c>
      <c r="G78" s="51">
        <v>-1.38</v>
      </c>
    </row>
    <row r="80" spans="1:7" x14ac:dyDescent="0.3">
      <c r="A80" s="61" t="s">
        <v>166</v>
      </c>
      <c r="B80" s="52">
        <f>SUM(B74:B78)</f>
        <v>-857.72</v>
      </c>
      <c r="C80" s="52">
        <f t="shared" ref="C80:G80" si="4">SUM(C74:C78)</f>
        <v>18.71</v>
      </c>
      <c r="D80" s="52">
        <f>SUM(D74:D78)</f>
        <v>-435.6</v>
      </c>
      <c r="E80" s="52">
        <f>SUM(E74:E78)</f>
        <v>-672.69</v>
      </c>
      <c r="F80" s="52">
        <f t="shared" si="4"/>
        <v>-622.91</v>
      </c>
      <c r="G80" s="52">
        <f t="shared" si="4"/>
        <v>-881.51</v>
      </c>
    </row>
    <row r="82" spans="1:7" x14ac:dyDescent="0.3">
      <c r="A82" s="61" t="s">
        <v>169</v>
      </c>
      <c r="B82" s="52">
        <f>SUM(B53,B70,B80)</f>
        <v>503.78999999999974</v>
      </c>
      <c r="C82" s="52">
        <f t="shared" ref="C82:G82" si="5">SUM(C53,C70,C80)</f>
        <v>-459.45999999999896</v>
      </c>
      <c r="D82" s="52">
        <f t="shared" si="5"/>
        <v>-118.56000000000006</v>
      </c>
      <c r="E82" s="52">
        <f t="shared" si="5"/>
        <v>6.1500000000000909</v>
      </c>
      <c r="F82" s="52">
        <f t="shared" si="5"/>
        <v>226.0899999999998</v>
      </c>
      <c r="G82" s="52">
        <f t="shared" si="5"/>
        <v>-167.8100000000004</v>
      </c>
    </row>
    <row r="84" spans="1:7" x14ac:dyDescent="0.3">
      <c r="A84" s="60" t="s">
        <v>173</v>
      </c>
      <c r="B84" s="51">
        <v>60.24</v>
      </c>
      <c r="C84" s="51">
        <v>564.16999999999996</v>
      </c>
      <c r="D84" s="51">
        <v>109.81</v>
      </c>
      <c r="E84" s="51">
        <v>147.69999999999999</v>
      </c>
      <c r="F84" s="51">
        <v>153.30000000000001</v>
      </c>
      <c r="G84" s="51">
        <v>379.87</v>
      </c>
    </row>
    <row r="85" spans="1:7" x14ac:dyDescent="0.3">
      <c r="A85" s="60" t="s">
        <v>171</v>
      </c>
      <c r="B85" s="51">
        <v>0.33</v>
      </c>
      <c r="C85" s="51">
        <v>0.18</v>
      </c>
      <c r="D85" s="51">
        <v>0</v>
      </c>
      <c r="E85" s="51">
        <v>0</v>
      </c>
      <c r="F85" s="51">
        <v>0.5</v>
      </c>
      <c r="G85" s="51">
        <v>0.02</v>
      </c>
    </row>
    <row r="86" spans="1:7" x14ac:dyDescent="0.3">
      <c r="A86" s="60" t="s">
        <v>175</v>
      </c>
      <c r="B86" s="51">
        <v>0</v>
      </c>
      <c r="C86" s="51">
        <v>0</v>
      </c>
      <c r="D86" s="51">
        <v>156.44999999999999</v>
      </c>
      <c r="E86" s="51">
        <v>0</v>
      </c>
      <c r="F86" s="51">
        <v>0</v>
      </c>
      <c r="G86" s="51">
        <v>0</v>
      </c>
    </row>
    <row r="87" spans="1:7" x14ac:dyDescent="0.3">
      <c r="A87" s="60" t="s">
        <v>176</v>
      </c>
      <c r="B87" s="51">
        <v>0</v>
      </c>
      <c r="C87" s="51">
        <v>0</v>
      </c>
      <c r="D87" s="51">
        <v>-0.05</v>
      </c>
      <c r="E87" s="51">
        <v>-0.05</v>
      </c>
      <c r="F87" s="51">
        <v>0</v>
      </c>
      <c r="G87" s="51">
        <v>0</v>
      </c>
    </row>
    <row r="89" spans="1:7" x14ac:dyDescent="0.3">
      <c r="A89" s="63" t="s">
        <v>173</v>
      </c>
      <c r="B89" s="53">
        <f t="shared" ref="B89:G89" si="6">SUM(B84:B87)</f>
        <v>60.57</v>
      </c>
      <c r="C89" s="53">
        <f t="shared" si="6"/>
        <v>564.34999999999991</v>
      </c>
      <c r="D89" s="53">
        <f t="shared" si="6"/>
        <v>266.20999999999998</v>
      </c>
      <c r="E89" s="53">
        <f t="shared" si="6"/>
        <v>147.64999999999998</v>
      </c>
      <c r="F89" s="53">
        <f t="shared" si="6"/>
        <v>153.80000000000001</v>
      </c>
      <c r="G89" s="53">
        <f t="shared" si="6"/>
        <v>379.89</v>
      </c>
    </row>
    <row r="91" spans="1:7" x14ac:dyDescent="0.3">
      <c r="A91" s="60" t="s">
        <v>170</v>
      </c>
      <c r="B91" s="51">
        <v>564.16999999999996</v>
      </c>
      <c r="C91" s="51">
        <v>109.81</v>
      </c>
      <c r="D91" s="51">
        <v>147.69999999999999</v>
      </c>
      <c r="E91" s="51">
        <v>153.30000000000001</v>
      </c>
      <c r="F91" s="51">
        <v>379.87</v>
      </c>
      <c r="G91" s="51">
        <v>212.06</v>
      </c>
    </row>
    <row r="92" spans="1:7" x14ac:dyDescent="0.3">
      <c r="A92" s="60" t="s">
        <v>171</v>
      </c>
      <c r="B92" s="51">
        <v>0.18</v>
      </c>
      <c r="C92" s="51">
        <v>-0.05</v>
      </c>
      <c r="D92" s="51">
        <v>-0.05</v>
      </c>
      <c r="E92" s="51">
        <v>0</v>
      </c>
      <c r="F92" s="51">
        <v>0.02</v>
      </c>
      <c r="G92" s="51">
        <v>0.02</v>
      </c>
    </row>
    <row r="93" spans="1:7" x14ac:dyDescent="0.3">
      <c r="A93" s="60" t="s">
        <v>174</v>
      </c>
      <c r="B93" s="51">
        <v>0</v>
      </c>
      <c r="C93" s="51">
        <v>-4.87</v>
      </c>
      <c r="D93" s="51">
        <v>0</v>
      </c>
      <c r="E93" s="51">
        <v>0</v>
      </c>
      <c r="F93" s="51">
        <v>0</v>
      </c>
      <c r="G93" s="51">
        <v>0</v>
      </c>
    </row>
    <row r="94" spans="1:7" x14ac:dyDescent="0.3">
      <c r="A94" s="60" t="s">
        <v>177</v>
      </c>
      <c r="B94" s="51">
        <v>0</v>
      </c>
      <c r="C94" s="51">
        <v>0</v>
      </c>
      <c r="D94" s="51">
        <v>0</v>
      </c>
      <c r="E94" s="51">
        <v>0.5</v>
      </c>
      <c r="F94" s="51">
        <v>0</v>
      </c>
      <c r="G94" s="51">
        <v>0</v>
      </c>
    </row>
    <row r="96" spans="1:7" x14ac:dyDescent="0.3">
      <c r="A96" s="61" t="s">
        <v>170</v>
      </c>
      <c r="B96" s="52">
        <f>SUM(B91:B94)</f>
        <v>564.34999999999991</v>
      </c>
      <c r="C96" s="52">
        <f>SUM(C91:C94)</f>
        <v>104.89</v>
      </c>
      <c r="D96" s="52">
        <f>SUM(D91:D94)</f>
        <v>147.64999999999998</v>
      </c>
      <c r="E96" s="52">
        <f t="shared" ref="E96:G96" si="7">SUM(E91:E94)</f>
        <v>153.80000000000001</v>
      </c>
      <c r="F96" s="52">
        <f t="shared" si="7"/>
        <v>379.89</v>
      </c>
      <c r="G96" s="52">
        <f t="shared" si="7"/>
        <v>212.08</v>
      </c>
    </row>
    <row r="98" spans="1:7" ht="18" thickBot="1" x14ac:dyDescent="0.4">
      <c r="A98" s="64" t="s">
        <v>172</v>
      </c>
      <c r="B98" s="54">
        <f t="shared" ref="B98:G98" si="8">B96-B89</f>
        <v>503.77999999999992</v>
      </c>
      <c r="C98" s="54">
        <f t="shared" si="8"/>
        <v>-459.45999999999992</v>
      </c>
      <c r="D98" s="54">
        <f t="shared" si="8"/>
        <v>-118.56</v>
      </c>
      <c r="E98" s="54">
        <f t="shared" si="8"/>
        <v>6.1500000000000341</v>
      </c>
      <c r="F98" s="54">
        <f t="shared" si="8"/>
        <v>226.08999999999997</v>
      </c>
      <c r="G98" s="54">
        <f t="shared" si="8"/>
        <v>-167.80999999999997</v>
      </c>
    </row>
    <row r="99" spans="1:7" ht="15" thickTop="1" x14ac:dyDescent="0.3"/>
  </sheetData>
  <mergeCells count="4">
    <mergeCell ref="A6:G6"/>
    <mergeCell ref="A30:G30"/>
    <mergeCell ref="A55:G55"/>
    <mergeCell ref="A72:G72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8C046EDD-971D-492C-ADD9-BA5BE6142515}">
            <xm:f>'FINANCIAL STATEMENTS'!C$27</xm:f>
            <x14:dxf>
              <font>
                <b/>
                <i val="0"/>
                <strike val="0"/>
                <color auto="1"/>
              </font>
              <fill>
                <patternFill>
                  <fgColor theme="9" tint="0.39994506668294322"/>
                  <bgColor theme="9" tint="0.59996337778862885"/>
                </patternFill>
              </fill>
            </x14:dxf>
          </x14:cfRule>
          <xm:sqref>B7:F7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A05C-3A28-49C4-9E3F-64931DB22E84}">
  <dimension ref="A1:G109"/>
  <sheetViews>
    <sheetView topLeftCell="G9" zoomScale="70" zoomScaleNormal="70" workbookViewId="0">
      <selection activeCell="A27" activeCellId="3" sqref="A22:G22 A6:G6 A24:G24 A27:G27"/>
    </sheetView>
  </sheetViews>
  <sheetFormatPr defaultRowHeight="14.4" x14ac:dyDescent="0.3"/>
  <cols>
    <col min="1" max="1" width="112.5546875" bestFit="1" customWidth="1"/>
    <col min="2" max="5" width="15.77734375" style="1" bestFit="1" customWidth="1"/>
    <col min="6" max="7" width="17.21875" style="1" bestFit="1" customWidth="1"/>
  </cols>
  <sheetData>
    <row r="1" spans="1:7" x14ac:dyDescent="0.3">
      <c r="A1" s="2"/>
    </row>
    <row r="2" spans="1:7" x14ac:dyDescent="0.3">
      <c r="A2" s="6" t="s">
        <v>121</v>
      </c>
    </row>
    <row r="3" spans="1:7" x14ac:dyDescent="0.3">
      <c r="A3" s="2"/>
    </row>
    <row r="4" spans="1:7" ht="20.399999999999999" thickBot="1" x14ac:dyDescent="0.45">
      <c r="A4" s="3" t="s">
        <v>43</v>
      </c>
    </row>
    <row r="5" spans="1:7" ht="15" thickTop="1" x14ac:dyDescent="0.3">
      <c r="A5" s="2"/>
    </row>
    <row r="6" spans="1:7" x14ac:dyDescent="0.3">
      <c r="A6" s="43" t="s">
        <v>45</v>
      </c>
      <c r="B6" s="41">
        <v>43921</v>
      </c>
      <c r="C6" s="41">
        <v>44286</v>
      </c>
      <c r="D6" s="41">
        <v>44651</v>
      </c>
      <c r="E6" s="41">
        <v>45016</v>
      </c>
      <c r="F6" s="41">
        <v>45382</v>
      </c>
      <c r="G6" s="41">
        <v>45747</v>
      </c>
    </row>
    <row r="7" spans="1:7" x14ac:dyDescent="0.3">
      <c r="A7" s="89" t="s">
        <v>49</v>
      </c>
      <c r="B7" s="89"/>
      <c r="C7" s="89"/>
      <c r="D7" s="89"/>
      <c r="E7" s="89"/>
      <c r="F7" s="89"/>
      <c r="G7" s="89"/>
    </row>
    <row r="8" spans="1:7" x14ac:dyDescent="0.3">
      <c r="A8" s="29"/>
      <c r="B8" s="22"/>
      <c r="C8" s="22"/>
      <c r="D8" s="22"/>
      <c r="E8" s="22"/>
      <c r="F8" s="22"/>
      <c r="G8" s="22"/>
    </row>
    <row r="9" spans="1:7" x14ac:dyDescent="0.3">
      <c r="A9" s="10" t="s">
        <v>46</v>
      </c>
      <c r="B9" s="18">
        <f>'FINANCIAL STATEMENTS'!B9/'FINANCIAL STATEMENTS'!B$9</f>
        <v>1</v>
      </c>
      <c r="C9" s="18">
        <f>'FINANCIAL STATEMENTS'!C9/'FINANCIAL STATEMENTS'!C$9</f>
        <v>1</v>
      </c>
      <c r="D9" s="18">
        <f>'FINANCIAL STATEMENTS'!D9/'FINANCIAL STATEMENTS'!D$9</f>
        <v>1</v>
      </c>
      <c r="E9" s="18">
        <f>'FINANCIAL STATEMENTS'!E9/'FINANCIAL STATEMENTS'!E$9</f>
        <v>1</v>
      </c>
      <c r="F9" s="18">
        <f>'FINANCIAL STATEMENTS'!F9/'FINANCIAL STATEMENTS'!F$9</f>
        <v>1</v>
      </c>
      <c r="G9" s="18">
        <f>'FINANCIAL STATEMENTS'!G9/'FINANCIAL STATEMENTS'!G$9</f>
        <v>1</v>
      </c>
    </row>
    <row r="10" spans="1:7" x14ac:dyDescent="0.3">
      <c r="A10" s="10" t="s">
        <v>47</v>
      </c>
      <c r="B10" s="18">
        <f>'FINANCIAL STATEMENTS'!B10/'FINANCIAL STATEMENTS'!B$9</f>
        <v>2.3980709314830109E-2</v>
      </c>
      <c r="C10" s="18">
        <f>'FINANCIAL STATEMENTS'!C10/'FINANCIAL STATEMENTS'!C$9</f>
        <v>1.1822087952216178E-2</v>
      </c>
      <c r="D10" s="18">
        <f>'FINANCIAL STATEMENTS'!D10/'FINANCIAL STATEMENTS'!D$9</f>
        <v>4.4920983585180121E-3</v>
      </c>
      <c r="E10" s="18">
        <f>'FINANCIAL STATEMENTS'!E10/'FINANCIAL STATEMENTS'!E$9</f>
        <v>5.9488141533461606E-3</v>
      </c>
      <c r="F10" s="18">
        <f>'FINANCIAL STATEMENTS'!F10/'FINANCIAL STATEMENTS'!F$9</f>
        <v>1.4824970426176485E-2</v>
      </c>
      <c r="G10" s="18">
        <f>'FINANCIAL STATEMENTS'!G10/'FINANCIAL STATEMENTS'!G$9</f>
        <v>2.4380627365875068E-2</v>
      </c>
    </row>
    <row r="11" spans="1:7" x14ac:dyDescent="0.3">
      <c r="A11" s="11" t="s">
        <v>48</v>
      </c>
      <c r="B11" s="18">
        <f>'FINANCIAL STATEMENTS'!B11/'FINANCIAL STATEMENTS'!B$9</f>
        <v>1.0239807093148301</v>
      </c>
      <c r="C11" s="18">
        <f>'FINANCIAL STATEMENTS'!C11/'FINANCIAL STATEMENTS'!C$9</f>
        <v>1.0118220879522162</v>
      </c>
      <c r="D11" s="18">
        <f>'FINANCIAL STATEMENTS'!D11/'FINANCIAL STATEMENTS'!D$9</f>
        <v>1.0044920983585179</v>
      </c>
      <c r="E11" s="18">
        <f>'FINANCIAL STATEMENTS'!E11/'FINANCIAL STATEMENTS'!E$9</f>
        <v>1.0059488141533461</v>
      </c>
      <c r="F11" s="18">
        <f>'FINANCIAL STATEMENTS'!F11/'FINANCIAL STATEMENTS'!F$9</f>
        <v>1.0148249704261765</v>
      </c>
      <c r="G11" s="18">
        <f>'FINANCIAL STATEMENTS'!G11/'FINANCIAL STATEMENTS'!G$9</f>
        <v>1.0243806273658751</v>
      </c>
    </row>
    <row r="12" spans="1:7" x14ac:dyDescent="0.3">
      <c r="B12"/>
      <c r="C12"/>
      <c r="D12"/>
      <c r="E12"/>
      <c r="F12"/>
      <c r="G12"/>
    </row>
    <row r="13" spans="1:7" x14ac:dyDescent="0.3">
      <c r="A13" s="95" t="s">
        <v>50</v>
      </c>
      <c r="B13" s="96"/>
      <c r="C13" s="96"/>
      <c r="D13" s="96"/>
      <c r="E13" s="96"/>
      <c r="F13" s="96"/>
      <c r="G13" s="97"/>
    </row>
    <row r="14" spans="1:7" x14ac:dyDescent="0.3">
      <c r="A14" s="29"/>
      <c r="B14" s="35"/>
      <c r="C14" s="35"/>
      <c r="D14" s="35"/>
      <c r="E14" s="35"/>
      <c r="F14" s="35"/>
      <c r="G14" s="35"/>
    </row>
    <row r="15" spans="1:7" x14ac:dyDescent="0.3">
      <c r="A15" s="10" t="s">
        <v>51</v>
      </c>
      <c r="B15" s="18">
        <f>'FINANCIAL STATEMENTS'!B15/'FINANCIAL STATEMENTS'!B$9</f>
        <v>0.39805198189050606</v>
      </c>
      <c r="C15" s="18">
        <f>'FINANCIAL STATEMENTS'!C15/'FINANCIAL STATEMENTS'!C$9</f>
        <v>0.39726494571555887</v>
      </c>
      <c r="D15" s="18">
        <f>'FINANCIAL STATEMENTS'!D15/'FINANCIAL STATEMENTS'!D$9</f>
        <v>0.50847158489234023</v>
      </c>
      <c r="E15" s="18">
        <f>'FINANCIAL STATEMENTS'!E15/'FINANCIAL STATEMENTS'!E$9</f>
        <v>0.50447623729955549</v>
      </c>
      <c r="F15" s="18">
        <f>'FINANCIAL STATEMENTS'!F15/'FINANCIAL STATEMENTS'!F$9</f>
        <v>0.40478303425190543</v>
      </c>
      <c r="G15" s="18">
        <f>'FINANCIAL STATEMENTS'!G15/'FINANCIAL STATEMENTS'!G$9</f>
        <v>0.40174111839108073</v>
      </c>
    </row>
    <row r="16" spans="1:7" x14ac:dyDescent="0.3">
      <c r="A16" s="10" t="s">
        <v>52</v>
      </c>
      <c r="B16" s="18">
        <f>'FINANCIAL STATEMENTS'!B16/'FINANCIAL STATEMENTS'!B$9</f>
        <v>6.1224554250314638E-2</v>
      </c>
      <c r="C16" s="18">
        <f>'FINANCIAL STATEMENTS'!C16/'FINANCIAL STATEMENTS'!C$9</f>
        <v>7.3031837112894585E-2</v>
      </c>
      <c r="D16" s="18">
        <f>'FINANCIAL STATEMENTS'!D16/'FINANCIAL STATEMENTS'!D$9</f>
        <v>6.8330256912952664E-2</v>
      </c>
      <c r="E16" s="18">
        <f>'FINANCIAL STATEMENTS'!E16/'FINANCIAL STATEMENTS'!E$9</f>
        <v>8.1056367467611343E-2</v>
      </c>
      <c r="F16" s="18">
        <f>'FINANCIAL STATEMENTS'!F16/'FINANCIAL STATEMENTS'!F$9</f>
        <v>7.5013186208971641E-2</v>
      </c>
      <c r="G16" s="18">
        <f>'FINANCIAL STATEMENTS'!G16/'FINANCIAL STATEMENTS'!G$9</f>
        <v>6.8391494860304644E-2</v>
      </c>
    </row>
    <row r="17" spans="1:7" x14ac:dyDescent="0.3">
      <c r="A17" s="10" t="s">
        <v>53</v>
      </c>
      <c r="B17" s="18">
        <f>'FINANCIAL STATEMENTS'!B17/'FINANCIAL STATEMENTS'!B$9</f>
        <v>4.4184133190369188E-3</v>
      </c>
      <c r="C17" s="18">
        <f>'FINANCIAL STATEMENTS'!C17/'FINANCIAL STATEMENTS'!C$9</f>
        <v>-1.4440996536541656E-2</v>
      </c>
      <c r="D17" s="18">
        <f>'FINANCIAL STATEMENTS'!D17/'FINANCIAL STATEMENTS'!D$9</f>
        <v>-2.5351802347672224E-2</v>
      </c>
      <c r="E17" s="18">
        <f>'FINANCIAL STATEMENTS'!E17/'FINANCIAL STATEMENTS'!E$9</f>
        <v>-5.7581954257167316E-3</v>
      </c>
      <c r="F17" s="18">
        <f>'FINANCIAL STATEMENTS'!F17/'FINANCIAL STATEMENTS'!F$9</f>
        <v>5.1625463308310133E-3</v>
      </c>
      <c r="G17" s="18">
        <f>'FINANCIAL STATEMENTS'!G17/'FINANCIAL STATEMENTS'!G$9</f>
        <v>-1.0328261283722778E-2</v>
      </c>
    </row>
    <row r="18" spans="1:7" x14ac:dyDescent="0.3">
      <c r="A18" s="10" t="s">
        <v>54</v>
      </c>
      <c r="B18" s="18">
        <f>'FINANCIAL STATEMENTS'!B18/'FINANCIAL STATEMENTS'!B$9</f>
        <v>0.1163647101738783</v>
      </c>
      <c r="C18" s="18">
        <f>'FINANCIAL STATEMENTS'!C18/'FINANCIAL STATEMENTS'!C$9</f>
        <v>0.12672268042398008</v>
      </c>
      <c r="D18" s="18">
        <f>'FINANCIAL STATEMENTS'!D18/'FINANCIAL STATEMENTS'!D$9</f>
        <v>0.1041816084769808</v>
      </c>
      <c r="E18" s="18">
        <f>'FINANCIAL STATEMENTS'!E18/'FINANCIAL STATEMENTS'!E$9</f>
        <v>9.8596121380721269E-2</v>
      </c>
      <c r="F18" s="18">
        <f>'FINANCIAL STATEMENTS'!F18/'FINANCIAL STATEMENTS'!F$9</f>
        <v>0.11232411298678155</v>
      </c>
      <c r="G18" s="18">
        <f>'FINANCIAL STATEMENTS'!G18/'FINANCIAL STATEMENTS'!G$9</f>
        <v>0.12801361750064194</v>
      </c>
    </row>
    <row r="19" spans="1:7" x14ac:dyDescent="0.3">
      <c r="A19" s="10" t="s">
        <v>57</v>
      </c>
      <c r="B19" s="18">
        <f>'FINANCIAL STATEMENTS'!B19/'FINANCIAL STATEMENTS'!B$9</f>
        <v>0.18566652822936586</v>
      </c>
      <c r="C19" s="18">
        <f>'FINANCIAL STATEMENTS'!C19/'FINANCIAL STATEMENTS'!C$9</f>
        <v>0.16845148182287623</v>
      </c>
      <c r="D19" s="18">
        <f>'FINANCIAL STATEMENTS'!D19/'FINANCIAL STATEMENTS'!D$9</f>
        <v>0.14512422967707703</v>
      </c>
      <c r="E19" s="18">
        <f>'FINANCIAL STATEMENTS'!E19/'FINANCIAL STATEMENTS'!E$9</f>
        <v>0.14656409743447954</v>
      </c>
      <c r="F19" s="18">
        <f>'FINANCIAL STATEMENTS'!F19/'FINANCIAL STATEMENTS'!F$9</f>
        <v>0.1743937701990782</v>
      </c>
      <c r="G19" s="18">
        <f>'FINANCIAL STATEMENTS'!G19/'FINANCIAL STATEMENTS'!G$9</f>
        <v>0.1773687741764477</v>
      </c>
    </row>
    <row r="20" spans="1:7" x14ac:dyDescent="0.3">
      <c r="A20" s="11" t="s">
        <v>70</v>
      </c>
      <c r="B20" s="18">
        <f>'FINANCIAL STATEMENTS'!B20/'FINANCIAL STATEMENTS'!B$9</f>
        <v>0.76572618786310176</v>
      </c>
      <c r="C20" s="18">
        <f>'FINANCIAL STATEMENTS'!C20/'FINANCIAL STATEMENTS'!C$9</f>
        <v>0.75102994853876814</v>
      </c>
      <c r="D20" s="18">
        <f>'FINANCIAL STATEMENTS'!D20/'FINANCIAL STATEMENTS'!D$9</f>
        <v>0.80075587761167855</v>
      </c>
      <c r="E20" s="18">
        <f>'FINANCIAL STATEMENTS'!E20/'FINANCIAL STATEMENTS'!E$9</f>
        <v>0.82493462815665086</v>
      </c>
      <c r="F20" s="18">
        <f>'FINANCIAL STATEMENTS'!F20/'FINANCIAL STATEMENTS'!F$9</f>
        <v>0.77167664997756769</v>
      </c>
      <c r="G20" s="18">
        <f>'FINANCIAL STATEMENTS'!G20/'FINANCIAL STATEMENTS'!G$9</f>
        <v>0.76518674364475225</v>
      </c>
    </row>
    <row r="21" spans="1:7" x14ac:dyDescent="0.3">
      <c r="B21"/>
      <c r="C21"/>
      <c r="D21"/>
      <c r="E21"/>
      <c r="F21"/>
      <c r="G21"/>
    </row>
    <row r="22" spans="1:7" x14ac:dyDescent="0.3">
      <c r="A22" s="11" t="s">
        <v>58</v>
      </c>
      <c r="B22" s="18">
        <f>'FINANCIAL STATEMENTS'!B22/'FINANCIAL STATEMENTS'!B$9</f>
        <v>0.25825452145172828</v>
      </c>
      <c r="C22" s="18">
        <f>'FINANCIAL STATEMENTS'!C22/'FINANCIAL STATEMENTS'!C$9</f>
        <v>0.26079213941344798</v>
      </c>
      <c r="D22" s="18">
        <f>'FINANCIAL STATEMENTS'!D22/'FINANCIAL STATEMENTS'!D$9</f>
        <v>0.20373622074683939</v>
      </c>
      <c r="E22" s="18">
        <f>'FINANCIAL STATEMENTS'!E22/'FINANCIAL STATEMENTS'!E$9</f>
        <v>0.18101418599669541</v>
      </c>
      <c r="F22" s="18">
        <f>'FINANCIAL STATEMENTS'!F22/'FINANCIAL STATEMENTS'!F$9</f>
        <v>0.24314832044860868</v>
      </c>
      <c r="G22" s="18">
        <f>'FINANCIAL STATEMENTS'!G22/'FINANCIAL STATEMENTS'!G$9</f>
        <v>0.25919388372112284</v>
      </c>
    </row>
    <row r="23" spans="1:7" x14ac:dyDescent="0.3">
      <c r="A23" s="10" t="s">
        <v>56</v>
      </c>
      <c r="B23" s="18">
        <f>'FINANCIAL STATEMENTS'!B23/'FINANCIAL STATEMENTS'!B$9</f>
        <v>1.9863910343161331E-2</v>
      </c>
      <c r="C23" s="18">
        <f>'FINANCIAL STATEMENTS'!C23/'FINANCIAL STATEMENTS'!C$9</f>
        <v>2.3663479898911415E-2</v>
      </c>
      <c r="D23" s="18">
        <f>'FINANCIAL STATEMENTS'!D23/'FINANCIAL STATEMENTS'!D$9</f>
        <v>2.1851203176394673E-2</v>
      </c>
      <c r="E23" s="18">
        <f>'FINANCIAL STATEMENTS'!E23/'FINANCIAL STATEMENTS'!E$9</f>
        <v>2.0946355926685395E-2</v>
      </c>
      <c r="F23" s="18">
        <f>'FINANCIAL STATEMENTS'!F23/'FINANCIAL STATEMENTS'!F$9</f>
        <v>2.5889744487537805E-2</v>
      </c>
      <c r="G23" s="18">
        <f>'FINANCIAL STATEMENTS'!G23/'FINANCIAL STATEMENTS'!G$9</f>
        <v>2.5546066745632708E-2</v>
      </c>
    </row>
    <row r="24" spans="1:7" x14ac:dyDescent="0.3">
      <c r="A24" s="11" t="s">
        <v>69</v>
      </c>
      <c r="B24" s="18">
        <f>'FINANCIAL STATEMENTS'!B24/'FINANCIAL STATEMENTS'!B$9</f>
        <v>0.23839061110856696</v>
      </c>
      <c r="C24" s="18">
        <f>'FINANCIAL STATEMENTS'!C24/'FINANCIAL STATEMENTS'!C$9</f>
        <v>0.2371286595145366</v>
      </c>
      <c r="D24" s="18">
        <f>'FINANCIAL STATEMENTS'!D24/'FINANCIAL STATEMENTS'!D$9</f>
        <v>0.1818850175704447</v>
      </c>
      <c r="E24" s="18">
        <f>'FINANCIAL STATEMENTS'!E24/'FINANCIAL STATEMENTS'!E$9</f>
        <v>0.16006783007001002</v>
      </c>
      <c r="F24" s="18">
        <f>'FINANCIAL STATEMENTS'!F24/'FINANCIAL STATEMENTS'!F$9</f>
        <v>0.21725857596107087</v>
      </c>
      <c r="G24" s="18">
        <f>'FINANCIAL STATEMENTS'!G24/'FINANCIAL STATEMENTS'!G$9</f>
        <v>0.23364781697549017</v>
      </c>
    </row>
    <row r="25" spans="1:7" x14ac:dyDescent="0.3">
      <c r="A25" s="10" t="s">
        <v>55</v>
      </c>
      <c r="B25" s="18">
        <f>'FINANCIAL STATEMENTS'!B25/'FINANCIAL STATEMENTS'!B$9</f>
        <v>2.1160378297031706E-3</v>
      </c>
      <c r="C25" s="18">
        <f>'FINANCIAL STATEMENTS'!C25/'FINANCIAL STATEMENTS'!C$9</f>
        <v>2.7331238849932354E-3</v>
      </c>
      <c r="D25" s="18">
        <f>'FINANCIAL STATEMENTS'!D25/'FINANCIAL STATEMENTS'!D$9</f>
        <v>3.0621811633140799E-3</v>
      </c>
      <c r="E25" s="18">
        <f>'FINANCIAL STATEMENTS'!E25/'FINANCIAL STATEMENTS'!E$9</f>
        <v>2.6922536134988259E-3</v>
      </c>
      <c r="F25" s="18">
        <f>'FINANCIAL STATEMENTS'!F25/'FINANCIAL STATEMENTS'!F$9</f>
        <v>2.6381372923899682E-3</v>
      </c>
      <c r="G25" s="18">
        <f>'FINANCIAL STATEMENTS'!G25/'FINANCIAL STATEMENTS'!G$9</f>
        <v>2.8759101112427209E-3</v>
      </c>
    </row>
    <row r="26" spans="1:7" x14ac:dyDescent="0.3">
      <c r="A26" s="10" t="s">
        <v>59</v>
      </c>
      <c r="B26" s="18">
        <f>'FINANCIAL STATEMENTS'!B26/'FINANCIAL STATEMENTS'!B$9</f>
        <v>9.3610986973734281E-3</v>
      </c>
      <c r="C26" s="18">
        <f>'FINANCIAL STATEMENTS'!C26/'FINANCIAL STATEMENTS'!C$9</f>
        <v>7.2389979296465928E-5</v>
      </c>
      <c r="D26" s="18">
        <f>'FINANCIAL STATEMENTS'!D26/'FINANCIAL STATEMENTS'!D$9</f>
        <v>0</v>
      </c>
      <c r="E26" s="18">
        <f>'FINANCIAL STATEMENTS'!E26/'FINANCIAL STATEMENTS'!E$9</f>
        <v>0</v>
      </c>
      <c r="F26" s="18">
        <f>'FINANCIAL STATEMENTS'!F26/'FINANCIAL STATEMENTS'!F$9</f>
        <v>-6.4028111475180835E-4</v>
      </c>
      <c r="G26" s="18">
        <f>'FINANCIAL STATEMENTS'!G26/'FINANCIAL STATEMENTS'!G$9</f>
        <v>1.6698832903989994E-3</v>
      </c>
    </row>
    <row r="27" spans="1:7" x14ac:dyDescent="0.3">
      <c r="A27" s="11" t="s">
        <v>60</v>
      </c>
      <c r="B27" s="18">
        <f>'FINANCIAL STATEMENTS'!B27/'FINANCIAL STATEMENTS'!B$9</f>
        <v>0.22691347458149036</v>
      </c>
      <c r="C27" s="18">
        <f>'FINANCIAL STATEMENTS'!C27/'FINANCIAL STATEMENTS'!C$9</f>
        <v>0.23432314565024689</v>
      </c>
      <c r="D27" s="18">
        <f>'FINANCIAL STATEMENTS'!D27/'FINANCIAL STATEMENTS'!D$9</f>
        <v>0.17882283640713065</v>
      </c>
      <c r="E27" s="18">
        <f>'FINANCIAL STATEMENTS'!E27/'FINANCIAL STATEMENTS'!E$9</f>
        <v>0.15737557645651121</v>
      </c>
      <c r="F27" s="18">
        <f>'FINANCIAL STATEMENTS'!F27/'FINANCIAL STATEMENTS'!F$9</f>
        <v>0.21526071978343272</v>
      </c>
      <c r="G27" s="18">
        <f>'FINANCIAL STATEMENTS'!G27/'FINANCIAL STATEMENTS'!G$9</f>
        <v>0.22910202357384843</v>
      </c>
    </row>
    <row r="28" spans="1:7" x14ac:dyDescent="0.3">
      <c r="B28"/>
      <c r="C28"/>
      <c r="D28"/>
      <c r="E28"/>
      <c r="F28"/>
      <c r="G28"/>
    </row>
    <row r="29" spans="1:7" x14ac:dyDescent="0.3">
      <c r="A29" s="101" t="s">
        <v>61</v>
      </c>
      <c r="B29" s="102"/>
      <c r="C29" s="102"/>
      <c r="D29" s="102"/>
      <c r="E29" s="102"/>
      <c r="F29" s="102"/>
      <c r="G29" s="103"/>
    </row>
    <row r="30" spans="1:7" x14ac:dyDescent="0.3">
      <c r="B30"/>
      <c r="C30"/>
      <c r="D30"/>
      <c r="E30"/>
      <c r="F30"/>
      <c r="G30"/>
    </row>
    <row r="31" spans="1:7" x14ac:dyDescent="0.3">
      <c r="A31" s="10" t="s">
        <v>62</v>
      </c>
      <c r="B31" s="18">
        <f>'FINANCIAL STATEMENTS'!B31/'FINANCIAL STATEMENTS'!B$9</f>
        <v>5.8214727307468191E-2</v>
      </c>
      <c r="C31" s="18">
        <f>'FINANCIAL STATEMENTS'!C31/'FINANCIAL STATEMENTS'!C$9</f>
        <v>6.0333026078087874E-2</v>
      </c>
      <c r="D31" s="18">
        <f>'FINANCIAL STATEMENTS'!D31/'FINANCIAL STATEMENTS'!D$9</f>
        <v>4.4688284796337963E-2</v>
      </c>
      <c r="E31" s="18">
        <f>'FINANCIAL STATEMENTS'!E31/'FINANCIAL STATEMENTS'!E$9</f>
        <v>3.9921412239420896E-2</v>
      </c>
      <c r="F31" s="18">
        <f>'FINANCIAL STATEMENTS'!F31/'FINANCIAL STATEMENTS'!F$9</f>
        <v>5.4154349837064131E-2</v>
      </c>
      <c r="G31" s="18">
        <f>'FINANCIAL STATEMENTS'!G31/'FINANCIAL STATEMENTS'!G$9</f>
        <v>5.6000728917309305E-2</v>
      </c>
    </row>
    <row r="32" spans="1:7" x14ac:dyDescent="0.3">
      <c r="A32" s="10" t="s">
        <v>63</v>
      </c>
      <c r="B32" s="18">
        <f>'FINANCIAL STATEMENTS'!B32/'FINANCIAL STATEMENTS'!B$9</f>
        <v>-5.2616701855007194E-3</v>
      </c>
      <c r="C32" s="18">
        <f>'FINANCIAL STATEMENTS'!C32/'FINANCIAL STATEMENTS'!C$9</f>
        <v>1.930399447905758E-5</v>
      </c>
      <c r="D32" s="18">
        <f>'FINANCIAL STATEMENTS'!D32/'FINANCIAL STATEMENTS'!D$9</f>
        <v>2.0234677290621676E-4</v>
      </c>
      <c r="E32" s="18">
        <f>'FINANCIAL STATEMENTS'!E32/'FINANCIAL STATEMENTS'!E$9</f>
        <v>-1.1805149914080025E-3</v>
      </c>
      <c r="F32" s="18">
        <f>'FINANCIAL STATEMENTS'!F32/'FINANCIAL STATEMENTS'!F$9</f>
        <v>-3.5819922503597665E-5</v>
      </c>
      <c r="G32" s="18">
        <f>'FINANCIAL STATEMENTS'!G32/'FINANCIAL STATEMENTS'!G$9</f>
        <v>1.3228192533567471E-3</v>
      </c>
    </row>
    <row r="33" spans="1:7" x14ac:dyDescent="0.3">
      <c r="A33" s="11" t="s">
        <v>71</v>
      </c>
      <c r="B33" s="18">
        <f>'FINANCIAL STATEMENTS'!B33/'FINANCIAL STATEMENTS'!B$9</f>
        <v>5.2953057121967469E-2</v>
      </c>
      <c r="C33" s="18">
        <f>'FINANCIAL STATEMENTS'!C33/'FINANCIAL STATEMENTS'!C$9</f>
        <v>6.0352330072566934E-2</v>
      </c>
      <c r="D33" s="18">
        <f>'FINANCIAL STATEMENTS'!D33/'FINANCIAL STATEMENTS'!D$9</f>
        <v>4.4890631569244187E-2</v>
      </c>
      <c r="E33" s="18">
        <f>'FINANCIAL STATEMENTS'!E33/'FINANCIAL STATEMENTS'!E$9</f>
        <v>3.8740897248012898E-2</v>
      </c>
      <c r="F33" s="18">
        <f>'FINANCIAL STATEMENTS'!F33/'FINANCIAL STATEMENTS'!F$9</f>
        <v>5.4118529914560537E-2</v>
      </c>
      <c r="G33" s="18">
        <f>'FINANCIAL STATEMENTS'!G33/'FINANCIAL STATEMENTS'!G$9</f>
        <v>5.7323548170666053E-2</v>
      </c>
    </row>
    <row r="34" spans="1:7" x14ac:dyDescent="0.3">
      <c r="B34"/>
      <c r="C34"/>
      <c r="D34"/>
      <c r="E34"/>
      <c r="F34"/>
      <c r="G34"/>
    </row>
    <row r="35" spans="1:7" ht="20.399999999999999" thickBot="1" x14ac:dyDescent="0.45">
      <c r="A35" s="3" t="s">
        <v>113</v>
      </c>
      <c r="B35" s="32">
        <f>'FINANCIAL STATEMENTS'!B36/'FINANCIAL STATEMENTS'!B$9</f>
        <v>0.1739604174595229</v>
      </c>
      <c r="C35" s="32">
        <f>'FINANCIAL STATEMENTS'!C36/'FINANCIAL STATEMENTS'!C$9</f>
        <v>0.17397081557767993</v>
      </c>
      <c r="D35" s="32">
        <f>'FINANCIAL STATEMENTS'!D36/'FINANCIAL STATEMENTS'!D$9</f>
        <v>0.13393220483788645</v>
      </c>
      <c r="E35" s="32">
        <f>'FINANCIAL STATEMENTS'!E36/'FINANCIAL STATEMENTS'!E$9</f>
        <v>0.11863467920849831</v>
      </c>
      <c r="F35" s="32">
        <f>'FINANCIAL STATEMENTS'!F36/'FINANCIAL STATEMENTS'!F$9</f>
        <v>0.16114218986887216</v>
      </c>
      <c r="G35" s="32">
        <f>'FINANCIAL STATEMENTS'!G36/'FINANCIAL STATEMENTS'!G$9</f>
        <v>0.17177847540318236</v>
      </c>
    </row>
    <row r="36" spans="1:7" ht="15" thickTop="1" x14ac:dyDescent="0.3">
      <c r="A36" s="42"/>
      <c r="B36" s="28"/>
      <c r="C36" s="28"/>
      <c r="D36" s="28"/>
      <c r="E36" s="28"/>
      <c r="F36" s="28"/>
      <c r="G36" s="28"/>
    </row>
    <row r="37" spans="1:7" x14ac:dyDescent="0.3">
      <c r="A37" s="101" t="s">
        <v>72</v>
      </c>
      <c r="B37" s="102"/>
      <c r="C37" s="102"/>
      <c r="D37" s="102"/>
      <c r="E37" s="102"/>
      <c r="F37" s="102"/>
      <c r="G37" s="103"/>
    </row>
    <row r="38" spans="1:7" x14ac:dyDescent="0.3">
      <c r="A38" s="104" t="s">
        <v>73</v>
      </c>
      <c r="B38" s="105"/>
      <c r="C38" s="105"/>
      <c r="D38" s="105"/>
      <c r="E38" s="105"/>
      <c r="F38" s="105"/>
      <c r="G38" s="106"/>
    </row>
    <row r="39" spans="1:7" x14ac:dyDescent="0.3">
      <c r="B39"/>
      <c r="C39"/>
      <c r="D39"/>
      <c r="E39"/>
      <c r="F39"/>
      <c r="G39"/>
    </row>
    <row r="40" spans="1:7" x14ac:dyDescent="0.3">
      <c r="A40" s="10" t="s">
        <v>74</v>
      </c>
      <c r="B40" s="18">
        <f>'FINANCIAL STATEMENTS'!B41/'FINANCIAL STATEMENTS'!B$9</f>
        <v>-2.3497494705957593E-3</v>
      </c>
      <c r="C40" s="18">
        <f>'FINANCIAL STATEMENTS'!C41/'FINANCIAL STATEMENTS'!C$9</f>
        <v>-1.528232896258725E-4</v>
      </c>
      <c r="D40" s="18">
        <f>'FINANCIAL STATEMENTS'!D41/'FINANCIAL STATEMENTS'!D$9</f>
        <v>-1.3613441221634916E-3</v>
      </c>
      <c r="E40" s="18">
        <f>'FINANCIAL STATEMENTS'!E41/'FINANCIAL STATEMENTS'!E$9</f>
        <v>1.8306947108965026E-4</v>
      </c>
      <c r="F40" s="18">
        <f>'FINANCIAL STATEMENTS'!F41/'FINANCIAL STATEMENTS'!F$9</f>
        <v>-2.3981438116158636E-3</v>
      </c>
      <c r="G40" s="18">
        <f>'FINANCIAL STATEMENTS'!G41/'FINANCIAL STATEMENTS'!G$9</f>
        <v>-1.2623522492897197E-3</v>
      </c>
    </row>
    <row r="41" spans="1:7" x14ac:dyDescent="0.3">
      <c r="A41" s="10" t="s">
        <v>75</v>
      </c>
      <c r="B41" s="18">
        <f>'FINANCIAL STATEMENTS'!B42/'FINANCIAL STATEMENTS'!B$9</f>
        <v>4.8637287428998248E-4</v>
      </c>
      <c r="C41" s="18">
        <f>'FINANCIAL STATEMENTS'!C42/'FINANCIAL STATEMENTS'!C$9</f>
        <v>3.860798895811516E-5</v>
      </c>
      <c r="D41" s="18">
        <f>'FINANCIAL STATEMENTS'!D42/'FINANCIAL STATEMENTS'!D$9</f>
        <v>3.428653652022006E-4</v>
      </c>
      <c r="E41" s="18">
        <f>'FINANCIAL STATEMENTS'!E42/'FINANCIAL STATEMENTS'!E$9</f>
        <v>-4.6239196306148775E-5</v>
      </c>
      <c r="F41" s="18">
        <f>'FINANCIAL STATEMENTS'!F42/'FINANCIAL STATEMENTS'!F$9</f>
        <v>6.0356569418562069E-4</v>
      </c>
      <c r="G41" s="18">
        <f>'FINANCIAL STATEMENTS'!G42/'FINANCIAL STATEMENTS'!G$9</f>
        <v>3.180730076950475E-4</v>
      </c>
    </row>
    <row r="42" spans="1:7" x14ac:dyDescent="0.3">
      <c r="A42" s="11" t="s">
        <v>64</v>
      </c>
      <c r="B42" s="18">
        <f>'FINANCIAL STATEMENTS'!B43/'FINANCIAL STATEMENTS'!B$9</f>
        <v>-1.863376596305777E-3</v>
      </c>
      <c r="C42" s="18">
        <f>'FINANCIAL STATEMENTS'!C43/'FINANCIAL STATEMENTS'!C$9</f>
        <v>-1.1421530066775734E-4</v>
      </c>
      <c r="D42" s="18">
        <f>'FINANCIAL STATEMENTS'!D43/'FINANCIAL STATEMENTS'!D$9</f>
        <v>-1.0184787569612909E-3</v>
      </c>
      <c r="E42" s="18">
        <f>'FINANCIAL STATEMENTS'!E43/'FINANCIAL STATEMENTS'!E$9</f>
        <v>1.3683027478350148E-4</v>
      </c>
      <c r="F42" s="18">
        <f>'FINANCIAL STATEMENTS'!F43/'FINANCIAL STATEMENTS'!F$9</f>
        <v>-1.7945781174302431E-3</v>
      </c>
      <c r="G42" s="18">
        <f>'FINANCIAL STATEMENTS'!G43/'FINANCIAL STATEMENTS'!G$9</f>
        <v>-9.4427924159467224E-4</v>
      </c>
    </row>
    <row r="43" spans="1:7" x14ac:dyDescent="0.3">
      <c r="A43" s="10"/>
      <c r="B43" s="18"/>
      <c r="C43" s="18"/>
      <c r="D43" s="18"/>
      <c r="E43" s="18"/>
      <c r="F43" s="18"/>
      <c r="G43" s="18"/>
    </row>
    <row r="44" spans="1:7" ht="17.399999999999999" x14ac:dyDescent="0.35">
      <c r="A44" s="36" t="s">
        <v>65</v>
      </c>
      <c r="B44" s="37">
        <f>'FINANCIAL STATEMENTS'!B45/'FINANCIAL STATEMENTS'!B$9</f>
        <v>0.17209704086321712</v>
      </c>
      <c r="C44" s="37">
        <f>'FINANCIAL STATEMENTS'!C45/'FINANCIAL STATEMENTS'!C$9</f>
        <v>0.17385660027701216</v>
      </c>
      <c r="D44" s="37">
        <f>'FINANCIAL STATEMENTS'!D45/'FINANCIAL STATEMENTS'!D$9</f>
        <v>0.13291372608092517</v>
      </c>
      <c r="E44" s="37">
        <f>'FINANCIAL STATEMENTS'!E45/'FINANCIAL STATEMENTS'!E$9</f>
        <v>0.11877150948328181</v>
      </c>
      <c r="F44" s="37">
        <f>'FINANCIAL STATEMENTS'!F45/'FINANCIAL STATEMENTS'!F$9</f>
        <v>0.15934761175144194</v>
      </c>
      <c r="G44" s="37">
        <f>'FINANCIAL STATEMENTS'!G45/'FINANCIAL STATEMENTS'!G$9</f>
        <v>0.17083419616158768</v>
      </c>
    </row>
    <row r="45" spans="1:7" x14ac:dyDescent="0.3">
      <c r="A45" s="33"/>
      <c r="B45" s="44"/>
      <c r="C45" s="44"/>
      <c r="D45" s="44"/>
      <c r="E45" s="44"/>
      <c r="F45" s="44"/>
      <c r="G45" s="44"/>
    </row>
    <row r="46" spans="1:7" x14ac:dyDescent="0.3">
      <c r="A46" s="101" t="s">
        <v>66</v>
      </c>
      <c r="B46" s="102"/>
      <c r="C46" s="102"/>
      <c r="D46" s="102"/>
      <c r="E46" s="102"/>
      <c r="F46" s="102"/>
      <c r="G46" s="103"/>
    </row>
    <row r="47" spans="1:7" x14ac:dyDescent="0.3">
      <c r="A47" s="29" t="s">
        <v>67</v>
      </c>
      <c r="B47" s="35">
        <f>'FINANCIAL STATEMENTS'!B49/'FINANCIAL STATEMENTS'!B$9</f>
        <v>3.4251388452434155E-3</v>
      </c>
      <c r="C47" s="35">
        <f>'FINANCIAL STATEMENTS'!C49/'FINANCIAL STATEMENTS'!C$9</f>
        <v>3.4232416876195442E-3</v>
      </c>
      <c r="D47" s="35">
        <f>'FINANCIAL STATEMENTS'!D49/'FINANCIAL STATEMENTS'!D$9</f>
        <v>2.6361287914726571E-3</v>
      </c>
      <c r="E47" s="35">
        <f>'FINANCIAL STATEMENTS'!E49/'FINANCIAL STATEMENTS'!E$9</f>
        <v>2.3336639278593047E-3</v>
      </c>
      <c r="F47" s="35">
        <f>'FINANCIAL STATEMENTS'!F49/'FINANCIAL STATEMENTS'!F$9</f>
        <v>3.1691676435058034E-3</v>
      </c>
      <c r="G47" s="35">
        <f>'FINANCIAL STATEMENTS'!G49/'FINANCIAL STATEMENTS'!G$9</f>
        <v>3.3770407613872623E-3</v>
      </c>
    </row>
    <row r="48" spans="1:7" x14ac:dyDescent="0.3">
      <c r="A48" s="7" t="s">
        <v>68</v>
      </c>
      <c r="B48" s="18">
        <f>'FINANCIAL STATEMENTS'!B50/'FINANCIAL STATEMENTS'!B$9</f>
        <v>3.4235597125346815E-3</v>
      </c>
      <c r="C48" s="18">
        <f>'FINANCIAL STATEMENTS'!C50/'FINANCIAL STATEMENTS'!C$9</f>
        <v>3.4216330214129559E-3</v>
      </c>
      <c r="D48" s="18">
        <f>'FINANCIAL STATEMENTS'!D50/'FINANCIAL STATEMENTS'!D$9</f>
        <v>2.6338804939959213E-3</v>
      </c>
      <c r="E48" s="18">
        <f>'FINANCIAL STATEMENTS'!E50/'FINANCIAL STATEMENTS'!E$9</f>
        <v>2.332720270791832E-3</v>
      </c>
      <c r="F48" s="18">
        <f>'FINANCIAL STATEMENTS'!F50/'FINANCIAL STATEMENTS'!F$9</f>
        <v>3.1655856512554439E-3</v>
      </c>
      <c r="G48" s="18">
        <f>'FINANCIAL STATEMENTS'!G50/'FINANCIAL STATEMENTS'!G$9</f>
        <v>3.3695859252694093E-3</v>
      </c>
    </row>
    <row r="49" spans="1:7" x14ac:dyDescent="0.3">
      <c r="A49" s="2"/>
      <c r="B49" s="20"/>
      <c r="C49" s="20"/>
      <c r="D49" s="20"/>
      <c r="E49" s="20"/>
      <c r="F49" s="20"/>
      <c r="G49" s="20"/>
    </row>
    <row r="50" spans="1:7" x14ac:dyDescent="0.3">
      <c r="A50" s="2"/>
      <c r="B50" s="20"/>
      <c r="C50" s="20"/>
      <c r="D50" s="20"/>
      <c r="E50" s="20"/>
      <c r="F50" s="20"/>
      <c r="G50" s="20"/>
    </row>
    <row r="51" spans="1:7" ht="20.399999999999999" thickBot="1" x14ac:dyDescent="0.45">
      <c r="A51" s="3" t="s">
        <v>44</v>
      </c>
      <c r="B51" s="20"/>
      <c r="C51" s="20"/>
      <c r="D51" s="20"/>
      <c r="E51" s="20"/>
      <c r="F51" s="20"/>
      <c r="G51" s="20"/>
    </row>
    <row r="52" spans="1:7" ht="15" thickTop="1" x14ac:dyDescent="0.3">
      <c r="A52" s="29"/>
      <c r="B52" s="20"/>
      <c r="C52" s="20"/>
      <c r="D52" s="20"/>
      <c r="E52" s="20"/>
      <c r="F52" s="20"/>
      <c r="G52" s="20"/>
    </row>
    <row r="53" spans="1:7" x14ac:dyDescent="0.3">
      <c r="A53" s="40" t="s">
        <v>45</v>
      </c>
      <c r="B53" s="41">
        <v>43921</v>
      </c>
      <c r="C53" s="41">
        <v>44286</v>
      </c>
      <c r="D53" s="41">
        <v>44651</v>
      </c>
      <c r="E53" s="41">
        <v>45016</v>
      </c>
      <c r="F53" s="41">
        <v>45382</v>
      </c>
      <c r="G53" s="41">
        <v>45747</v>
      </c>
    </row>
    <row r="54" spans="1:7" x14ac:dyDescent="0.3">
      <c r="A54" s="95" t="s">
        <v>0</v>
      </c>
      <c r="B54" s="96"/>
      <c r="C54" s="96"/>
      <c r="D54" s="96"/>
      <c r="E54" s="96"/>
      <c r="F54" s="96"/>
      <c r="G54" s="97"/>
    </row>
    <row r="55" spans="1:7" x14ac:dyDescent="0.3">
      <c r="A55" s="1"/>
      <c r="B55" s="20"/>
      <c r="C55" s="20"/>
      <c r="D55" s="20"/>
      <c r="E55" s="20"/>
      <c r="F55" s="20"/>
      <c r="G55" s="20"/>
    </row>
    <row r="56" spans="1:7" x14ac:dyDescent="0.3">
      <c r="A56" s="101" t="s">
        <v>1</v>
      </c>
      <c r="B56" s="102"/>
      <c r="C56" s="102"/>
      <c r="D56" s="102"/>
      <c r="E56" s="102"/>
      <c r="F56" s="102"/>
      <c r="G56" s="103"/>
    </row>
    <row r="57" spans="1:7" x14ac:dyDescent="0.3">
      <c r="A57" s="29" t="s">
        <v>2</v>
      </c>
      <c r="B57" s="35">
        <f>'FINANCIAL STATEMENTS'!B60/'FINANCIAL STATEMENTS'!B$87</f>
        <v>0.1480032857540565</v>
      </c>
      <c r="C57" s="35">
        <f>'FINANCIAL STATEMENTS'!C60/'FINANCIAL STATEMENTS'!C$87</f>
        <v>0.13424176320045758</v>
      </c>
      <c r="D57" s="35">
        <f>'FINANCIAL STATEMENTS'!D60/'FINANCIAL STATEMENTS'!D$87</f>
        <v>0.15137491317030524</v>
      </c>
      <c r="E57" s="35">
        <f>'FINANCIAL STATEMENTS'!E60/'FINANCIAL STATEMENTS'!E$87</f>
        <v>0.14910646861147525</v>
      </c>
      <c r="F57" s="35">
        <f>'FINANCIAL STATEMENTS'!F60/'FINANCIAL STATEMENTS'!F$87</f>
        <v>0.16683845231101527</v>
      </c>
      <c r="G57" s="35">
        <f>'FINANCIAL STATEMENTS'!G60/'FINANCIAL STATEMENTS'!G$87</f>
        <v>0.15794208933225731</v>
      </c>
    </row>
    <row r="58" spans="1:7" x14ac:dyDescent="0.3">
      <c r="A58" s="10" t="s">
        <v>3</v>
      </c>
      <c r="B58" s="18">
        <f>'FINANCIAL STATEMENTS'!B61/'FINANCIAL STATEMENTS'!B$87</f>
        <v>1.8757325066247815E-2</v>
      </c>
      <c r="C58" s="18">
        <f>'FINANCIAL STATEMENTS'!C61/'FINANCIAL STATEMENTS'!C$87</f>
        <v>1.556652469170621E-2</v>
      </c>
      <c r="D58" s="18">
        <f>'FINANCIAL STATEMENTS'!D61/'FINANCIAL STATEMENTS'!D$87</f>
        <v>1.9563145071678129E-2</v>
      </c>
      <c r="E58" s="18">
        <f>'FINANCIAL STATEMENTS'!E61/'FINANCIAL STATEMENTS'!E$87</f>
        <v>2.8196935371735711E-2</v>
      </c>
      <c r="F58" s="18">
        <f>'FINANCIAL STATEMENTS'!F61/'FINANCIAL STATEMENTS'!F$87</f>
        <v>2.7583908199627815E-2</v>
      </c>
      <c r="G58" s="18">
        <f>'FINANCIAL STATEMENTS'!G61/'FINANCIAL STATEMENTS'!G$87</f>
        <v>2.994620654006102E-2</v>
      </c>
    </row>
    <row r="59" spans="1:7" x14ac:dyDescent="0.3">
      <c r="A59" s="10" t="s">
        <v>4</v>
      </c>
      <c r="B59" s="18">
        <f>'FINANCIAL STATEMENTS'!B62/'FINANCIAL STATEMENTS'!B$87</f>
        <v>4.2556701597852568E-2</v>
      </c>
      <c r="C59" s="18">
        <f>'FINANCIAL STATEMENTS'!C62/'FINANCIAL STATEMENTS'!C$87</f>
        <v>3.6925732710165145E-2</v>
      </c>
      <c r="D59" s="18">
        <f>'FINANCIAL STATEMENTS'!D62/'FINANCIAL STATEMENTS'!D$87</f>
        <v>2.3727537286702214E-2</v>
      </c>
      <c r="E59" s="18">
        <f>'FINANCIAL STATEMENTS'!E62/'FINANCIAL STATEMENTS'!E$87</f>
        <v>3.6259843617802656E-2</v>
      </c>
      <c r="F59" s="18">
        <f>'FINANCIAL STATEMENTS'!F62/'FINANCIAL STATEMENTS'!F$87</f>
        <v>1.1913011971055584E-2</v>
      </c>
      <c r="G59" s="18">
        <f>'FINANCIAL STATEMENTS'!G62/'FINANCIAL STATEMENTS'!G$87</f>
        <v>7.9736993006624141E-3</v>
      </c>
    </row>
    <row r="60" spans="1:7" x14ac:dyDescent="0.3">
      <c r="A60" s="10" t="s">
        <v>5</v>
      </c>
      <c r="B60" s="18">
        <f>'FINANCIAL STATEMENTS'!B63/'FINANCIAL STATEMENTS'!B$87</f>
        <v>1.4797922688544197E-2</v>
      </c>
      <c r="C60" s="18">
        <f>'FINANCIAL STATEMENTS'!C63/'FINANCIAL STATEMENTS'!C$87</f>
        <v>1.132564036303964E-2</v>
      </c>
      <c r="D60" s="18">
        <f>'FINANCIAL STATEMENTS'!D63/'FINANCIAL STATEMENTS'!D$87</f>
        <v>0.1355916492435088</v>
      </c>
      <c r="E60" s="18">
        <f>'FINANCIAL STATEMENTS'!E63/'FINANCIAL STATEMENTS'!E$87</f>
        <v>0.12240021569958255</v>
      </c>
      <c r="F60" s="18">
        <f>'FINANCIAL STATEMENTS'!F63/'FINANCIAL STATEMENTS'!F$87</f>
        <v>0.10420147817736017</v>
      </c>
      <c r="G60" s="18">
        <f>'FINANCIAL STATEMENTS'!G63/'FINANCIAL STATEMENTS'!G$87</f>
        <v>8.9280264755148941E-2</v>
      </c>
    </row>
    <row r="61" spans="1:7" x14ac:dyDescent="0.3">
      <c r="A61" s="10" t="s">
        <v>6</v>
      </c>
      <c r="B61" s="18">
        <f>'FINANCIAL STATEMENTS'!B64/'FINANCIAL STATEMENTS'!B$87</f>
        <v>3.3165150385113744E-2</v>
      </c>
      <c r="C61" s="18">
        <f>'FINANCIAL STATEMENTS'!C64/'FINANCIAL STATEMENTS'!C$87</f>
        <v>2.5470229201892597E-2</v>
      </c>
      <c r="D61" s="18">
        <f>'FINANCIAL STATEMENTS'!D64/'FINANCIAL STATEMENTS'!D$87</f>
        <v>0.17816595085811202</v>
      </c>
      <c r="E61" s="18">
        <f>'FINANCIAL STATEMENTS'!E64/'FINANCIAL STATEMENTS'!E$87</f>
        <v>0.15870034803251612</v>
      </c>
      <c r="F61" s="18">
        <f>'FINANCIAL STATEMENTS'!F64/'FINANCIAL STATEMENTS'!F$87</f>
        <v>0.13535155081982206</v>
      </c>
      <c r="G61" s="18">
        <f>'FINANCIAL STATEMENTS'!G64/'FINANCIAL STATEMENTS'!G$87</f>
        <v>0.11477319565101088</v>
      </c>
    </row>
    <row r="62" spans="1:7" x14ac:dyDescent="0.3">
      <c r="A62" s="10" t="s">
        <v>7</v>
      </c>
      <c r="B62" s="18">
        <f>'FINANCIAL STATEMENTS'!B65/'FINANCIAL STATEMENTS'!B$87</f>
        <v>0.19046718885868161</v>
      </c>
      <c r="C62" s="18">
        <f>'FINANCIAL STATEMENTS'!C65/'FINANCIAL STATEMENTS'!C$87</f>
        <v>0.43448535497894003</v>
      </c>
      <c r="D62" s="18">
        <f>'FINANCIAL STATEMENTS'!D65/'FINANCIAL STATEMENTS'!D$87</f>
        <v>0.1046488075007124</v>
      </c>
      <c r="E62" s="18">
        <f>'FINANCIAL STATEMENTS'!E65/'FINANCIAL STATEMENTS'!E$87</f>
        <v>0.10370831796680417</v>
      </c>
      <c r="F62" s="18">
        <f>'FINANCIAL STATEMENTS'!F65/'FINANCIAL STATEMENTS'!F$87</f>
        <v>9.2680700322581772E-2</v>
      </c>
      <c r="G62" s="18">
        <f>'FINANCIAL STATEMENTS'!G65/'FINANCIAL STATEMENTS'!G$87</f>
        <v>8.5606877485187763E-2</v>
      </c>
    </row>
    <row r="63" spans="1:7" x14ac:dyDescent="0.3">
      <c r="A63" s="10" t="s">
        <v>8</v>
      </c>
      <c r="B63" s="18">
        <f>'FINANCIAL STATEMENTS'!B66/'FINANCIAL STATEMENTS'!B$87</f>
        <v>6.9427020859039082E-4</v>
      </c>
      <c r="C63" s="18">
        <f>'FINANCIAL STATEMENTS'!C66/'FINANCIAL STATEMENTS'!C$87</f>
        <v>6.3226298992183306E-4</v>
      </c>
      <c r="D63" s="18">
        <f>'FINANCIAL STATEMENTS'!D66/'FINANCIAL STATEMENTS'!D$87</f>
        <v>5.779109833985057E-4</v>
      </c>
      <c r="E63" s="18">
        <f>'FINANCIAL STATEMENTS'!E66/'FINANCIAL STATEMENTS'!E$87</f>
        <v>6.4048726618340878E-4</v>
      </c>
      <c r="F63" s="18">
        <f>'FINANCIAL STATEMENTS'!F66/'FINANCIAL STATEMENTS'!F$87</f>
        <v>6.8157273568345477E-4</v>
      </c>
      <c r="G63" s="18">
        <f>'FINANCIAL STATEMENTS'!G66/'FINANCIAL STATEMENTS'!G$87</f>
        <v>5.5534080368438855E-4</v>
      </c>
    </row>
    <row r="64" spans="1:7" x14ac:dyDescent="0.3">
      <c r="A64" s="10" t="s">
        <v>9</v>
      </c>
      <c r="B64" s="18">
        <f>'FINANCIAL STATEMENTS'!B67/'FINANCIAL STATEMENTS'!B$87</f>
        <v>2.2546596873034472E-3</v>
      </c>
      <c r="C64" s="18">
        <f>'FINANCIAL STATEMENTS'!C67/'FINANCIAL STATEMENTS'!C$87</f>
        <v>1.9872996467460106E-3</v>
      </c>
      <c r="D64" s="18">
        <f>'FINANCIAL STATEMENTS'!D67/'FINANCIAL STATEMENTS'!D$87</f>
        <v>2.2258155697229575E-3</v>
      </c>
      <c r="E64" s="18">
        <f>'FINANCIAL STATEMENTS'!E67/'FINANCIAL STATEMENTS'!E$87</f>
        <v>3.6104887021145382E-3</v>
      </c>
      <c r="F64" s="18">
        <f>'FINANCIAL STATEMENTS'!F67/'FINANCIAL STATEMENTS'!F$87</f>
        <v>3.4747017789488123E-3</v>
      </c>
      <c r="G64" s="18">
        <f>'FINANCIAL STATEMENTS'!G67/'FINANCIAL STATEMENTS'!G$87</f>
        <v>3.3938330797754221E-3</v>
      </c>
    </row>
    <row r="65" spans="1:7" x14ac:dyDescent="0.3">
      <c r="A65" s="10" t="s">
        <v>10</v>
      </c>
      <c r="B65" s="18">
        <f>'FINANCIAL STATEMENTS'!B68/'FINANCIAL STATEMENTS'!B$87</f>
        <v>1.818163071011469E-2</v>
      </c>
      <c r="C65" s="18">
        <f>'FINANCIAL STATEMENTS'!C68/'FINANCIAL STATEMENTS'!C$87</f>
        <v>1.1409592295311419E-2</v>
      </c>
      <c r="D65" s="18">
        <f>'FINANCIAL STATEMENTS'!D68/'FINANCIAL STATEMENTS'!D$87</f>
        <v>1.4867761378838388E-2</v>
      </c>
      <c r="E65" s="18">
        <f>'FINANCIAL STATEMENTS'!E68/'FINANCIAL STATEMENTS'!E$87</f>
        <v>1.4174396418229922E-2</v>
      </c>
      <c r="F65" s="18">
        <f>'FINANCIAL STATEMENTS'!F68/'FINANCIAL STATEMENTS'!F$87</f>
        <v>1.1395896140627365E-2</v>
      </c>
      <c r="G65" s="18">
        <f>'FINANCIAL STATEMENTS'!G68/'FINANCIAL STATEMENTS'!G$87</f>
        <v>1.1910816938723378E-2</v>
      </c>
    </row>
    <row r="66" spans="1:7" x14ac:dyDescent="0.3">
      <c r="A66" s="10" t="s">
        <v>11</v>
      </c>
      <c r="B66" s="18">
        <f>'FINANCIAL STATEMENTS'!B69/'FINANCIAL STATEMENTS'!B$87</f>
        <v>1.1096293903138993E-2</v>
      </c>
      <c r="C66" s="18">
        <f>'FINANCIAL STATEMENTS'!C69/'FINANCIAL STATEMENTS'!C$87</f>
        <v>1.0411351350642301E-2</v>
      </c>
      <c r="D66" s="18">
        <f>'FINANCIAL STATEMENTS'!D69/'FINANCIAL STATEMENTS'!D$87</f>
        <v>4.829275940478603E-3</v>
      </c>
      <c r="E66" s="18">
        <f>'FINANCIAL STATEMENTS'!E69/'FINANCIAL STATEMENTS'!E$87</f>
        <v>4.9338180375676777E-3</v>
      </c>
      <c r="F66" s="18">
        <f>'FINANCIAL STATEMENTS'!F69/'FINANCIAL STATEMENTS'!F$87</f>
        <v>4.601275552381723E-3</v>
      </c>
      <c r="G66" s="18">
        <f>'FINANCIAL STATEMENTS'!G69/'FINANCIAL STATEMENTS'!G$87</f>
        <v>3.4322623619842466E-3</v>
      </c>
    </row>
    <row r="67" spans="1:7" x14ac:dyDescent="0.3">
      <c r="A67" s="38" t="s">
        <v>12</v>
      </c>
      <c r="B67" s="18">
        <f>'FINANCIAL STATEMENTS'!B71/'FINANCIAL STATEMENTS'!B$87</f>
        <v>0.47997442885964398</v>
      </c>
      <c r="C67" s="18">
        <f>'FINANCIAL STATEMENTS'!C71/'FINANCIAL STATEMENTS'!C$87</f>
        <v>0.68245575142882253</v>
      </c>
      <c r="D67" s="18">
        <f>'FINANCIAL STATEMENTS'!D71/'FINANCIAL STATEMENTS'!D$87</f>
        <v>0.63557276700345722</v>
      </c>
      <c r="E67" s="18">
        <f>'FINANCIAL STATEMENTS'!E71/'FINANCIAL STATEMENTS'!E$87</f>
        <v>0.62173131972401197</v>
      </c>
      <c r="F67" s="18">
        <f>'FINANCIAL STATEMENTS'!F71/'FINANCIAL STATEMENTS'!F$87</f>
        <v>0.55872254800910404</v>
      </c>
      <c r="G67" s="18">
        <f>'FINANCIAL STATEMENTS'!G71/'FINANCIAL STATEMENTS'!G$87</f>
        <v>0.50481458624849573</v>
      </c>
    </row>
    <row r="68" spans="1:7" x14ac:dyDescent="0.3">
      <c r="A68" s="2"/>
      <c r="B68" s="20"/>
      <c r="C68" s="20"/>
      <c r="D68" s="20"/>
      <c r="E68" s="20"/>
      <c r="F68" s="20"/>
      <c r="G68" s="20"/>
    </row>
    <row r="69" spans="1:7" x14ac:dyDescent="0.3">
      <c r="A69" s="101" t="s">
        <v>13</v>
      </c>
      <c r="B69" s="102"/>
      <c r="C69" s="102"/>
      <c r="D69" s="102"/>
      <c r="E69" s="102"/>
      <c r="F69" s="102"/>
      <c r="G69" s="103"/>
    </row>
    <row r="70" spans="1:7" x14ac:dyDescent="0.3">
      <c r="A70" s="29" t="s">
        <v>19</v>
      </c>
      <c r="B70" s="35">
        <f>'FINANCIAL STATEMENTS'!B75/'FINANCIAL STATEMENTS'!B$87</f>
        <v>0.12553402095871155</v>
      </c>
      <c r="C70" s="35">
        <f>'FINANCIAL STATEMENTS'!C75/'FINANCIAL STATEMENTS'!C$87</f>
        <v>0.12801882622081198</v>
      </c>
      <c r="D70" s="35">
        <f>'FINANCIAL STATEMENTS'!D75/'FINANCIAL STATEMENTS'!D$87</f>
        <v>0.16501017924395514</v>
      </c>
      <c r="E70" s="35">
        <f>'FINANCIAL STATEMENTS'!E75/'FINANCIAL STATEMENTS'!E$87</f>
        <v>0.16128295797680403</v>
      </c>
      <c r="F70" s="35">
        <f>'FINANCIAL STATEMENTS'!F75/'FINANCIAL STATEMENTS'!F$87</f>
        <v>0.11056604835560684</v>
      </c>
      <c r="G70" s="35">
        <f>'FINANCIAL STATEMENTS'!G75/'FINANCIAL STATEMENTS'!G$87</f>
        <v>0.11230166534424724</v>
      </c>
    </row>
    <row r="71" spans="1:7" x14ac:dyDescent="0.3">
      <c r="A71" s="10" t="s">
        <v>7</v>
      </c>
      <c r="B71" s="18">
        <f>'FINANCIAL STATEMENTS'!B76/'FINANCIAL STATEMENTS'!B$87</f>
        <v>0.12290301182665239</v>
      </c>
      <c r="C71" s="18">
        <f>'FINANCIAL STATEMENTS'!C76/'FINANCIAL STATEMENTS'!C$87</f>
        <v>2.221446832847768E-2</v>
      </c>
      <c r="D71" s="18">
        <f>'FINANCIAL STATEMENTS'!D76/'FINANCIAL STATEMENTS'!D$87</f>
        <v>1.9489904867841489E-2</v>
      </c>
      <c r="E71" s="18">
        <f>'FINANCIAL STATEMENTS'!E76/'FINANCIAL STATEMENTS'!E$87</f>
        <v>4.573388993742853E-2</v>
      </c>
      <c r="F71" s="18">
        <f>'FINANCIAL STATEMENTS'!F76/'FINANCIAL STATEMENTS'!F$87</f>
        <v>0.1547293232818211</v>
      </c>
      <c r="G71" s="18">
        <f>'FINANCIAL STATEMENTS'!G76/'FINANCIAL STATEMENTS'!G$87</f>
        <v>0.22883657985416464</v>
      </c>
    </row>
    <row r="72" spans="1:7" x14ac:dyDescent="0.3">
      <c r="A72" s="10" t="s">
        <v>14</v>
      </c>
      <c r="B72" s="18">
        <f>'FINANCIAL STATEMENTS'!B77/'FINANCIAL STATEMENTS'!B$87</f>
        <v>0.13861860850377894</v>
      </c>
      <c r="C72" s="18">
        <f>'FINANCIAL STATEMENTS'!C77/'FINANCIAL STATEMENTS'!C$87</f>
        <v>0.13105552502095522</v>
      </c>
      <c r="D72" s="18">
        <f>'FINANCIAL STATEMENTS'!D77/'FINANCIAL STATEMENTS'!D$87</f>
        <v>0.13869062536834675</v>
      </c>
      <c r="E72" s="18">
        <f>'FINANCIAL STATEMENTS'!E77/'FINANCIAL STATEMENTS'!E$87</f>
        <v>0.13482463561956295</v>
      </c>
      <c r="F72" s="18">
        <f>'FINANCIAL STATEMENTS'!F77/'FINANCIAL STATEMENTS'!F$87</f>
        <v>0.12360915189486014</v>
      </c>
      <c r="G72" s="18">
        <f>'FINANCIAL STATEMENTS'!G77/'FINANCIAL STATEMENTS'!G$87</f>
        <v>0.11724020486574993</v>
      </c>
    </row>
    <row r="73" spans="1:7" x14ac:dyDescent="0.3">
      <c r="A73" s="10" t="s">
        <v>15</v>
      </c>
      <c r="B73" s="18">
        <f>'FINANCIAL STATEMENTS'!B78/'FINANCIAL STATEMENTS'!B$87</f>
        <v>9.6952085044663558E-2</v>
      </c>
      <c r="C73" s="18">
        <f>'FINANCIAL STATEMENTS'!C78/'FINANCIAL STATEMENTS'!C$87</f>
        <v>1.4404315129318774E-2</v>
      </c>
      <c r="D73" s="18">
        <f>'FINANCIAL STATEMENTS'!D78/'FINANCIAL STATEMENTS'!D$87</f>
        <v>1.6902465791675106E-2</v>
      </c>
      <c r="E73" s="18">
        <f>'FINANCIAL STATEMENTS'!E78/'FINANCIAL STATEMENTS'!E$87</f>
        <v>1.583656417837364E-2</v>
      </c>
      <c r="F73" s="18">
        <f>'FINANCIAL STATEMENTS'!F78/'FINANCIAL STATEMENTS'!F$87</f>
        <v>3.3407617432783733E-2</v>
      </c>
      <c r="G73" s="18">
        <f>'FINANCIAL STATEMENTS'!G78/'FINANCIAL STATEMENTS'!G$87</f>
        <v>1.5979046245496804E-2</v>
      </c>
    </row>
    <row r="74" spans="1:7" x14ac:dyDescent="0.3">
      <c r="A74" s="10" t="s">
        <v>16</v>
      </c>
      <c r="B74" s="18">
        <f>'FINANCIAL STATEMENTS'!B79/'FINANCIAL STATEMENTS'!B$87</f>
        <v>8.0253511735572404E-4</v>
      </c>
      <c r="C74" s="18">
        <f>'FINANCIAL STATEMENTS'!C79/'FINANCIAL STATEMENTS'!C$87</f>
        <v>3.3580772908711466E-4</v>
      </c>
      <c r="D74" s="18">
        <f>'FINANCIAL STATEMENTS'!D79/'FINANCIAL STATEMENTS'!D$87</f>
        <v>3.2843653907994289E-4</v>
      </c>
      <c r="E74" s="18">
        <f>'FINANCIAL STATEMENTS'!E79/'FINANCIAL STATEMENTS'!E$87</f>
        <v>2.8408709387167322E-4</v>
      </c>
      <c r="F74" s="18">
        <f>'FINANCIAL STATEMENTS'!F79/'FINANCIAL STATEMENTS'!F$87</f>
        <v>2.0227319897702525E-4</v>
      </c>
      <c r="G74" s="18">
        <f>'FINANCIAL STATEMENTS'!G79/'FINANCIAL STATEMENTS'!G$87</f>
        <v>1.944069570564074E-4</v>
      </c>
    </row>
    <row r="75" spans="1:7" x14ac:dyDescent="0.3">
      <c r="A75" s="10" t="s">
        <v>8</v>
      </c>
      <c r="B75" s="18">
        <f>'FINANCIAL STATEMENTS'!B80/'FINANCIAL STATEMENTS'!B$87</f>
        <v>4.361529181689138E-3</v>
      </c>
      <c r="C75" s="18">
        <f>'FINANCIAL STATEMENTS'!C80/'FINANCIAL STATEMENTS'!C$87</f>
        <v>2.1315920303381299E-3</v>
      </c>
      <c r="D75" s="18">
        <f>'FINANCIAL STATEMENTS'!D80/'FINANCIAL STATEMENTS'!D$87</f>
        <v>2.0381375473915615E-3</v>
      </c>
      <c r="E75" s="18">
        <f>'FINANCIAL STATEMENTS'!E80/'FINANCIAL STATEMENTS'!E$87</f>
        <v>2.4751733706055603E-3</v>
      </c>
      <c r="F75" s="18">
        <f>'FINANCIAL STATEMENTS'!F80/'FINANCIAL STATEMENTS'!F$87</f>
        <v>2.6040475746563992E-3</v>
      </c>
      <c r="G75" s="18">
        <f>'FINANCIAL STATEMENTS'!G80/'FINANCIAL STATEMENTS'!G$87</f>
        <v>1.7142473926485536E-3</v>
      </c>
    </row>
    <row r="76" spans="1:7" x14ac:dyDescent="0.3">
      <c r="A76" s="10" t="s">
        <v>9</v>
      </c>
      <c r="B76" s="18">
        <f>'FINANCIAL STATEMENTS'!B81/'FINANCIAL STATEMENTS'!B$87</f>
        <v>1.4143177764106231E-3</v>
      </c>
      <c r="C76" s="18">
        <f>'FINANCIAL STATEMENTS'!C81/'FINANCIAL STATEMENTS'!C$87</f>
        <v>9.6282372324196146E-4</v>
      </c>
      <c r="D76" s="18">
        <f>'FINANCIAL STATEMENTS'!D81/'FINANCIAL STATEMENTS'!D$87</f>
        <v>1.3045911308401912E-3</v>
      </c>
      <c r="E76" s="18">
        <f>'FINANCIAL STATEMENTS'!E81/'FINANCIAL STATEMENTS'!E$87</f>
        <v>7.9544386284068503E-4</v>
      </c>
      <c r="F76" s="18">
        <f>'FINANCIAL STATEMENTS'!F81/'FINANCIAL STATEMENTS'!F$87</f>
        <v>5.1183913828099445E-4</v>
      </c>
      <c r="G76" s="18">
        <f>'FINANCIAL STATEMENTS'!G81/'FINANCIAL STATEMENTS'!G$87</f>
        <v>5.6664353374580756E-4</v>
      </c>
    </row>
    <row r="77" spans="1:7" x14ac:dyDescent="0.3">
      <c r="A77" s="10" t="s">
        <v>17</v>
      </c>
      <c r="B77" s="18">
        <f>'FINANCIAL STATEMENTS'!B82/'FINANCIAL STATEMENTS'!B$87</f>
        <v>2.9439462731094025E-2</v>
      </c>
      <c r="C77" s="18">
        <f>'FINANCIAL STATEMENTS'!C82/'FINANCIAL STATEMENTS'!C$87</f>
        <v>1.8420890388946683E-2</v>
      </c>
      <c r="D77" s="18">
        <f>'FINANCIAL STATEMENTS'!D82/'FINANCIAL STATEMENTS'!D$87</f>
        <v>2.0662892507412711E-2</v>
      </c>
      <c r="E77" s="18">
        <f>'FINANCIAL STATEMENTS'!E82/'FINANCIAL STATEMENTS'!E$87</f>
        <v>1.7035928236500957E-2</v>
      </c>
      <c r="F77" s="18">
        <f>'FINANCIAL STATEMENTS'!F82/'FINANCIAL STATEMENTS'!F$87</f>
        <v>1.5347259110208991E-2</v>
      </c>
      <c r="G77" s="18">
        <f>'FINANCIAL STATEMENTS'!G82/'FINANCIAL STATEMENTS'!G$87</f>
        <v>1.83526195583948E-2</v>
      </c>
    </row>
    <row r="78" spans="1:7" x14ac:dyDescent="0.3">
      <c r="A78" s="10" t="s">
        <v>119</v>
      </c>
      <c r="B78" s="18"/>
      <c r="C78" s="18"/>
      <c r="D78" s="18"/>
      <c r="E78" s="18"/>
      <c r="F78" s="18"/>
      <c r="G78" s="18"/>
    </row>
    <row r="79" spans="1:7" x14ac:dyDescent="0.3">
      <c r="A79" s="11" t="s">
        <v>18</v>
      </c>
      <c r="B79" s="18">
        <f>'FINANCIAL STATEMENTS'!B85/'FINANCIAL STATEMENTS'!B$87</f>
        <v>0.52002557114035608</v>
      </c>
      <c r="C79" s="18">
        <f>'FINANCIAL STATEMENTS'!C85/'FINANCIAL STATEMENTS'!C$87</f>
        <v>0.31754424857117752</v>
      </c>
      <c r="D79" s="18">
        <f>'FINANCIAL STATEMENTS'!D85/'FINANCIAL STATEMENTS'!D$87</f>
        <v>0.36442723299654284</v>
      </c>
      <c r="E79" s="18">
        <f>'FINANCIAL STATEMENTS'!E85/'FINANCIAL STATEMENTS'!E$87</f>
        <v>0.37826868027598803</v>
      </c>
      <c r="F79" s="18">
        <f>'FINANCIAL STATEMENTS'!F85/'FINANCIAL STATEMENTS'!F$87</f>
        <v>0.44127745199089591</v>
      </c>
      <c r="G79" s="18">
        <f>'FINANCIAL STATEMENTS'!G85/'FINANCIAL STATEMENTS'!G$87</f>
        <v>0.49518541375150427</v>
      </c>
    </row>
    <row r="80" spans="1:7" ht="19.8" x14ac:dyDescent="0.4">
      <c r="A80" s="81" t="s">
        <v>20</v>
      </c>
      <c r="B80" s="82">
        <f>'FINANCIAL STATEMENTS'!B87/'FINANCIAL STATEMENTS'!B$87</f>
        <v>1</v>
      </c>
      <c r="C80" s="82">
        <f>'FINANCIAL STATEMENTS'!C87/'FINANCIAL STATEMENTS'!C$87</f>
        <v>1</v>
      </c>
      <c r="D80" s="82">
        <f>'FINANCIAL STATEMENTS'!D87/'FINANCIAL STATEMENTS'!D$87</f>
        <v>1</v>
      </c>
      <c r="E80" s="82">
        <f>'FINANCIAL STATEMENTS'!E87/'FINANCIAL STATEMENTS'!E$87</f>
        <v>1</v>
      </c>
      <c r="F80" s="82">
        <f>'FINANCIAL STATEMENTS'!F87/'FINANCIAL STATEMENTS'!F$87</f>
        <v>1</v>
      </c>
      <c r="G80" s="82">
        <f>'FINANCIAL STATEMENTS'!G87/'FINANCIAL STATEMENTS'!G$87</f>
        <v>1</v>
      </c>
    </row>
    <row r="81" spans="1:7" x14ac:dyDescent="0.3">
      <c r="A81" s="33"/>
      <c r="B81" s="20"/>
      <c r="C81" s="20"/>
      <c r="D81" s="20"/>
      <c r="E81" s="20"/>
      <c r="F81" s="20"/>
      <c r="G81" s="20"/>
    </row>
    <row r="82" spans="1:7" x14ac:dyDescent="0.3">
      <c r="A82" s="95" t="s">
        <v>21</v>
      </c>
      <c r="B82" s="96"/>
      <c r="C82" s="96"/>
      <c r="D82" s="96"/>
      <c r="E82" s="96"/>
      <c r="F82" s="96"/>
      <c r="G82" s="97"/>
    </row>
    <row r="83" spans="1:7" x14ac:dyDescent="0.3">
      <c r="A83" s="34"/>
      <c r="B83" s="20"/>
      <c r="C83" s="20"/>
      <c r="D83" s="20"/>
      <c r="E83" s="20"/>
      <c r="F83" s="20"/>
      <c r="G83" s="20"/>
    </row>
    <row r="84" spans="1:7" x14ac:dyDescent="0.3">
      <c r="A84" s="101" t="s">
        <v>22</v>
      </c>
      <c r="B84" s="102"/>
      <c r="C84" s="102"/>
      <c r="D84" s="102"/>
      <c r="E84" s="102"/>
      <c r="F84" s="102"/>
      <c r="G84" s="103"/>
    </row>
    <row r="85" spans="1:7" x14ac:dyDescent="0.3">
      <c r="A85" s="29" t="s">
        <v>23</v>
      </c>
      <c r="B85" s="35">
        <f>'FINANCIAL STATEMENTS'!B93/'FINANCIAL STATEMENTS'!B$121</f>
        <v>8.7316508164548903E-3</v>
      </c>
      <c r="C85" s="35">
        <f>'FINANCIAL STATEMENTS'!C93/'FINANCIAL STATEMENTS'!C$121</f>
        <v>6.6663081219559229E-3</v>
      </c>
      <c r="D85" s="35">
        <f>'FINANCIAL STATEMENTS'!D93/'FINANCIAL STATEMENTS'!D$121</f>
        <v>5.8168743140883262E-3</v>
      </c>
      <c r="E85" s="35">
        <f>'FINANCIAL STATEMENTS'!E93/'FINANCIAL STATEMENTS'!E$121</f>
        <v>5.2509625387262351E-3</v>
      </c>
      <c r="F85" s="35">
        <f>'FINANCIAL STATEMENTS'!F93/'FINANCIAL STATEMENTS'!F$121</f>
        <v>4.4728760434658713E-3</v>
      </c>
      <c r="G85" s="35">
        <f>'FINANCIAL STATEMENTS'!G93/'FINANCIAL STATEMENTS'!G$121</f>
        <v>3.8323790061584803E-3</v>
      </c>
    </row>
    <row r="86" spans="1:7" x14ac:dyDescent="0.3">
      <c r="A86" s="10" t="s">
        <v>22</v>
      </c>
      <c r="B86" s="18">
        <f>'FINANCIAL STATEMENTS'!B94/'FINANCIAL STATEMENTS'!B$121</f>
        <v>0.75854347609407702</v>
      </c>
      <c r="C86" s="18">
        <f>'FINANCIAL STATEMENTS'!C94/'FINANCIAL STATEMENTS'!C$121</f>
        <v>0.72282613686001407</v>
      </c>
      <c r="D86" s="18">
        <f>'FINANCIAL STATEMENTS'!D94/'FINANCIAL STATEMENTS'!D$121</f>
        <v>0.72014231487108016</v>
      </c>
      <c r="E86" s="18">
        <f>'FINANCIAL STATEMENTS'!E94/'FINANCIAL STATEMENTS'!E$121</f>
        <v>0.72905322552486373</v>
      </c>
      <c r="F86" s="18">
        <f>'FINANCIAL STATEMENTS'!F94/'FINANCIAL STATEMENTS'!F$121</f>
        <v>0.72875779631264748</v>
      </c>
      <c r="G86" s="18">
        <f>'FINANCIAL STATEMENTS'!G94/'FINANCIAL STATEMENTS'!G$121</f>
        <v>0.72529920210260923</v>
      </c>
    </row>
    <row r="87" spans="1:7" x14ac:dyDescent="0.3">
      <c r="A87" s="11" t="s">
        <v>24</v>
      </c>
      <c r="B87" s="18">
        <f>'FINANCIAL STATEMENTS'!B95/'FINANCIAL STATEMENTS'!B$121</f>
        <v>0.76727512691053201</v>
      </c>
      <c r="C87" s="18">
        <f>'FINANCIAL STATEMENTS'!C95/'FINANCIAL STATEMENTS'!C$121</f>
        <v>0.72949244498196997</v>
      </c>
      <c r="D87" s="18">
        <f>'FINANCIAL STATEMENTS'!D95/'FINANCIAL STATEMENTS'!D$121</f>
        <v>0.72595918918516844</v>
      </c>
      <c r="E87" s="18">
        <f>'FINANCIAL STATEMENTS'!E95/'FINANCIAL STATEMENTS'!E$121</f>
        <v>0.73430418806358999</v>
      </c>
      <c r="F87" s="18">
        <f>'FINANCIAL STATEMENTS'!F95/'FINANCIAL STATEMENTS'!F$121</f>
        <v>0.73323067235611339</v>
      </c>
      <c r="G87" s="18">
        <f>'FINANCIAL STATEMENTS'!G95/'FINANCIAL STATEMENTS'!G$121</f>
        <v>0.72913158110876775</v>
      </c>
    </row>
    <row r="88" spans="1:7" x14ac:dyDescent="0.3">
      <c r="B88"/>
      <c r="C88"/>
      <c r="D88"/>
      <c r="E88"/>
      <c r="F88"/>
      <c r="G88"/>
    </row>
    <row r="89" spans="1:7" x14ac:dyDescent="0.3">
      <c r="A89" s="101" t="s">
        <v>25</v>
      </c>
      <c r="B89" s="102"/>
      <c r="C89" s="102"/>
      <c r="D89" s="102"/>
      <c r="E89" s="102"/>
      <c r="F89" s="102"/>
      <c r="G89" s="103"/>
    </row>
    <row r="90" spans="1:7" x14ac:dyDescent="0.3">
      <c r="A90" s="98" t="s">
        <v>26</v>
      </c>
      <c r="B90" s="99"/>
      <c r="C90" s="99"/>
      <c r="D90" s="99"/>
      <c r="E90" s="99"/>
      <c r="F90" s="99"/>
      <c r="G90" s="100"/>
    </row>
    <row r="91" spans="1:7" x14ac:dyDescent="0.3">
      <c r="A91" s="29" t="s">
        <v>27</v>
      </c>
      <c r="B91" s="35">
        <f>'FINANCIAL STATEMENTS'!B101/'FINANCIAL STATEMENTS'!B$121</f>
        <v>8.8158568566057052E-3</v>
      </c>
      <c r="C91" s="35">
        <f>'FINANCIAL STATEMENTS'!C101/'FINANCIAL STATEMENTS'!C$121</f>
        <v>6.400023086781375E-3</v>
      </c>
      <c r="D91" s="35">
        <f>'FINANCIAL STATEMENTS'!D101/'FINANCIAL STATEMENTS'!D$121</f>
        <v>7.6604675700388068E-3</v>
      </c>
      <c r="E91" s="35">
        <f>'FINANCIAL STATEMENTS'!E101/'FINANCIAL STATEMENTS'!E$121</f>
        <v>1.4788024540992734E-2</v>
      </c>
      <c r="F91" s="35">
        <f>'FINANCIAL STATEMENTS'!F101/'FINANCIAL STATEMENTS'!F$121</f>
        <v>1.427609060432196E-2</v>
      </c>
      <c r="G91" s="35">
        <f>'FINANCIAL STATEMENTS'!G101/'FINANCIAL STATEMENTS'!G$121</f>
        <v>1.6034052865129041E-2</v>
      </c>
    </row>
    <row r="92" spans="1:7" x14ac:dyDescent="0.3">
      <c r="A92" s="10" t="s">
        <v>28</v>
      </c>
      <c r="B92" s="18">
        <f>'FINANCIAL STATEMENTS'!B102/'FINANCIAL STATEMENTS'!B$121</f>
        <v>1.2476241867243163E-3</v>
      </c>
      <c r="C92" s="18">
        <f>'FINANCIAL STATEMENTS'!C102/'FINANCIAL STATEMENTS'!C$121</f>
        <v>1.7879138076005358E-3</v>
      </c>
      <c r="D92" s="18">
        <f>'FINANCIAL STATEMENTS'!D102/'FINANCIAL STATEMENTS'!D$121</f>
        <v>2.2818901007853874E-3</v>
      </c>
      <c r="E92" s="18">
        <f>'FINANCIAL STATEMENTS'!E102/'FINANCIAL STATEMENTS'!E$121</f>
        <v>1.4927485477984281E-3</v>
      </c>
      <c r="F92" s="18">
        <f>'FINANCIAL STATEMENTS'!F102/'FINANCIAL STATEMENTS'!F$121</f>
        <v>3.8783687282116578E-4</v>
      </c>
      <c r="G92" s="18">
        <f>'FINANCIAL STATEMENTS'!G102/'FINANCIAL STATEMENTS'!G$121</f>
        <v>2.9161043558461111E-4</v>
      </c>
    </row>
    <row r="93" spans="1:7" x14ac:dyDescent="0.3">
      <c r="A93" s="10" t="s">
        <v>29</v>
      </c>
      <c r="B93" s="18">
        <f>'FINANCIAL STATEMENTS'!B103/'FINANCIAL STATEMENTS'!B$121</f>
        <v>7.0269081260547232E-3</v>
      </c>
      <c r="C93" s="18">
        <f>'FINANCIAL STATEMENTS'!C103/'FINANCIAL STATEMENTS'!C$121</f>
        <v>5.9054937357429296E-3</v>
      </c>
      <c r="D93" s="18">
        <f>'FINANCIAL STATEMENTS'!D103/'FINANCIAL STATEMENTS'!D$121</f>
        <v>6.4336941557750476E-3</v>
      </c>
      <c r="E93" s="18">
        <f>'FINANCIAL STATEMENTS'!E103/'FINANCIAL STATEMENTS'!E$121</f>
        <v>6.6755301839954628E-3</v>
      </c>
      <c r="F93" s="18">
        <f>'FINANCIAL STATEMENTS'!F103/'FINANCIAL STATEMENTS'!F$121</f>
        <v>6.9951348898402562E-3</v>
      </c>
      <c r="G93" s="18">
        <f>'FINANCIAL STATEMENTS'!G103/'FINANCIAL STATEMENTS'!G$121</f>
        <v>8.4860897301134112E-3</v>
      </c>
    </row>
    <row r="94" spans="1:7" x14ac:dyDescent="0.3">
      <c r="A94" s="10" t="s">
        <v>30</v>
      </c>
      <c r="B94" s="18">
        <f>'FINANCIAL STATEMENTS'!B104/'FINANCIAL STATEMENTS'!B$121</f>
        <v>1.3055373204606929E-2</v>
      </c>
      <c r="C94" s="18">
        <f>'FINANCIAL STATEMENTS'!C104/'FINANCIAL STATEMENTS'!C$121</f>
        <v>9.9509274720892618E-3</v>
      </c>
      <c r="D94" s="18">
        <f>'FINANCIAL STATEMENTS'!D104/'FINANCIAL STATEMENTS'!D$121</f>
        <v>4.4462525619766616E-2</v>
      </c>
      <c r="E94" s="18">
        <f>'FINANCIAL STATEMENTS'!E104/'FINANCIAL STATEMENTS'!E$121</f>
        <v>3.8895138804954058E-2</v>
      </c>
      <c r="F94" s="18">
        <f>'FINANCIAL STATEMENTS'!F104/'FINANCIAL STATEMENTS'!F$121</f>
        <v>3.3076944724890853E-2</v>
      </c>
      <c r="G94" s="18">
        <f>'FINANCIAL STATEMENTS'!G104/'FINANCIAL STATEMENTS'!G$121</f>
        <v>2.9543829349874498E-2</v>
      </c>
    </row>
    <row r="95" spans="1:7" x14ac:dyDescent="0.3">
      <c r="A95" s="11" t="s">
        <v>31</v>
      </c>
      <c r="B95" s="18">
        <f>'FINANCIAL STATEMENTS'!B105/'FINANCIAL STATEMENTS'!B$121</f>
        <v>3.0145762373991671E-2</v>
      </c>
      <c r="C95" s="18">
        <f>'FINANCIAL STATEMENTS'!C105/'FINANCIAL STATEMENTS'!C$121</f>
        <v>2.4044358102214104E-2</v>
      </c>
      <c r="D95" s="18">
        <f>'FINANCIAL STATEMENTS'!D105/'FINANCIAL STATEMENTS'!D$121</f>
        <v>6.0838577446365859E-2</v>
      </c>
      <c r="E95" s="18">
        <f>'FINANCIAL STATEMENTS'!E105/'FINANCIAL STATEMENTS'!E$121</f>
        <v>6.1851442077740688E-2</v>
      </c>
      <c r="F95" s="18">
        <f>'FINANCIAL STATEMENTS'!F105/'FINANCIAL STATEMENTS'!F$121</f>
        <v>5.4736007091874248E-2</v>
      </c>
      <c r="G95" s="18">
        <f>'FINANCIAL STATEMENTS'!G105/'FINANCIAL STATEMENTS'!G$121</f>
        <v>5.4355582380701553E-2</v>
      </c>
    </row>
    <row r="96" spans="1:7" x14ac:dyDescent="0.3">
      <c r="B96"/>
      <c r="C96"/>
      <c r="D96"/>
      <c r="E96"/>
      <c r="F96"/>
      <c r="G96"/>
    </row>
    <row r="97" spans="1:7" x14ac:dyDescent="0.3">
      <c r="A97" s="98" t="s">
        <v>32</v>
      </c>
      <c r="B97" s="99"/>
      <c r="C97" s="99"/>
      <c r="D97" s="99"/>
      <c r="E97" s="99"/>
      <c r="F97" s="99"/>
      <c r="G97" s="100"/>
    </row>
    <row r="98" spans="1:7" x14ac:dyDescent="0.3">
      <c r="A98" s="29" t="s">
        <v>33</v>
      </c>
      <c r="B98" s="35"/>
      <c r="C98" s="35"/>
      <c r="D98" s="35"/>
      <c r="E98" s="35"/>
      <c r="F98" s="35"/>
      <c r="G98" s="35"/>
    </row>
    <row r="99" spans="1:7" x14ac:dyDescent="0.3">
      <c r="A99" s="10" t="s">
        <v>34</v>
      </c>
      <c r="B99" s="18">
        <f>'FINANCIAL STATEMENTS'!B110/'FINANCIAL STATEMENTS'!B$121</f>
        <v>1.5981962722501572E-3</v>
      </c>
      <c r="C99" s="18">
        <f>'FINANCIAL STATEMENTS'!C110/'FINANCIAL STATEMENTS'!C$121</f>
        <v>8.7939649054688141E-3</v>
      </c>
      <c r="D99" s="18">
        <f>'FINANCIAL STATEMENTS'!D110/'FINANCIAL STATEMENTS'!D$121</f>
        <v>7.7989373304174596E-3</v>
      </c>
      <c r="E99" s="18">
        <f>'FINANCIAL STATEMENTS'!E110/'FINANCIAL STATEMENTS'!E$121</f>
        <v>5.456538290291555E-3</v>
      </c>
      <c r="F99" s="18">
        <f>'FINANCIAL STATEMENTS'!F110/'FINANCIAL STATEMENTS'!F$121</f>
        <v>6.0637987258547353E-3</v>
      </c>
      <c r="G99" s="18">
        <f>'FINANCIAL STATEMENTS'!G110/'FINANCIAL STATEMENTS'!G$121</f>
        <v>2.5453748098315668E-3</v>
      </c>
    </row>
    <row r="100" spans="1:7" x14ac:dyDescent="0.3">
      <c r="A100" s="10" t="s">
        <v>35</v>
      </c>
      <c r="B100" s="18">
        <f>'FINANCIAL STATEMENTS'!B111/'FINANCIAL STATEMENTS'!B$121</f>
        <v>8.3434437864534819E-2</v>
      </c>
      <c r="C100" s="18">
        <f>'FINANCIAL STATEMENTS'!C111/'FINANCIAL STATEMENTS'!C$121</f>
        <v>9.5335289588255129E-2</v>
      </c>
      <c r="D100" s="18">
        <f>'FINANCIAL STATEMENTS'!D111/'FINANCIAL STATEMENTS'!D$121</f>
        <v>0.1004409289146603</v>
      </c>
      <c r="E100" s="18">
        <f>'FINANCIAL STATEMENTS'!E111/'FINANCIAL STATEMENTS'!E$121</f>
        <v>9.1542159041252541E-2</v>
      </c>
      <c r="F100" s="18">
        <f>'FINANCIAL STATEMENTS'!F111/'FINANCIAL STATEMENTS'!F$121</f>
        <v>8.5549250885604819E-2</v>
      </c>
      <c r="G100" s="18">
        <f>'FINANCIAL STATEMENTS'!G111/'FINANCIAL STATEMENTS'!G$121</f>
        <v>9.3072707448423761E-2</v>
      </c>
    </row>
    <row r="101" spans="1:7" x14ac:dyDescent="0.3">
      <c r="A101" s="10" t="s">
        <v>36</v>
      </c>
      <c r="B101" s="18">
        <f>'FINANCIAL STATEMENTS'!B112/'FINANCIAL STATEMENTS'!B$121</f>
        <v>3.7875533161713399E-3</v>
      </c>
      <c r="C101" s="18">
        <f>'FINANCIAL STATEMENTS'!C112/'FINANCIAL STATEMENTS'!C$121</f>
        <v>2.4319825379980876E-3</v>
      </c>
      <c r="D101" s="18">
        <f>'FINANCIAL STATEMENTS'!D112/'FINANCIAL STATEMENTS'!D$121</f>
        <v>3.0303134337410758E-3</v>
      </c>
      <c r="E101" s="18">
        <f>'FINANCIAL STATEMENTS'!E112/'FINANCIAL STATEMENTS'!E$121</f>
        <v>4.4906421711278666E-3</v>
      </c>
      <c r="F101" s="18">
        <f>'FINANCIAL STATEMENTS'!F112/'FINANCIAL STATEMENTS'!F$121</f>
        <v>4.3409587397852025E-3</v>
      </c>
      <c r="G101" s="18">
        <f>'FINANCIAL STATEMENTS'!G112/'FINANCIAL STATEMENTS'!G$121</f>
        <v>4.481909227021361E-3</v>
      </c>
    </row>
    <row r="102" spans="1:7" x14ac:dyDescent="0.3">
      <c r="A102" s="10" t="s">
        <v>28</v>
      </c>
      <c r="B102" s="18">
        <f>'FINANCIAL STATEMENTS'!B113/'FINANCIAL STATEMENTS'!B$121</f>
        <v>9.4932858571659326E-2</v>
      </c>
      <c r="C102" s="18">
        <f>'FINANCIAL STATEMENTS'!C113/'FINANCIAL STATEMENTS'!C$121</f>
        <v>0.11811512171062558</v>
      </c>
      <c r="D102" s="18">
        <f>'FINANCIAL STATEMENTS'!D113/'FINANCIAL STATEMENTS'!D$121</f>
        <v>7.5485473835509381E-2</v>
      </c>
      <c r="E102" s="18">
        <f>'FINANCIAL STATEMENTS'!E113/'FINANCIAL STATEMENTS'!E$121</f>
        <v>8.6195123412598787E-2</v>
      </c>
      <c r="F102" s="18">
        <f>'FINANCIAL STATEMENTS'!F113/'FINANCIAL STATEMENTS'!F$121</f>
        <v>8.863435689435005E-2</v>
      </c>
      <c r="G102" s="18">
        <f>'FINANCIAL STATEMENTS'!G113/'FINANCIAL STATEMENTS'!G$121</f>
        <v>8.978662706190052E-2</v>
      </c>
    </row>
    <row r="103" spans="1:7" x14ac:dyDescent="0.3">
      <c r="A103" s="10" t="s">
        <v>37</v>
      </c>
      <c r="B103" s="18">
        <f>'FINANCIAL STATEMENTS'!B114/'FINANCIAL STATEMENTS'!B$121</f>
        <v>1.5471571009750714E-2</v>
      </c>
      <c r="C103" s="18">
        <f>'FINANCIAL STATEMENTS'!C114/'FINANCIAL STATEMENTS'!C$121</f>
        <v>9.5311678107303684E-3</v>
      </c>
      <c r="D103" s="18">
        <f>'FINANCIAL STATEMENTS'!D114/'FINANCIAL STATEMENTS'!D$121</f>
        <v>9.3953448984192712E-3</v>
      </c>
      <c r="E103" s="18">
        <f>'FINANCIAL STATEMENTS'!E114/'FINANCIAL STATEMENTS'!E$121</f>
        <v>9.0845887400272506E-3</v>
      </c>
      <c r="F103" s="18">
        <f>'FINANCIAL STATEMENTS'!F114/'FINANCIAL STATEMENTS'!F$121</f>
        <v>8.6748818900407691E-3</v>
      </c>
      <c r="G103" s="18">
        <f>'FINANCIAL STATEMENTS'!G114/'FINANCIAL STATEMENTS'!G$121</f>
        <v>6.6776529202863654E-3</v>
      </c>
    </row>
    <row r="104" spans="1:7" x14ac:dyDescent="0.3">
      <c r="A104" s="10" t="s">
        <v>29</v>
      </c>
      <c r="B104" s="18">
        <f>'FINANCIAL STATEMENTS'!B115/'FINANCIAL STATEMENTS'!B$121</f>
        <v>2.024381944850199E-3</v>
      </c>
      <c r="C104" s="18">
        <f>'FINANCIAL STATEMENTS'!C115/'FINANCIAL STATEMENTS'!C$121</f>
        <v>2.1617622559983E-3</v>
      </c>
      <c r="D104" s="18">
        <f>'FINANCIAL STATEMENTS'!D115/'FINANCIAL STATEMENTS'!D$121</f>
        <v>3.9984573782066912E-3</v>
      </c>
      <c r="E104" s="18">
        <f>'FINANCIAL STATEMENTS'!E115/'FINANCIAL STATEMENTS'!E$121</f>
        <v>3.1239249886106896E-3</v>
      </c>
      <c r="F104" s="18">
        <f>'FINANCIAL STATEMENTS'!F115/'FINANCIAL STATEMENTS'!F$121</f>
        <v>1.6737667491003236E-2</v>
      </c>
      <c r="G104" s="18">
        <f>'FINANCIAL STATEMENTS'!G115/'FINANCIAL STATEMENTS'!G$121</f>
        <v>1.8406872662689613E-2</v>
      </c>
    </row>
    <row r="105" spans="1:7" x14ac:dyDescent="0.3">
      <c r="A105" s="10" t="s">
        <v>38</v>
      </c>
      <c r="B105" s="18">
        <f>'FINANCIAL STATEMENTS'!B116/'FINANCIAL STATEMENTS'!B$121</f>
        <v>1.3301117362598083E-3</v>
      </c>
      <c r="C105" s="18">
        <f>'FINANCIAL STATEMENTS'!C116/'FINANCIAL STATEMENTS'!C$121</f>
        <v>2.8792889271336579E-3</v>
      </c>
      <c r="D105" s="18">
        <f>'FINANCIAL STATEMENTS'!D116/'FINANCIAL STATEMENTS'!D$121</f>
        <v>1.0368066355624678E-3</v>
      </c>
      <c r="E105" s="18">
        <f>'FINANCIAL STATEMENTS'!E116/'FINANCIAL STATEMENTS'!E$121</f>
        <v>3.9513932147605454E-3</v>
      </c>
      <c r="F105" s="18">
        <f>'FINANCIAL STATEMENTS'!F116/'FINANCIAL STATEMENTS'!F$121</f>
        <v>2.0324059253735015E-3</v>
      </c>
      <c r="G105" s="18">
        <f>'FINANCIAL STATEMENTS'!G116/'FINANCIAL STATEMENTS'!G$121</f>
        <v>1.5416923803775564E-3</v>
      </c>
    </row>
    <row r="106" spans="1:7" x14ac:dyDescent="0.3">
      <c r="A106" s="11" t="s">
        <v>39</v>
      </c>
      <c r="B106" s="18">
        <f>'FINANCIAL STATEMENTS'!B117/'FINANCIAL STATEMENTS'!B$121</f>
        <v>0.20257911071547635</v>
      </c>
      <c r="C106" s="18">
        <f>'FINANCIAL STATEMENTS'!C117/'FINANCIAL STATEMENTS'!C$121</f>
        <v>0.24646319691581592</v>
      </c>
      <c r="D106" s="18">
        <f>'FINANCIAL STATEMENTS'!D117/'FINANCIAL STATEMENTS'!D$121</f>
        <v>0.21320223336846578</v>
      </c>
      <c r="E106" s="18">
        <f>'FINANCIAL STATEMENTS'!E117/'FINANCIAL STATEMENTS'!E$121</f>
        <v>0.20384436985866924</v>
      </c>
      <c r="F106" s="18">
        <f>'FINANCIAL STATEMENTS'!F117/'FINANCIAL STATEMENTS'!F$121</f>
        <v>0.21203332055201232</v>
      </c>
      <c r="G106" s="18">
        <f>'FINANCIAL STATEMENTS'!G117/'FINANCIAL STATEMENTS'!G$121</f>
        <v>0.21651283651053077</v>
      </c>
    </row>
    <row r="107" spans="1:7" x14ac:dyDescent="0.3">
      <c r="A107" s="13" t="s">
        <v>40</v>
      </c>
      <c r="B107" s="18">
        <f>'FINANCIAL STATEMENTS'!B119/'FINANCIAL STATEMENTS'!B$121</f>
        <v>0.23272487308946804</v>
      </c>
      <c r="C107" s="18">
        <f>'FINANCIAL STATEMENTS'!C119/'FINANCIAL STATEMENTS'!C$121</f>
        <v>0.27050755501802998</v>
      </c>
      <c r="D107" s="18">
        <f>'FINANCIAL STATEMENTS'!D119/'FINANCIAL STATEMENTS'!D$121</f>
        <v>0.27404081081483161</v>
      </c>
      <c r="E107" s="18">
        <f>'FINANCIAL STATEMENTS'!E119/'FINANCIAL STATEMENTS'!E$121</f>
        <v>0.26569581193640995</v>
      </c>
      <c r="F107" s="18">
        <f>'FINANCIAL STATEMENTS'!F119/'FINANCIAL STATEMENTS'!F$121</f>
        <v>0.26676932764388656</v>
      </c>
      <c r="G107" s="18">
        <f>'FINANCIAL STATEMENTS'!G119/'FINANCIAL STATEMENTS'!G$121</f>
        <v>0.27086841889123231</v>
      </c>
    </row>
    <row r="108" spans="1:7" ht="19.8" x14ac:dyDescent="0.4">
      <c r="A108" s="81" t="s">
        <v>41</v>
      </c>
      <c r="B108" s="82">
        <f>'FINANCIAL STATEMENTS'!B121/'FINANCIAL STATEMENTS'!B$121</f>
        <v>1</v>
      </c>
      <c r="C108" s="82">
        <f>'FINANCIAL STATEMENTS'!C121/'FINANCIAL STATEMENTS'!C$121</f>
        <v>1</v>
      </c>
      <c r="D108" s="82">
        <f>'FINANCIAL STATEMENTS'!D121/'FINANCIAL STATEMENTS'!D$121</f>
        <v>1</v>
      </c>
      <c r="E108" s="82">
        <f>'FINANCIAL STATEMENTS'!E121/'FINANCIAL STATEMENTS'!E$121</f>
        <v>1</v>
      </c>
      <c r="F108" s="82">
        <f>'FINANCIAL STATEMENTS'!F121/'FINANCIAL STATEMENTS'!F$121</f>
        <v>1</v>
      </c>
      <c r="G108" s="82">
        <f>'FINANCIAL STATEMENTS'!G121/'FINANCIAL STATEMENTS'!G$121</f>
        <v>1</v>
      </c>
    </row>
    <row r="109" spans="1:7" x14ac:dyDescent="0.3">
      <c r="B109"/>
      <c r="C109"/>
      <c r="D109"/>
      <c r="E109"/>
      <c r="F109"/>
      <c r="G109"/>
    </row>
  </sheetData>
  <mergeCells count="14">
    <mergeCell ref="A13:G13"/>
    <mergeCell ref="A97:G97"/>
    <mergeCell ref="A90:G90"/>
    <mergeCell ref="A82:G82"/>
    <mergeCell ref="A7:G7"/>
    <mergeCell ref="A89:G89"/>
    <mergeCell ref="A84:G84"/>
    <mergeCell ref="A69:G69"/>
    <mergeCell ref="A56:G56"/>
    <mergeCell ref="A54:G54"/>
    <mergeCell ref="A46:G46"/>
    <mergeCell ref="A38:G38"/>
    <mergeCell ref="A37:G37"/>
    <mergeCell ref="A29:G2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CC49-9D6B-4F12-9B07-71A9E6386115}">
  <dimension ref="A1:F163"/>
  <sheetViews>
    <sheetView topLeftCell="A19" workbookViewId="0">
      <selection activeCell="E32" sqref="E32"/>
    </sheetView>
  </sheetViews>
  <sheetFormatPr defaultRowHeight="14.4" x14ac:dyDescent="0.3"/>
  <cols>
    <col min="1" max="1" width="112.5546875" bestFit="1" customWidth="1"/>
    <col min="2" max="4" width="10.6640625" style="1" bestFit="1" customWidth="1"/>
    <col min="5" max="6" width="12.109375" style="1" bestFit="1" customWidth="1"/>
  </cols>
  <sheetData>
    <row r="1" spans="1:6" x14ac:dyDescent="0.3">
      <c r="A1" s="2"/>
    </row>
    <row r="2" spans="1:6" x14ac:dyDescent="0.3">
      <c r="A2" s="19" t="s">
        <v>122</v>
      </c>
    </row>
    <row r="4" spans="1:6" ht="20.399999999999999" thickBot="1" x14ac:dyDescent="0.45">
      <c r="A4" s="3" t="s">
        <v>43</v>
      </c>
    </row>
    <row r="5" spans="1:6" ht="15" thickTop="1" x14ac:dyDescent="0.3">
      <c r="A5" s="2"/>
    </row>
    <row r="6" spans="1:6" x14ac:dyDescent="0.3">
      <c r="A6" s="8" t="s">
        <v>45</v>
      </c>
      <c r="B6" s="15">
        <v>44286</v>
      </c>
      <c r="C6" s="15">
        <v>44651</v>
      </c>
      <c r="D6" s="15">
        <v>45016</v>
      </c>
      <c r="E6" s="15">
        <v>45382</v>
      </c>
      <c r="F6" s="15">
        <v>45747</v>
      </c>
    </row>
    <row r="7" spans="1:6" x14ac:dyDescent="0.3">
      <c r="A7" s="107" t="s">
        <v>49</v>
      </c>
      <c r="B7" s="96"/>
      <c r="C7" s="96"/>
      <c r="D7" s="96"/>
      <c r="E7" s="96"/>
      <c r="F7" s="96"/>
    </row>
    <row r="8" spans="1:6" x14ac:dyDescent="0.3">
      <c r="A8" s="10"/>
      <c r="B8" s="16"/>
      <c r="C8" s="16"/>
      <c r="D8" s="16"/>
      <c r="E8" s="16"/>
      <c r="F8" s="16"/>
    </row>
    <row r="9" spans="1:6" x14ac:dyDescent="0.3">
      <c r="A9" s="10" t="s">
        <v>46</v>
      </c>
      <c r="B9" s="18">
        <f>('FINANCIAL STATEMENTS'!C9-'FINANCIAL STATEMENTS'!B9)/'FINANCIAL STATEMENTS'!B9</f>
        <v>-1.8358996871738139E-2</v>
      </c>
      <c r="C9" s="18">
        <f>('FINANCIAL STATEMENTS'!D9-'FINANCIAL STATEMENTS'!C9)/'FINANCIAL STATEMENTS'!C9</f>
        <v>0.43100832806495165</v>
      </c>
      <c r="D9" s="18">
        <f>('FINANCIAL STATEMENTS'!E9-'FINANCIAL STATEMENTS'!D9)/'FINANCIAL STATEMENTS'!D9</f>
        <v>0.19126828708960125</v>
      </c>
      <c r="E9" s="18">
        <f>('FINANCIAL STATEMENTS'!F9-'FINANCIAL STATEMENTS'!E9)/'FINANCIAL STATEMENTS'!E9</f>
        <v>5.3779016275253409E-2</v>
      </c>
      <c r="F9" s="18">
        <f>('FINANCIAL STATEMENTS'!G9-'FINANCIAL STATEMENTS'!F9)/'FINANCIAL STATEMENTS'!F9</f>
        <v>8.1107946022958913E-2</v>
      </c>
    </row>
    <row r="10" spans="1:6" x14ac:dyDescent="0.3">
      <c r="A10" s="10" t="s">
        <v>47</v>
      </c>
      <c r="B10" s="18">
        <f>('FINANCIAL STATEMENTS'!C10-'FINANCIAL STATEMENTS'!B10)/'FINANCIAL STATEMENTS'!B10</f>
        <v>-0.5160674305281181</v>
      </c>
      <c r="C10" s="18">
        <f>('FINANCIAL STATEMENTS'!D10-'FINANCIAL STATEMENTS'!C10)/'FINANCIAL STATEMENTS'!C10</f>
        <v>-0.45625255136753295</v>
      </c>
      <c r="D10" s="18">
        <f>('FINANCIAL STATEMENTS'!E10-'FINANCIAL STATEMENTS'!D10)/'FINANCIAL STATEMENTS'!D10</f>
        <v>0.57757757757757755</v>
      </c>
      <c r="E10" s="18">
        <f>('FINANCIAL STATEMENTS'!F10-'FINANCIAL STATEMENTS'!E10)/'FINANCIAL STATEMENTS'!E10</f>
        <v>1.6261104060913709</v>
      </c>
      <c r="F10" s="18">
        <f>('FINANCIAL STATEMENTS'!G10-'FINANCIAL STATEMENTS'!F10)/'FINANCIAL STATEMENTS'!F10</f>
        <v>0.77795228027786145</v>
      </c>
    </row>
    <row r="11" spans="1:6" x14ac:dyDescent="0.3">
      <c r="A11" s="11" t="s">
        <v>48</v>
      </c>
      <c r="B11" s="27">
        <f>('FINANCIAL STATEMENTS'!C11-'FINANCIAL STATEMENTS'!B11)/'FINANCIAL STATEMENTS'!B11</f>
        <v>-3.0014881755584533E-2</v>
      </c>
      <c r="C11" s="27">
        <f>('FINANCIAL STATEMENTS'!D11-'FINANCIAL STATEMENTS'!C11)/'FINANCIAL STATEMENTS'!C11</f>
        <v>0.42064160818592589</v>
      </c>
      <c r="D11" s="27">
        <f>('FINANCIAL STATEMENTS'!E11-'FINANCIAL STATEMENTS'!D11)/'FINANCIAL STATEMENTS'!D11</f>
        <v>0.19299586596505214</v>
      </c>
      <c r="E11" s="27">
        <f>('FINANCIAL STATEMENTS'!F11-'FINANCIAL STATEMENTS'!E11)/'FINANCIAL STATEMENTS'!E11</f>
        <v>6.307721027268931E-2</v>
      </c>
      <c r="F11" s="27">
        <f>('FINANCIAL STATEMENTS'!G11-'FINANCIAL STATEMENTS'!F11)/'FINANCIAL STATEMENTS'!F11</f>
        <v>9.1287727707518043E-2</v>
      </c>
    </row>
    <row r="12" spans="1:6" x14ac:dyDescent="0.3">
      <c r="B12"/>
      <c r="C12"/>
      <c r="D12"/>
      <c r="E12"/>
      <c r="F12"/>
    </row>
    <row r="13" spans="1:6" x14ac:dyDescent="0.3">
      <c r="A13" s="95" t="s">
        <v>50</v>
      </c>
      <c r="B13" s="96"/>
      <c r="C13" s="96"/>
      <c r="D13" s="96"/>
      <c r="E13" s="96"/>
      <c r="F13" s="97"/>
    </row>
    <row r="14" spans="1:6" x14ac:dyDescent="0.3">
      <c r="A14" s="29"/>
      <c r="B14" s="22"/>
      <c r="C14" s="22"/>
      <c r="D14" s="22"/>
      <c r="E14" s="22"/>
      <c r="F14" s="22"/>
    </row>
    <row r="15" spans="1:6" x14ac:dyDescent="0.3">
      <c r="A15" s="10" t="s">
        <v>51</v>
      </c>
      <c r="B15" s="18">
        <f>('FINANCIAL STATEMENTS'!C15-'FINANCIAL STATEMENTS'!B15)/'FINANCIAL STATEMENTS'!B15</f>
        <v>-2.0299916689808236E-2</v>
      </c>
      <c r="C15" s="18">
        <f>('FINANCIAL STATEMENTS'!D15-'FINANCIAL STATEMENTS'!C15)/'FINANCIAL STATEMENTS'!C15</f>
        <v>0.83159143642717426</v>
      </c>
      <c r="D15" s="18">
        <f>('FINANCIAL STATEMENTS'!E15-'FINANCIAL STATEMENTS'!D15)/'FINANCIAL STATEMENTS'!D15</f>
        <v>0.18190782128463007</v>
      </c>
      <c r="E15" s="18">
        <f>('FINANCIAL STATEMENTS'!F15-'FINANCIAL STATEMENTS'!E15)/'FINANCIAL STATEMENTS'!E15</f>
        <v>-0.15446588738806996</v>
      </c>
      <c r="F15" s="18">
        <f>('FINANCIAL STATEMENTS'!G15-'FINANCIAL STATEMENTS'!F15)/'FINANCIAL STATEMENTS'!F15</f>
        <v>7.2983496305473336E-2</v>
      </c>
    </row>
    <row r="16" spans="1:6" x14ac:dyDescent="0.3">
      <c r="A16" s="10" t="s">
        <v>52</v>
      </c>
      <c r="B16" s="18">
        <f>('FINANCIAL STATEMENTS'!C16-'FINANCIAL STATEMENTS'!B16)/'FINANCIAL STATEMENTS'!B16</f>
        <v>0.17095251605581499</v>
      </c>
      <c r="C16" s="18">
        <f>('FINANCIAL STATEMENTS'!D16-'FINANCIAL STATEMENTS'!C16)/'FINANCIAL STATEMENTS'!C16</f>
        <v>0.33888411639022892</v>
      </c>
      <c r="D16" s="18">
        <f>('FINANCIAL STATEMENTS'!E16-'FINANCIAL STATEMENTS'!D16)/'FINANCIAL STATEMENTS'!D16</f>
        <v>0.41313503553566727</v>
      </c>
      <c r="E16" s="18">
        <f>('FINANCIAL STATEMENTS'!F16-'FINANCIAL STATEMENTS'!E16)/'FINANCIAL STATEMENTS'!E16</f>
        <v>-2.4785787463909935E-2</v>
      </c>
      <c r="F16" s="18">
        <f>('FINANCIAL STATEMENTS'!G16-'FINANCIAL STATEMENTS'!F16)/'FINANCIAL STATEMENTS'!F16</f>
        <v>-1.4325450356345578E-2</v>
      </c>
    </row>
    <row r="17" spans="1:6" x14ac:dyDescent="0.3">
      <c r="A17" s="10" t="s">
        <v>53</v>
      </c>
      <c r="B17" s="18">
        <f>('FINANCIAL STATEMENTS'!C17-'FINANCIAL STATEMENTS'!B17)/'FINANCIAL STATEMENTS'!B17</f>
        <v>-4.2083631165117943</v>
      </c>
      <c r="C17" s="18">
        <f>('FINANCIAL STATEMENTS'!D17-'FINANCIAL STATEMENTS'!C17)/'FINANCIAL STATEMENTS'!C17</f>
        <v>1.5121978389216888</v>
      </c>
      <c r="D17" s="18">
        <f>('FINANCIAL STATEMENTS'!E17-'FINANCIAL STATEMENTS'!D17)/'FINANCIAL STATEMENTS'!D17</f>
        <v>-0.72942532813054273</v>
      </c>
      <c r="E17" s="18">
        <f>('FINANCIAL STATEMENTS'!F17-'FINANCIAL STATEMENTS'!E17)/'FINANCIAL STATEMENTS'!E17</f>
        <v>-1.9447722058341526</v>
      </c>
      <c r="F17" s="18">
        <f>('FINANCIAL STATEMENTS'!G17-'FINANCIAL STATEMENTS'!F17)/'FINANCIAL STATEMENTS'!F17</f>
        <v>-3.1628794449262796</v>
      </c>
    </row>
    <row r="18" spans="1:6" x14ac:dyDescent="0.3">
      <c r="A18" s="10" t="s">
        <v>54</v>
      </c>
      <c r="B18" s="18">
        <f>('FINANCIAL STATEMENTS'!C18-'FINANCIAL STATEMENTS'!B18)/'FINANCIAL STATEMENTS'!B18</f>
        <v>6.9019799427322961E-2</v>
      </c>
      <c r="C18" s="18">
        <f>('FINANCIAL STATEMENTS'!D18-'FINANCIAL STATEMENTS'!C18)/'FINANCIAL STATEMENTS'!C18</f>
        <v>0.17646461440812439</v>
      </c>
      <c r="D18" s="18">
        <f>('FINANCIAL STATEMENTS'!E18-'FINANCIAL STATEMENTS'!D18)/'FINANCIAL STATEMENTS'!D18</f>
        <v>0.1274008373257369</v>
      </c>
      <c r="E18" s="18">
        <f>('FINANCIAL STATEMENTS'!F18-'FINANCIAL STATEMENTS'!E18)/'FINANCIAL STATEMENTS'!E18</f>
        <v>0.2005015169931951</v>
      </c>
      <c r="F18" s="18">
        <f>('FINANCIAL STATEMENTS'!G18-'FINANCIAL STATEMENTS'!F18)/'FINANCIAL STATEMENTS'!F18</f>
        <v>0.23211780088015826</v>
      </c>
    </row>
    <row r="19" spans="1:6" x14ac:dyDescent="0.3">
      <c r="A19" s="10" t="s">
        <v>57</v>
      </c>
      <c r="B19" s="18">
        <f>('FINANCIAL STATEMENTS'!C19-'FINANCIAL STATEMENTS'!B19)/'FINANCIAL STATEMENTS'!B19</f>
        <v>-0.1093769934084626</v>
      </c>
      <c r="C19" s="18">
        <f>('FINANCIAL STATEMENTS'!D19-'FINANCIAL STATEMENTS'!C19)/'FINANCIAL STATEMENTS'!C19</f>
        <v>0.232841522226997</v>
      </c>
      <c r="D19" s="18">
        <f>('FINANCIAL STATEMENTS'!E19-'FINANCIAL STATEMENTS'!D19)/'FINANCIAL STATEMENTS'!D19</f>
        <v>0.2030876007963005</v>
      </c>
      <c r="E19" s="18">
        <f>('FINANCIAL STATEMENTS'!F19-'FINANCIAL STATEMENTS'!E19)/'FINANCIAL STATEMENTS'!E19</f>
        <v>0.25387116505166912</v>
      </c>
      <c r="F19" s="18">
        <f>('FINANCIAL STATEMENTS'!G19-'FINANCIAL STATEMENTS'!F19)/'FINANCIAL STATEMENTS'!F19</f>
        <v>9.9550694497933259E-2</v>
      </c>
    </row>
    <row r="20" spans="1:6" x14ac:dyDescent="0.3">
      <c r="A20" s="11" t="s">
        <v>70</v>
      </c>
      <c r="B20" s="27">
        <f>('FINANCIAL STATEMENTS'!C20-'FINANCIAL STATEMENTS'!B20)/'FINANCIAL STATEMENTS'!B20</f>
        <v>-3.7199192415802586E-2</v>
      </c>
      <c r="C20" s="27">
        <f>('FINANCIAL STATEMENTS'!D20-'FINANCIAL STATEMENTS'!C20)/'FINANCIAL STATEMENTS'!C20</f>
        <v>0.52575583948250548</v>
      </c>
      <c r="D20" s="27">
        <f>('FINANCIAL STATEMENTS'!E20-'FINANCIAL STATEMENTS'!D20)/'FINANCIAL STATEMENTS'!D20</f>
        <v>0.2272385241505947</v>
      </c>
      <c r="E20" s="27">
        <f>('FINANCIAL STATEMENTS'!F20-'FINANCIAL STATEMENTS'!E20)/'FINANCIAL STATEMENTS'!E20</f>
        <v>-1.4253210690136844E-2</v>
      </c>
      <c r="F20" s="27">
        <f>('FINANCIAL STATEMENTS'!G20-'FINANCIAL STATEMENTS'!F20)/'FINANCIAL STATEMENTS'!F20</f>
        <v>7.2015680103605872E-2</v>
      </c>
    </row>
    <row r="21" spans="1:6" x14ac:dyDescent="0.3">
      <c r="A21" s="10"/>
      <c r="B21" s="16"/>
      <c r="C21" s="16"/>
      <c r="D21" s="16"/>
      <c r="E21" s="16"/>
      <c r="F21" s="16"/>
    </row>
    <row r="22" spans="1:6" x14ac:dyDescent="0.3">
      <c r="A22" s="11" t="s">
        <v>58</v>
      </c>
      <c r="B22" s="27">
        <f>('FINANCIAL STATEMENTS'!C22-'FINANCIAL STATEMENTS'!B22)/'FINANCIAL STATEMENTS'!B22</f>
        <v>-8.7133580364682529E-3</v>
      </c>
      <c r="C22" s="27">
        <f>('FINANCIAL STATEMENTS'!D22-'FINANCIAL STATEMENTS'!C22)/'FINANCIAL STATEMENTS'!C22</f>
        <v>0.11793334443642592</v>
      </c>
      <c r="D22" s="27">
        <f>('FINANCIAL STATEMENTS'!E22-'FINANCIAL STATEMENTS'!D22)/'FINANCIAL STATEMENTS'!D22</f>
        <v>5.8410028912578911E-2</v>
      </c>
      <c r="E22" s="27">
        <f>('FINANCIAL STATEMENTS'!F22-'FINANCIAL STATEMENTS'!E22)/'FINANCIAL STATEMENTS'!E22</f>
        <v>0.41549457309380461</v>
      </c>
      <c r="F22" s="27">
        <f>('FINANCIAL STATEMENTS'!G22-'FINANCIAL STATEMENTS'!F22)/'FINANCIAL STATEMENTS'!F22</f>
        <v>0.15245117356540719</v>
      </c>
    </row>
    <row r="23" spans="1:6" x14ac:dyDescent="0.3">
      <c r="A23" s="10" t="s">
        <v>56</v>
      </c>
      <c r="B23" s="18">
        <f>('FINANCIAL STATEMENTS'!C23-'FINANCIAL STATEMENTS'!B23)/'FINANCIAL STATEMENTS'!B23</f>
        <v>0.16940933301534292</v>
      </c>
      <c r="C23" s="18">
        <f>('FINANCIAL STATEMENTS'!D23-'FINANCIAL STATEMENTS'!C23)/'FINANCIAL STATEMENTS'!C23</f>
        <v>0.32141400407885795</v>
      </c>
      <c r="D23" s="18">
        <f>('FINANCIAL STATEMENTS'!E23-'FINANCIAL STATEMENTS'!D23)/'FINANCIAL STATEMENTS'!D23</f>
        <v>0.14193847103611484</v>
      </c>
      <c r="E23" s="18">
        <f>('FINANCIAL STATEMENTS'!F23-'FINANCIAL STATEMENTS'!E23)/'FINANCIAL STATEMENTS'!E23</f>
        <v>0.30247330720367627</v>
      </c>
      <c r="F23" s="18">
        <f>('FINANCIAL STATEMENTS'!G23-'FINANCIAL STATEMENTS'!F23)/'FINANCIAL STATEMENTS'!F23</f>
        <v>6.6756597834734227E-2</v>
      </c>
    </row>
    <row r="24" spans="1:6" x14ac:dyDescent="0.3">
      <c r="A24" s="11" t="s">
        <v>69</v>
      </c>
      <c r="B24" s="27">
        <f>('FINANCIAL STATEMENTS'!C24-'FINANCIAL STATEMENTS'!B24)/'FINANCIAL STATEMENTS'!B24</f>
        <v>-2.3555440737134829E-2</v>
      </c>
      <c r="C24" s="27">
        <f>('FINANCIAL STATEMENTS'!D24-'FINANCIAL STATEMENTS'!C24)/'FINANCIAL STATEMENTS'!C24</f>
        <v>9.762765675985563E-2</v>
      </c>
      <c r="D24" s="27">
        <f>('FINANCIAL STATEMENTS'!E24-'FINANCIAL STATEMENTS'!D24)/'FINANCIAL STATEMENTS'!D24</f>
        <v>4.8375134426878942E-2</v>
      </c>
      <c r="E24" s="27">
        <f>('FINANCIAL STATEMENTS'!F24-'FINANCIAL STATEMENTS'!E24)/'FINANCIAL STATEMENTS'!E24</f>
        <v>0.43028445099484025</v>
      </c>
      <c r="F24" s="27">
        <f>('FINANCIAL STATEMENTS'!G24-'FINANCIAL STATEMENTS'!F24)/'FINANCIAL STATEMENTS'!F24</f>
        <v>0.16266301749295206</v>
      </c>
    </row>
    <row r="25" spans="1:6" x14ac:dyDescent="0.3">
      <c r="A25" s="10" t="s">
        <v>55</v>
      </c>
      <c r="B25" s="18">
        <f>('FINANCIAL STATEMENTS'!C25-'FINANCIAL STATEMENTS'!B25)/'FINANCIAL STATEMENTS'!B25</f>
        <v>0.26791044776119388</v>
      </c>
      <c r="C25" s="18">
        <f>('FINANCIAL STATEMENTS'!D25-'FINANCIAL STATEMENTS'!C25)/'FINANCIAL STATEMENTS'!C25</f>
        <v>0.60329605650382578</v>
      </c>
      <c r="D25" s="18">
        <f>('FINANCIAL STATEMENTS'!E25-'FINANCIAL STATEMENTS'!D25)/'FINANCIAL STATEMENTS'!D25</f>
        <v>4.7356828193832703E-2</v>
      </c>
      <c r="E25" s="18">
        <f>('FINANCIAL STATEMENTS'!F25-'FINANCIAL STATEMENTS'!E25)/'FINANCIAL STATEMENTS'!E25</f>
        <v>3.2597266035751832E-2</v>
      </c>
      <c r="F25" s="18">
        <f>('FINANCIAL STATEMENTS'!G25-'FINANCIAL STATEMENTS'!F25)/'FINANCIAL STATEMENTS'!F25</f>
        <v>0.17854718262050231</v>
      </c>
    </row>
    <row r="26" spans="1:6" x14ac:dyDescent="0.3">
      <c r="A26" s="10" t="s">
        <v>59</v>
      </c>
      <c r="B26" s="18">
        <f>('FINANCIAL STATEMENTS'!C26-'FINANCIAL STATEMENTS'!B26)/'FINANCIAL STATEMENTS'!B26</f>
        <v>-0.99240890688259109</v>
      </c>
      <c r="C26" s="18">
        <f>('FINANCIAL STATEMENTS'!D26-'FINANCIAL STATEMENTS'!C26)/'FINANCIAL STATEMENTS'!C26</f>
        <v>-1</v>
      </c>
      <c r="D26" s="18"/>
      <c r="E26" s="18"/>
      <c r="F26" s="18">
        <f>('FINANCIAL STATEMENTS'!G26-'FINANCIAL STATEMENTS'!F26)/'FINANCIAL STATEMENTS'!F26</f>
        <v>-3.8195804195804195</v>
      </c>
    </row>
    <row r="27" spans="1:6" x14ac:dyDescent="0.3">
      <c r="A27" s="11" t="s">
        <v>60</v>
      </c>
      <c r="B27" s="27">
        <f>('FINANCIAL STATEMENTS'!C27-'FINANCIAL STATEMENTS'!B27)/'FINANCIAL STATEMENTS'!B27</f>
        <v>1.3695674866905009E-2</v>
      </c>
      <c r="C27" s="27">
        <f>('FINANCIAL STATEMENTS'!D27-'FINANCIAL STATEMENTS'!C27)/'FINANCIAL STATEMENTS'!C27</f>
        <v>9.206867907430194E-2</v>
      </c>
      <c r="D27" s="27">
        <f>('FINANCIAL STATEMENTS'!E27-'FINANCIAL STATEMENTS'!D27)/'FINANCIAL STATEMENTS'!D27</f>
        <v>4.8392572010511857E-2</v>
      </c>
      <c r="E27" s="27">
        <f>('FINANCIAL STATEMENTS'!F27-'FINANCIAL STATEMENTS'!E27)/'FINANCIAL STATEMENTS'!E27</f>
        <v>0.44137505096778706</v>
      </c>
      <c r="F27" s="27">
        <f>('FINANCIAL STATEMENTS'!G27-'FINANCIAL STATEMENTS'!F27)/'FINANCIAL STATEMENTS'!F27</f>
        <v>0.15062338537571635</v>
      </c>
    </row>
    <row r="28" spans="1:6" x14ac:dyDescent="0.3">
      <c r="B28"/>
      <c r="C28"/>
      <c r="D28"/>
      <c r="E28"/>
      <c r="F28"/>
    </row>
    <row r="29" spans="1:6" x14ac:dyDescent="0.3">
      <c r="A29" s="101" t="s">
        <v>61</v>
      </c>
      <c r="B29" s="102"/>
      <c r="C29" s="102"/>
      <c r="D29" s="102"/>
      <c r="E29" s="102"/>
      <c r="F29" s="103"/>
    </row>
    <row r="30" spans="1:6" x14ac:dyDescent="0.3">
      <c r="B30"/>
      <c r="C30"/>
      <c r="D30"/>
      <c r="E30"/>
      <c r="F30"/>
    </row>
    <row r="31" spans="1:6" x14ac:dyDescent="0.3">
      <c r="A31" s="10" t="s">
        <v>62</v>
      </c>
      <c r="B31" s="18">
        <f>('FINANCIAL STATEMENTS'!C31-'FINANCIAL STATEMENTS'!B31)/'FINANCIAL STATEMENTS'!B31</f>
        <v>1.7360640173606494E-2</v>
      </c>
      <c r="C31" s="18">
        <f>('FINANCIAL STATEMENTS'!D31-'FINANCIAL STATEMENTS'!C31)/'FINANCIAL STATEMENTS'!C31</f>
        <v>5.9938674843354113E-2</v>
      </c>
      <c r="D31" s="18">
        <f>('FINANCIAL STATEMENTS'!E31-'FINANCIAL STATEMENTS'!D31)/'FINANCIAL STATEMENTS'!D31</f>
        <v>6.4196412849344811E-2</v>
      </c>
      <c r="E31" s="18">
        <f>('FINANCIAL STATEMENTS'!F31-'FINANCIAL STATEMENTS'!E31)/'FINANCIAL STATEMENTS'!E31</f>
        <v>0.42947642122680535</v>
      </c>
      <c r="F31" s="18">
        <f>('FINANCIAL STATEMENTS'!G31-'FINANCIAL STATEMENTS'!F31)/'FINANCIAL STATEMENTS'!F31</f>
        <v>0.11796805238614948</v>
      </c>
    </row>
    <row r="32" spans="1:6" x14ac:dyDescent="0.3">
      <c r="A32" s="10" t="s">
        <v>63</v>
      </c>
      <c r="B32" s="18">
        <f>('FINANCIAL STATEMENTS'!C32-'FINANCIAL STATEMENTS'!B32)/'FINANCIAL STATEMENTS'!B32</f>
        <v>-1.0036014405762304</v>
      </c>
      <c r="C32" s="18">
        <f>('FINANCIAL STATEMENTS'!D32-'FINANCIAL STATEMENTS'!C32)/'FINANCIAL STATEMENTS'!C32</f>
        <v>14.000000000000002</v>
      </c>
      <c r="D32" s="18">
        <f>('FINANCIAL STATEMENTS'!E32-'FINANCIAL STATEMENTS'!D32)/'FINANCIAL STATEMENTS'!D32</f>
        <v>-7.95</v>
      </c>
      <c r="E32" s="18">
        <f>('FINANCIAL STATEMENTS'!F32-'FINANCIAL STATEMENTS'!E32)/'FINANCIAL STATEMENTS'!E32</f>
        <v>-0.96802557953637092</v>
      </c>
      <c r="F32" s="18">
        <f>('FINANCIAL STATEMENTS'!G32-'FINANCIAL STATEMENTS'!F32)/'FINANCIAL STATEMENTS'!F32</f>
        <v>-40.924999999999997</v>
      </c>
    </row>
    <row r="33" spans="1:6" x14ac:dyDescent="0.3">
      <c r="A33" s="11" t="s">
        <v>71</v>
      </c>
      <c r="B33" s="27">
        <f>('FINANCIAL STATEMENTS'!C33-'FINANCIAL STATEMENTS'!B33)/'FINANCIAL STATEMENTS'!B33</f>
        <v>0.11880833805505035</v>
      </c>
      <c r="C33" s="27">
        <f>('FINANCIAL STATEMENTS'!D33-'FINANCIAL STATEMENTS'!C33)/'FINANCIAL STATEMENTS'!C33</f>
        <v>6.4397473145507284E-2</v>
      </c>
      <c r="D33" s="27">
        <f>('FINANCIAL STATEMENTS'!E33-'FINANCIAL STATEMENTS'!D33)/'FINANCIAL STATEMENTS'!D33</f>
        <v>2.8072020634562985E-2</v>
      </c>
      <c r="E33" s="27">
        <f>('FINANCIAL STATEMENTS'!F33-'FINANCIAL STATEMENTS'!E33)/'FINANCIAL STATEMENTS'!E33</f>
        <v>0.47206118770399963</v>
      </c>
      <c r="F33" s="27">
        <f>('FINANCIAL STATEMENTS'!G33-'FINANCIAL STATEMENTS'!F33)/'FINANCIAL STATEMENTS'!F33</f>
        <v>0.14513353410331939</v>
      </c>
    </row>
    <row r="34" spans="1:6" x14ac:dyDescent="0.3">
      <c r="A34" s="10" t="s">
        <v>112</v>
      </c>
      <c r="B34" s="18">
        <f>('FINANCIAL STATEMENTS'!C34-'FINANCIAL STATEMENTS'!B34)/'FINANCIAL STATEMENTS'!B34</f>
        <v>0.10369252409205178</v>
      </c>
      <c r="C34" s="18">
        <f>('FINANCIAL STATEMENTS'!D34-'FINANCIAL STATEMENTS'!C34)/'FINANCIAL STATEMENTS'!C34</f>
        <v>-2.5338338566993905E-2</v>
      </c>
      <c r="D34" s="18">
        <f>('FINANCIAL STATEMENTS'!E34-'FINANCIAL STATEMENTS'!D34)/'FINANCIAL STATEMENTS'!D34</f>
        <v>-1.9382578547823982E-2</v>
      </c>
      <c r="E34" s="18">
        <f>('FINANCIAL STATEMENTS'!F34-'FINANCIAL STATEMENTS'!E34)/'FINANCIAL STATEMENTS'!E34</f>
        <v>2.1289487920308374E-2</v>
      </c>
      <c r="F34" s="18">
        <f>('FINANCIAL STATEMENTS'!G34-'FINANCIAL STATEMENTS'!F34)/'FINANCIAL STATEMENTS'!F34</f>
        <v>-4.7711973719397685E-3</v>
      </c>
    </row>
    <row r="35" spans="1:6" x14ac:dyDescent="0.3">
      <c r="B35"/>
      <c r="C35"/>
      <c r="D35"/>
      <c r="E35"/>
      <c r="F35"/>
    </row>
    <row r="36" spans="1:6" ht="20.399999999999999" thickBot="1" x14ac:dyDescent="0.45">
      <c r="A36" s="4" t="s">
        <v>113</v>
      </c>
      <c r="B36" s="39">
        <f>('FINANCIAL STATEMENTS'!C36-'FINANCIAL STATEMENTS'!B36)/'FINANCIAL STATEMENTS'!B36</f>
        <v>-1.8300321344929277E-2</v>
      </c>
      <c r="C36" s="39">
        <f>('FINANCIAL STATEMENTS'!D36-'FINANCIAL STATEMENTS'!C36)/'FINANCIAL STATEMENTS'!C36</f>
        <v>0.10166811532557893</v>
      </c>
      <c r="D36" s="39">
        <f>('FINANCIAL STATEMENTS'!E36-'FINANCIAL STATEMENTS'!D36)/'FINANCIAL STATEMENTS'!D36</f>
        <v>5.52034983758753E-2</v>
      </c>
      <c r="E36" s="39">
        <f>('FINANCIAL STATEMENTS'!F36-'FINANCIAL STATEMENTS'!E36)/'FINANCIAL STATEMENTS'!E36</f>
        <v>0.43135430089565346</v>
      </c>
      <c r="F36" s="39">
        <f>('FINANCIAL STATEMENTS'!G36-'FINANCIAL STATEMENTS'!F36)/'FINANCIAL STATEMENTS'!F36</f>
        <v>0.15246711531728824</v>
      </c>
    </row>
    <row r="37" spans="1:6" ht="15" thickTop="1" x14ac:dyDescent="0.3">
      <c r="B37"/>
      <c r="C37"/>
      <c r="D37"/>
      <c r="E37"/>
      <c r="F37"/>
    </row>
    <row r="38" spans="1:6" x14ac:dyDescent="0.3">
      <c r="A38" s="101" t="s">
        <v>72</v>
      </c>
      <c r="B38" s="102"/>
      <c r="C38" s="102"/>
      <c r="D38" s="102"/>
      <c r="E38" s="102"/>
      <c r="F38" s="103"/>
    </row>
    <row r="39" spans="1:6" x14ac:dyDescent="0.3">
      <c r="A39" s="104" t="s">
        <v>73</v>
      </c>
      <c r="B39" s="105"/>
      <c r="C39" s="105"/>
      <c r="D39" s="105"/>
      <c r="E39" s="105"/>
      <c r="F39" s="106"/>
    </row>
    <row r="40" spans="1:6" x14ac:dyDescent="0.3">
      <c r="B40"/>
      <c r="C40"/>
      <c r="D40"/>
      <c r="E40"/>
      <c r="F40"/>
    </row>
    <row r="41" spans="1:6" x14ac:dyDescent="0.3">
      <c r="A41" s="10" t="s">
        <v>74</v>
      </c>
      <c r="B41" s="18">
        <f>('FINANCIAL STATEMENTS'!C41-'FINANCIAL STATEMENTS'!B41)/'FINANCIAL STATEMENTS'!B41</f>
        <v>-0.93615591397849462</v>
      </c>
      <c r="C41" s="18">
        <f>('FINANCIAL STATEMENTS'!D41-'FINANCIAL STATEMENTS'!C41)/'FINANCIAL STATEMENTS'!C41</f>
        <v>11.747368421052633</v>
      </c>
      <c r="D41" s="18">
        <f>('FINANCIAL STATEMENTS'!E41-'FINANCIAL STATEMENTS'!D41)/'FINANCIAL STATEMENTS'!D41</f>
        <v>-1.1601981833195705</v>
      </c>
      <c r="E41" s="18">
        <f>('FINANCIAL STATEMENTS'!F41-'FINANCIAL STATEMENTS'!E41)/'FINANCIAL STATEMENTS'!E41</f>
        <v>-14.804123711340209</v>
      </c>
      <c r="F41" s="18">
        <f>('FINANCIAL STATEMENTS'!G41-'FINANCIAL STATEMENTS'!F41)/'FINANCIAL STATEMENTS'!F41</f>
        <v>-0.43091859596713966</v>
      </c>
    </row>
    <row r="42" spans="1:6" x14ac:dyDescent="0.3">
      <c r="A42" s="10" t="s">
        <v>75</v>
      </c>
      <c r="B42" s="18">
        <f>('FINANCIAL STATEMENTS'!C42-'FINANCIAL STATEMENTS'!B42)/'FINANCIAL STATEMENTS'!B42</f>
        <v>-0.92207792207792205</v>
      </c>
      <c r="C42" s="18">
        <f>('FINANCIAL STATEMENTS'!D42-'FINANCIAL STATEMENTS'!C42)/'FINANCIAL STATEMENTS'!C42</f>
        <v>11.708333333333332</v>
      </c>
      <c r="D42" s="18">
        <f>('FINANCIAL STATEMENTS'!E42-'FINANCIAL STATEMENTS'!D42)/'FINANCIAL STATEMENTS'!D42</f>
        <v>-1.160655737704918</v>
      </c>
      <c r="E42" s="18">
        <f>('FINANCIAL STATEMENTS'!F42-'FINANCIAL STATEMENTS'!E42)/'FINANCIAL STATEMENTS'!E42</f>
        <v>-14.755102040816327</v>
      </c>
      <c r="F42" s="18">
        <f>('FINANCIAL STATEMENTS'!G42-'FINANCIAL STATEMENTS'!F42)/'FINANCIAL STATEMENTS'!F42</f>
        <v>-0.43026706231454009</v>
      </c>
    </row>
    <row r="43" spans="1:6" x14ac:dyDescent="0.3">
      <c r="A43" s="11" t="s">
        <v>64</v>
      </c>
      <c r="B43" s="27">
        <f>('FINANCIAL STATEMENTS'!C43-'FINANCIAL STATEMENTS'!B43)/'FINANCIAL STATEMENTS'!B43</f>
        <v>-0.93983050847457617</v>
      </c>
      <c r="C43" s="27">
        <f>('FINANCIAL STATEMENTS'!D43-'FINANCIAL STATEMENTS'!C43)/'FINANCIAL STATEMENTS'!C43</f>
        <v>11.760563380281688</v>
      </c>
      <c r="D43" s="27">
        <f>('FINANCIAL STATEMENTS'!E43-'FINANCIAL STATEMENTS'!D43)/'FINANCIAL STATEMENTS'!D43</f>
        <v>-1.1600441501103753</v>
      </c>
      <c r="E43" s="27">
        <f>('FINANCIAL STATEMENTS'!F43-'FINANCIAL STATEMENTS'!E43)/'FINANCIAL STATEMENTS'!E43</f>
        <v>-14.820689655172414</v>
      </c>
      <c r="F43" s="27">
        <f>('FINANCIAL STATEMENTS'!G43-'FINANCIAL STATEMENTS'!F43)/'FINANCIAL STATEMENTS'!F43</f>
        <v>-0.43113772455089816</v>
      </c>
    </row>
    <row r="44" spans="1:6" x14ac:dyDescent="0.3">
      <c r="B44"/>
      <c r="C44"/>
      <c r="D44"/>
      <c r="E44"/>
      <c r="F44"/>
    </row>
    <row r="45" spans="1:6" x14ac:dyDescent="0.3">
      <c r="A45" s="12" t="s">
        <v>65</v>
      </c>
      <c r="B45" s="18">
        <f>('FINANCIAL STATEMENTS'!C45-'FINANCIAL STATEMENTS'!B45)/'FINANCIAL STATEMENTS'!B45</f>
        <v>-8.3224752711466773E-3</v>
      </c>
      <c r="C45" s="18">
        <f>('FINANCIAL STATEMENTS'!D45-'FINANCIAL STATEMENTS'!C45)/'FINANCIAL STATEMENTS'!C45</f>
        <v>9.4008790191996927E-2</v>
      </c>
      <c r="D45" s="18">
        <f>('FINANCIAL STATEMENTS'!E45-'FINANCIAL STATEMENTS'!D45)/'FINANCIAL STATEMENTS'!D45</f>
        <v>6.4515583372099283E-2</v>
      </c>
      <c r="E45" s="18">
        <f>('FINANCIAL STATEMENTS'!F45-'FINANCIAL STATEMENTS'!E45)/'FINANCIAL STATEMENTS'!E45</f>
        <v>0.41378324050753407</v>
      </c>
      <c r="F45" s="18">
        <f>('FINANCIAL STATEMENTS'!G45-'FINANCIAL STATEMENTS'!F45)/'FINANCIAL STATEMENTS'!F45</f>
        <v>0.15903969248579633</v>
      </c>
    </row>
    <row r="46" spans="1:6" x14ac:dyDescent="0.3">
      <c r="B46"/>
      <c r="C46"/>
      <c r="D46"/>
      <c r="E46"/>
      <c r="F46"/>
    </row>
    <row r="47" spans="1:6" x14ac:dyDescent="0.3">
      <c r="A47" s="101" t="s">
        <v>66</v>
      </c>
      <c r="B47" s="102"/>
      <c r="C47" s="102"/>
      <c r="D47" s="102"/>
      <c r="E47" s="102"/>
      <c r="F47" s="103"/>
    </row>
    <row r="48" spans="1:6" x14ac:dyDescent="0.3">
      <c r="A48" s="29" t="s">
        <v>67</v>
      </c>
      <c r="B48" s="35">
        <f>('FINANCIAL STATEMENTS'!C49-'FINANCIAL STATEMENTS'!B49)/'FINANCIAL STATEMENTS'!B49</f>
        <v>-1.8902720147533431E-2</v>
      </c>
      <c r="C48" s="35">
        <f>('FINANCIAL STATEMENTS'!D49-'FINANCIAL STATEMENTS'!C49)/'FINANCIAL STATEMENTS'!C49</f>
        <v>0.10197368421052623</v>
      </c>
      <c r="D48" s="35">
        <f>('FINANCIAL STATEMENTS'!E49-'FINANCIAL STATEMENTS'!D49)/'FINANCIAL STATEMENTS'!D49</f>
        <v>5.4584221748400906E-2</v>
      </c>
      <c r="E48" s="35">
        <f>('FINANCIAL STATEMENTS'!F49-'FINANCIAL STATEMENTS'!E49)/'FINANCIAL STATEMENTS'!E49</f>
        <v>0.4310553983016579</v>
      </c>
      <c r="F48" s="35">
        <f>('FINANCIAL STATEMENTS'!G49-'FINANCIAL STATEMENTS'!F49)/'FINANCIAL STATEMENTS'!F49</f>
        <v>0.15202034473014983</v>
      </c>
    </row>
    <row r="49" spans="1:6" x14ac:dyDescent="0.3">
      <c r="A49" s="7" t="s">
        <v>68</v>
      </c>
      <c r="B49" s="18">
        <f>('FINANCIAL STATEMENTS'!C50-'FINANCIAL STATEMENTS'!B50)/'FINANCIAL STATEMENTS'!B50</f>
        <v>-1.8911439114391151E-2</v>
      </c>
      <c r="C49" s="18">
        <f>('FINANCIAL STATEMENTS'!D50-'FINANCIAL STATEMENTS'!C50)/'FINANCIAL STATEMENTS'!C50</f>
        <v>0.10155148095909733</v>
      </c>
      <c r="D49" s="18">
        <f>('FINANCIAL STATEMENTS'!E50-'FINANCIAL STATEMENTS'!D50)/'FINANCIAL STATEMENTS'!D50</f>
        <v>5.5057618437900094E-2</v>
      </c>
      <c r="E49" s="18">
        <f>('FINANCIAL STATEMENTS'!F50-'FINANCIAL STATEMENTS'!E50)/'FINANCIAL STATEMENTS'!E50</f>
        <v>0.43001618122977359</v>
      </c>
      <c r="F49" s="18">
        <f>('FINANCIAL STATEMENTS'!G50-'FINANCIAL STATEMENTS'!F50)/'FINANCIAL STATEMENTS'!F50</f>
        <v>0.15077793493635072</v>
      </c>
    </row>
    <row r="50" spans="1:6" x14ac:dyDescent="0.3">
      <c r="A50" s="2"/>
    </row>
    <row r="51" spans="1:6" x14ac:dyDescent="0.3">
      <c r="A51" s="2"/>
    </row>
    <row r="52" spans="1:6" ht="20.399999999999999" thickBot="1" x14ac:dyDescent="0.45">
      <c r="A52" s="3" t="s">
        <v>44</v>
      </c>
    </row>
    <row r="53" spans="1:6" ht="15" thickTop="1" x14ac:dyDescent="0.3">
      <c r="A53" s="10"/>
    </row>
    <row r="54" spans="1:6" x14ac:dyDescent="0.3">
      <c r="A54" s="40" t="s">
        <v>45</v>
      </c>
      <c r="B54" s="41">
        <v>44286</v>
      </c>
      <c r="C54" s="41">
        <v>44651</v>
      </c>
      <c r="D54" s="41">
        <v>45016</v>
      </c>
      <c r="E54" s="41">
        <v>45382</v>
      </c>
      <c r="F54" s="41">
        <v>45747</v>
      </c>
    </row>
    <row r="55" spans="1:6" x14ac:dyDescent="0.3">
      <c r="A55" s="95" t="s">
        <v>0</v>
      </c>
      <c r="B55" s="96"/>
      <c r="C55" s="96"/>
      <c r="D55" s="96"/>
      <c r="E55" s="96"/>
      <c r="F55" s="97"/>
    </row>
    <row r="56" spans="1:6" x14ac:dyDescent="0.3">
      <c r="B56"/>
      <c r="C56"/>
      <c r="D56"/>
      <c r="E56"/>
      <c r="F56"/>
    </row>
    <row r="57" spans="1:6" x14ac:dyDescent="0.3">
      <c r="A57" s="101" t="s">
        <v>1</v>
      </c>
      <c r="B57" s="102"/>
      <c r="C57" s="102"/>
      <c r="D57" s="102"/>
      <c r="E57" s="102"/>
      <c r="F57" s="103"/>
    </row>
    <row r="58" spans="1:6" x14ac:dyDescent="0.3">
      <c r="A58" s="29" t="s">
        <v>2</v>
      </c>
      <c r="B58" s="35">
        <f>('FINANCIAL STATEMENTS'!C60-'FINANCIAL STATEMENTS'!B60)/'FINANCIAL STATEMENTS'!B60</f>
        <v>0.18826343411824809</v>
      </c>
      <c r="C58" s="35">
        <f>('FINANCIAL STATEMENTS'!D60-'FINANCIAL STATEMENTS'!C60)/'FINANCIAL STATEMENTS'!C60</f>
        <v>0.29255017686489865</v>
      </c>
      <c r="D58" s="35">
        <f>('FINANCIAL STATEMENTS'!E60-'FINANCIAL STATEMENTS'!D60)/'FINANCIAL STATEMENTS'!D60</f>
        <v>9.1172312646945364E-2</v>
      </c>
      <c r="E58" s="35">
        <f>('FINANCIAL STATEMENTS'!F60-'FINANCIAL STATEMENTS'!E60)/'FINANCIAL STATEMENTS'!E60</f>
        <v>0.31434074423051611</v>
      </c>
      <c r="F58" s="35">
        <f>('FINANCIAL STATEMENTS'!G60-'FINANCIAL STATEMENTS'!F60)/'FINANCIAL STATEMENTS'!F60</f>
        <v>0.10489278259219445</v>
      </c>
    </row>
    <row r="59" spans="1:6" x14ac:dyDescent="0.3">
      <c r="A59" s="10" t="s">
        <v>3</v>
      </c>
      <c r="B59" s="18">
        <f>('FINANCIAL STATEMENTS'!C61-'FINANCIAL STATEMENTS'!B61)/'FINANCIAL STATEMENTS'!B61</f>
        <v>8.721942281264311E-2</v>
      </c>
      <c r="C59" s="18">
        <f>('FINANCIAL STATEMENTS'!D61-'FINANCIAL STATEMENTS'!C61)/'FINANCIAL STATEMENTS'!C61</f>
        <v>0.4405494227690232</v>
      </c>
      <c r="D59" s="18">
        <f>('FINANCIAL STATEMENTS'!E61-'FINANCIAL STATEMENTS'!D61)/'FINANCIAL STATEMENTS'!D61</f>
        <v>0.59666569172272599</v>
      </c>
      <c r="E59" s="18">
        <f>('FINANCIAL STATEMENTS'!F61-'FINANCIAL STATEMENTS'!E61)/'FINANCIAL STATEMENTS'!E61</f>
        <v>0.14911155889357022</v>
      </c>
      <c r="F59" s="18">
        <f>('FINANCIAL STATEMENTS'!G61-'FINANCIAL STATEMENTS'!F61)/'FINANCIAL STATEMENTS'!F61</f>
        <v>0.26708114139964945</v>
      </c>
    </row>
    <row r="60" spans="1:6" x14ac:dyDescent="0.3">
      <c r="A60" s="10" t="s">
        <v>4</v>
      </c>
      <c r="B60" s="18">
        <f>('FINANCIAL STATEMENTS'!C62-'FINANCIAL STATEMENTS'!B62)/'FINANCIAL STATEMENTS'!B62</f>
        <v>0.13673073816830889</v>
      </c>
      <c r="C60" s="18">
        <f>('FINANCIAL STATEMENTS'!D62-'FINANCIAL STATEMENTS'!C62)/'FINANCIAL STATEMENTS'!C62</f>
        <v>-0.26344582593250443</v>
      </c>
      <c r="D60" s="18">
        <f>('FINANCIAL STATEMENTS'!E62-'FINANCIAL STATEMENTS'!D62)/'FINANCIAL STATEMENTS'!D62</f>
        <v>0.69287161184527823</v>
      </c>
      <c r="E60" s="18">
        <f>('FINANCIAL STATEMENTS'!F62-'FINANCIAL STATEMENTS'!E62)/'FINANCIAL STATEMENTS'!E62</f>
        <v>-0.61407407407407411</v>
      </c>
      <c r="F60" s="18">
        <f>('FINANCIAL STATEMENTS'!G62-'FINANCIAL STATEMENTS'!F62)/'FINANCIAL STATEMENTS'!F62</f>
        <v>-0.21880998080614214</v>
      </c>
    </row>
    <row r="61" spans="1:6" x14ac:dyDescent="0.3">
      <c r="A61" s="10" t="s">
        <v>5</v>
      </c>
      <c r="B61" s="18">
        <f>('FINANCIAL STATEMENTS'!C63-'FINANCIAL STATEMENTS'!B63)/'FINANCIAL STATEMENTS'!B63</f>
        <v>2.6710022064801299E-3</v>
      </c>
      <c r="C61" s="18">
        <f>('FINANCIAL STATEMENTS'!D63-'FINANCIAL STATEMENTS'!C63)/'FINANCIAL STATEMENTS'!C63</f>
        <v>12.723071577484363</v>
      </c>
      <c r="D61" s="18">
        <f>('FINANCIAL STATEMENTS'!E63-'FINANCIAL STATEMENTS'!D63)/'FINANCIAL STATEMENTS'!D63</f>
        <v>0</v>
      </c>
      <c r="E61" s="18">
        <f>('FINANCIAL STATEMENTS'!F63-'FINANCIAL STATEMENTS'!E63)/'FINANCIAL STATEMENTS'!E63</f>
        <v>0</v>
      </c>
      <c r="F61" s="18">
        <f>('FINANCIAL STATEMENTS'!G63-'FINANCIAL STATEMENTS'!F63)/'FINANCIAL STATEMENTS'!F63</f>
        <v>0</v>
      </c>
    </row>
    <row r="62" spans="1:6" x14ac:dyDescent="0.3">
      <c r="A62" s="10" t="s">
        <v>6</v>
      </c>
      <c r="B62" s="18">
        <f>('FINANCIAL STATEMENTS'!C64-'FINANCIAL STATEMENTS'!B64)/'FINANCIAL STATEMENTS'!B64</f>
        <v>6.1143064407481133E-3</v>
      </c>
      <c r="C62" s="18">
        <f>('FINANCIAL STATEMENTS'!D64-'FINANCIAL STATEMENTS'!C64)/'FINANCIAL STATEMENTS'!C64</f>
        <v>7.0181284441468819</v>
      </c>
      <c r="D62" s="18">
        <f>('FINANCIAL STATEMENTS'!E64-'FINANCIAL STATEMENTS'!D64)/'FINANCIAL STATEMENTS'!D64</f>
        <v>-1.3257283798366026E-2</v>
      </c>
      <c r="E62" s="18">
        <f>('FINANCIAL STATEMENTS'!F64-'FINANCIAL STATEMENTS'!E64)/'FINANCIAL STATEMENTS'!E64</f>
        <v>1.8291412800082966E-3</v>
      </c>
      <c r="F62" s="18">
        <f>('FINANCIAL STATEMENTS'!G64-'FINANCIAL STATEMENTS'!F64)/'FINANCIAL STATEMENTS'!F64</f>
        <v>-1.0318053344595615E-2</v>
      </c>
    </row>
    <row r="63" spans="1:6" x14ac:dyDescent="0.3">
      <c r="A63" s="10" t="s">
        <v>7</v>
      </c>
      <c r="B63" s="18">
        <f>('FINANCIAL STATEMENTS'!C65-'FINANCIAL STATEMENTS'!B65)/'FINANCIAL STATEMENTS'!B65</f>
        <v>1.9884872872945127</v>
      </c>
      <c r="C63" s="18">
        <f>('FINANCIAL STATEMENTS'!D65-'FINANCIAL STATEMENTS'!C65)/'FINANCIAL STATEMENTS'!C65</f>
        <v>-0.72391660074994113</v>
      </c>
      <c r="D63" s="18">
        <f>('FINANCIAL STATEMENTS'!E65-'FINANCIAL STATEMENTS'!D65)/'FINANCIAL STATEMENTS'!D65</f>
        <v>9.7817291078888008E-2</v>
      </c>
      <c r="E63" s="18">
        <f>('FINANCIAL STATEMENTS'!F65-'FINANCIAL STATEMENTS'!E65)/'FINANCIAL STATEMENTS'!E65</f>
        <v>4.9745495114103797E-2</v>
      </c>
      <c r="F63" s="18">
        <f>('FINANCIAL STATEMENTS'!G65-'FINANCIAL STATEMENTS'!F65)/'FINANCIAL STATEMENTS'!F65</f>
        <v>7.8047160411823316E-2</v>
      </c>
    </row>
    <row r="64" spans="1:6" x14ac:dyDescent="0.3">
      <c r="A64" s="10" t="s">
        <v>8</v>
      </c>
      <c r="B64" s="18">
        <f>('FINANCIAL STATEMENTS'!C66-'FINANCIAL STATEMENTS'!B66)/'FINANCIAL STATEMENTS'!B66</f>
        <v>0.19306930693069313</v>
      </c>
      <c r="C64" s="18">
        <f>('FINANCIAL STATEMENTS'!D66-'FINANCIAL STATEMENTS'!C66)/'FINANCIAL STATEMENTS'!C66</f>
        <v>4.7717842323651352E-2</v>
      </c>
      <c r="D64" s="18">
        <f>('FINANCIAL STATEMENTS'!E66-'FINANCIAL STATEMENTS'!D66)/'FINANCIAL STATEMENTS'!D66</f>
        <v>0.22772277227722781</v>
      </c>
      <c r="E64" s="18">
        <f>('FINANCIAL STATEMENTS'!F66-'FINANCIAL STATEMENTS'!E66)/'FINANCIAL STATEMENTS'!E66</f>
        <v>0.24999999999999997</v>
      </c>
      <c r="F64" s="18">
        <f>('FINANCIAL STATEMENTS'!G66-'FINANCIAL STATEMENTS'!F66)/'FINANCIAL STATEMENTS'!F66</f>
        <v>-4.9032258064516117E-2</v>
      </c>
    </row>
    <row r="65" spans="1:6" x14ac:dyDescent="0.3">
      <c r="A65" s="10" t="s">
        <v>9</v>
      </c>
      <c r="B65" s="18">
        <f>('FINANCIAL STATEMENTS'!C67-'FINANCIAL STATEMENTS'!B67)/'FINANCIAL STATEMENTS'!B67</f>
        <v>0.15472560975609767</v>
      </c>
      <c r="C65" s="18">
        <f>('FINANCIAL STATEMENTS'!D67-'FINANCIAL STATEMENTS'!C67)/'FINANCIAL STATEMENTS'!C67</f>
        <v>0.28382838283828377</v>
      </c>
      <c r="D65" s="18">
        <f>('FINANCIAL STATEMENTS'!E67-'FINANCIAL STATEMENTS'!D67)/'FINANCIAL STATEMENTS'!D67</f>
        <v>0.7969151670951159</v>
      </c>
      <c r="E65" s="18">
        <f>('FINANCIAL STATEMENTS'!F67-'FINANCIAL STATEMENTS'!E67)/'FINANCIAL STATEMENTS'!E67</f>
        <v>0.13047210300429168</v>
      </c>
      <c r="F65" s="18">
        <f>('FINANCIAL STATEMENTS'!G67-'FINANCIAL STATEMENTS'!F67)/'FINANCIAL STATEMENTS'!F67</f>
        <v>0.13996456593267531</v>
      </c>
    </row>
    <row r="66" spans="1:6" x14ac:dyDescent="0.3">
      <c r="A66" s="10" t="s">
        <v>10</v>
      </c>
      <c r="B66" s="18">
        <f>('FINANCIAL STATEMENTS'!C68-'FINANCIAL STATEMENTS'!B68)/'FINANCIAL STATEMENTS'!B68</f>
        <v>-0.17788279773156893</v>
      </c>
      <c r="C66" s="18">
        <f>('FINANCIAL STATEMENTS'!D68-'FINANCIAL STATEMENTS'!C68)/'FINANCIAL STATEMENTS'!C68</f>
        <v>0.49367670728903174</v>
      </c>
      <c r="D66" s="18">
        <f>('FINANCIAL STATEMENTS'!E68-'FINANCIAL STATEMENTS'!D68)/'FINANCIAL STATEMENTS'!D68</f>
        <v>5.6111453201970606E-2</v>
      </c>
      <c r="E66" s="18">
        <f>('FINANCIAL STATEMENTS'!F68-'FINANCIAL STATEMENTS'!E68)/'FINANCIAL STATEMENTS'!E68</f>
        <v>-5.5608191822753408E-2</v>
      </c>
      <c r="F66" s="18">
        <f>('FINANCIAL STATEMENTS'!G68-'FINANCIAL STATEMENTS'!F68)/'FINANCIAL STATEMENTS'!F68</f>
        <v>0.21986417657045823</v>
      </c>
    </row>
    <row r="67" spans="1:6" x14ac:dyDescent="0.3">
      <c r="A67" s="10" t="s">
        <v>11</v>
      </c>
      <c r="B67" s="18">
        <f>('FINANCIAL STATEMENTS'!C69-'FINANCIAL STATEMENTS'!B69)/'FINANCIAL STATEMENTS'!B69</f>
        <v>0.22920861080997387</v>
      </c>
      <c r="C67" s="18">
        <f>('FINANCIAL STATEMENTS'!D69-'FINANCIAL STATEMENTS'!C69)/'FINANCIAL STATEMENTS'!C69</f>
        <v>-0.46831296459619504</v>
      </c>
      <c r="D67" s="18">
        <f>('FINANCIAL STATEMENTS'!E69-'FINANCIAL STATEMENTS'!D69)/'FINANCIAL STATEMENTS'!D69</f>
        <v>0.13175355450236956</v>
      </c>
      <c r="E67" s="18">
        <f>('FINANCIAL STATEMENTS'!F69-'FINANCIAL STATEMENTS'!E69)/'FINANCIAL STATEMENTS'!E69</f>
        <v>9.5477386934673419E-2</v>
      </c>
      <c r="F67" s="18">
        <f>('FINANCIAL STATEMENTS'!G69-'FINANCIAL STATEMENTS'!F69)/'FINANCIAL STATEMENTS'!F69</f>
        <v>-0.12939602446483187</v>
      </c>
    </row>
    <row r="68" spans="1:6" x14ac:dyDescent="0.3">
      <c r="A68" s="11" t="s">
        <v>12</v>
      </c>
      <c r="B68" s="27">
        <f>('FINANCIAL STATEMENTS'!C71-'FINANCIAL STATEMENTS'!B71)/'FINANCIAL STATEMENTS'!B71</f>
        <v>0.86274257071249494</v>
      </c>
      <c r="C68" s="27">
        <f>('FINANCIAL STATEMENTS'!D71-'FINANCIAL STATEMENTS'!C71)/'FINANCIAL STATEMENTS'!C71</f>
        <v>6.7509956483631672E-2</v>
      </c>
      <c r="D68" s="27">
        <f>('FINANCIAL STATEMENTS'!E71-'FINANCIAL STATEMENTS'!D71)/'FINANCIAL STATEMENTS'!D71</f>
        <v>8.3647978796766886E-2</v>
      </c>
      <c r="E68" s="27">
        <f>('FINANCIAL STATEMENTS'!F71-'FINANCIAL STATEMENTS'!E71)/'FINANCIAL STATEMENTS'!E71</f>
        <v>5.5605771595297254E-2</v>
      </c>
      <c r="F68" s="27">
        <f>('FINANCIAL STATEMENTS'!G71-'FINANCIAL STATEMENTS'!F71)/'FINANCIAL STATEMENTS'!F71</f>
        <v>5.4518266672962751E-2</v>
      </c>
    </row>
    <row r="69" spans="1:6" x14ac:dyDescent="0.3">
      <c r="B69"/>
      <c r="C69"/>
      <c r="D69"/>
      <c r="E69"/>
      <c r="F69"/>
    </row>
    <row r="70" spans="1:6" x14ac:dyDescent="0.3">
      <c r="A70" s="101" t="s">
        <v>13</v>
      </c>
      <c r="B70" s="102"/>
      <c r="C70" s="102"/>
      <c r="D70" s="102"/>
      <c r="E70" s="102"/>
      <c r="F70" s="103"/>
    </row>
    <row r="71" spans="1:6" x14ac:dyDescent="0.3">
      <c r="A71" s="29" t="s">
        <v>19</v>
      </c>
      <c r="B71" s="35">
        <f>('FINANCIAL STATEMENTS'!C75-'FINANCIAL STATEMENTS'!B75)/'FINANCIAL STATEMENTS'!B75</f>
        <v>0.33600733754055501</v>
      </c>
      <c r="C71" s="35">
        <f>('FINANCIAL STATEMENTS'!D75-'FINANCIAL STATEMENTS'!C75)/'FINANCIAL STATEMENTS'!C75</f>
        <v>0.47746787712359368</v>
      </c>
      <c r="D71" s="35">
        <f>('FINANCIAL STATEMENTS'!E75-'FINANCIAL STATEMENTS'!D75)/'FINANCIAL STATEMENTS'!D75</f>
        <v>8.2750776742121571E-2</v>
      </c>
      <c r="E71" s="35">
        <f>('FINANCIAL STATEMENTS'!F75-'FINANCIAL STATEMENTS'!E75)/'FINANCIAL STATEMENTS'!E75</f>
        <v>-0.19472983013502088</v>
      </c>
      <c r="F71" s="35">
        <f>('FINANCIAL STATEMENTS'!G75-'FINANCIAL STATEMENTS'!F75)/'FINANCIAL STATEMENTS'!F75</f>
        <v>0.18544884745708776</v>
      </c>
    </row>
    <row r="72" spans="1:6" x14ac:dyDescent="0.3">
      <c r="A72" s="10" t="s">
        <v>7</v>
      </c>
      <c r="B72" s="18">
        <f>('FINANCIAL STATEMENTS'!C76-'FINANCIAL STATEMENTS'!B76)/'FINANCIAL STATEMENTS'!B76</f>
        <v>-0.76320646550518745</v>
      </c>
      <c r="C72" s="18">
        <f>('FINANCIAL STATEMENTS'!D76-'FINANCIAL STATEMENTS'!C76)/'FINANCIAL STATEMENTS'!C76</f>
        <v>5.6687333923826867E-3</v>
      </c>
      <c r="D72" s="18">
        <f>('FINANCIAL STATEMENTS'!E76-'FINANCIAL STATEMENTS'!D76)/'FINANCIAL STATEMENTS'!D76</f>
        <v>1.5994363220010568</v>
      </c>
      <c r="E72" s="18">
        <f>('FINANCIAL STATEMENTS'!F76-'FINANCIAL STATEMENTS'!E76)/'FINANCIAL STATEMENTS'!E76</f>
        <v>2.9741365679564504</v>
      </c>
      <c r="F72" s="18">
        <f>('FINANCIAL STATEMENTS'!G76-'FINANCIAL STATEMENTS'!F76)/'FINANCIAL STATEMENTS'!F76</f>
        <v>0.72612098511415879</v>
      </c>
    </row>
    <row r="73" spans="1:6" x14ac:dyDescent="0.3">
      <c r="A73" s="10" t="s">
        <v>14</v>
      </c>
      <c r="B73" s="18">
        <f>('FINANCIAL STATEMENTS'!C77-'FINANCIAL STATEMENTS'!B77)/'FINANCIAL STATEMENTS'!B77</f>
        <v>0.23859762220596809</v>
      </c>
      <c r="C73" s="18">
        <f>('FINANCIAL STATEMENTS'!D77-'FINANCIAL STATEMENTS'!C77)/'FINANCIAL STATEMENTS'!C77</f>
        <v>0.21303386081334016</v>
      </c>
      <c r="D73" s="18">
        <f>('FINANCIAL STATEMENTS'!E77-'FINANCIAL STATEMENTS'!D77)/'FINANCIAL STATEMENTS'!D77</f>
        <v>7.6893880009571369E-2</v>
      </c>
      <c r="E73" s="18">
        <f>('FINANCIAL STATEMENTS'!F77-'FINANCIAL STATEMENTS'!E77)/'FINANCIAL STATEMENTS'!E77</f>
        <v>7.693545421110709E-2</v>
      </c>
      <c r="F73" s="18">
        <f>('FINANCIAL STATEMENTS'!G77-'FINANCIAL STATEMENTS'!F77)/'FINANCIAL STATEMENTS'!F77</f>
        <v>0.10699166862322405</v>
      </c>
    </row>
    <row r="74" spans="1:6" x14ac:dyDescent="0.3">
      <c r="A74" s="10" t="s">
        <v>15</v>
      </c>
      <c r="B74" s="18">
        <f>('FINANCIAL STATEMENTS'!C78-'FINANCIAL STATEMENTS'!B78)/'FINANCIAL STATEMENTS'!B78</f>
        <v>-0.80536008649875035</v>
      </c>
      <c r="C74" s="18">
        <f>('FINANCIAL STATEMENTS'!D78-'FINANCIAL STATEMENTS'!C78)/'FINANCIAL STATEMENTS'!C78</f>
        <v>0.34505054184500489</v>
      </c>
      <c r="D74" s="18">
        <f>('FINANCIAL STATEMENTS'!E78-'FINANCIAL STATEMENTS'!D78)/'FINANCIAL STATEMENTS'!D78</f>
        <v>3.7914691943128118E-2</v>
      </c>
      <c r="E74" s="18">
        <f>('FINANCIAL STATEMENTS'!F78-'FINANCIAL STATEMENTS'!E78)/'FINANCIAL STATEMENTS'!E78</f>
        <v>1.4779517286366599</v>
      </c>
      <c r="F74" s="18">
        <f>('FINANCIAL STATEMENTS'!G78-'FINANCIAL STATEMENTS'!F78)/'FINANCIAL STATEMENTS'!F78</f>
        <v>-0.44175639034406505</v>
      </c>
    </row>
    <row r="75" spans="1:6" x14ac:dyDescent="0.3">
      <c r="A75" s="10" t="s">
        <v>16</v>
      </c>
      <c r="B75" s="18">
        <f>('FINANCIAL STATEMENTS'!C79-'FINANCIAL STATEMENTS'!B79)/'FINANCIAL STATEMENTS'!B79</f>
        <v>-0.45182012847965736</v>
      </c>
      <c r="C75" s="18">
        <f>('FINANCIAL STATEMENTS'!D79-'FINANCIAL STATEMENTS'!C79)/'FINANCIAL STATEMENTS'!C79</f>
        <v>0.12109375000000001</v>
      </c>
      <c r="D75" s="18">
        <f>('FINANCIAL STATEMENTS'!E79-'FINANCIAL STATEMENTS'!D79)/'FINANCIAL STATEMENTS'!D79</f>
        <v>-4.1811846689895509E-2</v>
      </c>
      <c r="E75" s="18">
        <f>('FINANCIAL STATEMENTS'!F79-'FINANCIAL STATEMENTS'!E79)/'FINANCIAL STATEMENTS'!E79</f>
        <v>-0.16363636363636369</v>
      </c>
      <c r="F75" s="18">
        <f>('FINANCIAL STATEMENTS'!G79-'FINANCIAL STATEMENTS'!F79)/'FINANCIAL STATEMENTS'!F79</f>
        <v>0.12173913043478272</v>
      </c>
    </row>
    <row r="76" spans="1:6" x14ac:dyDescent="0.3">
      <c r="A76" s="10" t="s">
        <v>8</v>
      </c>
      <c r="B76" s="18">
        <f>('FINANCIAL STATEMENTS'!C80-'FINANCIAL STATEMENTS'!B80)/'FINANCIAL STATEMENTS'!B80</f>
        <v>-0.35973207249802991</v>
      </c>
      <c r="C76" s="18">
        <f>('FINANCIAL STATEMENTS'!D80-'FINANCIAL STATEMENTS'!C80)/'FINANCIAL STATEMENTS'!C80</f>
        <v>9.5999999999999919E-2</v>
      </c>
      <c r="D76" s="18">
        <f>('FINANCIAL STATEMENTS'!E80-'FINANCIAL STATEMENTS'!D80)/'FINANCIAL STATEMENTS'!D80</f>
        <v>0.3453116226838856</v>
      </c>
      <c r="E76" s="18">
        <f>('FINANCIAL STATEMENTS'!F80-'FINANCIAL STATEMENTS'!E80)/'FINANCIAL STATEMENTS'!E80</f>
        <v>0.2358096828046744</v>
      </c>
      <c r="F76" s="18">
        <f>('FINANCIAL STATEMENTS'!G80-'FINANCIAL STATEMENTS'!F80)/'FINANCIAL STATEMENTS'!F80</f>
        <v>-0.23167848699763591</v>
      </c>
    </row>
    <row r="77" spans="1:6" x14ac:dyDescent="0.3">
      <c r="A77" s="10" t="s">
        <v>9</v>
      </c>
      <c r="B77" s="18">
        <f>('FINANCIAL STATEMENTS'!C81-'FINANCIAL STATEMENTS'!B81)/'FINANCIAL STATEMENTS'!B81</f>
        <v>-0.10814094775212643</v>
      </c>
      <c r="C77" s="18">
        <f>('FINANCIAL STATEMENTS'!D81-'FINANCIAL STATEMENTS'!C81)/'FINANCIAL STATEMENTS'!C81</f>
        <v>0.55313351498637608</v>
      </c>
      <c r="D77" s="18">
        <f>('FINANCIAL STATEMENTS'!E81-'FINANCIAL STATEMENTS'!D81)/'FINANCIAL STATEMENTS'!D81</f>
        <v>-0.32456140350877194</v>
      </c>
      <c r="E77" s="18">
        <f>('FINANCIAL STATEMENTS'!F81-'FINANCIAL STATEMENTS'!E81)/'FINANCIAL STATEMENTS'!E81</f>
        <v>-0.24415584415584413</v>
      </c>
      <c r="F77" s="18">
        <f>('FINANCIAL STATEMENTS'!G81-'FINANCIAL STATEMENTS'!F81)/'FINANCIAL STATEMENTS'!F81</f>
        <v>0.29209621993127133</v>
      </c>
    </row>
    <row r="78" spans="1:6" x14ac:dyDescent="0.3">
      <c r="A78" s="10" t="s">
        <v>17</v>
      </c>
      <c r="B78" s="18">
        <f>('FINANCIAL STATEMENTS'!C82-'FINANCIAL STATEMENTS'!B82)/'FINANCIAL STATEMENTS'!B82</f>
        <v>-0.18025801179148909</v>
      </c>
      <c r="C78" s="18">
        <f>('FINANCIAL STATEMENTS'!D82-'FINANCIAL STATEMENTS'!C82)/'FINANCIAL STATEMENTS'!C82</f>
        <v>0.28576514989674567</v>
      </c>
      <c r="D78" s="18">
        <f>('FINANCIAL STATEMENTS'!E82-'FINANCIAL STATEMENTS'!D82)/'FINANCIAL STATEMENTS'!D82</f>
        <v>-8.6674789543642036E-2</v>
      </c>
      <c r="E78" s="18">
        <f>('FINANCIAL STATEMENTS'!F82-'FINANCIAL STATEMENTS'!E82)/'FINANCIAL STATEMENTS'!E82</f>
        <v>5.8213571038748378E-2</v>
      </c>
      <c r="F78" s="18">
        <f>('FINANCIAL STATEMENTS'!G82-'FINANCIAL STATEMENTS'!F82)/'FINANCIAL STATEMENTS'!F82</f>
        <v>0.39567933069738132</v>
      </c>
    </row>
    <row r="79" spans="1:6" x14ac:dyDescent="0.3">
      <c r="A79" s="10" t="s">
        <v>119</v>
      </c>
      <c r="B79" s="18"/>
      <c r="C79" s="18"/>
      <c r="D79" s="18"/>
      <c r="E79" s="18"/>
      <c r="F79" s="18"/>
    </row>
    <row r="80" spans="1:6" x14ac:dyDescent="0.3">
      <c r="A80" s="11" t="s">
        <v>18</v>
      </c>
      <c r="B80" s="27">
        <f>('FINANCIAL STATEMENTS'!C85-'FINANCIAL STATEMENTS'!B85)/'FINANCIAL STATEMENTS'!B85</f>
        <v>-0.20002577609168368</v>
      </c>
      <c r="C80" s="27">
        <f>('FINANCIAL STATEMENTS'!D85-'FINANCIAL STATEMENTS'!C85)/'FINANCIAL STATEMENTS'!C85</f>
        <v>0.31549052574180925</v>
      </c>
      <c r="D80" s="27">
        <f>('FINANCIAL STATEMENTS'!E85-'FINANCIAL STATEMENTS'!D85)/'FINANCIAL STATEMENTS'!D85</f>
        <v>0.14984769979588636</v>
      </c>
      <c r="E80" s="27">
        <f>('FINANCIAL STATEMENTS'!F85-'FINANCIAL STATEMENTS'!E85)/'FINANCIAL STATEMENTS'!E85</f>
        <v>0.37031261521319403</v>
      </c>
      <c r="F80" s="27">
        <f>('FINANCIAL STATEMENTS'!G85-'FINANCIAL STATEMENTS'!F85)/'FINANCIAL STATEMENTS'!F85</f>
        <v>0.30970811095211737</v>
      </c>
    </row>
    <row r="81" spans="1:6" ht="20.399999999999999" thickBot="1" x14ac:dyDescent="0.45">
      <c r="A81" s="4" t="s">
        <v>20</v>
      </c>
      <c r="B81" s="39">
        <f>('FINANCIAL STATEMENTS'!C87-'FINANCIAL STATEMENTS'!B87)/'FINANCIAL STATEMENTS'!B87</f>
        <v>0.31007585417575989</v>
      </c>
      <c r="C81" s="39">
        <f>('FINANCIAL STATEMENTS'!D87-'FINANCIAL STATEMENTS'!C87)/'FINANCIAL STATEMENTS'!C87</f>
        <v>0.14625476000897253</v>
      </c>
      <c r="D81" s="39">
        <f>('FINANCIAL STATEMENTS'!E87-'FINANCIAL STATEMENTS'!D87)/'FINANCIAL STATEMENTS'!D87</f>
        <v>0.10777295994561918</v>
      </c>
      <c r="E81" s="39">
        <f>('FINANCIAL STATEMENTS'!F87-'FINANCIAL STATEMENTS'!E87)/'FINANCIAL STATEMENTS'!E87</f>
        <v>0.1746495140044608</v>
      </c>
      <c r="F81" s="39">
        <f>('FINANCIAL STATEMENTS'!G87-'FINANCIAL STATEMENTS'!F87)/'FINANCIAL STATEMENTS'!F87</f>
        <v>0.1671277909304216</v>
      </c>
    </row>
    <row r="82" spans="1:6" ht="15" thickTop="1" x14ac:dyDescent="0.3">
      <c r="B82"/>
      <c r="C82"/>
      <c r="D82"/>
      <c r="E82"/>
      <c r="F82"/>
    </row>
    <row r="83" spans="1:6" x14ac:dyDescent="0.3">
      <c r="A83" s="95" t="s">
        <v>21</v>
      </c>
      <c r="B83" s="96"/>
      <c r="C83" s="96"/>
      <c r="D83" s="96"/>
      <c r="E83" s="96"/>
      <c r="F83" s="97"/>
    </row>
    <row r="84" spans="1:6" x14ac:dyDescent="0.3">
      <c r="B84"/>
      <c r="C84"/>
      <c r="D84"/>
      <c r="E84"/>
      <c r="F84"/>
    </row>
    <row r="85" spans="1:6" x14ac:dyDescent="0.3">
      <c r="A85" s="101" t="s">
        <v>22</v>
      </c>
      <c r="B85" s="102"/>
      <c r="C85" s="102"/>
      <c r="D85" s="102"/>
      <c r="E85" s="102"/>
      <c r="F85" s="103"/>
    </row>
    <row r="86" spans="1:6" x14ac:dyDescent="0.3">
      <c r="A86" s="29" t="s">
        <v>23</v>
      </c>
      <c r="B86" s="35">
        <f>('FINANCIAL STATEMENTS'!C93-'FINANCIAL STATEMENTS'!B93)/'FINANCIAL STATEMENTS'!B93</f>
        <v>1.9681165124971482E-4</v>
      </c>
      <c r="C86" s="35">
        <f>('FINANCIAL STATEMENTS'!D93-'FINANCIAL STATEMENTS'!C93)/'FINANCIAL STATEMENTS'!C93</f>
        <v>1.9677292404561217E-4</v>
      </c>
      <c r="D86" s="35">
        <f>('FINANCIAL STATEMENTS'!E93-'FINANCIAL STATEMENTS'!D93)/'FINANCIAL STATEMENTS'!D93</f>
        <v>0</v>
      </c>
      <c r="E86" s="35">
        <f>('FINANCIAL STATEMENTS'!F93-'FINANCIAL STATEMENTS'!E93)/'FINANCIAL STATEMENTS'!E93</f>
        <v>5.9020263623846421E-4</v>
      </c>
      <c r="F86" s="35">
        <f>('FINANCIAL STATEMENTS'!G93-'FINANCIAL STATEMENTS'!F93)/'FINANCIAL STATEMENTS'!F93</f>
        <v>0</v>
      </c>
    </row>
    <row r="87" spans="1:6" x14ac:dyDescent="0.3">
      <c r="A87" s="10" t="s">
        <v>22</v>
      </c>
      <c r="B87" s="18">
        <f>('FINANCIAL STATEMENTS'!C94-'FINANCIAL STATEMENTS'!B94)/'FINANCIAL STATEMENTS'!B94</f>
        <v>0.24838865340132882</v>
      </c>
      <c r="C87" s="18">
        <f>('FINANCIAL STATEMENTS'!D94-'FINANCIAL STATEMENTS'!C94)/'FINANCIAL STATEMENTS'!C94</f>
        <v>0.1419987659698026</v>
      </c>
      <c r="D87" s="18">
        <f>('FINANCIAL STATEMENTS'!E94-'FINANCIAL STATEMENTS'!D94)/'FINANCIAL STATEMENTS'!D94</f>
        <v>0.12148034203789369</v>
      </c>
      <c r="E87" s="18">
        <f>('FINANCIAL STATEMENTS'!F94-'FINANCIAL STATEMENTS'!E94)/'FINANCIAL STATEMENTS'!E94</f>
        <v>0.17417351888036989</v>
      </c>
      <c r="F87" s="18">
        <f>('FINANCIAL STATEMENTS'!G94-'FINANCIAL STATEMENTS'!F94)/'FINANCIAL STATEMENTS'!F94</f>
        <v>0.16158874703886911</v>
      </c>
    </row>
    <row r="88" spans="1:6" x14ac:dyDescent="0.3">
      <c r="A88" s="11" t="s">
        <v>24</v>
      </c>
      <c r="B88" s="27">
        <f>('FINANCIAL STATEMENTS'!C95-'FINANCIAL STATEMENTS'!B95)/'FINANCIAL STATEMENTS'!B95</f>
        <v>0.24556421087524213</v>
      </c>
      <c r="C88" s="27">
        <f>('FINANCIAL STATEMENTS'!D95-'FINANCIAL STATEMENTS'!C95)/'FINANCIAL STATEMENTS'!C95</f>
        <v>0.14070293928310704</v>
      </c>
      <c r="D88" s="27">
        <f>('FINANCIAL STATEMENTS'!E95-'FINANCIAL STATEMENTS'!D95)/'FINANCIAL STATEMENTS'!D95</f>
        <v>0.12050695966076581</v>
      </c>
      <c r="E88" s="27">
        <f>('FINANCIAL STATEMENTS'!F95-'FINANCIAL STATEMENTS'!E95)/'FINANCIAL STATEMENTS'!E95</f>
        <v>0.17293223562778573</v>
      </c>
      <c r="F88" s="27">
        <f>('FINANCIAL STATEMENTS'!G95-'FINANCIAL STATEMENTS'!F95)/'FINANCIAL STATEMENTS'!F95</f>
        <v>0.16060301845061825</v>
      </c>
    </row>
    <row r="89" spans="1:6" x14ac:dyDescent="0.3">
      <c r="B89"/>
      <c r="C89"/>
      <c r="D89"/>
      <c r="E89"/>
      <c r="F89"/>
    </row>
    <row r="90" spans="1:6" x14ac:dyDescent="0.3">
      <c r="A90" s="101" t="s">
        <v>25</v>
      </c>
      <c r="B90" s="102"/>
      <c r="C90" s="102"/>
      <c r="D90" s="102"/>
      <c r="E90" s="102"/>
      <c r="F90" s="103"/>
    </row>
    <row r="91" spans="1:6" x14ac:dyDescent="0.3">
      <c r="A91" s="21" t="s">
        <v>26</v>
      </c>
      <c r="B91" s="26"/>
      <c r="C91" s="26"/>
      <c r="D91" s="26"/>
      <c r="E91" s="26"/>
      <c r="F91" s="26"/>
    </row>
    <row r="92" spans="1:6" x14ac:dyDescent="0.3">
      <c r="A92" s="10" t="s">
        <v>27</v>
      </c>
      <c r="B92" s="18">
        <f>('FINANCIAL STATEMENTS'!C101-'FINANCIAL STATEMENTS'!B101)/'FINANCIAL STATEMENTS'!B101</f>
        <v>-4.8927875243664681E-2</v>
      </c>
      <c r="C92" s="18">
        <f>('FINANCIAL STATEMENTS'!D101-'FINANCIAL STATEMENTS'!C101)/'FINANCIAL STATEMENTS'!C101</f>
        <v>0.37200245952039351</v>
      </c>
      <c r="D92" s="18">
        <f>('FINANCIAL STATEMENTS'!E101-'FINANCIAL STATEMENTS'!D101)/'FINANCIAL STATEMENTS'!D101</f>
        <v>1.1384822228861669</v>
      </c>
      <c r="E92" s="18">
        <f>('FINANCIAL STATEMENTS'!F101-'FINANCIAL STATEMENTS'!E101)/'FINANCIAL STATEMENTS'!E101</f>
        <v>0.13398533007334967</v>
      </c>
      <c r="F92" s="18">
        <f>('FINANCIAL STATEMENTS'!G101-'FINANCIAL STATEMENTS'!F101)/'FINANCIAL STATEMENTS'!F101</f>
        <v>0.31084827203844007</v>
      </c>
    </row>
    <row r="93" spans="1:6" x14ac:dyDescent="0.3">
      <c r="A93" s="10" t="s">
        <v>28</v>
      </c>
      <c r="B93" s="18">
        <f>('FINANCIAL STATEMENTS'!C102-'FINANCIAL STATEMENTS'!B102)/'FINANCIAL STATEMENTS'!B102</f>
        <v>0.87741046831955938</v>
      </c>
      <c r="C93" s="18">
        <f>('FINANCIAL STATEMENTS'!D102-'FINANCIAL STATEMENTS'!C102)/'FINANCIAL STATEMENTS'!C102</f>
        <v>0.46294937637564199</v>
      </c>
      <c r="D93" s="18">
        <f>('FINANCIAL STATEMENTS'!E102-'FINANCIAL STATEMENTS'!D102)/'FINANCIAL STATEMENTS'!D102</f>
        <v>-0.27532597793380148</v>
      </c>
      <c r="E93" s="18">
        <f>('FINANCIAL STATEMENTS'!F102-'FINANCIAL STATEMENTS'!E102)/'FINANCIAL STATEMENTS'!E102</f>
        <v>-0.69480968858131487</v>
      </c>
      <c r="F93" s="18">
        <f>('FINANCIAL STATEMENTS'!G102-'FINANCIAL STATEMENTS'!F102)/'FINANCIAL STATEMENTS'!F102</f>
        <v>-0.12244897959183675</v>
      </c>
    </row>
    <row r="94" spans="1:6" x14ac:dyDescent="0.3">
      <c r="A94" s="10" t="s">
        <v>29</v>
      </c>
      <c r="B94" s="18">
        <f>('FINANCIAL STATEMENTS'!C103-'FINANCIAL STATEMENTS'!B103)/'FINANCIAL STATEMENTS'!B103</f>
        <v>0.10100269014428961</v>
      </c>
      <c r="C94" s="18">
        <f>('FINANCIAL STATEMENTS'!D103-'FINANCIAL STATEMENTS'!C103)/'FINANCIAL STATEMENTS'!C103</f>
        <v>0.24877832074633485</v>
      </c>
      <c r="D94" s="18">
        <f>('FINANCIAL STATEMENTS'!E103-'FINANCIAL STATEMENTS'!D103)/'FINANCIAL STATEMENTS'!D103</f>
        <v>0.14941302027748143</v>
      </c>
      <c r="E94" s="18">
        <f>('FINANCIAL STATEMENTS'!F103-'FINANCIAL STATEMENTS'!E103)/'FINANCIAL STATEMENTS'!E103</f>
        <v>0.23088826988548439</v>
      </c>
      <c r="F94" s="18">
        <f>('FINANCIAL STATEMENTS'!G103-'FINANCIAL STATEMENTS'!F103)/'FINANCIAL STATEMENTS'!F103</f>
        <v>0.41589137540859938</v>
      </c>
    </row>
    <row r="95" spans="1:6" x14ac:dyDescent="0.3">
      <c r="A95" s="10" t="s">
        <v>30</v>
      </c>
      <c r="B95" s="18">
        <f>('FINANCIAL STATEMENTS'!C104-'FINANCIAL STATEMENTS'!B104)/'FINANCIAL STATEMENTS'!B104</f>
        <v>-1.4479399763064292E-3</v>
      </c>
      <c r="C95" s="18">
        <f>('FINANCIAL STATEMENTS'!D104-'FINANCIAL STATEMENTS'!C104)/'FINANCIAL STATEMENTS'!C104</f>
        <v>4.1216715001318214</v>
      </c>
      <c r="D95" s="18">
        <f>('FINANCIAL STATEMENTS'!E104-'FINANCIAL STATEMENTS'!D104)/'FINANCIAL STATEMENTS'!D104</f>
        <v>-3.0937121972563205E-2</v>
      </c>
      <c r="E95" s="18">
        <f>('FINANCIAL STATEMENTS'!F104-'FINANCIAL STATEMENTS'!E104)/'FINANCIAL STATEMENTS'!E104</f>
        <v>-1.0623887811744104E-3</v>
      </c>
      <c r="F95" s="18">
        <f>('FINANCIAL STATEMENTS'!G104-'FINANCIAL STATEMENTS'!F104)/'FINANCIAL STATEMENTS'!F104</f>
        <v>4.2460982159474539E-2</v>
      </c>
    </row>
    <row r="96" spans="1:6" x14ac:dyDescent="0.3">
      <c r="A96" s="11" t="s">
        <v>31</v>
      </c>
      <c r="B96" s="27">
        <f>('FINANCIAL STATEMENTS'!C105-'FINANCIAL STATEMENTS'!B105)/'FINANCIAL STATEMENTS'!B105</f>
        <v>4.4920761600729817E-2</v>
      </c>
      <c r="C96" s="27">
        <f>('FINANCIAL STATEMENTS'!D105-'FINANCIAL STATEMENTS'!C105)/'FINANCIAL STATEMENTS'!C105</f>
        <v>1.9003273322422256</v>
      </c>
      <c r="D96" s="27">
        <f>('FINANCIAL STATEMENTS'!E105-'FINANCIAL STATEMENTS'!D105)/'FINANCIAL STATEMENTS'!D105</f>
        <v>0.12621560107593632</v>
      </c>
      <c r="E96" s="27">
        <f>('FINANCIAL STATEMENTS'!F105-'FINANCIAL STATEMENTS'!E105)/'FINANCIAL STATEMENTS'!E105</f>
        <v>3.951697760259229E-2</v>
      </c>
      <c r="F96" s="27">
        <f>('FINANCIAL STATEMENTS'!G105-'FINANCIAL STATEMENTS'!F105)/'FINANCIAL STATEMENTS'!F105</f>
        <v>0.15901605102909716</v>
      </c>
    </row>
    <row r="97" spans="1:6" x14ac:dyDescent="0.3">
      <c r="B97"/>
      <c r="C97"/>
      <c r="D97"/>
      <c r="E97"/>
      <c r="F97"/>
    </row>
    <row r="98" spans="1:6" x14ac:dyDescent="0.3">
      <c r="A98" s="99" t="s">
        <v>32</v>
      </c>
      <c r="B98" s="99"/>
      <c r="C98" s="99"/>
      <c r="D98" s="99"/>
      <c r="E98" s="99"/>
      <c r="F98" s="100"/>
    </row>
    <row r="99" spans="1:6" x14ac:dyDescent="0.3">
      <c r="A99" s="10" t="s">
        <v>33</v>
      </c>
      <c r="B99" s="18"/>
      <c r="C99" s="18">
        <f>('FINANCIAL STATEMENTS'!D109-'FINANCIAL STATEMENTS'!C109)/'FINANCIAL STATEMENTS'!C109</f>
        <v>0.90909090909090906</v>
      </c>
      <c r="D99" s="18">
        <f>('FINANCIAL STATEMENTS'!E109-'FINANCIAL STATEMENTS'!D109)/'FINANCIAL STATEMENTS'!D109</f>
        <v>-1</v>
      </c>
      <c r="E99" s="18"/>
      <c r="F99" s="18"/>
    </row>
    <row r="100" spans="1:6" x14ac:dyDescent="0.3">
      <c r="A100" s="10" t="s">
        <v>34</v>
      </c>
      <c r="B100" s="18">
        <f>('FINANCIAL STATEMENTS'!C110-'FINANCIAL STATEMENTS'!B110)/'FINANCIAL STATEMENTS'!B110</f>
        <v>6.2086021505376348</v>
      </c>
      <c r="C100" s="18">
        <f>('FINANCIAL STATEMENTS'!D110-'FINANCIAL STATEMENTS'!C110)/'FINANCIAL STATEMENTS'!C110</f>
        <v>1.655727923627684E-2</v>
      </c>
      <c r="D100" s="18">
        <f>('FINANCIAL STATEMENTS'!E110-'FINANCIAL STATEMENTS'!D110)/'FINANCIAL STATEMENTS'!D110</f>
        <v>-0.22494497432135002</v>
      </c>
      <c r="E100" s="18">
        <f>('FINANCIAL STATEMENTS'!F110-'FINANCIAL STATEMENTS'!E110)/'FINANCIAL STATEMENTS'!E110</f>
        <v>0.30537675123059455</v>
      </c>
      <c r="F100" s="18">
        <f>('FINANCIAL STATEMENTS'!G110-'FINANCIAL STATEMENTS'!F110)/'FINANCIAL STATEMENTS'!F110</f>
        <v>-0.51007976794778831</v>
      </c>
    </row>
    <row r="101" spans="1:6" x14ac:dyDescent="0.3">
      <c r="A101" s="10" t="s">
        <v>35</v>
      </c>
      <c r="B101" s="18">
        <f>('FINANCIAL STATEMENTS'!C111-'FINANCIAL STATEMENTS'!B111)/'FINANCIAL STATEMENTS'!B111</f>
        <v>0.49694136063108896</v>
      </c>
      <c r="C101" s="18">
        <f>('FINANCIAL STATEMENTS'!D111-'FINANCIAL STATEMENTS'!C111)/'FINANCIAL STATEMENTS'!C111</f>
        <v>0.20764192740581755</v>
      </c>
      <c r="D101" s="18">
        <f>('FINANCIAL STATEMENTS'!E111-'FINANCIAL STATEMENTS'!D111)/'FINANCIAL STATEMENTS'!D111</f>
        <v>9.6275450329842329E-3</v>
      </c>
      <c r="E101" s="18">
        <f>('FINANCIAL STATEMENTS'!F111-'FINANCIAL STATEMENTS'!E111)/'FINANCIAL STATEMENTS'!E111</f>
        <v>9.7749791229376853E-2</v>
      </c>
      <c r="F101" s="18">
        <f>('FINANCIAL STATEMENTS'!G111-'FINANCIAL STATEMENTS'!F111)/'FINANCIAL STATEMENTS'!F111</f>
        <v>0.26976849377030315</v>
      </c>
    </row>
    <row r="102" spans="1:6" x14ac:dyDescent="0.3">
      <c r="A102" s="10" t="s">
        <v>36</v>
      </c>
      <c r="B102" s="18">
        <f>('FINANCIAL STATEMENTS'!C112-'FINANCIAL STATEMENTS'!B112)/'FINANCIAL STATEMENTS'!B112</f>
        <v>-0.1588021778584392</v>
      </c>
      <c r="C102" s="18">
        <f>('FINANCIAL STATEMENTS'!D112-'FINANCIAL STATEMENTS'!C112)/'FINANCIAL STATEMENTS'!C112</f>
        <v>0.42826321467098177</v>
      </c>
      <c r="D102" s="18">
        <f>('FINANCIAL STATEMENTS'!E112-'FINANCIAL STATEMENTS'!D112)/'FINANCIAL STATEMENTS'!D112</f>
        <v>0.64161631419939569</v>
      </c>
      <c r="E102" s="18">
        <f>('FINANCIAL STATEMENTS'!F112-'FINANCIAL STATEMENTS'!E112)/'FINANCIAL STATEMENTS'!E112</f>
        <v>0.13549574419139637</v>
      </c>
      <c r="F102" s="18">
        <f>('FINANCIAL STATEMENTS'!G112-'FINANCIAL STATEMENTS'!F112)/'FINANCIAL STATEMENTS'!F112</f>
        <v>0.20502431118314421</v>
      </c>
    </row>
    <row r="103" spans="1:6" x14ac:dyDescent="0.3">
      <c r="A103" s="10" t="s">
        <v>28</v>
      </c>
      <c r="B103" s="18">
        <f>('FINANCIAL STATEMENTS'!C113-'FINANCIAL STATEMENTS'!B113)/'FINANCIAL STATEMENTS'!B113</f>
        <v>0.62999167300242587</v>
      </c>
      <c r="C103" s="18">
        <f>('FINANCIAL STATEMENTS'!D113-'FINANCIAL STATEMENTS'!C113)/'FINANCIAL STATEMENTS'!C113</f>
        <v>-0.26744702589844971</v>
      </c>
      <c r="D103" s="18">
        <f>('FINANCIAL STATEMENTS'!E113-'FINANCIAL STATEMENTS'!D113)/'FINANCIAL STATEMENTS'!D113</f>
        <v>0.26494042024195746</v>
      </c>
      <c r="E103" s="18">
        <f>('FINANCIAL STATEMENTS'!F113-'FINANCIAL STATEMENTS'!E113)/'FINANCIAL STATEMENTS'!E113</f>
        <v>0.20789088904336159</v>
      </c>
      <c r="F103" s="18">
        <f>('FINANCIAL STATEMENTS'!G113-'FINANCIAL STATEMENTS'!F113)/'FINANCIAL STATEMENTS'!F113</f>
        <v>0.18230076202571827</v>
      </c>
    </row>
    <row r="104" spans="1:6" x14ac:dyDescent="0.3">
      <c r="A104" s="10" t="s">
        <v>37</v>
      </c>
      <c r="B104" s="18">
        <f>('FINANCIAL STATEMENTS'!C114-'FINANCIAL STATEMENTS'!B114)/'FINANCIAL STATEMENTS'!B114</f>
        <v>-0.19293568810396539</v>
      </c>
      <c r="C104" s="18">
        <f>('FINANCIAL STATEMENTS'!D114-'FINANCIAL STATEMENTS'!C114)/'FINANCIAL STATEMENTS'!C114</f>
        <v>0.12992017616295071</v>
      </c>
      <c r="D104" s="18">
        <f>('FINANCIAL STATEMENTS'!E114-'FINANCIAL STATEMENTS'!D114)/'FINANCIAL STATEMENTS'!D114</f>
        <v>7.1132764920828304E-2</v>
      </c>
      <c r="E104" s="18">
        <f>('FINANCIAL STATEMENTS'!F114-'FINANCIAL STATEMENTS'!E114)/'FINANCIAL STATEMENTS'!E114</f>
        <v>0.12167386854673645</v>
      </c>
      <c r="F104" s="18">
        <f>('FINANCIAL STATEMENTS'!G114-'FINANCIAL STATEMENTS'!F114)/'FINANCIAL STATEMENTS'!F114</f>
        <v>-0.10158150851581504</v>
      </c>
    </row>
    <row r="105" spans="1:6" x14ac:dyDescent="0.3">
      <c r="A105" s="10" t="s">
        <v>29</v>
      </c>
      <c r="B105" s="18">
        <f>('FINANCIAL STATEMENTS'!C115-'FINANCIAL STATEMENTS'!B115)/'FINANCIAL STATEMENTS'!B115</f>
        <v>0.39898132427843813</v>
      </c>
      <c r="C105" s="18">
        <f>('FINANCIAL STATEMENTS'!D115-'FINANCIAL STATEMENTS'!C115)/'FINANCIAL STATEMENTS'!C115</f>
        <v>1.1201456310679609</v>
      </c>
      <c r="D105" s="18">
        <f>('FINANCIAL STATEMENTS'!E115-'FINANCIAL STATEMENTS'!D115)/'FINANCIAL STATEMENTS'!D115</f>
        <v>-0.1345163136805953</v>
      </c>
      <c r="E105" s="18">
        <f>('FINANCIAL STATEMENTS'!F115-'FINANCIAL STATEMENTS'!E115)/'FINANCIAL STATEMENTS'!E115</f>
        <v>5.2936507936507935</v>
      </c>
      <c r="F105" s="18">
        <f>('FINANCIAL STATEMENTS'!G115-'FINANCIAL STATEMENTS'!F115)/'FINANCIAL STATEMENTS'!F115</f>
        <v>0.2835224884405213</v>
      </c>
    </row>
    <row r="106" spans="1:6" x14ac:dyDescent="0.3">
      <c r="A106" s="10" t="s">
        <v>38</v>
      </c>
      <c r="B106" s="18">
        <f>('FINANCIAL STATEMENTS'!C116-'FINANCIAL STATEMENTS'!B116)/'FINANCIAL STATEMENTS'!B116</f>
        <v>1.8359173126614985</v>
      </c>
      <c r="C106" s="18">
        <f>('FINANCIAL STATEMENTS'!D116-'FINANCIAL STATEMENTS'!C116)/'FINANCIAL STATEMENTS'!C116</f>
        <v>-0.58724373576309796</v>
      </c>
      <c r="D106" s="18">
        <f>('FINANCIAL STATEMENTS'!E116-'FINANCIAL STATEMENTS'!D116)/'FINANCIAL STATEMENTS'!D116</f>
        <v>3.2218543046357611</v>
      </c>
      <c r="E106" s="18">
        <f>('FINANCIAL STATEMENTS'!F116-'FINANCIAL STATEMENTS'!E116)/'FINANCIAL STATEMENTS'!E116</f>
        <v>-0.3958169934640523</v>
      </c>
      <c r="F106" s="18">
        <f>('FINANCIAL STATEMENTS'!G116-'FINANCIAL STATEMENTS'!F116)/'FINANCIAL STATEMENTS'!F116</f>
        <v>-0.11466897446992638</v>
      </c>
    </row>
    <row r="107" spans="1:6" x14ac:dyDescent="0.3">
      <c r="A107" s="11" t="s">
        <v>39</v>
      </c>
      <c r="B107" s="27">
        <f>('FINANCIAL STATEMENTS'!C117-'FINANCIAL STATEMENTS'!B117)/'FINANCIAL STATEMENTS'!B117</f>
        <v>0.59387353455150083</v>
      </c>
      <c r="C107" s="27">
        <f>('FINANCIAL STATEMENTS'!D117-'FINANCIAL STATEMENTS'!C117)/'FINANCIAL STATEMENTS'!C117</f>
        <v>-8.4358317943041567E-3</v>
      </c>
      <c r="D107" s="27">
        <f>('FINANCIAL STATEMENTS'!E117-'FINANCIAL STATEMENTS'!D117)/'FINANCIAL STATEMENTS'!D117</f>
        <v>5.915063552043974E-2</v>
      </c>
      <c r="E107" s="27">
        <f>('FINANCIAL STATEMENTS'!F117-'FINANCIAL STATEMENTS'!E117)/'FINANCIAL STATEMENTS'!E117</f>
        <v>0.22183819504976587</v>
      </c>
      <c r="F107" s="27">
        <f>('FINANCIAL STATEMENTS'!G117-'FINANCIAL STATEMENTS'!F117)/'FINANCIAL STATEMENTS'!F117</f>
        <v>0.19178508324415811</v>
      </c>
    </row>
    <row r="108" spans="1:6" x14ac:dyDescent="0.3">
      <c r="A108" s="13" t="s">
        <v>40</v>
      </c>
      <c r="B108" s="18">
        <f>('FINANCIAL STATEMENTS'!C119-'FINANCIAL STATEMENTS'!B119)/'FINANCIAL STATEMENTS'!B119</f>
        <v>0.52276553638941403</v>
      </c>
      <c r="C108" s="18">
        <f>('FINANCIAL STATEMENTS'!D119-'FINANCIAL STATEMENTS'!C119)/'FINANCIAL STATEMENTS'!C119</f>
        <v>0.16122665709755163</v>
      </c>
      <c r="D108" s="18">
        <f>('FINANCIAL STATEMENTS'!E119-'FINANCIAL STATEMENTS'!D119)/'FINANCIAL STATEMENTS'!D119</f>
        <v>7.4039429232420406E-2</v>
      </c>
      <c r="E108" s="18">
        <f>('FINANCIAL STATEMENTS'!F119-'FINANCIAL STATEMENTS'!E119)/'FINANCIAL STATEMENTS'!E119</f>
        <v>0.17939556060140655</v>
      </c>
      <c r="F108" s="18">
        <f>('FINANCIAL STATEMENTS'!G119-'FINANCIAL STATEMENTS'!F119)/'FINANCIAL STATEMENTS'!F119</f>
        <v>0.18506149925660259</v>
      </c>
    </row>
    <row r="109" spans="1:6" ht="20.399999999999999" thickBot="1" x14ac:dyDescent="0.45">
      <c r="A109" s="4" t="s">
        <v>41</v>
      </c>
      <c r="B109" s="39">
        <f>('FINANCIAL STATEMENTS'!C121-'FINANCIAL STATEMENTS'!B121)/'FINANCIAL STATEMENTS'!B121</f>
        <v>0.31007585417576022</v>
      </c>
      <c r="C109" s="39">
        <f>('FINANCIAL STATEMENTS'!D121-'FINANCIAL STATEMENTS'!C121)/'FINANCIAL STATEMENTS'!C121</f>
        <v>0.14625476000897225</v>
      </c>
      <c r="D109" s="39">
        <f>('FINANCIAL STATEMENTS'!E121-'FINANCIAL STATEMENTS'!D121)/'FINANCIAL STATEMENTS'!D121</f>
        <v>0.10777295994561939</v>
      </c>
      <c r="E109" s="39">
        <f>('FINANCIAL STATEMENTS'!F121-'FINANCIAL STATEMENTS'!E121)/'FINANCIAL STATEMENTS'!E121</f>
        <v>0.17464951400446077</v>
      </c>
      <c r="F109" s="39">
        <f>('FINANCIAL STATEMENTS'!G121-'FINANCIAL STATEMENTS'!F121)/'FINANCIAL STATEMENTS'!F121</f>
        <v>0.1671277909304214</v>
      </c>
    </row>
    <row r="110" spans="1:6" ht="15" thickTop="1" x14ac:dyDescent="0.3">
      <c r="B110"/>
      <c r="C110"/>
      <c r="D110"/>
      <c r="E110"/>
      <c r="F110"/>
    </row>
    <row r="111" spans="1:6" x14ac:dyDescent="0.3">
      <c r="B111"/>
      <c r="C111"/>
      <c r="D111"/>
      <c r="E111"/>
      <c r="F111"/>
    </row>
    <row r="112" spans="1:6" x14ac:dyDescent="0.3">
      <c r="B112"/>
      <c r="C112"/>
      <c r="D112"/>
      <c r="E112"/>
      <c r="F112"/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</sheetData>
  <mergeCells count="13">
    <mergeCell ref="A7:F7"/>
    <mergeCell ref="A90:F90"/>
    <mergeCell ref="A98:F98"/>
    <mergeCell ref="A13:F13"/>
    <mergeCell ref="A29:F29"/>
    <mergeCell ref="A38:F38"/>
    <mergeCell ref="A47:F47"/>
    <mergeCell ref="A57:F57"/>
    <mergeCell ref="A70:F70"/>
    <mergeCell ref="A83:F83"/>
    <mergeCell ref="A85:F85"/>
    <mergeCell ref="A39:F39"/>
    <mergeCell ref="A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FINANCIAL STATEMENTS</vt:lpstr>
      <vt:lpstr>SHAREHOLDERS</vt:lpstr>
      <vt:lpstr>TREND ANALYSIS</vt:lpstr>
      <vt:lpstr>CASH FLOW STATEMENT</vt:lpstr>
      <vt:lpstr>COMMON SIZE FINANCIAL STATMENT</vt:lpstr>
      <vt:lpstr>COMPARATIVE FINANCIAL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GHOSH</dc:creator>
  <cp:lastModifiedBy>ROHIT GHOSH</cp:lastModifiedBy>
  <dcterms:created xsi:type="dcterms:W3CDTF">2025-09-09T18:48:49Z</dcterms:created>
  <dcterms:modified xsi:type="dcterms:W3CDTF">2025-09-16T06:00:12Z</dcterms:modified>
</cp:coreProperties>
</file>